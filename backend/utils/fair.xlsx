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EGX\backend\utils\"/>
    </mc:Choice>
  </mc:AlternateContent>
  <xr:revisionPtr revIDLastSave="0" documentId="13_ncr:1_{3CE954F1-F0B8-4C44-A0CC-387CD96FDDC6}" xr6:coauthVersionLast="47" xr6:coauthVersionMax="47" xr10:uidLastSave="{00000000-0000-0000-0000-000000000000}"/>
  <bookViews>
    <workbookView xWindow="-108" yWindow="-108" windowWidth="23256" windowHeight="12576" firstSheet="7" activeTab="13" xr2:uid="{7A1D9BB7-4E75-4DA9-BB00-EBDF275363F0}"/>
  </bookViews>
  <sheets>
    <sheet name="panics" sheetId="10" r:id="rId1"/>
    <sheet name="ra2eb egabia" sheetId="32" r:id="rId2"/>
    <sheet name="ra2eb 2" sheetId="30" r:id="rId3"/>
    <sheet name="evaluate ostoul" sheetId="17" r:id="rId4"/>
    <sheet name="evaluate ahmed saad" sheetId="25" r:id="rId5"/>
    <sheet name="اسعار الاسهم" sheetId="19" r:id="rId6"/>
    <sheet name="Sheet1" sheetId="37" r:id="rId7"/>
    <sheet name="over time" sheetId="27" r:id="rId8"/>
    <sheet name="over time prices" sheetId="28" r:id="rId9"/>
    <sheet name="FAIR" sheetId="1" r:id="rId10"/>
    <sheet name="القيمة الدفترية" sheetId="6" r:id="rId11"/>
    <sheet name="دورات القيمة الدفترية" sheetId="8" r:id="rId12"/>
    <sheet name="رموز سريعة" sheetId="5" r:id="rId13"/>
    <sheet name="bf" sheetId="16" r:id="rId14"/>
    <sheet name="fp" sheetId="38" r:id="rId15"/>
    <sheet name="السهم العربى" sheetId="39" r:id="rId16"/>
  </sheets>
  <definedNames>
    <definedName name="_xlnm._FilterDatabase" localSheetId="13" hidden="1">bf!#REF!</definedName>
    <definedName name="_xlnm._FilterDatabase" localSheetId="4" hidden="1">'evaluate ahmed saad'!$A$1:$T$420</definedName>
    <definedName name="_xlnm._FilterDatabase" localSheetId="3" hidden="1">'evaluate ostoul'!$A$1:$Q$212</definedName>
    <definedName name="_xlnm._FilterDatabase" localSheetId="9" hidden="1">FAIR!$A$1:$J$160</definedName>
    <definedName name="_xlnm._FilterDatabase" localSheetId="7" hidden="1">'over time'!$A$1:$EN$25</definedName>
    <definedName name="_xlnm._FilterDatabase" localSheetId="0" hidden="1">panics!$A$1:$AD$174</definedName>
    <definedName name="_xlnm._FilterDatabase" localSheetId="2" hidden="1">'ra2eb 2'!$A$1:$E$24</definedName>
    <definedName name="_xlnm._FilterDatabase" localSheetId="1" hidden="1">'ra2eb egabia'!$F$1:$K$9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0" l="1"/>
  <c r="AM2" i="10"/>
  <c r="AR2" i="10"/>
  <c r="K112" i="19"/>
  <c r="K111" i="19"/>
  <c r="L112" i="19"/>
  <c r="K64" i="19"/>
  <c r="K63" i="19"/>
  <c r="L64" i="19"/>
  <c r="K217" i="19"/>
  <c r="K216" i="19"/>
  <c r="L217" i="19"/>
  <c r="K260" i="19"/>
  <c r="K259" i="19"/>
  <c r="L260" i="19"/>
  <c r="K125" i="19"/>
  <c r="K124" i="19"/>
  <c r="L125" i="19"/>
  <c r="K88" i="19"/>
  <c r="K87" i="19"/>
  <c r="L88" i="19"/>
  <c r="K210" i="19"/>
  <c r="K209" i="19"/>
  <c r="L210" i="19"/>
  <c r="K99" i="19"/>
  <c r="K98" i="19"/>
  <c r="L99" i="19"/>
  <c r="K133" i="19"/>
  <c r="K132" i="19"/>
  <c r="L133" i="19"/>
  <c r="K261" i="19"/>
  <c r="L261" i="19"/>
  <c r="K262" i="19"/>
  <c r="L262" i="19"/>
  <c r="K263" i="19"/>
  <c r="L263" i="19"/>
  <c r="K264" i="19"/>
  <c r="L264" i="19"/>
  <c r="K195" i="19"/>
  <c r="K194" i="19"/>
  <c r="L195" i="19"/>
  <c r="K46" i="19"/>
  <c r="K45" i="19"/>
  <c r="L46" i="19"/>
  <c r="K96" i="19"/>
  <c r="K95" i="19"/>
  <c r="L96" i="19"/>
  <c r="K62" i="19"/>
  <c r="K61" i="19"/>
  <c r="L62" i="19"/>
  <c r="K250" i="19"/>
  <c r="K249" i="19"/>
  <c r="L250" i="19"/>
  <c r="K167" i="19"/>
  <c r="K166" i="19"/>
  <c r="L167" i="19"/>
  <c r="K85" i="19"/>
  <c r="K84" i="19"/>
  <c r="L85" i="19"/>
  <c r="K37" i="19"/>
  <c r="K36" i="19"/>
  <c r="L37" i="19"/>
  <c r="K106" i="19"/>
  <c r="K105" i="19"/>
  <c r="L106" i="19"/>
  <c r="K154" i="19"/>
  <c r="K153" i="19"/>
  <c r="L154" i="19"/>
  <c r="K265" i="19"/>
  <c r="L265" i="19"/>
  <c r="K43" i="19"/>
  <c r="K42" i="19"/>
  <c r="L43" i="19"/>
  <c r="K129" i="19"/>
  <c r="K128" i="19"/>
  <c r="L129" i="19"/>
  <c r="K208" i="19"/>
  <c r="K207" i="19"/>
  <c r="L208" i="19"/>
  <c r="K137" i="19"/>
  <c r="K136" i="19"/>
  <c r="L137" i="19"/>
  <c r="K266" i="19"/>
  <c r="L266" i="19"/>
  <c r="K41" i="19"/>
  <c r="K40" i="19"/>
  <c r="L41" i="19"/>
  <c r="K80" i="19"/>
  <c r="K79" i="19"/>
  <c r="L80" i="19"/>
  <c r="K267" i="19"/>
  <c r="L267" i="19"/>
  <c r="K268" i="19"/>
  <c r="L268" i="19"/>
  <c r="K193" i="19"/>
  <c r="K192" i="19"/>
  <c r="L193" i="19"/>
  <c r="K202" i="19"/>
  <c r="K201" i="19"/>
  <c r="L202" i="19"/>
  <c r="K269" i="19"/>
  <c r="L269" i="19"/>
  <c r="K92" i="19"/>
  <c r="K91" i="19"/>
  <c r="L92" i="19"/>
  <c r="K76" i="19"/>
  <c r="K75" i="19"/>
  <c r="L76" i="19"/>
  <c r="L63" i="19"/>
  <c r="K20" i="19"/>
  <c r="K19" i="19"/>
  <c r="L20" i="19"/>
  <c r="K270" i="19"/>
  <c r="L270" i="19"/>
  <c r="K140" i="19"/>
  <c r="K139" i="19"/>
  <c r="L140" i="19"/>
  <c r="K271" i="19"/>
  <c r="L271" i="19"/>
  <c r="K13" i="19"/>
  <c r="K12" i="19"/>
  <c r="L13" i="19"/>
  <c r="K97" i="19"/>
  <c r="L97" i="19"/>
  <c r="L98" i="19"/>
  <c r="K235" i="19"/>
  <c r="K234" i="19"/>
  <c r="L235" i="19"/>
  <c r="K215" i="19"/>
  <c r="L216" i="19"/>
  <c r="K83" i="19"/>
  <c r="K82" i="19"/>
  <c r="L83" i="19"/>
  <c r="K38" i="19"/>
  <c r="L38" i="19"/>
  <c r="K74" i="19"/>
  <c r="K73" i="19"/>
  <c r="L74" i="19"/>
  <c r="K123" i="19"/>
  <c r="K122" i="19"/>
  <c r="L123" i="19"/>
  <c r="K146" i="19"/>
  <c r="K145" i="19"/>
  <c r="L146" i="19"/>
  <c r="K126" i="19"/>
  <c r="L126" i="19"/>
  <c r="K197" i="19"/>
  <c r="K196" i="19"/>
  <c r="L197" i="19"/>
  <c r="K52" i="19"/>
  <c r="K51" i="19"/>
  <c r="L52" i="19"/>
  <c r="K240" i="19"/>
  <c r="K239" i="19"/>
  <c r="L240" i="19"/>
  <c r="K94" i="19"/>
  <c r="K93" i="19"/>
  <c r="L94" i="19"/>
  <c r="K185" i="19"/>
  <c r="K184" i="19"/>
  <c r="L185" i="19"/>
  <c r="K238" i="19"/>
  <c r="K237" i="19"/>
  <c r="L238" i="19"/>
  <c r="K34" i="19"/>
  <c r="K33" i="19"/>
  <c r="L34" i="19"/>
  <c r="L75" i="19"/>
  <c r="K50" i="19"/>
  <c r="K49" i="19"/>
  <c r="L50" i="19"/>
  <c r="K21" i="19"/>
  <c r="L21" i="19"/>
  <c r="K65" i="19"/>
  <c r="L65" i="19"/>
  <c r="K256" i="19"/>
  <c r="K255" i="19"/>
  <c r="L256" i="19"/>
  <c r="K144" i="19"/>
  <c r="K143" i="19"/>
  <c r="L144" i="19"/>
  <c r="K183" i="19"/>
  <c r="K182" i="19"/>
  <c r="L183" i="19"/>
  <c r="K56" i="19"/>
  <c r="K55" i="19"/>
  <c r="L56" i="19"/>
  <c r="K150" i="19"/>
  <c r="K149" i="19"/>
  <c r="L150" i="19"/>
  <c r="K223" i="19"/>
  <c r="K222" i="19"/>
  <c r="L223" i="19"/>
  <c r="K188" i="19"/>
  <c r="K187" i="19"/>
  <c r="L188" i="19"/>
  <c r="L194" i="19"/>
  <c r="K272" i="19"/>
  <c r="L272" i="19"/>
  <c r="K107" i="19"/>
  <c r="L107" i="19"/>
  <c r="K232" i="19"/>
  <c r="K231" i="19"/>
  <c r="L232" i="19"/>
  <c r="K102" i="19"/>
  <c r="K101" i="19"/>
  <c r="L102" i="19"/>
  <c r="K103" i="19"/>
  <c r="L103" i="19"/>
  <c r="K221" i="19"/>
  <c r="K220" i="19"/>
  <c r="L221" i="19"/>
  <c r="K200" i="19"/>
  <c r="L201" i="19"/>
  <c r="K165" i="19"/>
  <c r="K164" i="19"/>
  <c r="L165" i="19"/>
  <c r="K90" i="19"/>
  <c r="K89" i="19"/>
  <c r="L90" i="19"/>
  <c r="K59" i="19"/>
  <c r="K58" i="19"/>
  <c r="L59" i="19"/>
  <c r="K163" i="19"/>
  <c r="L164" i="19"/>
  <c r="K48" i="19"/>
  <c r="K47" i="19"/>
  <c r="L48" i="19"/>
  <c r="K54" i="19"/>
  <c r="L55" i="19"/>
  <c r="K236" i="19"/>
  <c r="L237" i="19"/>
  <c r="K155" i="19"/>
  <c r="L155" i="19"/>
  <c r="K29" i="19"/>
  <c r="K28" i="19"/>
  <c r="L29" i="19"/>
  <c r="K248" i="19"/>
  <c r="K247" i="19"/>
  <c r="L248" i="19"/>
  <c r="K78" i="19"/>
  <c r="K77" i="19"/>
  <c r="L78" i="19"/>
  <c r="L79" i="19"/>
  <c r="K273" i="19"/>
  <c r="L273" i="19"/>
  <c r="K3" i="19"/>
  <c r="K2" i="19"/>
  <c r="L3" i="19"/>
  <c r="K110" i="19"/>
  <c r="K109" i="19"/>
  <c r="L110" i="19"/>
  <c r="K253" i="19"/>
  <c r="K252" i="19"/>
  <c r="L253" i="19"/>
  <c r="L209" i="19"/>
  <c r="K258" i="19"/>
  <c r="K257" i="19"/>
  <c r="L258" i="19"/>
  <c r="K173" i="19"/>
  <c r="K172" i="19"/>
  <c r="L173" i="19"/>
  <c r="K142" i="19"/>
  <c r="K141" i="19"/>
  <c r="L142" i="19"/>
  <c r="K254" i="19"/>
  <c r="K44" i="19"/>
  <c r="L44" i="19"/>
  <c r="K116" i="19"/>
  <c r="K115" i="19"/>
  <c r="L116" i="19"/>
  <c r="K68" i="19"/>
  <c r="K67" i="19"/>
  <c r="L68" i="19"/>
  <c r="K191" i="19"/>
  <c r="L192" i="19"/>
  <c r="K69" i="19"/>
  <c r="L69" i="19"/>
  <c r="K274" i="19"/>
  <c r="L274" i="19"/>
  <c r="K11" i="19"/>
  <c r="L12" i="19"/>
  <c r="L141" i="19"/>
  <c r="K118" i="19"/>
  <c r="K117" i="19"/>
  <c r="L118" i="19"/>
  <c r="K251" i="19"/>
  <c r="L251" i="19"/>
  <c r="K275" i="19"/>
  <c r="L275" i="19"/>
  <c r="K206" i="19"/>
  <c r="K205" i="19"/>
  <c r="L206" i="19"/>
  <c r="K135" i="19"/>
  <c r="K134" i="19"/>
  <c r="L135" i="19"/>
  <c r="K27" i="19"/>
  <c r="K26" i="19"/>
  <c r="L27" i="19"/>
  <c r="K276" i="19"/>
  <c r="L276" i="19"/>
  <c r="K86" i="19"/>
  <c r="L87" i="19"/>
  <c r="K81" i="19"/>
  <c r="L81" i="19"/>
  <c r="K53" i="19"/>
  <c r="L54" i="19"/>
  <c r="K162" i="19"/>
  <c r="K161" i="19"/>
  <c r="L162" i="19"/>
  <c r="L111" i="19"/>
  <c r="K181" i="19"/>
  <c r="L182" i="19"/>
  <c r="K190" i="19"/>
  <c r="L191" i="19"/>
  <c r="L124" i="19"/>
  <c r="K108" i="19"/>
  <c r="L109" i="19"/>
  <c r="L249" i="19"/>
  <c r="K174" i="19"/>
  <c r="L174" i="19"/>
  <c r="L42" i="19"/>
  <c r="K17" i="19"/>
  <c r="K16" i="19"/>
  <c r="L17" i="19"/>
  <c r="K35" i="19"/>
  <c r="L35" i="19"/>
  <c r="L28" i="19"/>
  <c r="L2" i="19"/>
  <c r="K277" i="19"/>
  <c r="L277" i="19"/>
  <c r="L51" i="19"/>
  <c r="K214" i="19"/>
  <c r="L215" i="19"/>
  <c r="K233" i="19"/>
  <c r="L233" i="19"/>
  <c r="K9" i="19"/>
  <c r="K8" i="19"/>
  <c r="L9" i="19"/>
  <c r="K60" i="19"/>
  <c r="L61" i="19"/>
  <c r="L36" i="19"/>
  <c r="L77" i="19"/>
  <c r="K18" i="19"/>
  <c r="L18" i="19"/>
  <c r="K278" i="19"/>
  <c r="L278" i="19"/>
  <c r="K279" i="19"/>
  <c r="L279" i="19"/>
  <c r="K160" i="19"/>
  <c r="K159" i="19"/>
  <c r="L160" i="19"/>
  <c r="L259" i="19"/>
  <c r="K280" i="19"/>
  <c r="L280" i="19"/>
  <c r="K281" i="19"/>
  <c r="L281" i="19"/>
  <c r="K127" i="19"/>
  <c r="L127" i="19"/>
  <c r="K282" i="19"/>
  <c r="L282" i="19"/>
  <c r="K283" i="19"/>
  <c r="L283" i="19"/>
  <c r="K284" i="19"/>
  <c r="L284" i="19"/>
  <c r="K285" i="19"/>
  <c r="L285" i="19"/>
  <c r="K286" i="19"/>
  <c r="L286" i="19"/>
  <c r="K287" i="19"/>
  <c r="L287" i="19"/>
  <c r="K288" i="19"/>
  <c r="L288" i="19"/>
  <c r="K289" i="19"/>
  <c r="L289" i="19"/>
  <c r="K10" i="19"/>
  <c r="L10" i="19"/>
  <c r="K290" i="19"/>
  <c r="L290" i="19"/>
  <c r="L207" i="19"/>
  <c r="K39" i="19"/>
  <c r="L39" i="19"/>
  <c r="K291" i="19"/>
  <c r="L291" i="19"/>
  <c r="K152" i="19"/>
  <c r="L153" i="19"/>
  <c r="K292" i="19"/>
  <c r="L292" i="19"/>
  <c r="L257" i="19"/>
  <c r="L128" i="19"/>
  <c r="K293" i="19"/>
  <c r="L293" i="19"/>
  <c r="K294" i="19"/>
  <c r="L294" i="19"/>
  <c r="L60" i="19"/>
  <c r="K119" i="19"/>
  <c r="L119" i="19"/>
  <c r="K295" i="19"/>
  <c r="L295" i="19"/>
  <c r="K296" i="19"/>
  <c r="L296" i="19"/>
  <c r="K297" i="19"/>
  <c r="L297" i="19"/>
  <c r="K298" i="19"/>
  <c r="L298" i="19"/>
  <c r="K299" i="19"/>
  <c r="L299" i="19"/>
  <c r="K300" i="19"/>
  <c r="L300" i="19"/>
  <c r="K301" i="19"/>
  <c r="L301" i="19"/>
  <c r="K302" i="19"/>
  <c r="L302" i="19"/>
  <c r="K303" i="19"/>
  <c r="L303" i="19"/>
  <c r="K304" i="19"/>
  <c r="L304" i="19"/>
  <c r="K305" i="19"/>
  <c r="L305" i="19"/>
  <c r="K306" i="19"/>
  <c r="L306" i="19"/>
  <c r="K307" i="19"/>
  <c r="L307" i="19"/>
  <c r="K308" i="19"/>
  <c r="L308" i="19"/>
  <c r="K309" i="19"/>
  <c r="L309" i="19"/>
  <c r="K310" i="19"/>
  <c r="L310" i="19"/>
  <c r="K311" i="19"/>
  <c r="L311" i="19"/>
  <c r="K312" i="19"/>
  <c r="L312" i="19"/>
  <c r="K313" i="19"/>
  <c r="L313" i="19"/>
  <c r="K314" i="19"/>
  <c r="L314" i="19"/>
  <c r="K315" i="19"/>
  <c r="L315" i="19"/>
  <c r="K316" i="19"/>
  <c r="L316" i="19"/>
  <c r="K317" i="19"/>
  <c r="L317" i="19"/>
  <c r="K318" i="19"/>
  <c r="L318" i="19"/>
  <c r="K319" i="19"/>
  <c r="L319" i="19"/>
  <c r="K320" i="19"/>
  <c r="L320" i="19"/>
  <c r="K321" i="19"/>
  <c r="L321" i="19"/>
  <c r="K322" i="19"/>
  <c r="L322" i="19"/>
  <c r="K323" i="19"/>
  <c r="L323" i="19"/>
  <c r="K324" i="19"/>
  <c r="L324" i="19"/>
  <c r="K325" i="19"/>
  <c r="L325" i="19"/>
  <c r="K326" i="19"/>
  <c r="L326" i="19"/>
  <c r="K327" i="19"/>
  <c r="L327" i="19"/>
  <c r="K328" i="19"/>
  <c r="L328" i="19"/>
  <c r="K329" i="19"/>
  <c r="L329" i="19"/>
  <c r="K330" i="19"/>
  <c r="L330" i="19"/>
  <c r="K331" i="19"/>
  <c r="L331" i="19"/>
  <c r="K332" i="19"/>
  <c r="L332" i="19"/>
  <c r="K333" i="19"/>
  <c r="L333" i="19"/>
  <c r="K334" i="19"/>
  <c r="L334" i="19"/>
  <c r="K335" i="19"/>
  <c r="L335" i="19"/>
  <c r="K336" i="19"/>
  <c r="L336" i="19"/>
  <c r="K337" i="19"/>
  <c r="L337" i="19"/>
  <c r="K338" i="19"/>
  <c r="L338" i="19"/>
  <c r="K170" i="19"/>
  <c r="K169" i="19"/>
  <c r="L170" i="19"/>
  <c r="K339" i="19"/>
  <c r="L339" i="19"/>
  <c r="K7" i="19"/>
  <c r="K6" i="19"/>
  <c r="L7" i="19"/>
  <c r="K340" i="19"/>
  <c r="L340" i="19"/>
  <c r="L19" i="19"/>
  <c r="K212" i="19"/>
  <c r="K211" i="19"/>
  <c r="L212" i="19"/>
  <c r="K218" i="19"/>
  <c r="L218" i="19"/>
  <c r="K138" i="19"/>
  <c r="L138" i="19"/>
  <c r="K230" i="19"/>
  <c r="K229" i="19"/>
  <c r="L230" i="19"/>
  <c r="K204" i="19"/>
  <c r="K203" i="19"/>
  <c r="L204" i="19"/>
  <c r="K100" i="19"/>
  <c r="L100" i="19"/>
  <c r="K176" i="19"/>
  <c r="K175" i="19"/>
  <c r="L176" i="19"/>
  <c r="K15" i="19"/>
  <c r="L16" i="19"/>
  <c r="K341" i="19"/>
  <c r="L341" i="19"/>
  <c r="K156" i="19"/>
  <c r="L156" i="19"/>
  <c r="K32" i="19"/>
  <c r="K31" i="19"/>
  <c r="L32" i="19"/>
  <c r="L45" i="19"/>
  <c r="K342" i="19"/>
  <c r="L342" i="19"/>
  <c r="K343" i="19"/>
  <c r="L343" i="19"/>
  <c r="K189" i="19"/>
  <c r="L189" i="19"/>
  <c r="K344" i="19"/>
  <c r="L344" i="19"/>
  <c r="K345" i="19"/>
  <c r="L345" i="19"/>
  <c r="L108" i="19"/>
  <c r="L239" i="19"/>
  <c r="K346" i="19"/>
  <c r="L346" i="19"/>
  <c r="K198" i="19"/>
  <c r="L198" i="19"/>
  <c r="L8" i="19"/>
  <c r="K347" i="19"/>
  <c r="L347" i="19"/>
  <c r="K348" i="19"/>
  <c r="L348" i="19"/>
  <c r="K349" i="19"/>
  <c r="L349" i="19"/>
  <c r="K350" i="19"/>
  <c r="L350" i="19"/>
  <c r="K244" i="19"/>
  <c r="K243" i="19"/>
  <c r="L244" i="19"/>
  <c r="K351" i="19"/>
  <c r="L351" i="19"/>
  <c r="K352" i="19"/>
  <c r="L352" i="19"/>
  <c r="K353" i="19"/>
  <c r="L353" i="19"/>
  <c r="K354" i="19"/>
  <c r="L354" i="19"/>
  <c r="K355" i="19"/>
  <c r="L355" i="19"/>
  <c r="K356" i="19"/>
  <c r="L356" i="19"/>
  <c r="K357" i="19"/>
  <c r="L357" i="19"/>
  <c r="K358" i="19"/>
  <c r="L358" i="19"/>
  <c r="K359" i="19"/>
  <c r="L359" i="19"/>
  <c r="K360" i="19"/>
  <c r="L360" i="19"/>
  <c r="K361" i="19"/>
  <c r="L361" i="19"/>
  <c r="K362" i="19"/>
  <c r="L362" i="19"/>
  <c r="K363" i="19"/>
  <c r="L363" i="19"/>
  <c r="K364" i="19"/>
  <c r="L364" i="19"/>
  <c r="K241" i="19"/>
  <c r="L241" i="19"/>
  <c r="K365" i="19"/>
  <c r="L365" i="19"/>
  <c r="K366" i="19"/>
  <c r="L366" i="19"/>
  <c r="K367" i="19"/>
  <c r="L367" i="19"/>
  <c r="L40" i="19"/>
  <c r="K186" i="19"/>
  <c r="L186" i="19"/>
  <c r="K179" i="19"/>
  <c r="K178" i="19"/>
  <c r="L179" i="19"/>
  <c r="L101" i="19"/>
  <c r="K368" i="19"/>
  <c r="L368" i="19"/>
  <c r="K5" i="19"/>
  <c r="K4" i="19"/>
  <c r="L5" i="19"/>
  <c r="K369" i="19"/>
  <c r="L369" i="19"/>
  <c r="K158" i="19"/>
  <c r="L159" i="19"/>
  <c r="K370" i="19"/>
  <c r="L370" i="19"/>
  <c r="L139" i="19"/>
  <c r="K371" i="19"/>
  <c r="L371" i="19"/>
  <c r="K147" i="19"/>
  <c r="L147" i="19"/>
  <c r="K227" i="19"/>
  <c r="K226" i="19"/>
  <c r="L227" i="19"/>
  <c r="K372" i="19"/>
  <c r="L372" i="19"/>
  <c r="K373" i="19"/>
  <c r="L373" i="19"/>
  <c r="K374" i="19"/>
  <c r="L374" i="19"/>
  <c r="L196" i="19"/>
  <c r="L236" i="19"/>
  <c r="K375" i="19"/>
  <c r="L375" i="19"/>
  <c r="K151" i="19"/>
  <c r="L151" i="19"/>
  <c r="K376" i="19"/>
  <c r="L376" i="19"/>
  <c r="K246" i="19"/>
  <c r="L247" i="19"/>
  <c r="K130" i="19"/>
  <c r="L130" i="19"/>
  <c r="K57" i="19"/>
  <c r="L58" i="19"/>
  <c r="L211" i="19"/>
  <c r="K168" i="19"/>
  <c r="L168" i="19"/>
  <c r="K70" i="19"/>
  <c r="L70" i="19"/>
  <c r="K219" i="19"/>
  <c r="L219" i="19"/>
  <c r="L175" i="19"/>
  <c r="L95" i="19"/>
  <c r="K213" i="19"/>
  <c r="L213" i="19"/>
  <c r="L152" i="19"/>
  <c r="K104" i="19"/>
  <c r="L104" i="19"/>
  <c r="L93" i="19"/>
  <c r="K148" i="19"/>
  <c r="L149" i="19"/>
  <c r="L255" i="19"/>
  <c r="K225" i="19"/>
  <c r="K224" i="19"/>
  <c r="L225" i="19"/>
  <c r="L214" i="19"/>
  <c r="L145" i="19"/>
  <c r="K72" i="19"/>
  <c r="L73" i="19"/>
  <c r="K157" i="19"/>
  <c r="L158" i="19"/>
  <c r="L222" i="19"/>
  <c r="L105" i="19"/>
  <c r="L254" i="19"/>
  <c r="K377" i="19"/>
  <c r="L377" i="19"/>
  <c r="L91" i="19"/>
  <c r="L33" i="19"/>
  <c r="K24" i="19"/>
  <c r="K23" i="19"/>
  <c r="L24" i="19"/>
  <c r="K180" i="19"/>
  <c r="L181" i="19"/>
  <c r="K245" i="19"/>
  <c r="L246" i="19"/>
  <c r="L47" i="19"/>
  <c r="L184" i="19"/>
  <c r="L143" i="19"/>
  <c r="K131" i="19"/>
  <c r="L131" i="19"/>
  <c r="L49" i="19"/>
  <c r="L89" i="19"/>
  <c r="K171" i="19"/>
  <c r="L171" i="19"/>
  <c r="L86" i="19"/>
  <c r="L234" i="19"/>
  <c r="K378" i="19"/>
  <c r="L378" i="19"/>
  <c r="K379" i="19"/>
  <c r="L379" i="19"/>
  <c r="K120" i="19"/>
  <c r="L120" i="19"/>
  <c r="K380" i="19"/>
  <c r="L380" i="19"/>
  <c r="K22" i="19"/>
  <c r="L22" i="19"/>
  <c r="L82" i="19"/>
  <c r="L169" i="19"/>
  <c r="L148" i="19"/>
  <c r="K381" i="19"/>
  <c r="L381" i="19"/>
  <c r="K25" i="19"/>
  <c r="L26" i="19"/>
  <c r="K382" i="19"/>
  <c r="L382" i="19"/>
  <c r="K228" i="19"/>
  <c r="L229" i="19"/>
  <c r="L57" i="19"/>
  <c r="L187" i="19"/>
  <c r="L190" i="19"/>
  <c r="L252" i="19"/>
  <c r="K66" i="19"/>
  <c r="L67" i="19"/>
  <c r="K383" i="19"/>
  <c r="L383" i="19"/>
  <c r="K177" i="19"/>
  <c r="L178" i="19"/>
  <c r="L23" i="19"/>
  <c r="L66" i="19"/>
  <c r="K14" i="19"/>
  <c r="L15" i="19"/>
  <c r="K114" i="19"/>
  <c r="L115" i="19"/>
  <c r="L226" i="19"/>
  <c r="K113" i="19"/>
  <c r="L113" i="19"/>
  <c r="L228" i="19"/>
  <c r="L14" i="19"/>
  <c r="L53" i="19"/>
  <c r="K384" i="19"/>
  <c r="L384" i="19"/>
  <c r="L134" i="19"/>
  <c r="L224" i="19"/>
  <c r="L166" i="19"/>
  <c r="L4" i="19"/>
  <c r="L245" i="19"/>
  <c r="L172" i="19"/>
  <c r="K199" i="19"/>
  <c r="L199" i="19"/>
  <c r="L163" i="19"/>
  <c r="L157" i="19"/>
  <c r="L203" i="19"/>
  <c r="L161" i="19"/>
  <c r="K71" i="19"/>
  <c r="L71" i="19"/>
  <c r="L220" i="19"/>
  <c r="L11" i="19"/>
  <c r="L114" i="19"/>
  <c r="K121" i="19"/>
  <c r="L121" i="19"/>
  <c r="K242" i="19"/>
  <c r="L243" i="19"/>
  <c r="L25" i="19"/>
  <c r="L6" i="19"/>
  <c r="L136" i="19"/>
  <c r="L84" i="19"/>
  <c r="L177" i="19"/>
  <c r="K30" i="19"/>
  <c r="L31" i="19"/>
  <c r="L72" i="19"/>
  <c r="K385" i="19"/>
  <c r="L385" i="19"/>
  <c r="K386" i="19"/>
  <c r="L386" i="19"/>
  <c r="K387" i="19"/>
  <c r="L387" i="19"/>
  <c r="L122" i="19"/>
  <c r="L117" i="19"/>
  <c r="L30" i="19"/>
  <c r="L242" i="19"/>
  <c r="L132" i="19"/>
  <c r="L200" i="19"/>
  <c r="L231" i="19"/>
  <c r="L180" i="19"/>
  <c r="K388" i="19"/>
  <c r="L388" i="19"/>
  <c r="K389" i="19"/>
  <c r="L389" i="19"/>
  <c r="K390" i="19"/>
  <c r="L390" i="19"/>
  <c r="K391" i="19"/>
  <c r="L391" i="19"/>
  <c r="K392" i="19"/>
  <c r="L392" i="19"/>
  <c r="K393" i="19"/>
  <c r="L393" i="19"/>
  <c r="K394" i="19"/>
  <c r="L394" i="19"/>
  <c r="K395" i="19"/>
  <c r="L395" i="19"/>
  <c r="K396" i="19"/>
  <c r="L396" i="19"/>
  <c r="K397" i="19"/>
  <c r="L397" i="19"/>
  <c r="K398" i="19"/>
  <c r="L398" i="19"/>
  <c r="K399" i="19"/>
  <c r="L399" i="19"/>
  <c r="K400" i="19"/>
  <c r="L400" i="19"/>
  <c r="K401" i="19"/>
  <c r="L401" i="19"/>
  <c r="K402" i="19"/>
  <c r="L402" i="19"/>
  <c r="K403" i="19"/>
  <c r="L403" i="19"/>
  <c r="K404" i="19"/>
  <c r="L404" i="19"/>
  <c r="C14" i="10"/>
  <c r="H14" i="10"/>
  <c r="C5" i="10"/>
  <c r="H5" i="10"/>
  <c r="AM4" i="10"/>
  <c r="AM22" i="10" s="1"/>
  <c r="AJ2" i="10" s="1"/>
  <c r="Z2" i="10"/>
  <c r="Z3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1" i="10"/>
  <c r="Z112" i="10"/>
  <c r="Z113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2" i="10"/>
  <c r="Z143" i="10"/>
  <c r="Z144" i="10"/>
  <c r="Z145" i="10"/>
  <c r="Z146" i="10"/>
  <c r="Z147" i="10"/>
  <c r="Z148" i="10"/>
  <c r="Z149" i="10"/>
  <c r="Z150" i="10"/>
  <c r="Z151" i="10"/>
  <c r="Z152" i="10"/>
  <c r="Z153" i="10"/>
  <c r="AA11" i="10" a="1"/>
  <c r="AA11" i="10"/>
  <c r="W11" i="10"/>
  <c r="AB11" i="10"/>
  <c r="AA9" i="10" a="1"/>
  <c r="AA9" i="10"/>
  <c r="W9" i="10"/>
  <c r="AB9" i="10"/>
  <c r="AA16" i="10" a="1"/>
  <c r="AA16" i="10"/>
  <c r="W16" i="10"/>
  <c r="AB16" i="10"/>
  <c r="AA18" i="10" a="1"/>
  <c r="AA18" i="10"/>
  <c r="W18" i="10"/>
  <c r="AB18" i="10"/>
  <c r="AA21" i="10" a="1"/>
  <c r="AA21" i="10"/>
  <c r="W21" i="10"/>
  <c r="AB21" i="10"/>
  <c r="AA19" i="10" a="1"/>
  <c r="AA19" i="10"/>
  <c r="W19" i="10"/>
  <c r="AB19" i="10"/>
  <c r="AA23" i="10" a="1"/>
  <c r="AA23" i="10"/>
  <c r="W23" i="10"/>
  <c r="AB23" i="10"/>
  <c r="AA25" i="10" a="1"/>
  <c r="AA25" i="10"/>
  <c r="W25" i="10"/>
  <c r="AB25" i="10"/>
  <c r="AA22" i="10" a="1"/>
  <c r="AA22" i="10"/>
  <c r="W22" i="10"/>
  <c r="AB22" i="10"/>
  <c r="AA26" i="10" a="1"/>
  <c r="AA26" i="10"/>
  <c r="W26" i="10"/>
  <c r="AB26" i="10"/>
  <c r="AA27" i="10" a="1"/>
  <c r="AA27" i="10"/>
  <c r="W27" i="10"/>
  <c r="AB27" i="10"/>
  <c r="AA32" i="10" a="1"/>
  <c r="AA32" i="10"/>
  <c r="W32" i="10"/>
  <c r="AB32" i="10"/>
  <c r="AA30" i="10" a="1"/>
  <c r="AA30" i="10"/>
  <c r="W30" i="10"/>
  <c r="AB30" i="10"/>
  <c r="AA28" i="10" a="1"/>
  <c r="AA28" i="10"/>
  <c r="W28" i="10"/>
  <c r="AB28" i="10"/>
  <c r="AA31" i="10" a="1"/>
  <c r="AA31" i="10"/>
  <c r="W31" i="10"/>
  <c r="AB31" i="10"/>
  <c r="AA33" i="10" a="1"/>
  <c r="AA33" i="10"/>
  <c r="W33" i="10"/>
  <c r="AB33" i="10"/>
  <c r="AA34" i="10" a="1"/>
  <c r="AA34" i="10"/>
  <c r="W34" i="10"/>
  <c r="AB34" i="10"/>
  <c r="AA35" i="10" a="1"/>
  <c r="AA35" i="10"/>
  <c r="W35" i="10"/>
  <c r="AB35" i="10"/>
  <c r="AA36" i="10" a="1"/>
  <c r="AA36" i="10"/>
  <c r="W36" i="10"/>
  <c r="AB36" i="10"/>
  <c r="AA41" i="10" a="1"/>
  <c r="AA41" i="10"/>
  <c r="W41" i="10"/>
  <c r="AB41" i="10"/>
  <c r="AA39" i="10" a="1"/>
  <c r="AA39" i="10"/>
  <c r="W39" i="10"/>
  <c r="AB39" i="10"/>
  <c r="AA40" i="10" a="1"/>
  <c r="AA40" i="10"/>
  <c r="W40" i="10"/>
  <c r="AB40" i="10"/>
  <c r="AA38" i="10" a="1"/>
  <c r="AA38" i="10"/>
  <c r="W38" i="10"/>
  <c r="AB38" i="10"/>
  <c r="AA42" i="10" a="1"/>
  <c r="AA42" i="10"/>
  <c r="W42" i="10"/>
  <c r="AB42" i="10"/>
  <c r="AA43" i="10" a="1"/>
  <c r="AA43" i="10"/>
  <c r="W43" i="10"/>
  <c r="AB43" i="10"/>
  <c r="AA44" i="10" a="1"/>
  <c r="AA44" i="10"/>
  <c r="W44" i="10"/>
  <c r="AB44" i="10"/>
  <c r="AA45" i="10" a="1"/>
  <c r="AA45" i="10"/>
  <c r="W45" i="10"/>
  <c r="AB45" i="10"/>
  <c r="AA47" i="10" a="1"/>
  <c r="AA47" i="10"/>
  <c r="W47" i="10"/>
  <c r="AB47" i="10"/>
  <c r="AA48" i="10" a="1"/>
  <c r="AA48" i="10"/>
  <c r="W48" i="10"/>
  <c r="AB48" i="10"/>
  <c r="AA49" i="10" a="1"/>
  <c r="AA49" i="10"/>
  <c r="W49" i="10"/>
  <c r="AB49" i="10"/>
  <c r="AA51" i="10" a="1"/>
  <c r="AA51" i="10"/>
  <c r="W51" i="10"/>
  <c r="AB51" i="10"/>
  <c r="AA50" i="10" a="1"/>
  <c r="AA50" i="10"/>
  <c r="W50" i="10"/>
  <c r="AB50" i="10"/>
  <c r="AA52" i="10" a="1"/>
  <c r="AA52" i="10"/>
  <c r="W52" i="10"/>
  <c r="AB52" i="10"/>
  <c r="AA54" i="10" a="1"/>
  <c r="AA54" i="10"/>
  <c r="W54" i="10"/>
  <c r="AB54" i="10"/>
  <c r="AA53" i="10" a="1"/>
  <c r="AA53" i="10"/>
  <c r="W53" i="10"/>
  <c r="AB53" i="10"/>
  <c r="AA57" i="10" a="1"/>
  <c r="AA57" i="10"/>
  <c r="W57" i="10"/>
  <c r="AB57" i="10"/>
  <c r="AA55" i="10" a="1"/>
  <c r="AA55" i="10"/>
  <c r="W55" i="10"/>
  <c r="AB55" i="10"/>
  <c r="AA14" i="10" a="1"/>
  <c r="AA14" i="10"/>
  <c r="W14" i="10"/>
  <c r="AB14" i="10"/>
  <c r="AA56" i="10" a="1"/>
  <c r="AA56" i="10"/>
  <c r="W56" i="10"/>
  <c r="AB56" i="10"/>
  <c r="AA58" i="10" a="1"/>
  <c r="AA58" i="10"/>
  <c r="W58" i="10"/>
  <c r="AB58" i="10"/>
  <c r="AA59" i="10" a="1"/>
  <c r="AA59" i="10"/>
  <c r="W59" i="10"/>
  <c r="AB59" i="10"/>
  <c r="AA60" i="10" a="1"/>
  <c r="AA60" i="10"/>
  <c r="W60" i="10"/>
  <c r="AB60" i="10"/>
  <c r="AA62" i="10" a="1"/>
  <c r="AA62" i="10"/>
  <c r="W62" i="10"/>
  <c r="AB62" i="10"/>
  <c r="AA61" i="10" a="1"/>
  <c r="AA61" i="10"/>
  <c r="W61" i="10"/>
  <c r="AB61" i="10"/>
  <c r="AA64" i="10" a="1"/>
  <c r="AA64" i="10"/>
  <c r="W64" i="10"/>
  <c r="AB64" i="10"/>
  <c r="AA63" i="10" a="1"/>
  <c r="AA63" i="10"/>
  <c r="W63" i="10"/>
  <c r="AB63" i="10"/>
  <c r="AA65" i="10" a="1"/>
  <c r="AA65" i="10"/>
  <c r="W65" i="10"/>
  <c r="AB65" i="10"/>
  <c r="AA66" i="10" a="1"/>
  <c r="AA66" i="10"/>
  <c r="W66" i="10"/>
  <c r="AB66" i="10"/>
  <c r="AA67" i="10" a="1"/>
  <c r="AA67" i="10"/>
  <c r="W67" i="10"/>
  <c r="AB67" i="10"/>
  <c r="AA68" i="10" a="1"/>
  <c r="AA68" i="10"/>
  <c r="W68" i="10"/>
  <c r="AB68" i="10"/>
  <c r="AA69" i="10" a="1"/>
  <c r="AA69" i="10"/>
  <c r="W69" i="10"/>
  <c r="AB69" i="10"/>
  <c r="AA70" i="10" a="1"/>
  <c r="AA70" i="10"/>
  <c r="W70" i="10"/>
  <c r="AB70" i="10"/>
  <c r="AA71" i="10" a="1"/>
  <c r="AA71" i="10"/>
  <c r="W71" i="10"/>
  <c r="AB71" i="10"/>
  <c r="AA72" i="10" a="1"/>
  <c r="AA72" i="10"/>
  <c r="W72" i="10"/>
  <c r="AB72" i="10"/>
  <c r="AA76" i="10" a="1"/>
  <c r="AA76" i="10"/>
  <c r="W76" i="10"/>
  <c r="AB76" i="10"/>
  <c r="AA74" i="10" a="1"/>
  <c r="AA74" i="10"/>
  <c r="W74" i="10"/>
  <c r="AB74" i="10"/>
  <c r="AA75" i="10" a="1"/>
  <c r="AA75" i="10"/>
  <c r="W75" i="10"/>
  <c r="AB75" i="10"/>
  <c r="AA73" i="10" a="1"/>
  <c r="AA73" i="10"/>
  <c r="W73" i="10"/>
  <c r="AB73" i="10"/>
  <c r="AA77" i="10" a="1"/>
  <c r="AA77" i="10"/>
  <c r="W77" i="10"/>
  <c r="AB77" i="10"/>
  <c r="AA78" i="10" a="1"/>
  <c r="AA78" i="10"/>
  <c r="W78" i="10"/>
  <c r="AB78" i="10"/>
  <c r="AA79" i="10" a="1"/>
  <c r="AA79" i="10"/>
  <c r="W79" i="10"/>
  <c r="AB79" i="10"/>
  <c r="AA80" i="10" a="1"/>
  <c r="AA80" i="10"/>
  <c r="W80" i="10"/>
  <c r="AB80" i="10"/>
  <c r="AA82" i="10" a="1"/>
  <c r="AA82" i="10"/>
  <c r="W82" i="10"/>
  <c r="AB82" i="10"/>
  <c r="AA83" i="10" a="1"/>
  <c r="AA83" i="10"/>
  <c r="W83" i="10"/>
  <c r="AB83" i="10"/>
  <c r="AA84" i="10" a="1"/>
  <c r="AA84" i="10"/>
  <c r="W84" i="10"/>
  <c r="AB84" i="10"/>
  <c r="AA85" i="10" a="1"/>
  <c r="AA85" i="10"/>
  <c r="W85" i="10"/>
  <c r="AB85" i="10"/>
  <c r="AA86" i="10" a="1"/>
  <c r="AA86" i="10"/>
  <c r="W86" i="10"/>
  <c r="AB86" i="10"/>
  <c r="AA87" i="10" a="1"/>
  <c r="AA87" i="10"/>
  <c r="W87" i="10"/>
  <c r="AB87" i="10"/>
  <c r="AA88" i="10" a="1"/>
  <c r="AA88" i="10"/>
  <c r="W88" i="10"/>
  <c r="AB88" i="10"/>
  <c r="AA89" i="10" a="1"/>
  <c r="AA89" i="10"/>
  <c r="W89" i="10"/>
  <c r="AB89" i="10"/>
  <c r="AA90" i="10" a="1"/>
  <c r="AA90" i="10"/>
  <c r="W90" i="10"/>
  <c r="AB90" i="10"/>
  <c r="AA91" i="10" a="1"/>
  <c r="AA91" i="10"/>
  <c r="W91" i="10"/>
  <c r="AB91" i="10"/>
  <c r="AA92" i="10" a="1"/>
  <c r="AA92" i="10"/>
  <c r="W92" i="10"/>
  <c r="AB92" i="10"/>
  <c r="AA93" i="10" a="1"/>
  <c r="AA93" i="10"/>
  <c r="W93" i="10"/>
  <c r="AB93" i="10"/>
  <c r="AA94" i="10" a="1"/>
  <c r="AA94" i="10"/>
  <c r="W94" i="10"/>
  <c r="AB94" i="10"/>
  <c r="AA95" i="10" a="1"/>
  <c r="AA95" i="10"/>
  <c r="W95" i="10"/>
  <c r="AB95" i="10"/>
  <c r="AA96" i="10" a="1"/>
  <c r="AA96" i="10"/>
  <c r="W96" i="10"/>
  <c r="AB96" i="10"/>
  <c r="AA97" i="10" a="1"/>
  <c r="AA97" i="10"/>
  <c r="W97" i="10"/>
  <c r="AB97" i="10"/>
  <c r="AA98" i="10" a="1"/>
  <c r="AA98" i="10"/>
  <c r="W98" i="10"/>
  <c r="AB98" i="10"/>
  <c r="AA99" i="10" a="1"/>
  <c r="AA99" i="10"/>
  <c r="W99" i="10"/>
  <c r="AB99" i="10"/>
  <c r="AA100" i="10" a="1"/>
  <c r="AA100" i="10"/>
  <c r="W100" i="10"/>
  <c r="AB100" i="10"/>
  <c r="AA101" i="10" a="1"/>
  <c r="AA101" i="10"/>
  <c r="W101" i="10"/>
  <c r="AB101" i="10"/>
  <c r="AA102" i="10" a="1"/>
  <c r="AA102" i="10"/>
  <c r="W102" i="10"/>
  <c r="AB102" i="10"/>
  <c r="AA103" i="10" a="1"/>
  <c r="AA103" i="10"/>
  <c r="W103" i="10"/>
  <c r="AB103" i="10"/>
  <c r="AA104" i="10" a="1"/>
  <c r="AA104" i="10"/>
  <c r="W104" i="10"/>
  <c r="AB104" i="10"/>
  <c r="AA105" i="10" a="1"/>
  <c r="AA105" i="10"/>
  <c r="W105" i="10"/>
  <c r="AB105" i="10"/>
  <c r="AA106" i="10" a="1"/>
  <c r="AA106" i="10"/>
  <c r="W106" i="10"/>
  <c r="AB106" i="10"/>
  <c r="AA107" i="10" a="1"/>
  <c r="AA107" i="10"/>
  <c r="W107" i="10"/>
  <c r="AB107" i="10"/>
  <c r="AA108" i="10" a="1"/>
  <c r="AA108" i="10"/>
  <c r="W108" i="10"/>
  <c r="AB108" i="10"/>
  <c r="AA109" i="10" a="1"/>
  <c r="AA109" i="10"/>
  <c r="W109" i="10"/>
  <c r="AB109" i="10"/>
  <c r="AA110" i="10" a="1"/>
  <c r="AA110" i="10"/>
  <c r="W110" i="10"/>
  <c r="AB110" i="10"/>
  <c r="AA111" i="10" a="1"/>
  <c r="AA111" i="10"/>
  <c r="W111" i="10"/>
  <c r="AB111" i="10"/>
  <c r="AA112" i="10" a="1"/>
  <c r="AA112" i="10"/>
  <c r="W112" i="10"/>
  <c r="AB112" i="10"/>
  <c r="AA113" i="10" a="1"/>
  <c r="AA113" i="10"/>
  <c r="W113" i="10"/>
  <c r="AB113" i="10"/>
  <c r="AA114" i="10" a="1"/>
  <c r="AA114" i="10"/>
  <c r="W114" i="10"/>
  <c r="AB114" i="10"/>
  <c r="AA115" i="10" a="1"/>
  <c r="AA115" i="10"/>
  <c r="W115" i="10"/>
  <c r="AB115" i="10"/>
  <c r="AA117" i="10" a="1"/>
  <c r="AA117" i="10"/>
  <c r="W117" i="10"/>
  <c r="AB117" i="10"/>
  <c r="AA118" i="10" a="1"/>
  <c r="AA118" i="10"/>
  <c r="W118" i="10"/>
  <c r="AB118" i="10"/>
  <c r="AA119" i="10" a="1"/>
  <c r="AA119" i="10"/>
  <c r="W119" i="10"/>
  <c r="AB119" i="10"/>
  <c r="AA120" i="10" a="1"/>
  <c r="AA120" i="10"/>
  <c r="W120" i="10"/>
  <c r="AB120" i="10"/>
  <c r="AA121" i="10" a="1"/>
  <c r="AA121" i="10"/>
  <c r="W121" i="10"/>
  <c r="AB121" i="10"/>
  <c r="AA81" i="10" a="1"/>
  <c r="AA81" i="10"/>
  <c r="W81" i="10"/>
  <c r="AB81" i="10"/>
  <c r="AA123" i="10" a="1"/>
  <c r="AA123" i="10"/>
  <c r="W123" i="10"/>
  <c r="AB123" i="10"/>
  <c r="AA124" i="10" a="1"/>
  <c r="AA124" i="10"/>
  <c r="W124" i="10"/>
  <c r="AB124" i="10"/>
  <c r="AA125" i="10" a="1"/>
  <c r="AA125" i="10"/>
  <c r="W125" i="10"/>
  <c r="AB125" i="10"/>
  <c r="AA126" i="10" a="1"/>
  <c r="AA126" i="10"/>
  <c r="W126" i="10"/>
  <c r="AB126" i="10"/>
  <c r="AA127" i="10" a="1"/>
  <c r="AA127" i="10"/>
  <c r="W127" i="10"/>
  <c r="AB127" i="10"/>
  <c r="AA128" i="10" a="1"/>
  <c r="AA128" i="10"/>
  <c r="W128" i="10"/>
  <c r="AB128" i="10"/>
  <c r="AA129" i="10" a="1"/>
  <c r="AA129" i="10"/>
  <c r="W129" i="10"/>
  <c r="AB129" i="10"/>
  <c r="AA130" i="10" a="1"/>
  <c r="AA130" i="10"/>
  <c r="W130" i="10"/>
  <c r="AB130" i="10"/>
  <c r="AA131" i="10" a="1"/>
  <c r="AA131" i="10"/>
  <c r="W131" i="10"/>
  <c r="AB131" i="10"/>
  <c r="AA132" i="10" a="1"/>
  <c r="AA132" i="10"/>
  <c r="W132" i="10"/>
  <c r="AB132" i="10"/>
  <c r="AA133" i="10" a="1"/>
  <c r="AA133" i="10"/>
  <c r="W133" i="10"/>
  <c r="AB133" i="10"/>
  <c r="AA134" i="10" a="1"/>
  <c r="AA134" i="10"/>
  <c r="W134" i="10"/>
  <c r="AB134" i="10"/>
  <c r="AA135" i="10" a="1"/>
  <c r="AA135" i="10"/>
  <c r="W135" i="10"/>
  <c r="AB135" i="10"/>
  <c r="AA136" i="10" a="1"/>
  <c r="AA136" i="10"/>
  <c r="W136" i="10"/>
  <c r="AB136" i="10"/>
  <c r="AA137" i="10" a="1"/>
  <c r="AA137" i="10"/>
  <c r="W137" i="10"/>
  <c r="AB137" i="10"/>
  <c r="AA138" i="10" a="1"/>
  <c r="AA138" i="10"/>
  <c r="W138" i="10"/>
  <c r="AB138" i="10"/>
  <c r="AA139" i="10" a="1"/>
  <c r="AA139" i="10"/>
  <c r="W139" i="10"/>
  <c r="AB139" i="10"/>
  <c r="AA140" i="10" a="1"/>
  <c r="AA140" i="10"/>
  <c r="W140" i="10"/>
  <c r="AB140" i="10"/>
  <c r="AA141" i="10" a="1"/>
  <c r="AA141" i="10"/>
  <c r="W141" i="10"/>
  <c r="AB141" i="10"/>
  <c r="AA142" i="10" a="1"/>
  <c r="AA142" i="10"/>
  <c r="W142" i="10"/>
  <c r="AB142" i="10"/>
  <c r="AA143" i="10" a="1"/>
  <c r="AA143" i="10"/>
  <c r="W143" i="10"/>
  <c r="AB143" i="10"/>
  <c r="AA144" i="10" a="1"/>
  <c r="AA144" i="10"/>
  <c r="W144" i="10"/>
  <c r="AB144" i="10"/>
  <c r="AA145" i="10" a="1"/>
  <c r="AA145" i="10"/>
  <c r="W145" i="10"/>
  <c r="AB145" i="10"/>
  <c r="AA146" i="10" a="1"/>
  <c r="AA146" i="10"/>
  <c r="W146" i="10"/>
  <c r="AB146" i="10"/>
  <c r="AA147" i="10" a="1"/>
  <c r="AA147" i="10"/>
  <c r="W147" i="10"/>
  <c r="AB147" i="10"/>
  <c r="AA148" i="10" a="1"/>
  <c r="AA148" i="10"/>
  <c r="W148" i="10"/>
  <c r="AB148" i="10"/>
  <c r="AA149" i="10" a="1"/>
  <c r="AA149" i="10"/>
  <c r="W149" i="10"/>
  <c r="AB149" i="10"/>
  <c r="AA150" i="10" a="1"/>
  <c r="AA150" i="10"/>
  <c r="W150" i="10"/>
  <c r="AB150" i="10"/>
  <c r="AA151" i="10" a="1"/>
  <c r="AA151" i="10"/>
  <c r="W151" i="10"/>
  <c r="AB151" i="10"/>
  <c r="AA152" i="10" a="1"/>
  <c r="AA152" i="10"/>
  <c r="W152" i="10"/>
  <c r="AB152" i="10"/>
  <c r="AA153" i="10" a="1"/>
  <c r="AA153" i="10"/>
  <c r="W153" i="10"/>
  <c r="AB153" i="10"/>
  <c r="AR22" i="10"/>
  <c r="AO2" i="10"/>
  <c r="AO3" i="10"/>
  <c r="AO4" i="10"/>
  <c r="AO5" i="10"/>
  <c r="AO6" i="10"/>
  <c r="AO7" i="10"/>
  <c r="AO8" i="10"/>
  <c r="AO9" i="10"/>
  <c r="AO10" i="10"/>
  <c r="AO11" i="10"/>
  <c r="AO12" i="10"/>
  <c r="AO13" i="10"/>
  <c r="AO14" i="10"/>
  <c r="AO15" i="10"/>
  <c r="AO16" i="10"/>
  <c r="AO17" i="10"/>
  <c r="AO18" i="10"/>
  <c r="AO19" i="10"/>
  <c r="AO20" i="10"/>
  <c r="AP20" i="10"/>
  <c r="AM5" i="10"/>
  <c r="L205" i="19"/>
  <c r="K405" i="19"/>
  <c r="L405" i="19"/>
  <c r="K406" i="19"/>
  <c r="L406" i="19"/>
  <c r="K407" i="19"/>
  <c r="L407" i="19"/>
  <c r="K408" i="19"/>
  <c r="L408" i="19"/>
  <c r="K409" i="19"/>
  <c r="L409" i="19"/>
  <c r="K410" i="19"/>
  <c r="L410" i="19"/>
  <c r="K411" i="19"/>
  <c r="L411" i="19"/>
  <c r="K412" i="19"/>
  <c r="L412" i="19"/>
  <c r="K413" i="19"/>
  <c r="L413" i="19"/>
  <c r="K414" i="19"/>
  <c r="L414" i="19"/>
  <c r="K415" i="19"/>
  <c r="L415" i="19"/>
  <c r="K416" i="19"/>
  <c r="L416" i="19"/>
  <c r="C63" i="10"/>
  <c r="H63" i="10"/>
  <c r="C15" i="10"/>
  <c r="H15" i="10"/>
  <c r="C2" i="10"/>
  <c r="H2" i="10"/>
  <c r="C144" i="10"/>
  <c r="N4" i="10"/>
  <c r="N3" i="10"/>
  <c r="N5" i="10"/>
  <c r="N6" i="10"/>
  <c r="N7" i="10"/>
  <c r="N8" i="10"/>
  <c r="N9" i="10"/>
  <c r="N10" i="10"/>
  <c r="N11" i="10"/>
  <c r="N12" i="10"/>
  <c r="N13" i="10"/>
  <c r="N17" i="10"/>
  <c r="N16" i="10"/>
  <c r="N18" i="10"/>
  <c r="N19" i="10"/>
  <c r="N23" i="10"/>
  <c r="N24" i="10"/>
  <c r="N21" i="10"/>
  <c r="N20" i="10"/>
  <c r="N25" i="10"/>
  <c r="N22" i="10"/>
  <c r="N26" i="10"/>
  <c r="N27" i="10"/>
  <c r="N28" i="10"/>
  <c r="N32" i="10"/>
  <c r="N30" i="10"/>
  <c r="N29" i="10"/>
  <c r="N31" i="10"/>
  <c r="N33" i="10"/>
  <c r="N34" i="10"/>
  <c r="N15" i="10"/>
  <c r="N35" i="10"/>
  <c r="N39" i="10"/>
  <c r="N37" i="10"/>
  <c r="N36" i="10"/>
  <c r="N38" i="10"/>
  <c r="N40" i="10"/>
  <c r="N41" i="10"/>
  <c r="N47" i="10"/>
  <c r="N43" i="10"/>
  <c r="N44" i="10"/>
  <c r="N42" i="10"/>
  <c r="N45" i="10"/>
  <c r="N46" i="10"/>
  <c r="N53" i="10"/>
  <c r="N52" i="10"/>
  <c r="N49" i="10"/>
  <c r="N51" i="10"/>
  <c r="N48" i="10"/>
  <c r="N56" i="10"/>
  <c r="N58" i="10"/>
  <c r="N55" i="10"/>
  <c r="N14" i="10"/>
  <c r="N54" i="10"/>
  <c r="N50" i="10"/>
  <c r="N57" i="10"/>
  <c r="N59" i="10"/>
  <c r="N60" i="10"/>
  <c r="N66" i="10"/>
  <c r="N65" i="10"/>
  <c r="N64" i="10"/>
  <c r="N63" i="10"/>
  <c r="N61" i="10"/>
  <c r="N68" i="10"/>
  <c r="N62" i="10"/>
  <c r="N67" i="10"/>
  <c r="N70" i="10"/>
  <c r="N69" i="10"/>
  <c r="N71" i="10"/>
  <c r="N76" i="10"/>
  <c r="N73" i="10"/>
  <c r="N72" i="10"/>
  <c r="N74" i="10"/>
  <c r="N75" i="10"/>
  <c r="N77" i="10"/>
  <c r="N78" i="10"/>
  <c r="N79" i="10"/>
  <c r="N80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81" i="10"/>
  <c r="N148" i="10"/>
  <c r="N149" i="10"/>
  <c r="N150" i="10"/>
  <c r="N151" i="10"/>
  <c r="N116" i="10"/>
  <c r="N152" i="10"/>
  <c r="N153" i="10"/>
  <c r="N2" i="10"/>
  <c r="S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14" i="10"/>
  <c r="AR5" i="10"/>
  <c r="AP8" i="10"/>
  <c r="AP7" i="10"/>
  <c r="T8" i="10" a="1"/>
  <c r="T8" i="10"/>
  <c r="P8" i="10"/>
  <c r="AP19" i="10"/>
  <c r="C8" i="10"/>
  <c r="H8" i="10"/>
  <c r="C16" i="10"/>
  <c r="I16" i="10"/>
  <c r="C36" i="10"/>
  <c r="I36" i="10"/>
  <c r="AP2" i="10"/>
  <c r="T2" i="10" a="1"/>
  <c r="T2" i="10"/>
  <c r="P2" i="10"/>
  <c r="U2" i="10"/>
  <c r="AP3" i="10"/>
  <c r="AP4" i="10"/>
  <c r="T4" i="10" a="1"/>
  <c r="T4" i="10"/>
  <c r="P4" i="10"/>
  <c r="U4" i="10"/>
  <c r="T3" i="10" a="1"/>
  <c r="T3" i="10"/>
  <c r="P3" i="10"/>
  <c r="U3" i="10"/>
  <c r="AP5" i="10"/>
  <c r="AP6" i="10"/>
  <c r="T5" i="10" a="1"/>
  <c r="T5" i="10"/>
  <c r="P5" i="10"/>
  <c r="U5" i="10"/>
  <c r="T6" i="10" a="1"/>
  <c r="T6" i="10"/>
  <c r="P6" i="10"/>
  <c r="U6" i="10"/>
  <c r="T7" i="10" a="1"/>
  <c r="T7" i="10"/>
  <c r="P7" i="10"/>
  <c r="U7" i="10"/>
  <c r="T11" i="10" a="1"/>
  <c r="T11" i="10"/>
  <c r="P11" i="10"/>
  <c r="U11" i="10"/>
  <c r="T9" i="10" a="1"/>
  <c r="T9" i="10"/>
  <c r="P9" i="10"/>
  <c r="U9" i="10"/>
  <c r="T12" i="10" a="1"/>
  <c r="T12" i="10"/>
  <c r="P12" i="10"/>
  <c r="U12" i="10"/>
  <c r="T18" i="10" a="1"/>
  <c r="T18" i="10"/>
  <c r="P18" i="10"/>
  <c r="U18" i="10"/>
  <c r="T19" i="10" a="1"/>
  <c r="T19" i="10"/>
  <c r="P19" i="10"/>
  <c r="U19" i="10"/>
  <c r="T21" i="10" a="1"/>
  <c r="T21" i="10"/>
  <c r="P21" i="10"/>
  <c r="U21" i="10"/>
  <c r="T26" i="10" a="1"/>
  <c r="T26" i="10"/>
  <c r="P26" i="10"/>
  <c r="U26" i="10"/>
  <c r="T22" i="10" a="1"/>
  <c r="T22" i="10"/>
  <c r="P22" i="10"/>
  <c r="U22" i="10"/>
  <c r="T27" i="10" a="1"/>
  <c r="T27" i="10"/>
  <c r="P27" i="10"/>
  <c r="U27" i="10"/>
  <c r="T32" i="10" a="1"/>
  <c r="T32" i="10"/>
  <c r="P32" i="10"/>
  <c r="U32" i="10"/>
  <c r="T30" i="10" a="1"/>
  <c r="T30" i="10"/>
  <c r="P30" i="10"/>
  <c r="U30" i="10"/>
  <c r="U8" i="10"/>
  <c r="T28" i="10" a="1"/>
  <c r="T28" i="10"/>
  <c r="P28" i="10"/>
  <c r="U28" i="10"/>
  <c r="T31" i="10" a="1"/>
  <c r="T31" i="10"/>
  <c r="P31" i="10"/>
  <c r="U31" i="10"/>
  <c r="T16" i="10" a="1"/>
  <c r="T16" i="10"/>
  <c r="P16" i="10"/>
  <c r="U16" i="10"/>
  <c r="T39" i="10" a="1"/>
  <c r="T39" i="10"/>
  <c r="P39" i="10"/>
  <c r="U39" i="10"/>
  <c r="T34" i="10" a="1"/>
  <c r="T34" i="10"/>
  <c r="P34" i="10"/>
  <c r="U34" i="10"/>
  <c r="T33" i="10" a="1"/>
  <c r="T33" i="10"/>
  <c r="P33" i="10"/>
  <c r="U33" i="10"/>
  <c r="AP11" i="10"/>
  <c r="T15" i="10" a="1"/>
  <c r="T15" i="10"/>
  <c r="P15" i="10"/>
  <c r="U15" i="10"/>
  <c r="T35" i="10" a="1"/>
  <c r="T35" i="10"/>
  <c r="P35" i="10"/>
  <c r="U35" i="10"/>
  <c r="T38" i="10" a="1"/>
  <c r="T38" i="10"/>
  <c r="P38" i="10"/>
  <c r="U38" i="10"/>
  <c r="T40" i="10" a="1"/>
  <c r="T40" i="10"/>
  <c r="P40" i="10"/>
  <c r="U40" i="10"/>
  <c r="T41" i="10" a="1"/>
  <c r="T41" i="10"/>
  <c r="P41" i="10"/>
  <c r="U41" i="10"/>
  <c r="T47" i="10" a="1"/>
  <c r="T47" i="10"/>
  <c r="P47" i="10"/>
  <c r="U47" i="10"/>
  <c r="T43" i="10" a="1"/>
  <c r="T43" i="10"/>
  <c r="P43" i="10"/>
  <c r="U43" i="10"/>
  <c r="T42" i="10" a="1"/>
  <c r="T42" i="10"/>
  <c r="P42" i="10"/>
  <c r="U42" i="10"/>
  <c r="T44" i="10" a="1"/>
  <c r="T44" i="10"/>
  <c r="P44" i="10"/>
  <c r="U44" i="10"/>
  <c r="T53" i="10" a="1"/>
  <c r="T53" i="10"/>
  <c r="P53" i="10"/>
  <c r="U53" i="10"/>
  <c r="T48" i="10" a="1"/>
  <c r="T48" i="10"/>
  <c r="P48" i="10"/>
  <c r="U48" i="10"/>
  <c r="T45" i="10" a="1"/>
  <c r="T45" i="10"/>
  <c r="P45" i="10"/>
  <c r="U45" i="10"/>
  <c r="T46" i="10" a="1"/>
  <c r="T46" i="10"/>
  <c r="P46" i="10"/>
  <c r="U46" i="10"/>
  <c r="T52" i="10" a="1"/>
  <c r="T52" i="10"/>
  <c r="P52" i="10"/>
  <c r="U52" i="10"/>
  <c r="T51" i="10" a="1"/>
  <c r="T51" i="10"/>
  <c r="P51" i="10"/>
  <c r="U51" i="10"/>
  <c r="T58" i="10" a="1"/>
  <c r="T58" i="10"/>
  <c r="P58" i="10"/>
  <c r="U58" i="10"/>
  <c r="T14" i="10" a="1"/>
  <c r="T14" i="10"/>
  <c r="P14" i="10"/>
  <c r="U14" i="10"/>
  <c r="T36" i="10" a="1"/>
  <c r="T36" i="10"/>
  <c r="P36" i="10"/>
  <c r="U36" i="10"/>
  <c r="T56" i="10" a="1"/>
  <c r="T56" i="10"/>
  <c r="P56" i="10"/>
  <c r="U56" i="10"/>
  <c r="T55" i="10" a="1"/>
  <c r="T55" i="10"/>
  <c r="P55" i="10"/>
  <c r="U55" i="10"/>
  <c r="T82" i="10" a="1"/>
  <c r="T82" i="10"/>
  <c r="P82" i="10"/>
  <c r="U82" i="10"/>
  <c r="T54" i="10" a="1"/>
  <c r="T54" i="10"/>
  <c r="P54" i="10"/>
  <c r="U54" i="10"/>
  <c r="T63" i="10" a="1"/>
  <c r="T63" i="10"/>
  <c r="P63" i="10"/>
  <c r="U63" i="10"/>
  <c r="T57" i="10" a="1"/>
  <c r="T57" i="10"/>
  <c r="P57" i="10"/>
  <c r="U57" i="10"/>
  <c r="T50" i="10" a="1"/>
  <c r="T50" i="10"/>
  <c r="P50" i="10"/>
  <c r="U50" i="10"/>
  <c r="T65" i="10" a="1"/>
  <c r="T65" i="10"/>
  <c r="P65" i="10"/>
  <c r="U65" i="10"/>
  <c r="T59" i="10" a="1"/>
  <c r="T59" i="10"/>
  <c r="P59" i="10"/>
  <c r="U59" i="10"/>
  <c r="T60" i="10" a="1"/>
  <c r="T60" i="10"/>
  <c r="P60" i="10"/>
  <c r="U60" i="10"/>
  <c r="T76" i="10" a="1"/>
  <c r="T76" i="10"/>
  <c r="P76" i="10"/>
  <c r="U76" i="10"/>
  <c r="T66" i="10" a="1"/>
  <c r="T66" i="10"/>
  <c r="P66" i="10"/>
  <c r="U66" i="10"/>
  <c r="T61" i="10" a="1"/>
  <c r="T61" i="10"/>
  <c r="P61" i="10"/>
  <c r="U61" i="10"/>
  <c r="T68" i="10" a="1"/>
  <c r="T68" i="10"/>
  <c r="P68" i="10"/>
  <c r="U68" i="10"/>
  <c r="T62" i="10" a="1"/>
  <c r="T62" i="10"/>
  <c r="P62" i="10"/>
  <c r="U62" i="10"/>
  <c r="T64" i="10" a="1"/>
  <c r="T64" i="10"/>
  <c r="P64" i="10"/>
  <c r="U64" i="10"/>
  <c r="T67" i="10" a="1"/>
  <c r="T67" i="10"/>
  <c r="P67" i="10"/>
  <c r="U67" i="10"/>
  <c r="T72" i="10" a="1"/>
  <c r="T72" i="10"/>
  <c r="P72" i="10"/>
  <c r="U72" i="10"/>
  <c r="T70" i="10" a="1"/>
  <c r="T70" i="10"/>
  <c r="P70" i="10"/>
  <c r="U70" i="10"/>
  <c r="T146" i="10" a="1"/>
  <c r="T146" i="10"/>
  <c r="P146" i="10"/>
  <c r="U146" i="10"/>
  <c r="T69" i="10" a="1"/>
  <c r="T69" i="10"/>
  <c r="P69" i="10"/>
  <c r="U69" i="10"/>
  <c r="T71" i="10" a="1"/>
  <c r="T71" i="10"/>
  <c r="P71" i="10"/>
  <c r="U71" i="10"/>
  <c r="T73" i="10" a="1"/>
  <c r="T73" i="10"/>
  <c r="P73" i="10"/>
  <c r="U73" i="10"/>
  <c r="T74" i="10" a="1"/>
  <c r="T74" i="10"/>
  <c r="P74" i="10"/>
  <c r="U74" i="10"/>
  <c r="T75" i="10" a="1"/>
  <c r="T75" i="10"/>
  <c r="P75" i="10"/>
  <c r="U75" i="10"/>
  <c r="T77" i="10" a="1"/>
  <c r="T77" i="10"/>
  <c r="P77" i="10"/>
  <c r="U77" i="10"/>
  <c r="T78" i="10" a="1"/>
  <c r="T78" i="10"/>
  <c r="P78" i="10"/>
  <c r="U78" i="10"/>
  <c r="T79" i="10" a="1"/>
  <c r="T79" i="10"/>
  <c r="P79" i="10"/>
  <c r="U79" i="10"/>
  <c r="T80" i="10" a="1"/>
  <c r="T80" i="10"/>
  <c r="P80" i="10"/>
  <c r="U80" i="10"/>
  <c r="T83" i="10" a="1"/>
  <c r="T83" i="10"/>
  <c r="P83" i="10"/>
  <c r="U83" i="10"/>
  <c r="T84" i="10" a="1"/>
  <c r="T84" i="10"/>
  <c r="P84" i="10"/>
  <c r="U84" i="10"/>
  <c r="T85" i="10" a="1"/>
  <c r="T85" i="10"/>
  <c r="P85" i="10"/>
  <c r="U85" i="10"/>
  <c r="T86" i="10" a="1"/>
  <c r="T86" i="10"/>
  <c r="P86" i="10"/>
  <c r="U86" i="10"/>
  <c r="T87" i="10" a="1"/>
  <c r="T87" i="10"/>
  <c r="P87" i="10"/>
  <c r="U87" i="10"/>
  <c r="T88" i="10" a="1"/>
  <c r="T88" i="10"/>
  <c r="P88" i="10"/>
  <c r="U88" i="10"/>
  <c r="T89" i="10" a="1"/>
  <c r="T89" i="10"/>
  <c r="P89" i="10"/>
  <c r="U89" i="10"/>
  <c r="T90" i="10" a="1"/>
  <c r="T90" i="10"/>
  <c r="P90" i="10"/>
  <c r="U90" i="10"/>
  <c r="T91" i="10" a="1"/>
  <c r="T91" i="10"/>
  <c r="P91" i="10"/>
  <c r="U91" i="10"/>
  <c r="T92" i="10" a="1"/>
  <c r="T92" i="10"/>
  <c r="P92" i="10"/>
  <c r="U92" i="10"/>
  <c r="T93" i="10" a="1"/>
  <c r="T93" i="10"/>
  <c r="P93" i="10"/>
  <c r="U93" i="10"/>
  <c r="T94" i="10" a="1"/>
  <c r="T94" i="10"/>
  <c r="P94" i="10"/>
  <c r="U94" i="10"/>
  <c r="T95" i="10" a="1"/>
  <c r="T95" i="10"/>
  <c r="P95" i="10"/>
  <c r="U95" i="10"/>
  <c r="T96" i="10" a="1"/>
  <c r="T96" i="10"/>
  <c r="P96" i="10"/>
  <c r="U96" i="10"/>
  <c r="T97" i="10" a="1"/>
  <c r="T97" i="10"/>
  <c r="P97" i="10"/>
  <c r="U97" i="10"/>
  <c r="T98" i="10" a="1"/>
  <c r="T98" i="10"/>
  <c r="P98" i="10"/>
  <c r="U98" i="10"/>
  <c r="T99" i="10" a="1"/>
  <c r="T99" i="10"/>
  <c r="P99" i="10"/>
  <c r="U99" i="10"/>
  <c r="T100" i="10" a="1"/>
  <c r="T100" i="10"/>
  <c r="P100" i="10"/>
  <c r="U100" i="10"/>
  <c r="T101" i="10" a="1"/>
  <c r="T101" i="10"/>
  <c r="P101" i="10"/>
  <c r="U101" i="10"/>
  <c r="T102" i="10" a="1"/>
  <c r="T102" i="10"/>
  <c r="P102" i="10"/>
  <c r="U102" i="10"/>
  <c r="T103" i="10" a="1"/>
  <c r="T103" i="10"/>
  <c r="P103" i="10"/>
  <c r="U103" i="10"/>
  <c r="T104" i="10" a="1"/>
  <c r="T104" i="10"/>
  <c r="P104" i="10"/>
  <c r="U104" i="10"/>
  <c r="T105" i="10" a="1"/>
  <c r="T105" i="10"/>
  <c r="P105" i="10"/>
  <c r="U105" i="10"/>
  <c r="T106" i="10" a="1"/>
  <c r="T106" i="10"/>
  <c r="P106" i="10"/>
  <c r="U106" i="10"/>
  <c r="T107" i="10" a="1"/>
  <c r="T107" i="10"/>
  <c r="P107" i="10"/>
  <c r="U107" i="10"/>
  <c r="T108" i="10" a="1"/>
  <c r="T108" i="10"/>
  <c r="P108" i="10"/>
  <c r="U108" i="10"/>
  <c r="T109" i="10" a="1"/>
  <c r="T109" i="10"/>
  <c r="P109" i="10"/>
  <c r="U109" i="10"/>
  <c r="T110" i="10" a="1"/>
  <c r="T110" i="10"/>
  <c r="P110" i="10"/>
  <c r="U110" i="10"/>
  <c r="T111" i="10" a="1"/>
  <c r="T111" i="10"/>
  <c r="P111" i="10"/>
  <c r="U111" i="10"/>
  <c r="T112" i="10" a="1"/>
  <c r="T112" i="10"/>
  <c r="P112" i="10"/>
  <c r="U112" i="10"/>
  <c r="T113" i="10" a="1"/>
  <c r="T113" i="10"/>
  <c r="P113" i="10"/>
  <c r="U113" i="10"/>
  <c r="T114" i="10" a="1"/>
  <c r="T114" i="10"/>
  <c r="P114" i="10"/>
  <c r="U114" i="10"/>
  <c r="T115" i="10" a="1"/>
  <c r="T115" i="10"/>
  <c r="P115" i="10"/>
  <c r="U115" i="10"/>
  <c r="T117" i="10" a="1"/>
  <c r="T117" i="10"/>
  <c r="P117" i="10"/>
  <c r="U117" i="10"/>
  <c r="T118" i="10" a="1"/>
  <c r="T118" i="10"/>
  <c r="P118" i="10"/>
  <c r="U118" i="10"/>
  <c r="T119" i="10" a="1"/>
  <c r="T119" i="10"/>
  <c r="P119" i="10"/>
  <c r="U119" i="10"/>
  <c r="T120" i="10" a="1"/>
  <c r="T120" i="10"/>
  <c r="P120" i="10"/>
  <c r="U120" i="10"/>
  <c r="T121" i="10" a="1"/>
  <c r="T121" i="10"/>
  <c r="P121" i="10"/>
  <c r="U121" i="10"/>
  <c r="T122" i="10" a="1"/>
  <c r="T122" i="10"/>
  <c r="P122" i="10"/>
  <c r="U122" i="10"/>
  <c r="T123" i="10" a="1"/>
  <c r="T123" i="10"/>
  <c r="P123" i="10"/>
  <c r="U123" i="10"/>
  <c r="T124" i="10" a="1"/>
  <c r="T124" i="10"/>
  <c r="P124" i="10"/>
  <c r="U124" i="10"/>
  <c r="T125" i="10" a="1"/>
  <c r="T125" i="10"/>
  <c r="P125" i="10"/>
  <c r="U125" i="10"/>
  <c r="T126" i="10" a="1"/>
  <c r="T126" i="10"/>
  <c r="P126" i="10"/>
  <c r="U126" i="10"/>
  <c r="T127" i="10" a="1"/>
  <c r="T127" i="10"/>
  <c r="P127" i="10"/>
  <c r="U127" i="10"/>
  <c r="T129" i="10" a="1"/>
  <c r="T129" i="10"/>
  <c r="P129" i="10"/>
  <c r="U129" i="10"/>
  <c r="T130" i="10" a="1"/>
  <c r="T130" i="10"/>
  <c r="P130" i="10"/>
  <c r="U130" i="10"/>
  <c r="T131" i="10" a="1"/>
  <c r="T131" i="10"/>
  <c r="P131" i="10"/>
  <c r="U131" i="10"/>
  <c r="T132" i="10" a="1"/>
  <c r="T132" i="10"/>
  <c r="P132" i="10"/>
  <c r="U132" i="10"/>
  <c r="T133" i="10" a="1"/>
  <c r="T133" i="10"/>
  <c r="P133" i="10"/>
  <c r="U133" i="10"/>
  <c r="T134" i="10" a="1"/>
  <c r="T134" i="10"/>
  <c r="P134" i="10"/>
  <c r="U134" i="10"/>
  <c r="T135" i="10" a="1"/>
  <c r="T135" i="10"/>
  <c r="P135" i="10"/>
  <c r="U135" i="10"/>
  <c r="T136" i="10" a="1"/>
  <c r="T136" i="10"/>
  <c r="P136" i="10"/>
  <c r="U136" i="10"/>
  <c r="T137" i="10" a="1"/>
  <c r="T137" i="10"/>
  <c r="P137" i="10"/>
  <c r="U137" i="10"/>
  <c r="T138" i="10" a="1"/>
  <c r="T138" i="10"/>
  <c r="P138" i="10"/>
  <c r="U138" i="10"/>
  <c r="T139" i="10" a="1"/>
  <c r="T139" i="10"/>
  <c r="P139" i="10"/>
  <c r="U139" i="10"/>
  <c r="T140" i="10" a="1"/>
  <c r="T140" i="10"/>
  <c r="P140" i="10"/>
  <c r="U140" i="10"/>
  <c r="T141" i="10" a="1"/>
  <c r="T141" i="10"/>
  <c r="P141" i="10"/>
  <c r="U141" i="10"/>
  <c r="T142" i="10" a="1"/>
  <c r="T142" i="10"/>
  <c r="P142" i="10"/>
  <c r="U142" i="10"/>
  <c r="T143" i="10" a="1"/>
  <c r="T143" i="10"/>
  <c r="P143" i="10"/>
  <c r="U143" i="10"/>
  <c r="T144" i="10" a="1"/>
  <c r="T144" i="10"/>
  <c r="P144" i="10"/>
  <c r="U144" i="10"/>
  <c r="T145" i="10" a="1"/>
  <c r="T145" i="10"/>
  <c r="P145" i="10"/>
  <c r="U145" i="10"/>
  <c r="T147" i="10" a="1"/>
  <c r="T147" i="10"/>
  <c r="P147" i="10"/>
  <c r="U147" i="10"/>
  <c r="T148" i="10" a="1"/>
  <c r="T148" i="10"/>
  <c r="P148" i="10"/>
  <c r="U148" i="10"/>
  <c r="T149" i="10" a="1"/>
  <c r="T149" i="10"/>
  <c r="P149" i="10"/>
  <c r="U149" i="10"/>
  <c r="T150" i="10" a="1"/>
  <c r="T150" i="10"/>
  <c r="P150" i="10"/>
  <c r="U150" i="10"/>
  <c r="T151" i="10" a="1"/>
  <c r="T151" i="10"/>
  <c r="P151" i="10"/>
  <c r="U151" i="10"/>
  <c r="T152" i="10" a="1"/>
  <c r="T152" i="10"/>
  <c r="P152" i="10"/>
  <c r="U152" i="10"/>
  <c r="T153" i="10" a="1"/>
  <c r="T153" i="10"/>
  <c r="P153" i="10"/>
  <c r="U153" i="10"/>
  <c r="C22" i="10"/>
  <c r="I22" i="10"/>
  <c r="I9" i="32"/>
  <c r="I4" i="32"/>
  <c r="H3" i="32"/>
  <c r="I2" i="32"/>
  <c r="Z114" i="10"/>
  <c r="AA154" i="10" a="1"/>
  <c r="AA154" i="10"/>
  <c r="AA155" i="10" a="1"/>
  <c r="AA155" i="10"/>
  <c r="AA156" i="10" a="1"/>
  <c r="AA156" i="10"/>
  <c r="AA157" i="10" a="1"/>
  <c r="AA157" i="10"/>
  <c r="AA158" i="10" a="1"/>
  <c r="AA158" i="10"/>
  <c r="AA159" i="10" a="1"/>
  <c r="AA159" i="10"/>
  <c r="C33" i="10"/>
  <c r="C57" i="10"/>
  <c r="I57" i="10"/>
  <c r="C76" i="10"/>
  <c r="I76" i="10"/>
  <c r="I14" i="10"/>
  <c r="C42" i="10"/>
  <c r="I42" i="10"/>
  <c r="C115" i="10"/>
  <c r="Y114" i="10"/>
  <c r="X114" i="10"/>
  <c r="R114" i="10"/>
  <c r="Q114" i="10"/>
  <c r="B114" i="10"/>
  <c r="C114" i="10"/>
  <c r="G114" i="10"/>
  <c r="B2" i="10"/>
  <c r="G2" i="10"/>
  <c r="B5" i="10"/>
  <c r="G5" i="10"/>
  <c r="B4" i="10"/>
  <c r="C4" i="10"/>
  <c r="G4" i="10"/>
  <c r="B13" i="10"/>
  <c r="C13" i="10"/>
  <c r="G13" i="10"/>
  <c r="B6" i="10"/>
  <c r="C6" i="10"/>
  <c r="G6" i="10"/>
  <c r="B17" i="10"/>
  <c r="C17" i="10"/>
  <c r="G17" i="10"/>
  <c r="B3" i="10"/>
  <c r="C3" i="10"/>
  <c r="G3" i="10"/>
  <c r="B7" i="10"/>
  <c r="C7" i="10"/>
  <c r="G7" i="10"/>
  <c r="B29" i="10"/>
  <c r="C29" i="10"/>
  <c r="G29" i="10"/>
  <c r="B12" i="10"/>
  <c r="C12" i="10"/>
  <c r="G12" i="10"/>
  <c r="B20" i="10"/>
  <c r="C20" i="10"/>
  <c r="G20" i="10"/>
  <c r="B24" i="10"/>
  <c r="C24" i="10"/>
  <c r="G24" i="10"/>
  <c r="B18" i="10"/>
  <c r="C18" i="10"/>
  <c r="G18" i="10"/>
  <c r="B68" i="10"/>
  <c r="C68" i="10"/>
  <c r="G68" i="10"/>
  <c r="B49" i="10"/>
  <c r="C49" i="10"/>
  <c r="G49" i="10"/>
  <c r="B23" i="10"/>
  <c r="C23" i="10"/>
  <c r="G23" i="10"/>
  <c r="B70" i="10"/>
  <c r="C70" i="10"/>
  <c r="G70" i="10"/>
  <c r="B32" i="10"/>
  <c r="C32" i="10"/>
  <c r="G32" i="10"/>
  <c r="B26" i="10"/>
  <c r="C26" i="10"/>
  <c r="G26" i="10"/>
  <c r="B33" i="10"/>
  <c r="G33" i="10"/>
  <c r="B41" i="10"/>
  <c r="C41" i="10"/>
  <c r="G41" i="10"/>
  <c r="B39" i="10"/>
  <c r="C39" i="10"/>
  <c r="G39" i="10"/>
  <c r="B25" i="10"/>
  <c r="C25" i="10"/>
  <c r="G25" i="10"/>
  <c r="B8" i="10"/>
  <c r="G8" i="10"/>
  <c r="B10" i="10"/>
  <c r="C10" i="10"/>
  <c r="G10" i="10"/>
  <c r="B27" i="10"/>
  <c r="C27" i="10"/>
  <c r="G27" i="10"/>
  <c r="B19" i="10"/>
  <c r="C19" i="10"/>
  <c r="G19" i="10"/>
  <c r="B28" i="10"/>
  <c r="C28" i="10"/>
  <c r="G28" i="10"/>
  <c r="B22" i="10"/>
  <c r="G22" i="10"/>
  <c r="B9" i="10"/>
  <c r="C9" i="10"/>
  <c r="G9" i="10"/>
  <c r="B107" i="10"/>
  <c r="C107" i="10"/>
  <c r="G107" i="10"/>
  <c r="B113" i="10"/>
  <c r="C113" i="10"/>
  <c r="G113" i="10"/>
  <c r="B34" i="10"/>
  <c r="C34" i="10"/>
  <c r="G34" i="10"/>
  <c r="B11" i="10"/>
  <c r="C11" i="10"/>
  <c r="G11" i="10"/>
  <c r="B35" i="10"/>
  <c r="C35" i="10"/>
  <c r="G35" i="10"/>
  <c r="B38" i="10"/>
  <c r="C38" i="10"/>
  <c r="G38" i="10"/>
  <c r="B40" i="10"/>
  <c r="C40" i="10"/>
  <c r="G40" i="10"/>
  <c r="B15" i="10"/>
  <c r="G15" i="10"/>
  <c r="B47" i="10"/>
  <c r="C47" i="10"/>
  <c r="G47" i="10"/>
  <c r="B16" i="10"/>
  <c r="G16" i="10"/>
  <c r="B82" i="10"/>
  <c r="C82" i="10"/>
  <c r="G82" i="10"/>
  <c r="B43" i="10"/>
  <c r="C43" i="10"/>
  <c r="G43" i="10"/>
  <c r="B44" i="10"/>
  <c r="C44" i="10"/>
  <c r="G44" i="10"/>
  <c r="B21" i="10"/>
  <c r="C21" i="10"/>
  <c r="G21" i="10"/>
  <c r="B36" i="10"/>
  <c r="G36" i="10"/>
  <c r="B53" i="10"/>
  <c r="C53" i="10"/>
  <c r="G53" i="10"/>
  <c r="B146" i="10"/>
  <c r="C146" i="10"/>
  <c r="G146" i="10"/>
  <c r="B48" i="10"/>
  <c r="C48" i="10"/>
  <c r="G48" i="10"/>
  <c r="B50" i="10"/>
  <c r="C50" i="10"/>
  <c r="G50" i="10"/>
  <c r="B74" i="10"/>
  <c r="C74" i="10"/>
  <c r="G74" i="10"/>
  <c r="B58" i="10"/>
  <c r="C58" i="10"/>
  <c r="G58" i="10"/>
  <c r="B46" i="10"/>
  <c r="C46" i="10"/>
  <c r="G46" i="10"/>
  <c r="B45" i="10"/>
  <c r="C45" i="10"/>
  <c r="G45" i="10"/>
  <c r="B59" i="10"/>
  <c r="C59" i="10"/>
  <c r="G59" i="10"/>
  <c r="B52" i="10"/>
  <c r="C52" i="10"/>
  <c r="G52" i="10"/>
  <c r="B54" i="10"/>
  <c r="C54" i="10"/>
  <c r="G54" i="10"/>
  <c r="B55" i="10"/>
  <c r="C55" i="10"/>
  <c r="G55" i="10"/>
  <c r="B61" i="10"/>
  <c r="C61" i="10"/>
  <c r="G61" i="10"/>
  <c r="B60" i="10"/>
  <c r="C60" i="10"/>
  <c r="G60" i="10"/>
  <c r="B51" i="10"/>
  <c r="C51" i="10"/>
  <c r="G51" i="10"/>
  <c r="B66" i="10"/>
  <c r="C66" i="10"/>
  <c r="G66" i="10"/>
  <c r="B72" i="10"/>
  <c r="C72" i="10"/>
  <c r="G72" i="10"/>
  <c r="B56" i="10"/>
  <c r="C56" i="10"/>
  <c r="G56" i="10"/>
  <c r="B71" i="10"/>
  <c r="C71" i="10"/>
  <c r="G71" i="10"/>
  <c r="B64" i="10"/>
  <c r="C64" i="10"/>
  <c r="G64" i="10"/>
  <c r="B62" i="10"/>
  <c r="C62" i="10"/>
  <c r="G62" i="10"/>
  <c r="B83" i="10"/>
  <c r="C83" i="10"/>
  <c r="G83" i="10"/>
  <c r="B63" i="10"/>
  <c r="G63" i="10"/>
  <c r="B65" i="10"/>
  <c r="C65" i="10"/>
  <c r="G65" i="10"/>
  <c r="B37" i="10"/>
  <c r="C37" i="10"/>
  <c r="G37" i="10"/>
  <c r="B131" i="10"/>
  <c r="C131" i="10"/>
  <c r="G131" i="10"/>
  <c r="B67" i="10"/>
  <c r="C67" i="10"/>
  <c r="G67" i="10"/>
  <c r="B84" i="10"/>
  <c r="C84" i="10"/>
  <c r="G84" i="10"/>
  <c r="B69" i="10"/>
  <c r="C69" i="10"/>
  <c r="G69" i="10"/>
  <c r="B76" i="10"/>
  <c r="G76" i="10"/>
  <c r="B132" i="10"/>
  <c r="C132" i="10"/>
  <c r="G132" i="10"/>
  <c r="B73" i="10"/>
  <c r="C73" i="10"/>
  <c r="G73" i="10"/>
  <c r="B75" i="10"/>
  <c r="C75" i="10"/>
  <c r="G75" i="10"/>
  <c r="B77" i="10"/>
  <c r="C77" i="10"/>
  <c r="G77" i="10"/>
  <c r="B78" i="10"/>
  <c r="C78" i="10"/>
  <c r="G78" i="10"/>
  <c r="B79" i="10"/>
  <c r="C79" i="10"/>
  <c r="G79" i="10"/>
  <c r="B80" i="10"/>
  <c r="C80" i="10"/>
  <c r="G80" i="10"/>
  <c r="B81" i="10"/>
  <c r="C81" i="10"/>
  <c r="G81" i="10"/>
  <c r="B85" i="10"/>
  <c r="C85" i="10"/>
  <c r="G85" i="10"/>
  <c r="B86" i="10"/>
  <c r="C86" i="10"/>
  <c r="G86" i="10"/>
  <c r="B87" i="10"/>
  <c r="C87" i="10"/>
  <c r="G87" i="10"/>
  <c r="B88" i="10"/>
  <c r="C88" i="10"/>
  <c r="G88" i="10"/>
  <c r="B89" i="10"/>
  <c r="C89" i="10"/>
  <c r="G89" i="10"/>
  <c r="B90" i="10"/>
  <c r="C90" i="10"/>
  <c r="G90" i="10"/>
  <c r="B91" i="10"/>
  <c r="C91" i="10"/>
  <c r="G91" i="10"/>
  <c r="B92" i="10"/>
  <c r="C92" i="10"/>
  <c r="G92" i="10"/>
  <c r="B93" i="10"/>
  <c r="C93" i="10"/>
  <c r="G93" i="10"/>
  <c r="B30" i="10"/>
  <c r="C30" i="10"/>
  <c r="G30" i="10"/>
  <c r="B94" i="10"/>
  <c r="C94" i="10"/>
  <c r="G94" i="10"/>
  <c r="B95" i="10"/>
  <c r="C95" i="10"/>
  <c r="G95" i="10"/>
  <c r="B96" i="10"/>
  <c r="C96" i="10"/>
  <c r="G96" i="10"/>
  <c r="B97" i="10"/>
  <c r="C97" i="10"/>
  <c r="G97" i="10"/>
  <c r="B98" i="10"/>
  <c r="C98" i="10"/>
  <c r="G98" i="10"/>
  <c r="B99" i="10"/>
  <c r="C99" i="10"/>
  <c r="G99" i="10"/>
  <c r="B100" i="10"/>
  <c r="C100" i="10"/>
  <c r="G100" i="10"/>
  <c r="B101" i="10"/>
  <c r="C101" i="10"/>
  <c r="G101" i="10"/>
  <c r="B102" i="10"/>
  <c r="C102" i="10"/>
  <c r="G102" i="10"/>
  <c r="B103" i="10"/>
  <c r="C103" i="10"/>
  <c r="G103" i="10"/>
  <c r="B104" i="10"/>
  <c r="C104" i="10"/>
  <c r="G104" i="10"/>
  <c r="B105" i="10"/>
  <c r="C105" i="10"/>
  <c r="G105" i="10"/>
  <c r="B106" i="10"/>
  <c r="C106" i="10"/>
  <c r="G106" i="10"/>
  <c r="B108" i="10"/>
  <c r="C108" i="10"/>
  <c r="G108" i="10"/>
  <c r="B109" i="10"/>
  <c r="C109" i="10"/>
  <c r="G109" i="10"/>
  <c r="B110" i="10"/>
  <c r="C110" i="10"/>
  <c r="G110" i="10"/>
  <c r="B111" i="10"/>
  <c r="C111" i="10"/>
  <c r="G111" i="10"/>
  <c r="B112" i="10"/>
  <c r="C112" i="10"/>
  <c r="G112" i="10"/>
  <c r="B115" i="10"/>
  <c r="G115" i="10"/>
  <c r="B116" i="10"/>
  <c r="C116" i="10"/>
  <c r="G116" i="10"/>
  <c r="B117" i="10"/>
  <c r="C117" i="10"/>
  <c r="G117" i="10"/>
  <c r="B118" i="10"/>
  <c r="C118" i="10"/>
  <c r="G118" i="10"/>
  <c r="B119" i="10"/>
  <c r="C119" i="10"/>
  <c r="G119" i="10"/>
  <c r="B57" i="10"/>
  <c r="G57" i="10"/>
  <c r="B120" i="10"/>
  <c r="C120" i="10"/>
  <c r="G120" i="10"/>
  <c r="B121" i="10"/>
  <c r="C121" i="10"/>
  <c r="G121" i="10"/>
  <c r="B42" i="10"/>
  <c r="G42" i="10"/>
  <c r="B31" i="10"/>
  <c r="C31" i="10"/>
  <c r="G31" i="10"/>
  <c r="B122" i="10"/>
  <c r="C122" i="10"/>
  <c r="G122" i="10"/>
  <c r="B123" i="10"/>
  <c r="C123" i="10"/>
  <c r="G123" i="10"/>
  <c r="B124" i="10"/>
  <c r="C124" i="10"/>
  <c r="G124" i="10"/>
  <c r="B125" i="10"/>
  <c r="C125" i="10"/>
  <c r="G125" i="10"/>
  <c r="B126" i="10"/>
  <c r="C126" i="10"/>
  <c r="G126" i="10"/>
  <c r="B127" i="10"/>
  <c r="C127" i="10"/>
  <c r="G127" i="10"/>
  <c r="B128" i="10"/>
  <c r="C128" i="10"/>
  <c r="G128" i="10"/>
  <c r="B129" i="10"/>
  <c r="C129" i="10"/>
  <c r="G129" i="10"/>
  <c r="B130" i="10"/>
  <c r="C130" i="10"/>
  <c r="G130" i="10"/>
  <c r="B133" i="10"/>
  <c r="C133" i="10"/>
  <c r="G133" i="10"/>
  <c r="B134" i="10"/>
  <c r="C134" i="10"/>
  <c r="G134" i="10"/>
  <c r="B135" i="10"/>
  <c r="C135" i="10"/>
  <c r="G135" i="10"/>
  <c r="B136" i="10"/>
  <c r="C136" i="10"/>
  <c r="G136" i="10"/>
  <c r="B137" i="10"/>
  <c r="C137" i="10"/>
  <c r="G137" i="10"/>
  <c r="B138" i="10"/>
  <c r="C138" i="10"/>
  <c r="G138" i="10"/>
  <c r="B139" i="10"/>
  <c r="C139" i="10"/>
  <c r="G139" i="10"/>
  <c r="B140" i="10"/>
  <c r="C140" i="10"/>
  <c r="G140" i="10"/>
  <c r="B141" i="10"/>
  <c r="C141" i="10"/>
  <c r="G141" i="10"/>
  <c r="B142" i="10"/>
  <c r="C142" i="10"/>
  <c r="G142" i="10"/>
  <c r="B143" i="10"/>
  <c r="C143" i="10"/>
  <c r="G143" i="10"/>
  <c r="B144" i="10"/>
  <c r="G144" i="10"/>
  <c r="B145" i="10"/>
  <c r="C145" i="10"/>
  <c r="G145" i="10"/>
  <c r="B147" i="10"/>
  <c r="C147" i="10"/>
  <c r="G147" i="10"/>
  <c r="B14" i="10"/>
  <c r="G14" i="10"/>
  <c r="B148" i="10"/>
  <c r="C148" i="10"/>
  <c r="G148" i="10"/>
  <c r="B149" i="10"/>
  <c r="C149" i="10"/>
  <c r="G149" i="10"/>
  <c r="B150" i="10"/>
  <c r="C150" i="10"/>
  <c r="G150" i="10"/>
  <c r="B151" i="10"/>
  <c r="C151" i="10"/>
  <c r="G151" i="10"/>
  <c r="B152" i="10"/>
  <c r="C152" i="10"/>
  <c r="G152" i="10"/>
  <c r="B153" i="10"/>
  <c r="C153" i="10"/>
  <c r="G153" i="10"/>
  <c r="J114" i="10"/>
  <c r="H4" i="10"/>
  <c r="H6" i="10"/>
  <c r="H17" i="10"/>
  <c r="H3" i="10"/>
  <c r="H20" i="10"/>
  <c r="H24" i="10"/>
  <c r="H25" i="10"/>
  <c r="H37" i="10"/>
  <c r="K114" i="10"/>
  <c r="I2" i="10"/>
  <c r="I3" i="10"/>
  <c r="I18" i="10"/>
  <c r="I68" i="10"/>
  <c r="I23" i="10"/>
  <c r="I39" i="10"/>
  <c r="I28" i="10"/>
  <c r="I11" i="10"/>
  <c r="I35" i="10"/>
  <c r="I40" i="10"/>
  <c r="I47" i="10"/>
  <c r="I53" i="10"/>
  <c r="I48" i="10"/>
  <c r="I58" i="10"/>
  <c r="I52" i="10"/>
  <c r="I61" i="10"/>
  <c r="I60" i="10"/>
  <c r="I66" i="10"/>
  <c r="I72" i="10"/>
  <c r="I71" i="10"/>
  <c r="I65" i="10"/>
  <c r="I69" i="10"/>
  <c r="I73" i="10"/>
  <c r="L114" i="10"/>
  <c r="M114" i="10"/>
  <c r="Y49" i="10"/>
  <c r="Y23" i="10"/>
  <c r="Y68" i="10"/>
  <c r="Y70" i="10"/>
  <c r="Y25" i="10"/>
  <c r="Y19" i="10"/>
  <c r="Y26" i="10"/>
  <c r="Y39" i="10"/>
  <c r="Y32" i="10"/>
  <c r="Y41" i="10"/>
  <c r="Y9" i="10"/>
  <c r="Y33" i="10"/>
  <c r="Y27" i="10"/>
  <c r="Y107" i="10"/>
  <c r="Y34" i="10"/>
  <c r="Y113" i="10"/>
  <c r="Y11" i="10"/>
  <c r="Y22" i="10"/>
  <c r="Y35" i="10"/>
  <c r="Y40" i="10"/>
  <c r="Y38" i="10"/>
  <c r="Y47" i="10"/>
  <c r="Y16" i="10"/>
  <c r="Y82" i="10"/>
  <c r="Y43" i="10"/>
  <c r="Y146" i="10"/>
  <c r="Y18" i="10"/>
  <c r="Y21" i="10"/>
  <c r="Y74" i="10"/>
  <c r="Y44" i="10"/>
  <c r="Y36" i="10"/>
  <c r="Y53" i="10"/>
  <c r="Y58" i="10"/>
  <c r="Y50" i="10"/>
  <c r="Y45" i="10"/>
  <c r="Y65" i="10"/>
  <c r="Y51" i="10"/>
  <c r="Y71" i="10"/>
  <c r="Y59" i="10"/>
  <c r="Y60" i="10"/>
  <c r="Y66" i="10"/>
  <c r="Y54" i="10"/>
  <c r="Y55" i="10"/>
  <c r="Y69" i="10"/>
  <c r="Y56" i="10"/>
  <c r="Y64" i="10"/>
  <c r="Y131" i="10"/>
  <c r="Y62" i="10"/>
  <c r="Y63" i="10"/>
  <c r="Y83" i="10"/>
  <c r="Y28" i="10"/>
  <c r="Y72" i="10"/>
  <c r="Y84" i="10"/>
  <c r="Y67" i="10"/>
  <c r="Y132" i="10"/>
  <c r="Y73" i="10"/>
  <c r="Y75" i="10"/>
  <c r="Y77" i="10"/>
  <c r="Y125" i="10"/>
  <c r="Y78" i="10"/>
  <c r="Y79" i="10"/>
  <c r="Y80" i="10"/>
  <c r="Y81" i="10"/>
  <c r="Y48" i="10"/>
  <c r="Y85" i="10"/>
  <c r="Y86" i="10"/>
  <c r="Y87" i="10"/>
  <c r="Y88" i="10"/>
  <c r="Y89" i="10"/>
  <c r="Y90" i="10"/>
  <c r="Y91" i="10"/>
  <c r="Y92" i="10"/>
  <c r="Y93" i="10"/>
  <c r="Y30" i="10"/>
  <c r="Y94" i="10"/>
  <c r="Y95" i="10"/>
  <c r="Y96" i="10"/>
  <c r="Y97" i="10"/>
  <c r="Y98" i="10"/>
  <c r="Y99" i="10"/>
  <c r="Y100" i="10"/>
  <c r="Y101" i="10"/>
  <c r="Y102" i="10"/>
  <c r="Y103" i="10"/>
  <c r="Y104" i="10"/>
  <c r="Y105" i="10"/>
  <c r="Y106" i="10"/>
  <c r="Y108" i="10"/>
  <c r="Y76" i="10"/>
  <c r="Y109" i="10"/>
  <c r="Y110" i="10"/>
  <c r="Y111" i="10"/>
  <c r="Y112" i="10"/>
  <c r="Y115" i="10"/>
  <c r="Y117" i="10"/>
  <c r="Y118" i="10"/>
  <c r="Y119" i="10"/>
  <c r="Y61" i="10"/>
  <c r="Y57" i="10"/>
  <c r="Y120" i="10"/>
  <c r="Y121" i="10"/>
  <c r="Y42" i="10"/>
  <c r="Y31" i="10"/>
  <c r="Y123" i="10"/>
  <c r="Y124" i="10"/>
  <c r="Y126" i="10"/>
  <c r="Y127" i="10"/>
  <c r="Y128" i="10"/>
  <c r="Y129" i="10"/>
  <c r="Y130" i="10"/>
  <c r="Y133" i="10"/>
  <c r="Y134" i="10"/>
  <c r="Y135" i="10"/>
  <c r="Y136" i="10"/>
  <c r="Y137" i="10"/>
  <c r="Y138" i="10"/>
  <c r="Y139" i="10"/>
  <c r="Y140" i="10"/>
  <c r="Y141" i="10"/>
  <c r="Y142" i="10"/>
  <c r="Y52" i="10"/>
  <c r="Y143" i="10"/>
  <c r="Y144" i="10"/>
  <c r="Y145" i="10"/>
  <c r="Y147" i="10"/>
  <c r="Y14" i="10"/>
  <c r="Y148" i="10"/>
  <c r="Y149" i="10"/>
  <c r="Y150" i="10"/>
  <c r="Y151" i="10"/>
  <c r="Y152" i="10"/>
  <c r="Y153" i="10"/>
  <c r="Y154" i="10"/>
  <c r="Y155" i="10"/>
  <c r="Y156" i="10"/>
  <c r="Y157" i="10"/>
  <c r="Y158" i="10"/>
  <c r="Y159" i="10"/>
  <c r="Y160" i="10"/>
  <c r="Y161" i="10"/>
  <c r="Y162" i="10"/>
  <c r="Y163" i="10"/>
  <c r="R5" i="10"/>
  <c r="R4" i="10"/>
  <c r="R3" i="10"/>
  <c r="R7" i="10"/>
  <c r="R12" i="10"/>
  <c r="R23" i="10"/>
  <c r="R68" i="10"/>
  <c r="R70" i="10"/>
  <c r="R19" i="10"/>
  <c r="R26" i="10"/>
  <c r="R39" i="10"/>
  <c r="R32" i="10"/>
  <c r="R41" i="10"/>
  <c r="R9" i="10"/>
  <c r="R6" i="10"/>
  <c r="R8" i="10"/>
  <c r="R33" i="10"/>
  <c r="R27" i="10"/>
  <c r="R107" i="10"/>
  <c r="R34" i="10"/>
  <c r="R113" i="10"/>
  <c r="R11" i="10"/>
  <c r="R22" i="10"/>
  <c r="R35" i="10"/>
  <c r="R40" i="10"/>
  <c r="R38" i="10"/>
  <c r="R47" i="10"/>
  <c r="R16" i="10"/>
  <c r="R15" i="10"/>
  <c r="R82" i="10"/>
  <c r="R43" i="10"/>
  <c r="R146" i="10"/>
  <c r="R18" i="10"/>
  <c r="R21" i="10"/>
  <c r="R74" i="10"/>
  <c r="R44" i="10"/>
  <c r="R36" i="10"/>
  <c r="R53" i="10"/>
  <c r="R46" i="10"/>
  <c r="R58" i="10"/>
  <c r="R50" i="10"/>
  <c r="R45" i="10"/>
  <c r="R65" i="10"/>
  <c r="R51" i="10"/>
  <c r="R71" i="10"/>
  <c r="R59" i="10"/>
  <c r="R60" i="10"/>
  <c r="R66" i="10"/>
  <c r="R54" i="10"/>
  <c r="R55" i="10"/>
  <c r="R69" i="10"/>
  <c r="R56" i="10"/>
  <c r="R64" i="10"/>
  <c r="R131" i="10"/>
  <c r="R62" i="10"/>
  <c r="R63" i="10"/>
  <c r="R83" i="10"/>
  <c r="R28" i="10"/>
  <c r="R72" i="10"/>
  <c r="R84" i="10"/>
  <c r="R67" i="10"/>
  <c r="R132" i="10"/>
  <c r="R73" i="10"/>
  <c r="R75" i="10"/>
  <c r="R77" i="10"/>
  <c r="R125" i="10"/>
  <c r="R78" i="10"/>
  <c r="R79" i="10"/>
  <c r="R80" i="10"/>
  <c r="R48" i="10"/>
  <c r="R85" i="10"/>
  <c r="R86" i="10"/>
  <c r="R87" i="10"/>
  <c r="R88" i="10"/>
  <c r="R89" i="10"/>
  <c r="R90" i="10"/>
  <c r="R91" i="10"/>
  <c r="R92" i="10"/>
  <c r="R93" i="10"/>
  <c r="R30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8" i="10"/>
  <c r="R76" i="10"/>
  <c r="R109" i="10"/>
  <c r="R110" i="10"/>
  <c r="R111" i="10"/>
  <c r="R112" i="10"/>
  <c r="R115" i="10"/>
  <c r="R117" i="10"/>
  <c r="R118" i="10"/>
  <c r="R119" i="10"/>
  <c r="R61" i="10"/>
  <c r="R57" i="10"/>
  <c r="R120" i="10"/>
  <c r="R121" i="10"/>
  <c r="R42" i="10"/>
  <c r="R31" i="10"/>
  <c r="R122" i="10"/>
  <c r="R123" i="10"/>
  <c r="R124" i="10"/>
  <c r="R126" i="10"/>
  <c r="R127" i="10"/>
  <c r="R128" i="10"/>
  <c r="R129" i="10"/>
  <c r="R130" i="10"/>
  <c r="R133" i="10"/>
  <c r="R134" i="10"/>
  <c r="R135" i="10"/>
  <c r="R136" i="10"/>
  <c r="R137" i="10"/>
  <c r="R138" i="10"/>
  <c r="R139" i="10"/>
  <c r="R140" i="10"/>
  <c r="R141" i="10"/>
  <c r="R142" i="10"/>
  <c r="R52" i="10"/>
  <c r="R143" i="10"/>
  <c r="R144" i="10"/>
  <c r="R145" i="10"/>
  <c r="R147" i="10"/>
  <c r="R14" i="10"/>
  <c r="R148" i="10"/>
  <c r="R149" i="10"/>
  <c r="R150" i="10"/>
  <c r="R151" i="10"/>
  <c r="R152" i="10"/>
  <c r="R153" i="10"/>
  <c r="T154" i="10" a="1"/>
  <c r="T154" i="10"/>
  <c r="P154" i="10"/>
  <c r="R154" i="10"/>
  <c r="T155" i="10" a="1"/>
  <c r="T155" i="10"/>
  <c r="P155" i="10"/>
  <c r="R155" i="10"/>
  <c r="T156" i="10" a="1"/>
  <c r="T156" i="10"/>
  <c r="P156" i="10"/>
  <c r="R156" i="10"/>
  <c r="T157" i="10" a="1"/>
  <c r="T157" i="10"/>
  <c r="P157" i="10"/>
  <c r="R157" i="10"/>
  <c r="T158" i="10" a="1"/>
  <c r="T158" i="10"/>
  <c r="P158" i="10"/>
  <c r="R158" i="10"/>
  <c r="T159" i="10" a="1"/>
  <c r="T159" i="10"/>
  <c r="P159" i="10"/>
  <c r="R159" i="10"/>
  <c r="T160" i="10" a="1"/>
  <c r="T160" i="10"/>
  <c r="P160" i="10"/>
  <c r="R160" i="10"/>
  <c r="T161" i="10" a="1"/>
  <c r="T161" i="10"/>
  <c r="P161" i="10"/>
  <c r="R161" i="10"/>
  <c r="T162" i="10" a="1"/>
  <c r="T162" i="10"/>
  <c r="P162" i="10"/>
  <c r="R162" i="10"/>
  <c r="T163" i="10" a="1"/>
  <c r="T163" i="10"/>
  <c r="P163" i="10"/>
  <c r="R163" i="10"/>
  <c r="T164" i="10" a="1"/>
  <c r="T164" i="10"/>
  <c r="P164" i="10"/>
  <c r="R164" i="10"/>
  <c r="T165" i="10" a="1"/>
  <c r="T165" i="10"/>
  <c r="P165" i="10"/>
  <c r="R165" i="10"/>
  <c r="T166" i="10" a="1"/>
  <c r="T166" i="10"/>
  <c r="P166" i="10"/>
  <c r="R166" i="10"/>
  <c r="T167" i="10" a="1"/>
  <c r="T167" i="10"/>
  <c r="P167" i="10"/>
  <c r="R167" i="10"/>
  <c r="T168" i="10" a="1"/>
  <c r="T168" i="10"/>
  <c r="P168" i="10"/>
  <c r="R168" i="10"/>
  <c r="T169" i="10" a="1"/>
  <c r="T169" i="10"/>
  <c r="P169" i="10"/>
  <c r="R169" i="10"/>
  <c r="T170" i="10" a="1"/>
  <c r="T170" i="10"/>
  <c r="P170" i="10"/>
  <c r="R170" i="10"/>
  <c r="T171" i="10" a="1"/>
  <c r="T171" i="10"/>
  <c r="P171" i="10"/>
  <c r="R171" i="10"/>
  <c r="T172" i="10" a="1"/>
  <c r="T172" i="10"/>
  <c r="P172" i="10"/>
  <c r="R172" i="10"/>
  <c r="T173" i="10" a="1"/>
  <c r="T173" i="10"/>
  <c r="P173" i="10"/>
  <c r="R173" i="10"/>
  <c r="R174" i="10"/>
  <c r="R2" i="10"/>
  <c r="Q5" i="10"/>
  <c r="Q4" i="10"/>
  <c r="Q3" i="10"/>
  <c r="Q7" i="10"/>
  <c r="Q12" i="10"/>
  <c r="Q23" i="10"/>
  <c r="Q68" i="10"/>
  <c r="Q70" i="10"/>
  <c r="Q33" i="10"/>
  <c r="Q19" i="10"/>
  <c r="Q32" i="10"/>
  <c r="Q26" i="10"/>
  <c r="Q41" i="10"/>
  <c r="Q9" i="10"/>
  <c r="Q6" i="10"/>
  <c r="Q8" i="10"/>
  <c r="Q107" i="10"/>
  <c r="Q113" i="10"/>
  <c r="Q27" i="10"/>
  <c r="Q39" i="10"/>
  <c r="Q34" i="10"/>
  <c r="Q11" i="10"/>
  <c r="Q16" i="10"/>
  <c r="Q35" i="10"/>
  <c r="Q22" i="10"/>
  <c r="Q38" i="10"/>
  <c r="Q40" i="10"/>
  <c r="Q47" i="10"/>
  <c r="Q82" i="10"/>
  <c r="Q15" i="10"/>
  <c r="Q36" i="10"/>
  <c r="Q21" i="10"/>
  <c r="Q43" i="10"/>
  <c r="Q18" i="10"/>
  <c r="Q44" i="10"/>
  <c r="Q74" i="10"/>
  <c r="Q53" i="10"/>
  <c r="Q46" i="10"/>
  <c r="Q146" i="10"/>
  <c r="Q50" i="10"/>
  <c r="Q58" i="10"/>
  <c r="Q45" i="10"/>
  <c r="Q69" i="10"/>
  <c r="Q65" i="10"/>
  <c r="Q60" i="10"/>
  <c r="Q59" i="10"/>
  <c r="Q71" i="10"/>
  <c r="Q51" i="10"/>
  <c r="Q54" i="10"/>
  <c r="Q56" i="10"/>
  <c r="Q55" i="10"/>
  <c r="Q83" i="10"/>
  <c r="Q28" i="10"/>
  <c r="Q66" i="10"/>
  <c r="Q64" i="10"/>
  <c r="Q131" i="10"/>
  <c r="Q72" i="10"/>
  <c r="Q62" i="10"/>
  <c r="Q63" i="10"/>
  <c r="Q67" i="10"/>
  <c r="Q132" i="10"/>
  <c r="Q73" i="10"/>
  <c r="Q75" i="10"/>
  <c r="Q77" i="10"/>
  <c r="Q125" i="10"/>
  <c r="Q78" i="10"/>
  <c r="Q79" i="10"/>
  <c r="Q80" i="10"/>
  <c r="Q48" i="10"/>
  <c r="Q84" i="10"/>
  <c r="Q85" i="10"/>
  <c r="Q86" i="10"/>
  <c r="Q87" i="10"/>
  <c r="Q88" i="10"/>
  <c r="Q89" i="10"/>
  <c r="Q90" i="10"/>
  <c r="Q91" i="10"/>
  <c r="Q92" i="10"/>
  <c r="Q93" i="10"/>
  <c r="Q30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8" i="10"/>
  <c r="Q76" i="10"/>
  <c r="Q109" i="10"/>
  <c r="Q110" i="10"/>
  <c r="Q111" i="10"/>
  <c r="Q112" i="10"/>
  <c r="Q115" i="10"/>
  <c r="Q117" i="10"/>
  <c r="Q118" i="10"/>
  <c r="Q119" i="10"/>
  <c r="Q61" i="10"/>
  <c r="Q57" i="10"/>
  <c r="Q120" i="10"/>
  <c r="Q121" i="10"/>
  <c r="Q42" i="10"/>
  <c r="Q31" i="10"/>
  <c r="Q122" i="10"/>
  <c r="Q123" i="10"/>
  <c r="Q124" i="10"/>
  <c r="Q126" i="10"/>
  <c r="Q127" i="10"/>
  <c r="Q128" i="10"/>
  <c r="Q129" i="10"/>
  <c r="Q130" i="10"/>
  <c r="Q133" i="10"/>
  <c r="Q134" i="10"/>
  <c r="Q135" i="10"/>
  <c r="Q136" i="10"/>
  <c r="Q137" i="10"/>
  <c r="Q138" i="10"/>
  <c r="Q139" i="10"/>
  <c r="Q140" i="10"/>
  <c r="Q141" i="10"/>
  <c r="Q142" i="10"/>
  <c r="Q52" i="10"/>
  <c r="Q143" i="10"/>
  <c r="Q144" i="10"/>
  <c r="Q145" i="10"/>
  <c r="Q147" i="10"/>
  <c r="Q14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2" i="10"/>
  <c r="X82" i="10"/>
  <c r="X36" i="10"/>
  <c r="X21" i="10"/>
  <c r="X18" i="10"/>
  <c r="X74" i="10"/>
  <c r="X53" i="10"/>
  <c r="X44" i="10"/>
  <c r="X146" i="10"/>
  <c r="X50" i="10"/>
  <c r="X58" i="10"/>
  <c r="X69" i="10"/>
  <c r="X65" i="10"/>
  <c r="X45" i="10"/>
  <c r="X60" i="10"/>
  <c r="X125" i="10"/>
  <c r="X59" i="10"/>
  <c r="X71" i="10"/>
  <c r="X51" i="10"/>
  <c r="X54" i="10"/>
  <c r="X56" i="10"/>
  <c r="X83" i="10"/>
  <c r="X55" i="10"/>
  <c r="X66" i="10"/>
  <c r="X131" i="10"/>
  <c r="X28" i="10"/>
  <c r="X64" i="10"/>
  <c r="X72" i="10"/>
  <c r="X62" i="10"/>
  <c r="X63" i="10"/>
  <c r="X132" i="10"/>
  <c r="X67" i="10"/>
  <c r="X73" i="10"/>
  <c r="X75" i="10"/>
  <c r="X77" i="10"/>
  <c r="X78" i="10"/>
  <c r="X79" i="10"/>
  <c r="X80" i="10"/>
  <c r="X81" i="10"/>
  <c r="X48" i="10"/>
  <c r="X84" i="10"/>
  <c r="X85" i="10"/>
  <c r="X86" i="10"/>
  <c r="X87" i="10"/>
  <c r="X88" i="10"/>
  <c r="X89" i="10"/>
  <c r="X90" i="10"/>
  <c r="X91" i="10"/>
  <c r="X92" i="10"/>
  <c r="X93" i="10"/>
  <c r="X30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8" i="10"/>
  <c r="X76" i="10"/>
  <c r="X109" i="10"/>
  <c r="X110" i="10"/>
  <c r="X111" i="10"/>
  <c r="X112" i="10"/>
  <c r="X115" i="10"/>
  <c r="X117" i="10"/>
  <c r="X118" i="10"/>
  <c r="X119" i="10"/>
  <c r="X61" i="10"/>
  <c r="X57" i="10"/>
  <c r="X120" i="10"/>
  <c r="X121" i="10"/>
  <c r="X42" i="10"/>
  <c r="X31" i="10"/>
  <c r="X123" i="10"/>
  <c r="X124" i="10"/>
  <c r="X126" i="10"/>
  <c r="X127" i="10"/>
  <c r="X128" i="10"/>
  <c r="X129" i="10"/>
  <c r="X130" i="10"/>
  <c r="X133" i="10"/>
  <c r="X134" i="10"/>
  <c r="X135" i="10"/>
  <c r="X136" i="10"/>
  <c r="X137" i="10"/>
  <c r="X138" i="10"/>
  <c r="X139" i="10"/>
  <c r="X140" i="10"/>
  <c r="X141" i="10"/>
  <c r="X142" i="10"/>
  <c r="X52" i="10"/>
  <c r="X143" i="10"/>
  <c r="X144" i="10"/>
  <c r="X145" i="10"/>
  <c r="X147" i="10"/>
  <c r="X14" i="10"/>
  <c r="X148" i="10"/>
  <c r="X149" i="10"/>
  <c r="X150" i="10"/>
  <c r="X151" i="10"/>
  <c r="X152" i="10"/>
  <c r="X153" i="10"/>
  <c r="X68" i="10"/>
  <c r="X49" i="10"/>
  <c r="X70" i="10"/>
  <c r="X33" i="10"/>
  <c r="X19" i="10"/>
  <c r="X32" i="10"/>
  <c r="X26" i="10"/>
  <c r="X41" i="10"/>
  <c r="X25" i="10"/>
  <c r="X9" i="10"/>
  <c r="X23" i="10"/>
  <c r="X107" i="10"/>
  <c r="X113" i="10"/>
  <c r="X39" i="10"/>
  <c r="X27" i="10"/>
  <c r="X11" i="10"/>
  <c r="X34" i="10"/>
  <c r="X16" i="10"/>
  <c r="X35" i="10"/>
  <c r="X43" i="10"/>
  <c r="X22" i="10"/>
  <c r="X38" i="10"/>
  <c r="X40" i="10"/>
  <c r="X47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I5" i="32"/>
  <c r="U23" i="10"/>
  <c r="AA160" i="10" a="1"/>
  <c r="AA160" i="10"/>
  <c r="AA161" i="10" a="1"/>
  <c r="AA161" i="10"/>
  <c r="AA162" i="10" a="1"/>
  <c r="AA162" i="10"/>
  <c r="AA163" i="10" a="1"/>
  <c r="AA163" i="10"/>
  <c r="AA164" i="10" a="1"/>
  <c r="AA164" i="10"/>
  <c r="AA165" i="10" a="1"/>
  <c r="AA165" i="10"/>
  <c r="AA166" i="10" a="1"/>
  <c r="AA166" i="10"/>
  <c r="Z154" i="10"/>
  <c r="Z155" i="10"/>
  <c r="Z156" i="10"/>
  <c r="Z157" i="10"/>
  <c r="Z158" i="10"/>
  <c r="Z159" i="10"/>
  <c r="J146" i="10"/>
  <c r="K146" i="10"/>
  <c r="L146" i="10"/>
  <c r="M146" i="10"/>
  <c r="J128" i="10"/>
  <c r="K128" i="10"/>
  <c r="L128" i="10"/>
  <c r="M128" i="10"/>
  <c r="J116" i="10"/>
  <c r="K116" i="10"/>
  <c r="L116" i="10"/>
  <c r="M116" i="10"/>
  <c r="J58" i="10"/>
  <c r="K58" i="10"/>
  <c r="L58" i="10"/>
  <c r="M58" i="10"/>
  <c r="J53" i="10"/>
  <c r="K53" i="10"/>
  <c r="L53" i="10"/>
  <c r="M53" i="10"/>
  <c r="J83" i="10"/>
  <c r="K83" i="10"/>
  <c r="L83" i="10"/>
  <c r="M83" i="10"/>
  <c r="J126" i="10"/>
  <c r="K126" i="10"/>
  <c r="L126" i="10"/>
  <c r="M126" i="10"/>
  <c r="J88" i="10"/>
  <c r="K88" i="10"/>
  <c r="L88" i="10"/>
  <c r="M88" i="10"/>
  <c r="J138" i="10"/>
  <c r="K138" i="10"/>
  <c r="L138" i="10"/>
  <c r="M138" i="10"/>
  <c r="J72" i="10"/>
  <c r="K72" i="10"/>
  <c r="L72" i="10"/>
  <c r="M72" i="10"/>
  <c r="J120" i="10"/>
  <c r="K120" i="10"/>
  <c r="L120" i="10"/>
  <c r="M120" i="10"/>
  <c r="J65" i="10"/>
  <c r="K65" i="10"/>
  <c r="L65" i="10"/>
  <c r="M65" i="10"/>
  <c r="J150" i="10"/>
  <c r="K150" i="10"/>
  <c r="L150" i="10"/>
  <c r="M150" i="10"/>
  <c r="J136" i="10"/>
  <c r="K136" i="10"/>
  <c r="L136" i="10"/>
  <c r="M136" i="10"/>
  <c r="J98" i="10"/>
  <c r="K98" i="10"/>
  <c r="L98" i="10"/>
  <c r="M98" i="10"/>
  <c r="J137" i="10"/>
  <c r="K137" i="10"/>
  <c r="L137" i="10"/>
  <c r="M137" i="10"/>
  <c r="J82" i="10"/>
  <c r="K82" i="10"/>
  <c r="L82" i="10"/>
  <c r="M82" i="10"/>
  <c r="J101" i="10"/>
  <c r="K101" i="10"/>
  <c r="L101" i="10"/>
  <c r="M101" i="10"/>
  <c r="J102" i="10"/>
  <c r="K102" i="10"/>
  <c r="L102" i="10"/>
  <c r="M102" i="10"/>
  <c r="J89" i="10"/>
  <c r="K89" i="10"/>
  <c r="L89" i="10"/>
  <c r="M89" i="10"/>
  <c r="J151" i="10"/>
  <c r="K151" i="10"/>
  <c r="L151" i="10"/>
  <c r="M151" i="10"/>
  <c r="J119" i="10"/>
  <c r="K119" i="10"/>
  <c r="L119" i="10"/>
  <c r="M119" i="10"/>
  <c r="J96" i="10"/>
  <c r="K96" i="10"/>
  <c r="L96" i="10"/>
  <c r="M96" i="10"/>
  <c r="J118" i="10"/>
  <c r="K118" i="10"/>
  <c r="L118" i="10"/>
  <c r="M118" i="10"/>
  <c r="J20" i="10"/>
  <c r="K20" i="10"/>
  <c r="L20" i="10"/>
  <c r="M20" i="10"/>
  <c r="J70" i="10"/>
  <c r="K70" i="10"/>
  <c r="L70" i="10"/>
  <c r="M70" i="10"/>
  <c r="J51" i="10"/>
  <c r="K51" i="10"/>
  <c r="L51" i="10"/>
  <c r="M51" i="10"/>
  <c r="J59" i="10"/>
  <c r="K59" i="10"/>
  <c r="L59" i="10"/>
  <c r="M59" i="10"/>
  <c r="J9" i="10"/>
  <c r="K9" i="10"/>
  <c r="L9" i="10"/>
  <c r="M9" i="10"/>
  <c r="J43" i="10"/>
  <c r="K43" i="10"/>
  <c r="L43" i="10"/>
  <c r="M43" i="10"/>
  <c r="J24" i="10"/>
  <c r="K24" i="10"/>
  <c r="L24" i="10"/>
  <c r="M24" i="10"/>
  <c r="J21" i="10"/>
  <c r="K21" i="10"/>
  <c r="L21" i="10"/>
  <c r="M21" i="10"/>
  <c r="J75" i="10"/>
  <c r="K75" i="10"/>
  <c r="L75" i="10"/>
  <c r="M75" i="10"/>
  <c r="J25" i="10"/>
  <c r="K25" i="10"/>
  <c r="L25" i="10"/>
  <c r="M25" i="10"/>
  <c r="J32" i="10"/>
  <c r="K32" i="10"/>
  <c r="L32" i="10"/>
  <c r="M32" i="10"/>
  <c r="J15" i="10"/>
  <c r="K15" i="10"/>
  <c r="L15" i="10"/>
  <c r="M15" i="10"/>
  <c r="J37" i="10"/>
  <c r="K37" i="10"/>
  <c r="L37" i="10"/>
  <c r="M37" i="10"/>
  <c r="J26" i="10"/>
  <c r="K26" i="10"/>
  <c r="L26" i="10"/>
  <c r="M26" i="10"/>
  <c r="J27" i="10"/>
  <c r="K27" i="10"/>
  <c r="L27" i="10"/>
  <c r="M27" i="10"/>
  <c r="J34" i="10"/>
  <c r="K34" i="10"/>
  <c r="L34" i="10"/>
  <c r="M34" i="10"/>
  <c r="J50" i="10"/>
  <c r="K50" i="10"/>
  <c r="L50" i="10"/>
  <c r="M50" i="10"/>
  <c r="J33" i="10"/>
  <c r="K33" i="10"/>
  <c r="L33" i="10"/>
  <c r="M33" i="10"/>
  <c r="J66" i="10"/>
  <c r="K66" i="10"/>
  <c r="L66" i="10"/>
  <c r="M66" i="10"/>
  <c r="J56" i="10"/>
  <c r="K56" i="10"/>
  <c r="L56" i="10"/>
  <c r="M56" i="10"/>
  <c r="J7" i="10"/>
  <c r="K7" i="10"/>
  <c r="L7" i="10"/>
  <c r="M7" i="10"/>
  <c r="J13" i="10"/>
  <c r="K13" i="10"/>
  <c r="L13" i="10"/>
  <c r="M13" i="10"/>
  <c r="J18" i="10"/>
  <c r="K18" i="10"/>
  <c r="L18" i="10"/>
  <c r="M18" i="10"/>
  <c r="J3" i="10"/>
  <c r="K3" i="10"/>
  <c r="L3" i="10"/>
  <c r="M3" i="10"/>
  <c r="J49" i="10"/>
  <c r="K49" i="10"/>
  <c r="L49" i="10"/>
  <c r="M49" i="10"/>
  <c r="J54" i="10"/>
  <c r="K54" i="10"/>
  <c r="L54" i="10"/>
  <c r="M54" i="10"/>
  <c r="J16" i="10"/>
  <c r="K16" i="10"/>
  <c r="L16" i="10"/>
  <c r="M16" i="10"/>
  <c r="J22" i="10"/>
  <c r="K22" i="10"/>
  <c r="L22" i="10"/>
  <c r="M22" i="10"/>
  <c r="J61" i="10"/>
  <c r="K61" i="10"/>
  <c r="L61" i="10"/>
  <c r="M61" i="10"/>
  <c r="J39" i="10"/>
  <c r="K39" i="10"/>
  <c r="L39" i="10"/>
  <c r="M39" i="10"/>
  <c r="J140" i="10"/>
  <c r="K140" i="10"/>
  <c r="L140" i="10"/>
  <c r="M140" i="10"/>
  <c r="J41" i="10"/>
  <c r="K41" i="10"/>
  <c r="L41" i="10"/>
  <c r="M41" i="10"/>
  <c r="J103" i="10"/>
  <c r="K103" i="10"/>
  <c r="L103" i="10"/>
  <c r="M103" i="10"/>
  <c r="J104" i="10"/>
  <c r="K104" i="10"/>
  <c r="L104" i="10"/>
  <c r="M104" i="10"/>
  <c r="J2" i="10"/>
  <c r="K2" i="10"/>
  <c r="M2" i="10"/>
  <c r="J78" i="10"/>
  <c r="K78" i="10"/>
  <c r="L78" i="10"/>
  <c r="M78" i="10"/>
  <c r="J28" i="10"/>
  <c r="K28" i="10"/>
  <c r="L28" i="10"/>
  <c r="M28" i="10"/>
  <c r="J31" i="10"/>
  <c r="K31" i="10"/>
  <c r="L31" i="10"/>
  <c r="M31" i="10"/>
  <c r="J5" i="10"/>
  <c r="K5" i="10"/>
  <c r="L5" i="10"/>
  <c r="M5" i="10"/>
  <c r="J55" i="10"/>
  <c r="K55" i="10"/>
  <c r="L55" i="10"/>
  <c r="M55" i="10"/>
  <c r="J141" i="10"/>
  <c r="K141" i="10"/>
  <c r="L141" i="10"/>
  <c r="M141" i="10"/>
  <c r="J23" i="10"/>
  <c r="K23" i="10"/>
  <c r="L23" i="10"/>
  <c r="M23" i="10"/>
  <c r="J44" i="10"/>
  <c r="K44" i="10"/>
  <c r="L44" i="10"/>
  <c r="M44" i="10"/>
  <c r="J110" i="10"/>
  <c r="K110" i="10"/>
  <c r="L110" i="10"/>
  <c r="M110" i="10"/>
  <c r="J45" i="10"/>
  <c r="K45" i="10"/>
  <c r="L45" i="10"/>
  <c r="M45" i="10"/>
  <c r="J19" i="10"/>
  <c r="K19" i="10"/>
  <c r="L19" i="10"/>
  <c r="M19" i="10"/>
  <c r="J111" i="10"/>
  <c r="K111" i="10"/>
  <c r="L111" i="10"/>
  <c r="M111" i="10"/>
  <c r="J69" i="10"/>
  <c r="K69" i="10"/>
  <c r="L69" i="10"/>
  <c r="M69" i="10"/>
  <c r="J64" i="10"/>
  <c r="K64" i="10"/>
  <c r="L64" i="10"/>
  <c r="M64" i="10"/>
  <c r="J99" i="10"/>
  <c r="K99" i="10"/>
  <c r="L99" i="10"/>
  <c r="M99" i="10"/>
  <c r="J127" i="10"/>
  <c r="K127" i="10"/>
  <c r="L127" i="10"/>
  <c r="M127" i="10"/>
  <c r="J74" i="10"/>
  <c r="K74" i="10"/>
  <c r="L74" i="10"/>
  <c r="M74" i="10"/>
  <c r="J38" i="10"/>
  <c r="K38" i="10"/>
  <c r="L38" i="10"/>
  <c r="M38" i="10"/>
  <c r="J105" i="10"/>
  <c r="K105" i="10"/>
  <c r="L105" i="10"/>
  <c r="M105" i="10"/>
  <c r="J62" i="10"/>
  <c r="K62" i="10"/>
  <c r="L62" i="10"/>
  <c r="M62" i="10"/>
  <c r="J63" i="10"/>
  <c r="K63" i="10"/>
  <c r="L63" i="10"/>
  <c r="M63" i="10"/>
  <c r="J91" i="10"/>
  <c r="K91" i="10"/>
  <c r="L91" i="10"/>
  <c r="M91" i="10"/>
  <c r="J12" i="10"/>
  <c r="K12" i="10"/>
  <c r="L12" i="10"/>
  <c r="M12" i="10"/>
  <c r="J122" i="10"/>
  <c r="K122" i="10"/>
  <c r="L122" i="10"/>
  <c r="M122" i="10"/>
  <c r="J11" i="10"/>
  <c r="K11" i="10"/>
  <c r="L11" i="10"/>
  <c r="M11" i="10"/>
  <c r="J149" i="10"/>
  <c r="K149" i="10"/>
  <c r="L149" i="10"/>
  <c r="M149" i="10"/>
  <c r="J67" i="10"/>
  <c r="K67" i="10"/>
  <c r="L67" i="10"/>
  <c r="M67" i="10"/>
  <c r="J17" i="10"/>
  <c r="K17" i="10"/>
  <c r="L17" i="10"/>
  <c r="M17" i="10"/>
  <c r="J109" i="10"/>
  <c r="K109" i="10"/>
  <c r="L109" i="10"/>
  <c r="M109" i="10"/>
  <c r="J153" i="10"/>
  <c r="K153" i="10"/>
  <c r="L153" i="10"/>
  <c r="M153" i="10"/>
  <c r="J68" i="10"/>
  <c r="K68" i="10"/>
  <c r="L68" i="10"/>
  <c r="M68" i="10"/>
  <c r="J14" i="10"/>
  <c r="K14" i="10"/>
  <c r="L14" i="10"/>
  <c r="M14" i="10"/>
  <c r="J46" i="10"/>
  <c r="K46" i="10"/>
  <c r="L46" i="10"/>
  <c r="M46" i="10"/>
  <c r="J93" i="10"/>
  <c r="K93" i="10"/>
  <c r="L93" i="10"/>
  <c r="M93" i="10"/>
  <c r="J94" i="10"/>
  <c r="K94" i="10"/>
  <c r="L94" i="10"/>
  <c r="M94" i="10"/>
  <c r="J117" i="10"/>
  <c r="K117" i="10"/>
  <c r="L117" i="10"/>
  <c r="M117" i="10"/>
  <c r="J106" i="10"/>
  <c r="K106" i="10"/>
  <c r="L106" i="10"/>
  <c r="M106" i="10"/>
  <c r="J77" i="10"/>
  <c r="K77" i="10"/>
  <c r="L77" i="10"/>
  <c r="M77" i="10"/>
  <c r="J42" i="10"/>
  <c r="K42" i="10"/>
  <c r="L42" i="10"/>
  <c r="M42" i="10"/>
  <c r="J57" i="10"/>
  <c r="K57" i="10"/>
  <c r="L57" i="10"/>
  <c r="M57" i="10"/>
  <c r="J71" i="10"/>
  <c r="K71" i="10"/>
  <c r="L71" i="10"/>
  <c r="M71" i="10"/>
  <c r="J115" i="10"/>
  <c r="K115" i="10"/>
  <c r="L115" i="10"/>
  <c r="M115" i="10"/>
  <c r="J79" i="10"/>
  <c r="K79" i="10"/>
  <c r="L79" i="10"/>
  <c r="M79" i="10"/>
  <c r="J80" i="10"/>
  <c r="K80" i="10"/>
  <c r="L80" i="10"/>
  <c r="M80" i="10"/>
  <c r="J81" i="10"/>
  <c r="K81" i="10"/>
  <c r="L81" i="10"/>
  <c r="M81" i="10"/>
  <c r="J48" i="10"/>
  <c r="K48" i="10"/>
  <c r="L48" i="10"/>
  <c r="M48" i="10"/>
  <c r="J84" i="10"/>
  <c r="K84" i="10"/>
  <c r="L84" i="10"/>
  <c r="M84" i="10"/>
  <c r="J85" i="10"/>
  <c r="K85" i="10"/>
  <c r="L85" i="10"/>
  <c r="M85" i="10"/>
  <c r="J86" i="10"/>
  <c r="K86" i="10"/>
  <c r="L86" i="10"/>
  <c r="M86" i="10"/>
  <c r="J87" i="10"/>
  <c r="K87" i="10"/>
  <c r="L87" i="10"/>
  <c r="M87" i="10"/>
  <c r="J40" i="10"/>
  <c r="K40" i="10"/>
  <c r="L40" i="10"/>
  <c r="M40" i="10"/>
  <c r="J29" i="10"/>
  <c r="K29" i="10"/>
  <c r="L29" i="10"/>
  <c r="M29" i="10"/>
  <c r="J90" i="10"/>
  <c r="K90" i="10"/>
  <c r="L90" i="10"/>
  <c r="M90" i="10"/>
  <c r="J60" i="10"/>
  <c r="K60" i="10"/>
  <c r="L60" i="10"/>
  <c r="M60" i="10"/>
  <c r="J92" i="10"/>
  <c r="K92" i="10"/>
  <c r="L92" i="10"/>
  <c r="M92" i="10"/>
  <c r="J30" i="10"/>
  <c r="K30" i="10"/>
  <c r="L30" i="10"/>
  <c r="M30" i="10"/>
  <c r="J95" i="10"/>
  <c r="K95" i="10"/>
  <c r="L95" i="10"/>
  <c r="M95" i="10"/>
  <c r="J97" i="10"/>
  <c r="K97" i="10"/>
  <c r="L97" i="10"/>
  <c r="M97" i="10"/>
  <c r="J100" i="10"/>
  <c r="K100" i="10"/>
  <c r="L100" i="10"/>
  <c r="M100" i="10"/>
  <c r="J6" i="10"/>
  <c r="K6" i="10"/>
  <c r="L6" i="10"/>
  <c r="M6" i="10"/>
  <c r="J107" i="10"/>
  <c r="K107" i="10"/>
  <c r="L107" i="10"/>
  <c r="M107" i="10"/>
  <c r="J108" i="10"/>
  <c r="K108" i="10"/>
  <c r="L108" i="10"/>
  <c r="M108" i="10"/>
  <c r="J76" i="10"/>
  <c r="K76" i="10"/>
  <c r="L76" i="10"/>
  <c r="M76" i="10"/>
  <c r="J35" i="10"/>
  <c r="K35" i="10"/>
  <c r="L35" i="10"/>
  <c r="M35" i="10"/>
  <c r="J112" i="10"/>
  <c r="K112" i="10"/>
  <c r="L112" i="10"/>
  <c r="M112" i="10"/>
  <c r="J113" i="10"/>
  <c r="K113" i="10"/>
  <c r="L113" i="10"/>
  <c r="M113" i="10"/>
  <c r="J121" i="10"/>
  <c r="K121" i="10"/>
  <c r="L121" i="10"/>
  <c r="M121" i="10"/>
  <c r="J47" i="10"/>
  <c r="K47" i="10"/>
  <c r="L47" i="10"/>
  <c r="M47" i="10"/>
  <c r="J123" i="10"/>
  <c r="K123" i="10"/>
  <c r="L123" i="10"/>
  <c r="M123" i="10"/>
  <c r="J124" i="10"/>
  <c r="K124" i="10"/>
  <c r="L124" i="10"/>
  <c r="M124" i="10"/>
  <c r="J125" i="10"/>
  <c r="K125" i="10"/>
  <c r="L125" i="10"/>
  <c r="M125" i="10"/>
  <c r="J36" i="10"/>
  <c r="K36" i="10"/>
  <c r="L36" i="10"/>
  <c r="M36" i="10"/>
  <c r="J129" i="10"/>
  <c r="K129" i="10"/>
  <c r="L129" i="10"/>
  <c r="M129" i="10"/>
  <c r="J130" i="10"/>
  <c r="K130" i="10"/>
  <c r="L130" i="10"/>
  <c r="M130" i="10"/>
  <c r="J131" i="10"/>
  <c r="K131" i="10"/>
  <c r="L131" i="10"/>
  <c r="M131" i="10"/>
  <c r="J132" i="10"/>
  <c r="K132" i="10"/>
  <c r="L132" i="10"/>
  <c r="M132" i="10"/>
  <c r="J73" i="10"/>
  <c r="K73" i="10"/>
  <c r="L73" i="10"/>
  <c r="M73" i="10"/>
  <c r="J133" i="10"/>
  <c r="K133" i="10"/>
  <c r="L133" i="10"/>
  <c r="M133" i="10"/>
  <c r="J134" i="10"/>
  <c r="K134" i="10"/>
  <c r="L134" i="10"/>
  <c r="M134" i="10"/>
  <c r="J135" i="10"/>
  <c r="K135" i="10"/>
  <c r="L135" i="10"/>
  <c r="M135" i="10"/>
  <c r="J8" i="10"/>
  <c r="K8" i="10"/>
  <c r="L8" i="10"/>
  <c r="M8" i="10"/>
  <c r="J139" i="10"/>
  <c r="K139" i="10"/>
  <c r="L139" i="10"/>
  <c r="M139" i="10"/>
  <c r="J142" i="10"/>
  <c r="K142" i="10"/>
  <c r="L142" i="10"/>
  <c r="M142" i="10"/>
  <c r="J52" i="10"/>
  <c r="K52" i="10"/>
  <c r="L52" i="10"/>
  <c r="M52" i="10"/>
  <c r="J143" i="10"/>
  <c r="K143" i="10"/>
  <c r="L143" i="10"/>
  <c r="M143" i="10"/>
  <c r="J144" i="10"/>
  <c r="K144" i="10"/>
  <c r="L144" i="10"/>
  <c r="M144" i="10"/>
  <c r="J145" i="10"/>
  <c r="K145" i="10"/>
  <c r="L145" i="10"/>
  <c r="M145" i="10"/>
  <c r="J147" i="10"/>
  <c r="K147" i="10"/>
  <c r="L147" i="10"/>
  <c r="M147" i="10"/>
  <c r="J10" i="10"/>
  <c r="K10" i="10"/>
  <c r="L10" i="10"/>
  <c r="M10" i="10"/>
  <c r="J148" i="10"/>
  <c r="K148" i="10"/>
  <c r="L148" i="10"/>
  <c r="M148" i="10"/>
  <c r="J152" i="10"/>
  <c r="K152" i="10"/>
  <c r="L152" i="10"/>
  <c r="M152" i="10"/>
  <c r="J4" i="10"/>
  <c r="K4" i="10"/>
  <c r="L4" i="10"/>
  <c r="M4" i="10"/>
  <c r="H9" i="32"/>
  <c r="C5" i="30" a="1"/>
  <c r="C5" i="30"/>
  <c r="C6" i="30" a="1"/>
  <c r="C6" i="30"/>
  <c r="C7" i="30" a="1"/>
  <c r="C7" i="30"/>
  <c r="C8" i="30" a="1"/>
  <c r="C8" i="30"/>
  <c r="C2" i="30" a="1"/>
  <c r="C2" i="30"/>
  <c r="C3" i="30" a="1"/>
  <c r="C3" i="30"/>
  <c r="C4" i="30" a="1"/>
  <c r="C9" i="30" a="1"/>
  <c r="C10" i="30" a="1"/>
  <c r="C11" i="30" a="1"/>
  <c r="C12" i="30" a="1"/>
  <c r="C13" i="30" a="1"/>
  <c r="C14" i="30" a="1"/>
  <c r="C15" i="30" a="1"/>
  <c r="C16" i="30" a="1"/>
  <c r="C17" i="30" a="1"/>
  <c r="C18" i="30" a="1"/>
  <c r="C4" i="30"/>
  <c r="C9" i="30"/>
  <c r="C10" i="30"/>
  <c r="C11" i="30"/>
  <c r="C12" i="30"/>
  <c r="C13" i="30"/>
  <c r="C14" i="30"/>
  <c r="C15" i="30"/>
  <c r="C16" i="30"/>
  <c r="C17" i="30"/>
  <c r="C18" i="30"/>
  <c r="E7" i="30"/>
  <c r="EO2" i="27"/>
  <c r="EQ2" i="27"/>
  <c r="EO3" i="27"/>
  <c r="EQ3" i="27"/>
  <c r="EO5" i="27"/>
  <c r="EQ5" i="27"/>
  <c r="EO4" i="27"/>
  <c r="EQ4" i="27"/>
  <c r="EO6" i="27"/>
  <c r="EQ6" i="27"/>
  <c r="EO8" i="27"/>
  <c r="EQ8" i="27"/>
  <c r="EO7" i="27"/>
  <c r="EQ7" i="27"/>
  <c r="EO10" i="27"/>
  <c r="EQ10" i="27"/>
  <c r="EO9" i="27"/>
  <c r="EQ9" i="27"/>
  <c r="EO11" i="27"/>
  <c r="EQ11" i="27"/>
  <c r="EO12" i="27"/>
  <c r="EQ12" i="27"/>
  <c r="EQ32" i="27"/>
  <c r="EQ35" i="27"/>
  <c r="EQ37" i="27"/>
  <c r="EP37" i="27"/>
  <c r="EO37" i="27"/>
  <c r="EP12" i="27"/>
  <c r="D11" i="27"/>
  <c r="EP11" i="27"/>
  <c r="D9" i="27"/>
  <c r="EP9" i="27"/>
  <c r="D10" i="27"/>
  <c r="EP10" i="27"/>
  <c r="D7" i="27"/>
  <c r="EP7" i="27"/>
  <c r="D8" i="27"/>
  <c r="EP8" i="27"/>
  <c r="D6" i="27"/>
  <c r="EP6" i="27"/>
  <c r="EP4" i="27"/>
  <c r="EP5" i="27"/>
  <c r="D3" i="27"/>
  <c r="EP3" i="27"/>
  <c r="EP2" i="27"/>
  <c r="H5" i="32"/>
  <c r="EL8" i="27"/>
  <c r="EM8" i="27"/>
  <c r="EN8" i="27"/>
  <c r="E7" i="27"/>
  <c r="E3" i="27"/>
  <c r="E6" i="27"/>
  <c r="E12" i="27"/>
  <c r="E8" i="27"/>
  <c r="EL7" i="27"/>
  <c r="EM7" i="27"/>
  <c r="EN7" i="27"/>
  <c r="D29" i="27"/>
  <c r="E4" i="27"/>
  <c r="E10" i="27"/>
  <c r="E9" i="27"/>
  <c r="D30" i="27"/>
  <c r="E30" i="27"/>
  <c r="E11" i="27"/>
  <c r="E13" i="27"/>
  <c r="E14" i="27"/>
  <c r="E15" i="27"/>
  <c r="D16" i="27"/>
  <c r="E16" i="27"/>
  <c r="E17" i="27"/>
  <c r="E18" i="27"/>
  <c r="E19" i="27"/>
  <c r="E20" i="27"/>
  <c r="E21" i="27"/>
  <c r="D22" i="27"/>
  <c r="E22" i="27"/>
  <c r="E23" i="27"/>
  <c r="E24" i="27"/>
  <c r="E25" i="27"/>
  <c r="E26" i="27"/>
  <c r="E27" i="27"/>
  <c r="E28" i="27"/>
  <c r="E29" i="27"/>
  <c r="EL4" i="27"/>
  <c r="EM4" i="27"/>
  <c r="EN4" i="27"/>
  <c r="EL2" i="27"/>
  <c r="EN2" i="27"/>
  <c r="EL3" i="27"/>
  <c r="EN3" i="27"/>
  <c r="EL5" i="27"/>
  <c r="EN5" i="27"/>
  <c r="EL6" i="27"/>
  <c r="EN6" i="27"/>
  <c r="EL12" i="27"/>
  <c r="EN12" i="27"/>
  <c r="EL9" i="27"/>
  <c r="EN9" i="27"/>
  <c r="EL11" i="27"/>
  <c r="EN11" i="27"/>
  <c r="EL10" i="27"/>
  <c r="EN10" i="27"/>
  <c r="EN32" i="27"/>
  <c r="EN35" i="27"/>
  <c r="EN37" i="27"/>
  <c r="EM37" i="27"/>
  <c r="EL37" i="27"/>
  <c r="EM10" i="27"/>
  <c r="EM11" i="27"/>
  <c r="EM9" i="27"/>
  <c r="EM12" i="27"/>
  <c r="EM6" i="27"/>
  <c r="EM5" i="27"/>
  <c r="EM3" i="27"/>
  <c r="EM2" i="27"/>
  <c r="EI27" i="27"/>
  <c r="EJ27" i="27"/>
  <c r="EK27" i="27"/>
  <c r="EI2" i="27"/>
  <c r="EK2" i="27"/>
  <c r="EI3" i="27"/>
  <c r="EK3" i="27"/>
  <c r="EI5" i="27"/>
  <c r="EK5" i="27"/>
  <c r="EI28" i="27"/>
  <c r="EK28" i="27"/>
  <c r="EI29" i="27"/>
  <c r="EK29" i="27"/>
  <c r="EI6" i="27"/>
  <c r="EK6" i="27"/>
  <c r="EI12" i="27"/>
  <c r="EK12" i="27"/>
  <c r="EI26" i="27"/>
  <c r="EK26" i="27"/>
  <c r="EI9" i="27"/>
  <c r="EK9" i="27"/>
  <c r="EI30" i="27"/>
  <c r="EK30" i="27"/>
  <c r="EI11" i="27"/>
  <c r="EK11" i="27"/>
  <c r="EI10" i="27"/>
  <c r="EK10" i="27"/>
  <c r="EK32" i="27"/>
  <c r="EK35" i="27"/>
  <c r="EK37" i="27"/>
  <c r="EJ37" i="27"/>
  <c r="EI37" i="27"/>
  <c r="EJ10" i="27"/>
  <c r="EJ11" i="27"/>
  <c r="EJ30" i="27"/>
  <c r="EJ9" i="27"/>
  <c r="EJ26" i="27"/>
  <c r="EJ12" i="27"/>
  <c r="EJ6" i="27"/>
  <c r="EJ29" i="27"/>
  <c r="EJ28" i="27"/>
  <c r="EJ5" i="27"/>
  <c r="EJ3" i="27"/>
  <c r="EJ2" i="27"/>
  <c r="EF2" i="27"/>
  <c r="EH2" i="27"/>
  <c r="EF3" i="27"/>
  <c r="EH3" i="27"/>
  <c r="EF5" i="27"/>
  <c r="EH5" i="27"/>
  <c r="EF24" i="27"/>
  <c r="EH24" i="27"/>
  <c r="EF28" i="27"/>
  <c r="EH28" i="27"/>
  <c r="EF25" i="27"/>
  <c r="EH25" i="27"/>
  <c r="EF6" i="27"/>
  <c r="EH6" i="27"/>
  <c r="EF29" i="27"/>
  <c r="EH29" i="27"/>
  <c r="EF26" i="27"/>
  <c r="EH26" i="27"/>
  <c r="EF30" i="27"/>
  <c r="EH30" i="27"/>
  <c r="EF11" i="27"/>
  <c r="EH11" i="27"/>
  <c r="EF10" i="27"/>
  <c r="EH10" i="27"/>
  <c r="EF12" i="27"/>
  <c r="EH12" i="27"/>
  <c r="EF9" i="27"/>
  <c r="EH9" i="27"/>
  <c r="EH32" i="27"/>
  <c r="EH35" i="27"/>
  <c r="EH37" i="27"/>
  <c r="EG37" i="27"/>
  <c r="EF37" i="27"/>
  <c r="EG9" i="27"/>
  <c r="EG12" i="27"/>
  <c r="EG10" i="27"/>
  <c r="EG11" i="27"/>
  <c r="EG30" i="27"/>
  <c r="EG26" i="27"/>
  <c r="EG29" i="27"/>
  <c r="EG6" i="27"/>
  <c r="EG25" i="27"/>
  <c r="EG28" i="27"/>
  <c r="EG24" i="27"/>
  <c r="EG5" i="27"/>
  <c r="EG3" i="27"/>
  <c r="EG2" i="27"/>
  <c r="EC2" i="27"/>
  <c r="EE2" i="27"/>
  <c r="EC3" i="27"/>
  <c r="EE3" i="27"/>
  <c r="EC5" i="27"/>
  <c r="EE5" i="27"/>
  <c r="EC24" i="27"/>
  <c r="EE24" i="27"/>
  <c r="EC28" i="27"/>
  <c r="EE28" i="27"/>
  <c r="EC25" i="27"/>
  <c r="EE25" i="27"/>
  <c r="EC6" i="27"/>
  <c r="EE6" i="27"/>
  <c r="EC29" i="27"/>
  <c r="EE29" i="27"/>
  <c r="EC26" i="27"/>
  <c r="EE26" i="27"/>
  <c r="EC30" i="27"/>
  <c r="EE30" i="27"/>
  <c r="EC11" i="27"/>
  <c r="EE11" i="27"/>
  <c r="EC10" i="27"/>
  <c r="EE10" i="27"/>
  <c r="EC12" i="27"/>
  <c r="EE12" i="27"/>
  <c r="EC9" i="27"/>
  <c r="EE9" i="27"/>
  <c r="EE32" i="27"/>
  <c r="EE35" i="27"/>
  <c r="EE37" i="27"/>
  <c r="ED37" i="27"/>
  <c r="EC37" i="27"/>
  <c r="ED9" i="27"/>
  <c r="ED12" i="27"/>
  <c r="ED10" i="27"/>
  <c r="ED11" i="27"/>
  <c r="ED30" i="27"/>
  <c r="ED26" i="27"/>
  <c r="ED29" i="27"/>
  <c r="ED6" i="27"/>
  <c r="ED25" i="27"/>
  <c r="ED28" i="27"/>
  <c r="ED24" i="27"/>
  <c r="ED5" i="27"/>
  <c r="ED3" i="27"/>
  <c r="ED2" i="27"/>
  <c r="DZ2" i="27"/>
  <c r="EB2" i="27"/>
  <c r="DZ5" i="27"/>
  <c r="EB5" i="27"/>
  <c r="DZ3" i="27"/>
  <c r="EB3" i="27"/>
  <c r="DZ28" i="27"/>
  <c r="EB28" i="27"/>
  <c r="DZ25" i="27"/>
  <c r="EB25" i="27"/>
  <c r="DZ29" i="27"/>
  <c r="EB29" i="27"/>
  <c r="DZ30" i="27"/>
  <c r="EB30" i="27"/>
  <c r="DZ6" i="27"/>
  <c r="EB6" i="27"/>
  <c r="DZ11" i="27"/>
  <c r="EB11" i="27"/>
  <c r="DZ12" i="27"/>
  <c r="EB12" i="27"/>
  <c r="DZ26" i="27"/>
  <c r="EB26" i="27"/>
  <c r="DZ24" i="27"/>
  <c r="EB24" i="27"/>
  <c r="DZ10" i="27"/>
  <c r="EB10" i="27"/>
  <c r="DZ9" i="27"/>
  <c r="EB9" i="27"/>
  <c r="EB32" i="27"/>
  <c r="EB35" i="27"/>
  <c r="EB37" i="27"/>
  <c r="EA37" i="27"/>
  <c r="DZ37" i="27"/>
  <c r="EA9" i="27"/>
  <c r="EA10" i="27"/>
  <c r="EA24" i="27"/>
  <c r="EA26" i="27"/>
  <c r="EA12" i="27"/>
  <c r="EA11" i="27"/>
  <c r="EA6" i="27"/>
  <c r="EA30" i="27"/>
  <c r="EA29" i="27"/>
  <c r="EA25" i="27"/>
  <c r="EA28" i="27"/>
  <c r="EA3" i="27"/>
  <c r="EA5" i="27"/>
  <c r="EA2" i="27"/>
  <c r="J6" i="32"/>
  <c r="J8" i="32"/>
  <c r="J4" i="32"/>
  <c r="J2" i="32"/>
  <c r="J3" i="32"/>
  <c r="J5" i="32"/>
  <c r="J9" i="32"/>
  <c r="J7" i="32"/>
  <c r="K4" i="32"/>
  <c r="K6" i="32"/>
  <c r="K5" i="32"/>
  <c r="K2" i="32"/>
  <c r="K7" i="32"/>
  <c r="K8" i="32"/>
  <c r="K9" i="32"/>
  <c r="K3" i="32"/>
  <c r="DW2" i="27"/>
  <c r="DY2" i="27"/>
  <c r="DW5" i="27"/>
  <c r="DY5" i="27"/>
  <c r="DW30" i="27"/>
  <c r="DY30" i="27"/>
  <c r="DW29" i="27"/>
  <c r="DY29" i="27"/>
  <c r="DW26" i="27"/>
  <c r="DY26" i="27"/>
  <c r="DW24" i="27"/>
  <c r="DY24" i="27"/>
  <c r="DW9" i="27"/>
  <c r="DY9" i="27"/>
  <c r="DW25" i="27"/>
  <c r="DY25" i="27"/>
  <c r="DW12" i="27"/>
  <c r="DY12" i="27"/>
  <c r="DW3" i="27"/>
  <c r="DY3" i="27"/>
  <c r="DW28" i="27"/>
  <c r="DY28" i="27"/>
  <c r="DW6" i="27"/>
  <c r="DY6" i="27"/>
  <c r="DW11" i="27"/>
  <c r="DY11" i="27"/>
  <c r="DW10" i="27"/>
  <c r="DY10" i="27"/>
  <c r="DY32" i="27"/>
  <c r="DY35" i="27"/>
  <c r="DY37" i="27"/>
  <c r="DX37" i="27"/>
  <c r="DW37" i="27"/>
  <c r="DX10" i="27"/>
  <c r="DX11" i="27"/>
  <c r="DX6" i="27"/>
  <c r="DX28" i="27"/>
  <c r="DX3" i="27"/>
  <c r="DX12" i="27"/>
  <c r="DX25" i="27"/>
  <c r="DX9" i="27"/>
  <c r="DX24" i="27"/>
  <c r="DX26" i="27"/>
  <c r="DX29" i="27"/>
  <c r="DX30" i="27"/>
  <c r="DX5" i="27"/>
  <c r="DX2" i="27"/>
  <c r="DT2" i="27"/>
  <c r="DV2" i="27"/>
  <c r="DT5" i="27"/>
  <c r="DV5" i="27"/>
  <c r="DT30" i="27"/>
  <c r="DV30" i="27"/>
  <c r="DT29" i="27"/>
  <c r="DV29" i="27"/>
  <c r="DT26" i="27"/>
  <c r="DV26" i="27"/>
  <c r="DT24" i="27"/>
  <c r="DV24" i="27"/>
  <c r="DT9" i="27"/>
  <c r="DV9" i="27"/>
  <c r="DT25" i="27"/>
  <c r="DV25" i="27"/>
  <c r="DT23" i="27"/>
  <c r="DV23" i="27"/>
  <c r="DT12" i="27"/>
  <c r="DV12" i="27"/>
  <c r="DT3" i="27"/>
  <c r="DV3" i="27"/>
  <c r="DT28" i="27"/>
  <c r="DV28" i="27"/>
  <c r="DT6" i="27"/>
  <c r="DV6" i="27"/>
  <c r="DT11" i="27"/>
  <c r="DV11" i="27"/>
  <c r="DT10" i="27"/>
  <c r="DV10" i="27"/>
  <c r="DV32" i="27"/>
  <c r="DV35" i="27"/>
  <c r="DV37" i="27"/>
  <c r="DU37" i="27"/>
  <c r="DT37" i="27"/>
  <c r="DU10" i="27"/>
  <c r="DU11" i="27"/>
  <c r="DU6" i="27"/>
  <c r="DU28" i="27"/>
  <c r="DU3" i="27"/>
  <c r="DU12" i="27"/>
  <c r="DU23" i="27"/>
  <c r="DU25" i="27"/>
  <c r="DU9" i="27"/>
  <c r="DU24" i="27"/>
  <c r="DU26" i="27"/>
  <c r="DU29" i="27"/>
  <c r="DU30" i="27"/>
  <c r="DU5" i="27"/>
  <c r="DU2" i="27"/>
  <c r="DQ10" i="27"/>
  <c r="DR10" i="27"/>
  <c r="DS10" i="27"/>
  <c r="DQ2" i="27"/>
  <c r="DS2" i="27"/>
  <c r="DQ5" i="27"/>
  <c r="DS5" i="27"/>
  <c r="DQ30" i="27"/>
  <c r="DS30" i="27"/>
  <c r="DQ28" i="27"/>
  <c r="DS28" i="27"/>
  <c r="DQ3" i="27"/>
  <c r="DS3" i="27"/>
  <c r="DQ6" i="27"/>
  <c r="DS6" i="27"/>
  <c r="DQ25" i="27"/>
  <c r="DS25" i="27"/>
  <c r="DQ29" i="27"/>
  <c r="DS29" i="27"/>
  <c r="DQ26" i="27"/>
  <c r="DS26" i="27"/>
  <c r="DQ12" i="27"/>
  <c r="DS12" i="27"/>
  <c r="DQ24" i="27"/>
  <c r="DS24" i="27"/>
  <c r="DQ23" i="27"/>
  <c r="DS23" i="27"/>
  <c r="DQ11" i="27"/>
  <c r="DS11" i="27"/>
  <c r="DQ9" i="27"/>
  <c r="DS9" i="27"/>
  <c r="DS32" i="27"/>
  <c r="DS35" i="27"/>
  <c r="DS37" i="27"/>
  <c r="DR37" i="27"/>
  <c r="DQ37" i="27"/>
  <c r="DR9" i="27"/>
  <c r="DR11" i="27"/>
  <c r="DR23" i="27"/>
  <c r="DR24" i="27"/>
  <c r="DR12" i="27"/>
  <c r="DR26" i="27"/>
  <c r="DR29" i="27"/>
  <c r="DR25" i="27"/>
  <c r="DR6" i="27"/>
  <c r="DR3" i="27"/>
  <c r="DR28" i="27"/>
  <c r="DR30" i="27"/>
  <c r="DR5" i="27"/>
  <c r="DR2" i="27"/>
  <c r="N302" i="25"/>
  <c r="DN11" i="27"/>
  <c r="DO11" i="27"/>
  <c r="DP11" i="27"/>
  <c r="DN22" i="27"/>
  <c r="DO22" i="27"/>
  <c r="DP22" i="27"/>
  <c r="DN2" i="27"/>
  <c r="DP2" i="27"/>
  <c r="DN5" i="27"/>
  <c r="DP5" i="27"/>
  <c r="DN30" i="27"/>
  <c r="DP30" i="27"/>
  <c r="DN28" i="27"/>
  <c r="DP28" i="27"/>
  <c r="DN3" i="27"/>
  <c r="DP3" i="27"/>
  <c r="DN6" i="27"/>
  <c r="DP6" i="27"/>
  <c r="DN25" i="27"/>
  <c r="DP25" i="27"/>
  <c r="DN29" i="27"/>
  <c r="DP29" i="27"/>
  <c r="DN21" i="27"/>
  <c r="DP21" i="27"/>
  <c r="DN26" i="27"/>
  <c r="DP26" i="27"/>
  <c r="DN12" i="27"/>
  <c r="DP12" i="27"/>
  <c r="DN24" i="27"/>
  <c r="DP24" i="27"/>
  <c r="DN23" i="27"/>
  <c r="DP23" i="27"/>
  <c r="DN9" i="27"/>
  <c r="DP9" i="27"/>
  <c r="DP32" i="27"/>
  <c r="DP35" i="27"/>
  <c r="DP37" i="27"/>
  <c r="DO37" i="27"/>
  <c r="DN37" i="27"/>
  <c r="DO9" i="27"/>
  <c r="DO23" i="27"/>
  <c r="DO24" i="27"/>
  <c r="DO12" i="27"/>
  <c r="DO26" i="27"/>
  <c r="DO21" i="27"/>
  <c r="DO29" i="27"/>
  <c r="DO25" i="27"/>
  <c r="DO6" i="27"/>
  <c r="DO3" i="27"/>
  <c r="DO28" i="27"/>
  <c r="DO30" i="27"/>
  <c r="DO5" i="27"/>
  <c r="DO2" i="27"/>
  <c r="DK2" i="27"/>
  <c r="DM2" i="27"/>
  <c r="DK5" i="27"/>
  <c r="DM5" i="27"/>
  <c r="DK30" i="27"/>
  <c r="DM30" i="27"/>
  <c r="DK28" i="27"/>
  <c r="DM28" i="27"/>
  <c r="DK20" i="27"/>
  <c r="DM20" i="27"/>
  <c r="DK3" i="27"/>
  <c r="DM3" i="27"/>
  <c r="DK6" i="27"/>
  <c r="DM6" i="27"/>
  <c r="DK25" i="27"/>
  <c r="DM25" i="27"/>
  <c r="DK29" i="27"/>
  <c r="DM29" i="27"/>
  <c r="DK21" i="27"/>
  <c r="DM21" i="27"/>
  <c r="DK26" i="27"/>
  <c r="DM26" i="27"/>
  <c r="DK12" i="27"/>
  <c r="DM12" i="27"/>
  <c r="DK24" i="27"/>
  <c r="DM24" i="27"/>
  <c r="DK23" i="27"/>
  <c r="DM23" i="27"/>
  <c r="DK22" i="27"/>
  <c r="DM22" i="27"/>
  <c r="DK9" i="27"/>
  <c r="DM9" i="27"/>
  <c r="DM32" i="27"/>
  <c r="DM35" i="27"/>
  <c r="DM37" i="27"/>
  <c r="DL37" i="27"/>
  <c r="DK37" i="27"/>
  <c r="DL9" i="27"/>
  <c r="DL22" i="27"/>
  <c r="DL23" i="27"/>
  <c r="DL24" i="27"/>
  <c r="DL12" i="27"/>
  <c r="DL26" i="27"/>
  <c r="DL21" i="27"/>
  <c r="DL29" i="27"/>
  <c r="DL25" i="27"/>
  <c r="DL6" i="27"/>
  <c r="DL3" i="27"/>
  <c r="DL20" i="27"/>
  <c r="DL28" i="27"/>
  <c r="DL30" i="27"/>
  <c r="DL5" i="27"/>
  <c r="DL2" i="27"/>
  <c r="G2" i="25"/>
  <c r="DH20" i="27"/>
  <c r="DI20" i="27"/>
  <c r="DJ20" i="27"/>
  <c r="DH2" i="27"/>
  <c r="DJ2" i="27"/>
  <c r="DH5" i="27"/>
  <c r="DJ5" i="27"/>
  <c r="DH30" i="27"/>
  <c r="DJ30" i="27"/>
  <c r="DH3" i="27"/>
  <c r="DJ3" i="27"/>
  <c r="DH28" i="27"/>
  <c r="DJ28" i="27"/>
  <c r="DH6" i="27"/>
  <c r="DJ6" i="27"/>
  <c r="DH29" i="27"/>
  <c r="DJ29" i="27"/>
  <c r="DH25" i="27"/>
  <c r="DJ25" i="27"/>
  <c r="DH21" i="27"/>
  <c r="DJ21" i="27"/>
  <c r="DH26" i="27"/>
  <c r="DJ26" i="27"/>
  <c r="DH12" i="27"/>
  <c r="DJ12" i="27"/>
  <c r="DH23" i="27"/>
  <c r="DJ23" i="27"/>
  <c r="DH24" i="27"/>
  <c r="DJ24" i="27"/>
  <c r="DH22" i="27"/>
  <c r="DJ22" i="27"/>
  <c r="DH9" i="27"/>
  <c r="DJ9" i="27"/>
  <c r="DJ32" i="27"/>
  <c r="DJ35" i="27"/>
  <c r="DJ37" i="27"/>
  <c r="DI37" i="27"/>
  <c r="DH37" i="27"/>
  <c r="DI9" i="27"/>
  <c r="DI22" i="27"/>
  <c r="DI24" i="27"/>
  <c r="DI23" i="27"/>
  <c r="DI12" i="27"/>
  <c r="DI26" i="27"/>
  <c r="DI21" i="27"/>
  <c r="DI25" i="27"/>
  <c r="DI29" i="27"/>
  <c r="DI6" i="27"/>
  <c r="DI28" i="27"/>
  <c r="DI3" i="27"/>
  <c r="DI30" i="27"/>
  <c r="DI5" i="27"/>
  <c r="DI2" i="27"/>
  <c r="G193" i="25"/>
  <c r="I193" i="25"/>
  <c r="G192" i="25"/>
  <c r="I192" i="25"/>
  <c r="G194" i="25"/>
  <c r="I194" i="25"/>
  <c r="DE2" i="27"/>
  <c r="DG2" i="27"/>
  <c r="DE5" i="27"/>
  <c r="DG5" i="27"/>
  <c r="DE30" i="27"/>
  <c r="DG30" i="27"/>
  <c r="DE28" i="27"/>
  <c r="DG28" i="27"/>
  <c r="DE3" i="27"/>
  <c r="DG3" i="27"/>
  <c r="DE6" i="27"/>
  <c r="DG6" i="27"/>
  <c r="DE29" i="27"/>
  <c r="DG29" i="27"/>
  <c r="DE21" i="27"/>
  <c r="DG21" i="27"/>
  <c r="DE23" i="27"/>
  <c r="DG23" i="27"/>
  <c r="DE25" i="27"/>
  <c r="DG25" i="27"/>
  <c r="DE26" i="27"/>
  <c r="DG26" i="27"/>
  <c r="DE12" i="27"/>
  <c r="DG12" i="27"/>
  <c r="DE24" i="27"/>
  <c r="DG24" i="27"/>
  <c r="DE22" i="27"/>
  <c r="DG22" i="27"/>
  <c r="DE9" i="27"/>
  <c r="DG9" i="27"/>
  <c r="DG32" i="27"/>
  <c r="DG35" i="27"/>
  <c r="DG37" i="27"/>
  <c r="DF37" i="27"/>
  <c r="DE37" i="27"/>
  <c r="DF9" i="27"/>
  <c r="DF22" i="27"/>
  <c r="DF24" i="27"/>
  <c r="DF12" i="27"/>
  <c r="DF26" i="27"/>
  <c r="DF25" i="27"/>
  <c r="DF23" i="27"/>
  <c r="DF21" i="27"/>
  <c r="DF29" i="27"/>
  <c r="DF6" i="27"/>
  <c r="DF3" i="27"/>
  <c r="DF28" i="27"/>
  <c r="DF30" i="27"/>
  <c r="DF5" i="27"/>
  <c r="DF2" i="27"/>
  <c r="G13" i="25"/>
  <c r="J13" i="25"/>
  <c r="G57" i="25"/>
  <c r="J57" i="25"/>
  <c r="G259" i="25"/>
  <c r="J259" i="25"/>
  <c r="G260" i="25"/>
  <c r="J260" i="25"/>
  <c r="N420" i="25"/>
  <c r="N419" i="25"/>
  <c r="N418" i="25"/>
  <c r="N417" i="25"/>
  <c r="N416" i="25"/>
  <c r="N415" i="25"/>
  <c r="N414" i="25"/>
  <c r="N413" i="25"/>
  <c r="N412" i="25"/>
  <c r="N411" i="25"/>
  <c r="N410" i="25"/>
  <c r="N409" i="25"/>
  <c r="N408" i="25"/>
  <c r="N407" i="25"/>
  <c r="N406" i="25"/>
  <c r="N405" i="25"/>
  <c r="N404" i="25"/>
  <c r="N403" i="25"/>
  <c r="N402" i="25"/>
  <c r="N401" i="25"/>
  <c r="N400" i="25"/>
  <c r="N399" i="25"/>
  <c r="N398" i="25"/>
  <c r="N397" i="25"/>
  <c r="N396" i="25"/>
  <c r="N395" i="25"/>
  <c r="N394" i="25"/>
  <c r="N393" i="25"/>
  <c r="N392" i="25"/>
  <c r="N391" i="25"/>
  <c r="N390" i="25"/>
  <c r="N389" i="25"/>
  <c r="N388" i="25"/>
  <c r="N387" i="25"/>
  <c r="N386" i="25"/>
  <c r="N385" i="25"/>
  <c r="N384" i="25"/>
  <c r="N383" i="25"/>
  <c r="N382" i="25"/>
  <c r="N381" i="25"/>
  <c r="N380" i="25"/>
  <c r="N379" i="25"/>
  <c r="N378" i="25"/>
  <c r="N377" i="25"/>
  <c r="N376" i="25"/>
  <c r="N375" i="25"/>
  <c r="N374" i="25"/>
  <c r="N373" i="25"/>
  <c r="N372" i="25"/>
  <c r="N371" i="25"/>
  <c r="N370" i="25"/>
  <c r="N369" i="25"/>
  <c r="N368" i="25"/>
  <c r="N367" i="25"/>
  <c r="N366" i="25"/>
  <c r="N365" i="25"/>
  <c r="N364" i="25"/>
  <c r="N363" i="25"/>
  <c r="N362" i="25"/>
  <c r="N361" i="25"/>
  <c r="N360" i="25"/>
  <c r="N359" i="25"/>
  <c r="N358" i="25"/>
  <c r="N357" i="25"/>
  <c r="N356" i="25"/>
  <c r="N355" i="25"/>
  <c r="N354" i="25"/>
  <c r="N353" i="25"/>
  <c r="N352" i="25"/>
  <c r="N351" i="25"/>
  <c r="N350" i="25"/>
  <c r="N349" i="25"/>
  <c r="N348" i="25"/>
  <c r="N347" i="25"/>
  <c r="N346" i="25"/>
  <c r="N345" i="25"/>
  <c r="N344" i="25"/>
  <c r="N343" i="25"/>
  <c r="N342" i="25"/>
  <c r="N341" i="25"/>
  <c r="N340" i="25"/>
  <c r="N339" i="25"/>
  <c r="N338" i="25"/>
  <c r="N337" i="25"/>
  <c r="N336" i="25"/>
  <c r="N335" i="25"/>
  <c r="N334" i="25"/>
  <c r="N333" i="25"/>
  <c r="N332" i="25"/>
  <c r="N331" i="25"/>
  <c r="N330" i="25"/>
  <c r="N329" i="25"/>
  <c r="N328" i="25"/>
  <c r="N327" i="25"/>
  <c r="N326" i="25"/>
  <c r="N325" i="25"/>
  <c r="N324" i="25"/>
  <c r="N323" i="25"/>
  <c r="N322" i="25"/>
  <c r="N321" i="25"/>
  <c r="N320" i="25"/>
  <c r="N319" i="25"/>
  <c r="N318" i="25"/>
  <c r="N317" i="25"/>
  <c r="N316" i="25"/>
  <c r="N315" i="25"/>
  <c r="N314" i="25"/>
  <c r="N313" i="25"/>
  <c r="N312" i="25"/>
  <c r="N311" i="25"/>
  <c r="N310" i="25"/>
  <c r="N309" i="25"/>
  <c r="N308" i="25"/>
  <c r="N35" i="25"/>
  <c r="N300" i="25"/>
  <c r="N24" i="25"/>
  <c r="N4" i="25"/>
  <c r="N60" i="25"/>
  <c r="N51" i="25"/>
  <c r="N282" i="25"/>
  <c r="N2" i="25"/>
  <c r="N292" i="25"/>
  <c r="N36" i="25"/>
  <c r="N75" i="25"/>
  <c r="N56" i="25"/>
  <c r="N276" i="25"/>
  <c r="N44" i="25"/>
  <c r="N272" i="25"/>
  <c r="N266" i="25"/>
  <c r="N267" i="25"/>
  <c r="N64" i="25"/>
  <c r="N270" i="25"/>
  <c r="N15" i="25"/>
  <c r="N17" i="25"/>
  <c r="N265" i="25"/>
  <c r="N42" i="25"/>
  <c r="N70" i="25"/>
  <c r="N252" i="25"/>
  <c r="N251" i="25"/>
  <c r="N245" i="25"/>
  <c r="N10" i="25"/>
  <c r="N250" i="25"/>
  <c r="N248" i="25"/>
  <c r="N247" i="25"/>
  <c r="N77" i="25"/>
  <c r="N76" i="25"/>
  <c r="N78" i="25"/>
  <c r="N80" i="25"/>
  <c r="N79" i="25"/>
  <c r="N83" i="25"/>
  <c r="N82" i="25"/>
  <c r="N84" i="25"/>
  <c r="N81" i="25"/>
  <c r="N85" i="25"/>
  <c r="N86" i="25"/>
  <c r="N87" i="25"/>
  <c r="N88" i="25"/>
  <c r="N89" i="25"/>
  <c r="N91" i="25"/>
  <c r="N90" i="25"/>
  <c r="N92" i="25"/>
  <c r="N94" i="25"/>
  <c r="N93" i="25"/>
  <c r="N96" i="25"/>
  <c r="N95" i="25"/>
  <c r="N97" i="25"/>
  <c r="N98" i="25"/>
  <c r="N99" i="25"/>
  <c r="N105" i="25"/>
  <c r="N101" i="25"/>
  <c r="N102" i="25"/>
  <c r="N103" i="25"/>
  <c r="N106" i="25"/>
  <c r="N104" i="25"/>
  <c r="N100" i="25"/>
  <c r="N109" i="25"/>
  <c r="N107" i="25"/>
  <c r="N108" i="25"/>
  <c r="N112" i="25"/>
  <c r="N111" i="25"/>
  <c r="N110" i="25"/>
  <c r="N114" i="25"/>
  <c r="N113" i="25"/>
  <c r="N115" i="25"/>
  <c r="N118" i="25"/>
  <c r="N116" i="25"/>
  <c r="N117" i="25"/>
  <c r="N119" i="25"/>
  <c r="N121" i="25"/>
  <c r="N120" i="25"/>
  <c r="N126" i="25"/>
  <c r="N122" i="25"/>
  <c r="N123" i="25"/>
  <c r="N125" i="25"/>
  <c r="N124" i="25"/>
  <c r="N133" i="25"/>
  <c r="N127" i="25"/>
  <c r="N128" i="25"/>
  <c r="N130" i="25"/>
  <c r="N132" i="25"/>
  <c r="N131" i="25"/>
  <c r="N129" i="25"/>
  <c r="N134" i="25"/>
  <c r="N135" i="25"/>
  <c r="N136" i="25"/>
  <c r="N147" i="25"/>
  <c r="N146" i="25"/>
  <c r="N138" i="25"/>
  <c r="N137" i="25"/>
  <c r="N148" i="25"/>
  <c r="N141" i="25"/>
  <c r="N143" i="25"/>
  <c r="N139" i="25"/>
  <c r="N140" i="25"/>
  <c r="N144" i="25"/>
  <c r="N145" i="25"/>
  <c r="N142" i="25"/>
  <c r="N149" i="25"/>
  <c r="N150" i="25"/>
  <c r="N152" i="25"/>
  <c r="N154" i="25"/>
  <c r="N151" i="25"/>
  <c r="N153" i="25"/>
  <c r="N155" i="25"/>
  <c r="N156" i="25"/>
  <c r="N157" i="25"/>
  <c r="N158" i="25"/>
  <c r="N159" i="25"/>
  <c r="N160" i="25"/>
  <c r="N162" i="25"/>
  <c r="N161" i="25"/>
  <c r="N164" i="25"/>
  <c r="N163" i="25"/>
  <c r="N165" i="25"/>
  <c r="N166" i="25"/>
  <c r="N167" i="25"/>
  <c r="N168" i="25"/>
  <c r="N169" i="25"/>
  <c r="N171" i="25"/>
  <c r="N170" i="25"/>
  <c r="N174" i="25"/>
  <c r="N172" i="25"/>
  <c r="N173" i="25"/>
  <c r="N175" i="25"/>
  <c r="N176" i="25"/>
  <c r="N177" i="25"/>
  <c r="N180" i="25"/>
  <c r="N178" i="25"/>
  <c r="N179" i="25"/>
  <c r="N184" i="25"/>
  <c r="N182" i="25"/>
  <c r="N183" i="25"/>
  <c r="N181" i="25"/>
  <c r="N185" i="25"/>
  <c r="N186" i="25"/>
  <c r="N188" i="25"/>
  <c r="N187" i="25"/>
  <c r="N192" i="25"/>
  <c r="N193" i="25"/>
  <c r="N190" i="25"/>
  <c r="N189" i="25"/>
  <c r="N191" i="25"/>
  <c r="N194" i="25"/>
  <c r="N195" i="25"/>
  <c r="N198" i="25"/>
  <c r="N196" i="25"/>
  <c r="N197" i="25"/>
  <c r="N199" i="25"/>
  <c r="N200" i="25"/>
  <c r="N201" i="25"/>
  <c r="N202" i="25"/>
  <c r="N203" i="25"/>
  <c r="N206" i="25"/>
  <c r="N205" i="25"/>
  <c r="N204" i="25"/>
  <c r="N207" i="25"/>
  <c r="N208" i="25"/>
  <c r="N216" i="25"/>
  <c r="N210" i="25"/>
  <c r="N217" i="25"/>
  <c r="N211" i="25"/>
  <c r="N215" i="25"/>
  <c r="N209" i="25"/>
  <c r="N212" i="25"/>
  <c r="N213" i="25"/>
  <c r="N214" i="25"/>
  <c r="N229" i="25"/>
  <c r="N223" i="25"/>
  <c r="N228" i="25"/>
  <c r="N230" i="25"/>
  <c r="N227" i="25"/>
  <c r="N218" i="25"/>
  <c r="N221" i="25"/>
  <c r="N226" i="25"/>
  <c r="N224" i="25"/>
  <c r="N222" i="25"/>
  <c r="N225" i="25"/>
  <c r="N220" i="25"/>
  <c r="N232" i="25"/>
  <c r="N233" i="25"/>
  <c r="N234" i="25"/>
  <c r="N235" i="25"/>
  <c r="N236" i="25"/>
  <c r="N237" i="25"/>
  <c r="N238" i="25"/>
  <c r="N239" i="25"/>
  <c r="N240" i="25"/>
  <c r="N241" i="25"/>
  <c r="N243" i="25"/>
  <c r="N244" i="25"/>
  <c r="N242" i="25"/>
  <c r="N249" i="25"/>
  <c r="N264" i="25"/>
  <c r="N293" i="25"/>
  <c r="N21" i="25"/>
  <c r="N261" i="25"/>
  <c r="N259" i="25"/>
  <c r="N20" i="25"/>
  <c r="N47" i="25"/>
  <c r="N285" i="25"/>
  <c r="N13" i="25"/>
  <c r="N9" i="25"/>
  <c r="N57" i="25"/>
  <c r="N283" i="25"/>
  <c r="N32" i="25"/>
  <c r="N219" i="25"/>
  <c r="N294" i="25"/>
  <c r="N256" i="25"/>
  <c r="N263" i="25"/>
  <c r="N262" i="25"/>
  <c r="N38" i="25"/>
  <c r="N278" i="25"/>
  <c r="N260" i="25"/>
  <c r="N281" i="25"/>
  <c r="N274" i="25"/>
  <c r="N19" i="25"/>
  <c r="N26" i="25"/>
  <c r="N48" i="25"/>
  <c r="N41" i="25"/>
  <c r="N22" i="25"/>
  <c r="N39" i="25"/>
  <c r="N12" i="25"/>
  <c r="N11" i="25"/>
  <c r="N280" i="25"/>
  <c r="N46" i="25"/>
  <c r="N27" i="25"/>
  <c r="N289" i="25"/>
  <c r="N6" i="25"/>
  <c r="N45" i="25"/>
  <c r="N257" i="25"/>
  <c r="N55" i="25"/>
  <c r="N298" i="25"/>
  <c r="N37" i="25"/>
  <c r="N14" i="25"/>
  <c r="N40" i="25"/>
  <c r="N273" i="25"/>
  <c r="N269" i="25"/>
  <c r="N50" i="25"/>
  <c r="N296" i="25"/>
  <c r="N297" i="25"/>
  <c r="N271" i="25"/>
  <c r="N303" i="25"/>
  <c r="N58" i="25"/>
  <c r="N305" i="25"/>
  <c r="N290" i="25"/>
  <c r="N29" i="25"/>
  <c r="N23" i="25"/>
  <c r="N52" i="25"/>
  <c r="N33" i="25"/>
  <c r="N62" i="25"/>
  <c r="N43" i="25"/>
  <c r="N49" i="25"/>
  <c r="N30" i="25"/>
  <c r="N253" i="25"/>
  <c r="N287" i="25"/>
  <c r="N277" i="25"/>
  <c r="N54" i="25"/>
  <c r="N67" i="25"/>
  <c r="N301" i="25"/>
  <c r="N31" i="25"/>
  <c r="N16" i="25"/>
  <c r="N53" i="25"/>
  <c r="N288" i="25"/>
  <c r="N286" i="25"/>
  <c r="N304" i="25"/>
  <c r="N284" i="25"/>
  <c r="N254" i="25"/>
  <c r="N231" i="25"/>
  <c r="N5" i="25"/>
  <c r="N3" i="25"/>
  <c r="N295" i="25"/>
  <c r="N258" i="25"/>
  <c r="N25" i="25"/>
  <c r="N307" i="25"/>
  <c r="N306" i="25"/>
  <c r="N275" i="25"/>
  <c r="N71" i="25"/>
  <c r="N34" i="25"/>
  <c r="N299" i="25"/>
  <c r="N279" i="25"/>
  <c r="N72" i="25"/>
  <c r="N28" i="25"/>
  <c r="N61" i="25"/>
  <c r="N68" i="25"/>
  <c r="N66" i="25"/>
  <c r="N291" i="25"/>
  <c r="N268" i="25"/>
  <c r="N74" i="25"/>
  <c r="N8" i="25"/>
  <c r="N59" i="25"/>
  <c r="N246" i="25"/>
  <c r="N255" i="25"/>
  <c r="N65" i="25"/>
  <c r="N69" i="25"/>
  <c r="N73" i="25"/>
  <c r="N63" i="25"/>
  <c r="N7" i="25"/>
  <c r="N18" i="25"/>
  <c r="DB2" i="27"/>
  <c r="DD2" i="27"/>
  <c r="DB5" i="27"/>
  <c r="DD5" i="27"/>
  <c r="DB30" i="27"/>
  <c r="DD30" i="27"/>
  <c r="DB28" i="27"/>
  <c r="DD28" i="27"/>
  <c r="DB3" i="27"/>
  <c r="DD3" i="27"/>
  <c r="DB6" i="27"/>
  <c r="DD6" i="27"/>
  <c r="DB29" i="27"/>
  <c r="DD29" i="27"/>
  <c r="DB21" i="27"/>
  <c r="DD21" i="27"/>
  <c r="DB19" i="27"/>
  <c r="DD19" i="27"/>
  <c r="DB23" i="27"/>
  <c r="DD23" i="27"/>
  <c r="DB25" i="27"/>
  <c r="DD25" i="27"/>
  <c r="DB26" i="27"/>
  <c r="DD26" i="27"/>
  <c r="DB12" i="27"/>
  <c r="DD12" i="27"/>
  <c r="DB24" i="27"/>
  <c r="DD24" i="27"/>
  <c r="DB22" i="27"/>
  <c r="DD22" i="27"/>
  <c r="DB9" i="27"/>
  <c r="DD9" i="27"/>
  <c r="DD32" i="27"/>
  <c r="DD35" i="27"/>
  <c r="DD37" i="27"/>
  <c r="DC37" i="27"/>
  <c r="DB37" i="27"/>
  <c r="DC9" i="27"/>
  <c r="DC22" i="27"/>
  <c r="DC24" i="27"/>
  <c r="DC12" i="27"/>
  <c r="DC26" i="27"/>
  <c r="DC25" i="27"/>
  <c r="DC23" i="27"/>
  <c r="DC19" i="27"/>
  <c r="DC21" i="27"/>
  <c r="DC29" i="27"/>
  <c r="DC6" i="27"/>
  <c r="DC3" i="27"/>
  <c r="DC28" i="27"/>
  <c r="DC30" i="27"/>
  <c r="DC5" i="27"/>
  <c r="DC2" i="27"/>
  <c r="CY2" i="27"/>
  <c r="DA2" i="27"/>
  <c r="CY5" i="27"/>
  <c r="DA5" i="27"/>
  <c r="CY30" i="27"/>
  <c r="DA30" i="27"/>
  <c r="CY28" i="27"/>
  <c r="DA28" i="27"/>
  <c r="CY3" i="27"/>
  <c r="DA3" i="27"/>
  <c r="CY6" i="27"/>
  <c r="DA6" i="27"/>
  <c r="CY29" i="27"/>
  <c r="DA29" i="27"/>
  <c r="CY21" i="27"/>
  <c r="DA21" i="27"/>
  <c r="CY19" i="27"/>
  <c r="DA19" i="27"/>
  <c r="CY23" i="27"/>
  <c r="DA23" i="27"/>
  <c r="CY25" i="27"/>
  <c r="DA25" i="27"/>
  <c r="CY26" i="27"/>
  <c r="DA26" i="27"/>
  <c r="CY12" i="27"/>
  <c r="DA12" i="27"/>
  <c r="CY24" i="27"/>
  <c r="DA24" i="27"/>
  <c r="CY22" i="27"/>
  <c r="DA22" i="27"/>
  <c r="CY9" i="27"/>
  <c r="DA9" i="27"/>
  <c r="DA32" i="27"/>
  <c r="DA35" i="27"/>
  <c r="DA37" i="27"/>
  <c r="CZ37" i="27"/>
  <c r="CY37" i="27"/>
  <c r="CZ9" i="27"/>
  <c r="CZ22" i="27"/>
  <c r="CZ24" i="27"/>
  <c r="CZ12" i="27"/>
  <c r="CZ26" i="27"/>
  <c r="CZ25" i="27"/>
  <c r="CZ23" i="27"/>
  <c r="CZ19" i="27"/>
  <c r="CZ21" i="27"/>
  <c r="CZ29" i="27"/>
  <c r="CZ6" i="27"/>
  <c r="CZ3" i="27"/>
  <c r="CZ28" i="27"/>
  <c r="CZ30" i="27"/>
  <c r="CZ5" i="27"/>
  <c r="CZ2" i="27"/>
  <c r="CV2" i="27"/>
  <c r="CX2" i="27"/>
  <c r="CV5" i="27"/>
  <c r="CX5" i="27"/>
  <c r="CV30" i="27"/>
  <c r="CX30" i="27"/>
  <c r="CV28" i="27"/>
  <c r="CX28" i="27"/>
  <c r="CV3" i="27"/>
  <c r="CX3" i="27"/>
  <c r="CV23" i="27"/>
  <c r="CX23" i="27"/>
  <c r="CV29" i="27"/>
  <c r="CX29" i="27"/>
  <c r="CV21" i="27"/>
  <c r="CX21" i="27"/>
  <c r="CV6" i="27"/>
  <c r="CX6" i="27"/>
  <c r="CV19" i="27"/>
  <c r="CX19" i="27"/>
  <c r="CV25" i="27"/>
  <c r="CX25" i="27"/>
  <c r="CV26" i="27"/>
  <c r="CX26" i="27"/>
  <c r="CV12" i="27"/>
  <c r="CX12" i="27"/>
  <c r="CV24" i="27"/>
  <c r="CX24" i="27"/>
  <c r="CV22" i="27"/>
  <c r="CX22" i="27"/>
  <c r="CV9" i="27"/>
  <c r="CX9" i="27"/>
  <c r="CX32" i="27"/>
  <c r="CX35" i="27"/>
  <c r="CX37" i="27"/>
  <c r="CW37" i="27"/>
  <c r="CV37" i="27"/>
  <c r="CW9" i="27"/>
  <c r="CW22" i="27"/>
  <c r="CW24" i="27"/>
  <c r="CW12" i="27"/>
  <c r="CW26" i="27"/>
  <c r="CW25" i="27"/>
  <c r="CW19" i="27"/>
  <c r="CW6" i="27"/>
  <c r="CW21" i="27"/>
  <c r="CW29" i="27"/>
  <c r="CW23" i="27"/>
  <c r="CW3" i="27"/>
  <c r="CW28" i="27"/>
  <c r="CW30" i="27"/>
  <c r="CW5" i="27"/>
  <c r="CW2" i="27"/>
  <c r="CS2" i="27"/>
  <c r="CU2" i="27"/>
  <c r="CS5" i="27"/>
  <c r="CU5" i="27"/>
  <c r="CS30" i="27"/>
  <c r="CU30" i="27"/>
  <c r="CS28" i="27"/>
  <c r="CU28" i="27"/>
  <c r="CS3" i="27"/>
  <c r="CU3" i="27"/>
  <c r="CS23" i="27"/>
  <c r="CU23" i="27"/>
  <c r="CS29" i="27"/>
  <c r="CU29" i="27"/>
  <c r="CS21" i="27"/>
  <c r="CU21" i="27"/>
  <c r="CS6" i="27"/>
  <c r="CU6" i="27"/>
  <c r="CS19" i="27"/>
  <c r="CU19" i="27"/>
  <c r="CS25" i="27"/>
  <c r="CU25" i="27"/>
  <c r="CS26" i="27"/>
  <c r="CU26" i="27"/>
  <c r="CS12" i="27"/>
  <c r="CU12" i="27"/>
  <c r="CS24" i="27"/>
  <c r="CU24" i="27"/>
  <c r="CS22" i="27"/>
  <c r="CU22" i="27"/>
  <c r="CS9" i="27"/>
  <c r="CU9" i="27"/>
  <c r="CU32" i="27"/>
  <c r="CU35" i="27"/>
  <c r="CU37" i="27"/>
  <c r="CT37" i="27"/>
  <c r="CS37" i="27"/>
  <c r="CT9" i="27"/>
  <c r="CT22" i="27"/>
  <c r="CT24" i="27"/>
  <c r="CT12" i="27"/>
  <c r="CT26" i="27"/>
  <c r="CT25" i="27"/>
  <c r="CT19" i="27"/>
  <c r="CT6" i="27"/>
  <c r="CT21" i="27"/>
  <c r="CT29" i="27"/>
  <c r="CT23" i="27"/>
  <c r="CT3" i="27"/>
  <c r="CT28" i="27"/>
  <c r="CT30" i="27"/>
  <c r="CT5" i="27"/>
  <c r="CT2" i="27"/>
  <c r="R73" i="25"/>
  <c r="CP9" i="27"/>
  <c r="CQ9" i="27"/>
  <c r="CP5" i="27"/>
  <c r="CR5" i="27"/>
  <c r="CP30" i="27"/>
  <c r="CR30" i="27"/>
  <c r="CP28" i="27"/>
  <c r="CR28" i="27"/>
  <c r="CP3" i="27"/>
  <c r="CR3" i="27"/>
  <c r="CP23" i="27"/>
  <c r="CR23" i="27"/>
  <c r="CP19" i="27"/>
  <c r="CR19" i="27"/>
  <c r="CP21" i="27"/>
  <c r="CR21" i="27"/>
  <c r="CP6" i="27"/>
  <c r="CR6" i="27"/>
  <c r="CP29" i="27"/>
  <c r="CR29" i="27"/>
  <c r="CP25" i="27"/>
  <c r="CR25" i="27"/>
  <c r="CP26" i="27"/>
  <c r="CR26" i="27"/>
  <c r="CP12" i="27"/>
  <c r="CR12" i="27"/>
  <c r="CP24" i="27"/>
  <c r="CR24" i="27"/>
  <c r="CP22" i="27"/>
  <c r="CR22" i="27"/>
  <c r="CR9" i="27"/>
  <c r="ER37" i="27"/>
  <c r="ES37" i="27"/>
  <c r="CQ19" i="27"/>
  <c r="CQ12" i="27"/>
  <c r="CP2" i="27"/>
  <c r="CR2" i="27"/>
  <c r="CR32" i="27"/>
  <c r="CR35" i="27"/>
  <c r="CR37" i="27"/>
  <c r="CQ37" i="27"/>
  <c r="CP37" i="27"/>
  <c r="CQ21" i="27"/>
  <c r="CQ6" i="27"/>
  <c r="CQ3" i="27"/>
  <c r="CQ28" i="27"/>
  <c r="CQ23" i="27"/>
  <c r="CQ25" i="27"/>
  <c r="CQ22" i="27"/>
  <c r="CQ24" i="27"/>
  <c r="CQ26" i="27"/>
  <c r="CQ29" i="27"/>
  <c r="CQ30" i="27"/>
  <c r="CQ5" i="27"/>
  <c r="CQ2" i="27"/>
  <c r="CM2" i="27"/>
  <c r="CO2" i="27"/>
  <c r="CM5" i="27"/>
  <c r="CO5" i="27"/>
  <c r="CM30" i="27"/>
  <c r="CO30" i="27"/>
  <c r="CM29" i="27"/>
  <c r="CO29" i="27"/>
  <c r="CM26" i="27"/>
  <c r="CO26" i="27"/>
  <c r="CM24" i="27"/>
  <c r="CO24" i="27"/>
  <c r="CM22" i="27"/>
  <c r="CO22" i="27"/>
  <c r="CM9" i="27"/>
  <c r="CO9" i="27"/>
  <c r="CM25" i="27"/>
  <c r="CO25" i="27"/>
  <c r="CM23" i="27"/>
  <c r="CO23" i="27"/>
  <c r="CM12" i="27"/>
  <c r="CO12" i="27"/>
  <c r="CM28" i="27"/>
  <c r="CO28" i="27"/>
  <c r="CM3" i="27"/>
  <c r="CO3" i="27"/>
  <c r="CM18" i="27"/>
  <c r="CO18" i="27"/>
  <c r="CM6" i="27"/>
  <c r="CO6" i="27"/>
  <c r="CM21" i="27"/>
  <c r="CO21" i="27"/>
  <c r="CO32" i="27"/>
  <c r="CO35" i="27"/>
  <c r="CO37" i="27"/>
  <c r="CN37" i="27"/>
  <c r="CM37" i="27"/>
  <c r="CN21" i="27"/>
  <c r="CN6" i="27"/>
  <c r="CN18" i="27"/>
  <c r="CN3" i="27"/>
  <c r="CN28" i="27"/>
  <c r="CN12" i="27"/>
  <c r="CN23" i="27"/>
  <c r="CN25" i="27"/>
  <c r="CN9" i="27"/>
  <c r="CN22" i="27"/>
  <c r="CN24" i="27"/>
  <c r="CN26" i="27"/>
  <c r="CN29" i="27"/>
  <c r="CN30" i="27"/>
  <c r="CN5" i="27"/>
  <c r="CN2" i="27"/>
  <c r="T420" i="25"/>
  <c r="R420" i="25"/>
  <c r="O420" i="25"/>
  <c r="T419" i="25"/>
  <c r="R419" i="25"/>
  <c r="O419" i="25"/>
  <c r="T418" i="25"/>
  <c r="R418" i="25"/>
  <c r="O418" i="25"/>
  <c r="T417" i="25"/>
  <c r="R417" i="25"/>
  <c r="O417" i="25"/>
  <c r="T416" i="25"/>
  <c r="R416" i="25"/>
  <c r="O416" i="25"/>
  <c r="T415" i="25"/>
  <c r="R415" i="25"/>
  <c r="O415" i="25"/>
  <c r="T414" i="25"/>
  <c r="R414" i="25"/>
  <c r="O414" i="25"/>
  <c r="T413" i="25"/>
  <c r="R413" i="25"/>
  <c r="O413" i="25"/>
  <c r="T412" i="25"/>
  <c r="R412" i="25"/>
  <c r="O412" i="25"/>
  <c r="T411" i="25"/>
  <c r="R411" i="25"/>
  <c r="O411" i="25"/>
  <c r="T410" i="25"/>
  <c r="R410" i="25"/>
  <c r="O410" i="25"/>
  <c r="T409" i="25"/>
  <c r="R409" i="25"/>
  <c r="O409" i="25"/>
  <c r="T408" i="25"/>
  <c r="R408" i="25"/>
  <c r="O408" i="25"/>
  <c r="T407" i="25"/>
  <c r="R407" i="25"/>
  <c r="O407" i="25"/>
  <c r="T406" i="25"/>
  <c r="R406" i="25"/>
  <c r="O406" i="25"/>
  <c r="T405" i="25"/>
  <c r="R405" i="25"/>
  <c r="O405" i="25"/>
  <c r="T404" i="25"/>
  <c r="R404" i="25"/>
  <c r="O404" i="25"/>
  <c r="T403" i="25"/>
  <c r="R403" i="25"/>
  <c r="O403" i="25"/>
  <c r="T402" i="25"/>
  <c r="R402" i="25"/>
  <c r="O402" i="25"/>
  <c r="T401" i="25"/>
  <c r="R401" i="25"/>
  <c r="O401" i="25"/>
  <c r="T400" i="25"/>
  <c r="R400" i="25"/>
  <c r="O400" i="25"/>
  <c r="T399" i="25"/>
  <c r="R399" i="25"/>
  <c r="O399" i="25"/>
  <c r="T398" i="25"/>
  <c r="R398" i="25"/>
  <c r="O398" i="25"/>
  <c r="T397" i="25"/>
  <c r="R397" i="25"/>
  <c r="O397" i="25"/>
  <c r="T396" i="25"/>
  <c r="R396" i="25"/>
  <c r="O396" i="25"/>
  <c r="T395" i="25"/>
  <c r="R395" i="25"/>
  <c r="O395" i="25"/>
  <c r="T394" i="25"/>
  <c r="R394" i="25"/>
  <c r="O394" i="25"/>
  <c r="T393" i="25"/>
  <c r="R393" i="25"/>
  <c r="O393" i="25"/>
  <c r="T392" i="25"/>
  <c r="R392" i="25"/>
  <c r="O392" i="25"/>
  <c r="T391" i="25"/>
  <c r="R391" i="25"/>
  <c r="O391" i="25"/>
  <c r="T390" i="25"/>
  <c r="R390" i="25"/>
  <c r="O390" i="25"/>
  <c r="T389" i="25"/>
  <c r="R389" i="25"/>
  <c r="O389" i="25"/>
  <c r="T388" i="25"/>
  <c r="R388" i="25"/>
  <c r="O388" i="25"/>
  <c r="T387" i="25"/>
  <c r="R387" i="25"/>
  <c r="O387" i="25"/>
  <c r="T386" i="25"/>
  <c r="R386" i="25"/>
  <c r="O386" i="25"/>
  <c r="T385" i="25"/>
  <c r="R385" i="25"/>
  <c r="O385" i="25"/>
  <c r="T384" i="25"/>
  <c r="R384" i="25"/>
  <c r="O384" i="25"/>
  <c r="T383" i="25"/>
  <c r="R383" i="25"/>
  <c r="O383" i="25"/>
  <c r="T382" i="25"/>
  <c r="R382" i="25"/>
  <c r="O382" i="25"/>
  <c r="T381" i="25"/>
  <c r="R381" i="25"/>
  <c r="O381" i="25"/>
  <c r="T380" i="25"/>
  <c r="R380" i="25"/>
  <c r="O380" i="25"/>
  <c r="T379" i="25"/>
  <c r="R379" i="25"/>
  <c r="O379" i="25"/>
  <c r="T378" i="25"/>
  <c r="R378" i="25"/>
  <c r="O378" i="25"/>
  <c r="T377" i="25"/>
  <c r="R377" i="25"/>
  <c r="O377" i="25"/>
  <c r="T376" i="25"/>
  <c r="R376" i="25"/>
  <c r="O376" i="25"/>
  <c r="T375" i="25"/>
  <c r="R375" i="25"/>
  <c r="O375" i="25"/>
  <c r="T374" i="25"/>
  <c r="R374" i="25"/>
  <c r="O374" i="25"/>
  <c r="T373" i="25"/>
  <c r="R373" i="25"/>
  <c r="O373" i="25"/>
  <c r="T372" i="25"/>
  <c r="R372" i="25"/>
  <c r="O372" i="25"/>
  <c r="T371" i="25"/>
  <c r="R371" i="25"/>
  <c r="O371" i="25"/>
  <c r="T370" i="25"/>
  <c r="R370" i="25"/>
  <c r="O370" i="25"/>
  <c r="T369" i="25"/>
  <c r="R369" i="25"/>
  <c r="O369" i="25"/>
  <c r="T368" i="25"/>
  <c r="R368" i="25"/>
  <c r="O368" i="25"/>
  <c r="T367" i="25"/>
  <c r="R367" i="25"/>
  <c r="O367" i="25"/>
  <c r="T366" i="25"/>
  <c r="R366" i="25"/>
  <c r="O366" i="25"/>
  <c r="T365" i="25"/>
  <c r="R365" i="25"/>
  <c r="O365" i="25"/>
  <c r="T364" i="25"/>
  <c r="R364" i="25"/>
  <c r="O364" i="25"/>
  <c r="T363" i="25"/>
  <c r="R363" i="25"/>
  <c r="O363" i="25"/>
  <c r="T362" i="25"/>
  <c r="R362" i="25"/>
  <c r="O362" i="25"/>
  <c r="T361" i="25"/>
  <c r="R361" i="25"/>
  <c r="O361" i="25"/>
  <c r="T360" i="25"/>
  <c r="R360" i="25"/>
  <c r="O360" i="25"/>
  <c r="T359" i="25"/>
  <c r="R359" i="25"/>
  <c r="O359" i="25"/>
  <c r="T358" i="25"/>
  <c r="R358" i="25"/>
  <c r="O358" i="25"/>
  <c r="T357" i="25"/>
  <c r="R357" i="25"/>
  <c r="O357" i="25"/>
  <c r="T356" i="25"/>
  <c r="R356" i="25"/>
  <c r="O356" i="25"/>
  <c r="T355" i="25"/>
  <c r="R355" i="25"/>
  <c r="O355" i="25"/>
  <c r="T354" i="25"/>
  <c r="R354" i="25"/>
  <c r="O354" i="25"/>
  <c r="T353" i="25"/>
  <c r="R353" i="25"/>
  <c r="O353" i="25"/>
  <c r="T352" i="25"/>
  <c r="R352" i="25"/>
  <c r="O352" i="25"/>
  <c r="T351" i="25"/>
  <c r="R351" i="25"/>
  <c r="O351" i="25"/>
  <c r="T350" i="25"/>
  <c r="R350" i="25"/>
  <c r="O350" i="25"/>
  <c r="T349" i="25"/>
  <c r="R349" i="25"/>
  <c r="O349" i="25"/>
  <c r="T348" i="25"/>
  <c r="R348" i="25"/>
  <c r="O348" i="25"/>
  <c r="T347" i="25"/>
  <c r="R347" i="25"/>
  <c r="O347" i="25"/>
  <c r="T346" i="25"/>
  <c r="R346" i="25"/>
  <c r="O346" i="25"/>
  <c r="T345" i="25"/>
  <c r="R345" i="25"/>
  <c r="O345" i="25"/>
  <c r="T344" i="25"/>
  <c r="R344" i="25"/>
  <c r="O344" i="25"/>
  <c r="T343" i="25"/>
  <c r="R343" i="25"/>
  <c r="O343" i="25"/>
  <c r="T342" i="25"/>
  <c r="R342" i="25"/>
  <c r="O342" i="25"/>
  <c r="T341" i="25"/>
  <c r="R341" i="25"/>
  <c r="O341" i="25"/>
  <c r="T340" i="25"/>
  <c r="R340" i="25"/>
  <c r="O340" i="25"/>
  <c r="T339" i="25"/>
  <c r="R339" i="25"/>
  <c r="O339" i="25"/>
  <c r="T338" i="25"/>
  <c r="R338" i="25"/>
  <c r="O338" i="25"/>
  <c r="T337" i="25"/>
  <c r="R337" i="25"/>
  <c r="O337" i="25"/>
  <c r="T336" i="25"/>
  <c r="R336" i="25"/>
  <c r="O336" i="25"/>
  <c r="T335" i="25"/>
  <c r="R335" i="25"/>
  <c r="O335" i="25"/>
  <c r="T334" i="25"/>
  <c r="R334" i="25"/>
  <c r="O334" i="25"/>
  <c r="T333" i="25"/>
  <c r="R333" i="25"/>
  <c r="O333" i="25"/>
  <c r="T332" i="25"/>
  <c r="R332" i="25"/>
  <c r="O332" i="25"/>
  <c r="T331" i="25"/>
  <c r="R331" i="25"/>
  <c r="O331" i="25"/>
  <c r="T330" i="25"/>
  <c r="R330" i="25"/>
  <c r="O330" i="25"/>
  <c r="T329" i="25"/>
  <c r="R329" i="25"/>
  <c r="O329" i="25"/>
  <c r="T328" i="25"/>
  <c r="R328" i="25"/>
  <c r="O328" i="25"/>
  <c r="T327" i="25"/>
  <c r="R327" i="25"/>
  <c r="O327" i="25"/>
  <c r="T326" i="25"/>
  <c r="R326" i="25"/>
  <c r="O326" i="25"/>
  <c r="T325" i="25"/>
  <c r="R325" i="25"/>
  <c r="O325" i="25"/>
  <c r="T324" i="25"/>
  <c r="R324" i="25"/>
  <c r="O324" i="25"/>
  <c r="T323" i="25"/>
  <c r="R323" i="25"/>
  <c r="O323" i="25"/>
  <c r="T322" i="25"/>
  <c r="R322" i="25"/>
  <c r="O322" i="25"/>
  <c r="T321" i="25"/>
  <c r="R321" i="25"/>
  <c r="O321" i="25"/>
  <c r="T320" i="25"/>
  <c r="R320" i="25"/>
  <c r="O320" i="25"/>
  <c r="T319" i="25"/>
  <c r="R319" i="25"/>
  <c r="O319" i="25"/>
  <c r="T318" i="25"/>
  <c r="R318" i="25"/>
  <c r="O318" i="25"/>
  <c r="T317" i="25"/>
  <c r="R317" i="25"/>
  <c r="O317" i="25"/>
  <c r="T316" i="25"/>
  <c r="R316" i="25"/>
  <c r="O316" i="25"/>
  <c r="T315" i="25"/>
  <c r="R315" i="25"/>
  <c r="O315" i="25"/>
  <c r="T314" i="25"/>
  <c r="R314" i="25"/>
  <c r="O314" i="25"/>
  <c r="T313" i="25"/>
  <c r="R313" i="25"/>
  <c r="O313" i="25"/>
  <c r="T312" i="25"/>
  <c r="R312" i="25"/>
  <c r="O312" i="25"/>
  <c r="T311" i="25"/>
  <c r="R311" i="25"/>
  <c r="O311" i="25"/>
  <c r="T310" i="25"/>
  <c r="R310" i="25"/>
  <c r="O310" i="25"/>
  <c r="T309" i="25"/>
  <c r="R309" i="25"/>
  <c r="O309" i="25"/>
  <c r="T308" i="25"/>
  <c r="R308" i="25"/>
  <c r="O308" i="25"/>
  <c r="T35" i="25"/>
  <c r="R35" i="25"/>
  <c r="O35" i="25"/>
  <c r="T300" i="25"/>
  <c r="R300" i="25"/>
  <c r="O300" i="25"/>
  <c r="T24" i="25"/>
  <c r="R24" i="25"/>
  <c r="O24" i="25"/>
  <c r="T4" i="25"/>
  <c r="R4" i="25"/>
  <c r="O4" i="25"/>
  <c r="T60" i="25"/>
  <c r="R60" i="25"/>
  <c r="O60" i="25"/>
  <c r="T51" i="25"/>
  <c r="R51" i="25"/>
  <c r="O51" i="25"/>
  <c r="T282" i="25"/>
  <c r="R282" i="25"/>
  <c r="O282" i="25"/>
  <c r="T2" i="25"/>
  <c r="R2" i="25"/>
  <c r="O2" i="25"/>
  <c r="T292" i="25"/>
  <c r="R292" i="25"/>
  <c r="O292" i="25"/>
  <c r="T36" i="25"/>
  <c r="R36" i="25"/>
  <c r="O36" i="25"/>
  <c r="T75" i="25"/>
  <c r="R75" i="25"/>
  <c r="O75" i="25"/>
  <c r="T56" i="25"/>
  <c r="R56" i="25"/>
  <c r="O56" i="25"/>
  <c r="T276" i="25"/>
  <c r="R276" i="25"/>
  <c r="O276" i="25"/>
  <c r="T44" i="25"/>
  <c r="R44" i="25"/>
  <c r="O44" i="25"/>
  <c r="T272" i="25"/>
  <c r="R272" i="25"/>
  <c r="O272" i="25"/>
  <c r="T266" i="25"/>
  <c r="R266" i="25"/>
  <c r="O266" i="25"/>
  <c r="T267" i="25"/>
  <c r="R267" i="25"/>
  <c r="O267" i="25"/>
  <c r="T64" i="25"/>
  <c r="R64" i="25"/>
  <c r="O64" i="25"/>
  <c r="T270" i="25"/>
  <c r="R270" i="25"/>
  <c r="O270" i="25"/>
  <c r="T15" i="25"/>
  <c r="R15" i="25"/>
  <c r="O15" i="25"/>
  <c r="T17" i="25"/>
  <c r="R17" i="25"/>
  <c r="O17" i="25"/>
  <c r="T265" i="25"/>
  <c r="R265" i="25"/>
  <c r="O265" i="25"/>
  <c r="T42" i="25"/>
  <c r="R42" i="25"/>
  <c r="O42" i="25"/>
  <c r="T70" i="25"/>
  <c r="R70" i="25"/>
  <c r="O70" i="25"/>
  <c r="T22" i="25"/>
  <c r="R22" i="25"/>
  <c r="O22" i="25"/>
  <c r="T27" i="25"/>
  <c r="R27" i="25"/>
  <c r="O27" i="25"/>
  <c r="T58" i="25"/>
  <c r="R58" i="25"/>
  <c r="O58" i="25"/>
  <c r="T16" i="25"/>
  <c r="R16" i="25"/>
  <c r="O16" i="25"/>
  <c r="T280" i="25"/>
  <c r="R280" i="25"/>
  <c r="O280" i="25"/>
  <c r="T288" i="25"/>
  <c r="R288" i="25"/>
  <c r="O288" i="25"/>
  <c r="T43" i="25"/>
  <c r="R43" i="25"/>
  <c r="O43" i="25"/>
  <c r="T298" i="25"/>
  <c r="R298" i="25"/>
  <c r="O298" i="25"/>
  <c r="T289" i="25"/>
  <c r="R289" i="25"/>
  <c r="O289" i="25"/>
  <c r="T251" i="25"/>
  <c r="R251" i="25"/>
  <c r="O251" i="25"/>
  <c r="T284" i="25"/>
  <c r="R284" i="25"/>
  <c r="O284" i="25"/>
  <c r="T49" i="25"/>
  <c r="R49" i="25"/>
  <c r="O49" i="25"/>
  <c r="T40" i="25"/>
  <c r="R40" i="25"/>
  <c r="O40" i="25"/>
  <c r="T45" i="25"/>
  <c r="R45" i="25"/>
  <c r="O45" i="25"/>
  <c r="T262" i="25"/>
  <c r="R262" i="25"/>
  <c r="O262" i="25"/>
  <c r="T269" i="25"/>
  <c r="R269" i="25"/>
  <c r="O269" i="25"/>
  <c r="T278" i="25"/>
  <c r="R278" i="25"/>
  <c r="O278" i="25"/>
  <c r="T19" i="25"/>
  <c r="R19" i="25"/>
  <c r="O19" i="25"/>
  <c r="T256" i="25"/>
  <c r="R256" i="25"/>
  <c r="O256" i="25"/>
  <c r="T25" i="25"/>
  <c r="R25" i="25"/>
  <c r="O25" i="25"/>
  <c r="T287" i="25"/>
  <c r="R287" i="25"/>
  <c r="O287" i="25"/>
  <c r="T258" i="25"/>
  <c r="R258" i="25"/>
  <c r="O258" i="25"/>
  <c r="T241" i="25"/>
  <c r="R241" i="25"/>
  <c r="O241" i="25"/>
  <c r="T252" i="25"/>
  <c r="R252" i="25"/>
  <c r="O252" i="25"/>
  <c r="T297" i="25"/>
  <c r="R297" i="25"/>
  <c r="O297" i="25"/>
  <c r="T68" i="25"/>
  <c r="R68" i="25"/>
  <c r="O68" i="25"/>
  <c r="T250" i="25"/>
  <c r="R250" i="25"/>
  <c r="O250" i="25"/>
  <c r="T275" i="25"/>
  <c r="R275" i="25"/>
  <c r="O275" i="25"/>
  <c r="T3" i="25"/>
  <c r="R3" i="25"/>
  <c r="O3" i="25"/>
  <c r="T8" i="25"/>
  <c r="R8" i="25"/>
  <c r="O8" i="25"/>
  <c r="T257" i="25"/>
  <c r="R257" i="25"/>
  <c r="O257" i="25"/>
  <c r="T247" i="25"/>
  <c r="R247" i="25"/>
  <c r="O247" i="25"/>
  <c r="T268" i="25"/>
  <c r="R268" i="25"/>
  <c r="O268" i="25"/>
  <c r="T291" i="25"/>
  <c r="R291" i="25"/>
  <c r="O291" i="25"/>
  <c r="T279" i="25"/>
  <c r="R279" i="25"/>
  <c r="O279" i="25"/>
  <c r="T302" i="25"/>
  <c r="R302" i="25"/>
  <c r="O302" i="25"/>
  <c r="T61" i="25"/>
  <c r="R61" i="25"/>
  <c r="O61" i="25"/>
  <c r="T9" i="25"/>
  <c r="R9" i="25"/>
  <c r="O9" i="25"/>
  <c r="G420" i="25"/>
  <c r="I420" i="25"/>
  <c r="J420" i="25"/>
  <c r="L420" i="25"/>
  <c r="K420" i="25"/>
  <c r="H420" i="25"/>
  <c r="G419" i="25"/>
  <c r="I419" i="25"/>
  <c r="J419" i="25"/>
  <c r="L419" i="25"/>
  <c r="K419" i="25"/>
  <c r="H419" i="25"/>
  <c r="G418" i="25"/>
  <c r="I418" i="25"/>
  <c r="J418" i="25"/>
  <c r="L418" i="25"/>
  <c r="K418" i="25"/>
  <c r="H418" i="25"/>
  <c r="G417" i="25"/>
  <c r="I417" i="25"/>
  <c r="J417" i="25"/>
  <c r="L417" i="25"/>
  <c r="K417" i="25"/>
  <c r="H417" i="25"/>
  <c r="G416" i="25"/>
  <c r="I416" i="25"/>
  <c r="J416" i="25"/>
  <c r="L416" i="25"/>
  <c r="K416" i="25"/>
  <c r="H416" i="25"/>
  <c r="G415" i="25"/>
  <c r="I415" i="25"/>
  <c r="J415" i="25"/>
  <c r="L415" i="25"/>
  <c r="K415" i="25"/>
  <c r="H415" i="25"/>
  <c r="G414" i="25"/>
  <c r="I414" i="25"/>
  <c r="J414" i="25"/>
  <c r="L414" i="25"/>
  <c r="K414" i="25"/>
  <c r="H414" i="25"/>
  <c r="G413" i="25"/>
  <c r="I413" i="25"/>
  <c r="J413" i="25"/>
  <c r="L413" i="25"/>
  <c r="K413" i="25"/>
  <c r="H413" i="25"/>
  <c r="G412" i="25"/>
  <c r="I412" i="25"/>
  <c r="J412" i="25"/>
  <c r="L412" i="25"/>
  <c r="K412" i="25"/>
  <c r="H412" i="25"/>
  <c r="G411" i="25"/>
  <c r="I411" i="25"/>
  <c r="J411" i="25"/>
  <c r="L411" i="25"/>
  <c r="K411" i="25"/>
  <c r="H411" i="25"/>
  <c r="G410" i="25"/>
  <c r="I410" i="25"/>
  <c r="J410" i="25"/>
  <c r="L410" i="25"/>
  <c r="K410" i="25"/>
  <c r="H410" i="25"/>
  <c r="G409" i="25"/>
  <c r="I409" i="25"/>
  <c r="J409" i="25"/>
  <c r="L409" i="25"/>
  <c r="K409" i="25"/>
  <c r="H409" i="25"/>
  <c r="G408" i="25"/>
  <c r="I408" i="25"/>
  <c r="J408" i="25"/>
  <c r="L408" i="25"/>
  <c r="K408" i="25"/>
  <c r="H408" i="25"/>
  <c r="G407" i="25"/>
  <c r="I407" i="25"/>
  <c r="J407" i="25"/>
  <c r="L407" i="25"/>
  <c r="K407" i="25"/>
  <c r="H407" i="25"/>
  <c r="G406" i="25"/>
  <c r="I406" i="25"/>
  <c r="J406" i="25"/>
  <c r="L406" i="25"/>
  <c r="K406" i="25"/>
  <c r="H406" i="25"/>
  <c r="G405" i="25"/>
  <c r="I405" i="25"/>
  <c r="J405" i="25"/>
  <c r="L405" i="25"/>
  <c r="K405" i="25"/>
  <c r="H405" i="25"/>
  <c r="G404" i="25"/>
  <c r="I404" i="25"/>
  <c r="J404" i="25"/>
  <c r="L404" i="25"/>
  <c r="K404" i="25"/>
  <c r="H404" i="25"/>
  <c r="G403" i="25"/>
  <c r="I403" i="25"/>
  <c r="J403" i="25"/>
  <c r="L403" i="25"/>
  <c r="K403" i="25"/>
  <c r="H403" i="25"/>
  <c r="G402" i="25"/>
  <c r="I402" i="25"/>
  <c r="J402" i="25"/>
  <c r="L402" i="25"/>
  <c r="K402" i="25"/>
  <c r="H402" i="25"/>
  <c r="G401" i="25"/>
  <c r="I401" i="25"/>
  <c r="J401" i="25"/>
  <c r="L401" i="25"/>
  <c r="K401" i="25"/>
  <c r="H401" i="25"/>
  <c r="G400" i="25"/>
  <c r="I400" i="25"/>
  <c r="J400" i="25"/>
  <c r="L400" i="25"/>
  <c r="K400" i="25"/>
  <c r="H400" i="25"/>
  <c r="G399" i="25"/>
  <c r="I399" i="25"/>
  <c r="J399" i="25"/>
  <c r="L399" i="25"/>
  <c r="K399" i="25"/>
  <c r="H399" i="25"/>
  <c r="G398" i="25"/>
  <c r="I398" i="25"/>
  <c r="J398" i="25"/>
  <c r="L398" i="25"/>
  <c r="K398" i="25"/>
  <c r="H398" i="25"/>
  <c r="G397" i="25"/>
  <c r="I397" i="25"/>
  <c r="J397" i="25"/>
  <c r="L397" i="25"/>
  <c r="K397" i="25"/>
  <c r="H397" i="25"/>
  <c r="G396" i="25"/>
  <c r="I396" i="25"/>
  <c r="J396" i="25"/>
  <c r="L396" i="25"/>
  <c r="K396" i="25"/>
  <c r="H396" i="25"/>
  <c r="G395" i="25"/>
  <c r="I395" i="25"/>
  <c r="J395" i="25"/>
  <c r="L395" i="25"/>
  <c r="K395" i="25"/>
  <c r="H395" i="25"/>
  <c r="G394" i="25"/>
  <c r="I394" i="25"/>
  <c r="J394" i="25"/>
  <c r="L394" i="25"/>
  <c r="K394" i="25"/>
  <c r="H394" i="25"/>
  <c r="G393" i="25"/>
  <c r="I393" i="25"/>
  <c r="J393" i="25"/>
  <c r="L393" i="25"/>
  <c r="K393" i="25"/>
  <c r="H393" i="25"/>
  <c r="G392" i="25"/>
  <c r="I392" i="25"/>
  <c r="J392" i="25"/>
  <c r="L392" i="25"/>
  <c r="K392" i="25"/>
  <c r="H392" i="25"/>
  <c r="G391" i="25"/>
  <c r="I391" i="25"/>
  <c r="J391" i="25"/>
  <c r="L391" i="25"/>
  <c r="K391" i="25"/>
  <c r="H391" i="25"/>
  <c r="G390" i="25"/>
  <c r="I390" i="25"/>
  <c r="J390" i="25"/>
  <c r="L390" i="25"/>
  <c r="K390" i="25"/>
  <c r="H390" i="25"/>
  <c r="G389" i="25"/>
  <c r="I389" i="25"/>
  <c r="J389" i="25"/>
  <c r="L389" i="25"/>
  <c r="K389" i="25"/>
  <c r="H389" i="25"/>
  <c r="G388" i="25"/>
  <c r="I388" i="25"/>
  <c r="J388" i="25"/>
  <c r="L388" i="25"/>
  <c r="K388" i="25"/>
  <c r="H388" i="25"/>
  <c r="G387" i="25"/>
  <c r="I387" i="25"/>
  <c r="J387" i="25"/>
  <c r="L387" i="25"/>
  <c r="K387" i="25"/>
  <c r="H387" i="25"/>
  <c r="G386" i="25"/>
  <c r="I386" i="25"/>
  <c r="J386" i="25"/>
  <c r="L386" i="25"/>
  <c r="K386" i="25"/>
  <c r="H386" i="25"/>
  <c r="G385" i="25"/>
  <c r="I385" i="25"/>
  <c r="J385" i="25"/>
  <c r="L385" i="25"/>
  <c r="K385" i="25"/>
  <c r="H385" i="25"/>
  <c r="G384" i="25"/>
  <c r="I384" i="25"/>
  <c r="J384" i="25"/>
  <c r="L384" i="25"/>
  <c r="K384" i="25"/>
  <c r="H384" i="25"/>
  <c r="G383" i="25"/>
  <c r="I383" i="25"/>
  <c r="J383" i="25"/>
  <c r="L383" i="25"/>
  <c r="K383" i="25"/>
  <c r="H383" i="25"/>
  <c r="G382" i="25"/>
  <c r="I382" i="25"/>
  <c r="J382" i="25"/>
  <c r="L382" i="25"/>
  <c r="K382" i="25"/>
  <c r="H382" i="25"/>
  <c r="G381" i="25"/>
  <c r="I381" i="25"/>
  <c r="J381" i="25"/>
  <c r="L381" i="25"/>
  <c r="K381" i="25"/>
  <c r="H381" i="25"/>
  <c r="G380" i="25"/>
  <c r="I380" i="25"/>
  <c r="J380" i="25"/>
  <c r="L380" i="25"/>
  <c r="K380" i="25"/>
  <c r="H380" i="25"/>
  <c r="G379" i="25"/>
  <c r="I379" i="25"/>
  <c r="J379" i="25"/>
  <c r="L379" i="25"/>
  <c r="K379" i="25"/>
  <c r="H379" i="25"/>
  <c r="G378" i="25"/>
  <c r="I378" i="25"/>
  <c r="J378" i="25"/>
  <c r="L378" i="25"/>
  <c r="K378" i="25"/>
  <c r="H378" i="25"/>
  <c r="G377" i="25"/>
  <c r="I377" i="25"/>
  <c r="J377" i="25"/>
  <c r="L377" i="25"/>
  <c r="K377" i="25"/>
  <c r="H377" i="25"/>
  <c r="G376" i="25"/>
  <c r="I376" i="25"/>
  <c r="J376" i="25"/>
  <c r="L376" i="25"/>
  <c r="K376" i="25"/>
  <c r="H376" i="25"/>
  <c r="G375" i="25"/>
  <c r="I375" i="25"/>
  <c r="J375" i="25"/>
  <c r="L375" i="25"/>
  <c r="K375" i="25"/>
  <c r="H375" i="25"/>
  <c r="G374" i="25"/>
  <c r="I374" i="25"/>
  <c r="J374" i="25"/>
  <c r="L374" i="25"/>
  <c r="K374" i="25"/>
  <c r="H374" i="25"/>
  <c r="G373" i="25"/>
  <c r="I373" i="25"/>
  <c r="J373" i="25"/>
  <c r="L373" i="25"/>
  <c r="K373" i="25"/>
  <c r="H373" i="25"/>
  <c r="G372" i="25"/>
  <c r="I372" i="25"/>
  <c r="J372" i="25"/>
  <c r="L372" i="25"/>
  <c r="K372" i="25"/>
  <c r="H372" i="25"/>
  <c r="G371" i="25"/>
  <c r="I371" i="25"/>
  <c r="J371" i="25"/>
  <c r="L371" i="25"/>
  <c r="K371" i="25"/>
  <c r="H371" i="25"/>
  <c r="G370" i="25"/>
  <c r="I370" i="25"/>
  <c r="J370" i="25"/>
  <c r="L370" i="25"/>
  <c r="K370" i="25"/>
  <c r="H370" i="25"/>
  <c r="G369" i="25"/>
  <c r="I369" i="25"/>
  <c r="J369" i="25"/>
  <c r="L369" i="25"/>
  <c r="K369" i="25"/>
  <c r="H369" i="25"/>
  <c r="G368" i="25"/>
  <c r="I368" i="25"/>
  <c r="J368" i="25"/>
  <c r="L368" i="25"/>
  <c r="K368" i="25"/>
  <c r="H368" i="25"/>
  <c r="G367" i="25"/>
  <c r="I367" i="25"/>
  <c r="J367" i="25"/>
  <c r="L367" i="25"/>
  <c r="K367" i="25"/>
  <c r="H367" i="25"/>
  <c r="G366" i="25"/>
  <c r="I366" i="25"/>
  <c r="J366" i="25"/>
  <c r="L366" i="25"/>
  <c r="K366" i="25"/>
  <c r="H366" i="25"/>
  <c r="G365" i="25"/>
  <c r="I365" i="25"/>
  <c r="J365" i="25"/>
  <c r="L365" i="25"/>
  <c r="K365" i="25"/>
  <c r="H365" i="25"/>
  <c r="G364" i="25"/>
  <c r="I364" i="25"/>
  <c r="J364" i="25"/>
  <c r="L364" i="25"/>
  <c r="K364" i="25"/>
  <c r="H364" i="25"/>
  <c r="G363" i="25"/>
  <c r="I363" i="25"/>
  <c r="J363" i="25"/>
  <c r="L363" i="25"/>
  <c r="K363" i="25"/>
  <c r="H363" i="25"/>
  <c r="G362" i="25"/>
  <c r="I362" i="25"/>
  <c r="J362" i="25"/>
  <c r="L362" i="25"/>
  <c r="K362" i="25"/>
  <c r="H362" i="25"/>
  <c r="G361" i="25"/>
  <c r="I361" i="25"/>
  <c r="J361" i="25"/>
  <c r="L361" i="25"/>
  <c r="K361" i="25"/>
  <c r="H361" i="25"/>
  <c r="G360" i="25"/>
  <c r="I360" i="25"/>
  <c r="J360" i="25"/>
  <c r="L360" i="25"/>
  <c r="K360" i="25"/>
  <c r="H360" i="25"/>
  <c r="G359" i="25"/>
  <c r="I359" i="25"/>
  <c r="J359" i="25"/>
  <c r="L359" i="25"/>
  <c r="K359" i="25"/>
  <c r="H359" i="25"/>
  <c r="G358" i="25"/>
  <c r="I358" i="25"/>
  <c r="J358" i="25"/>
  <c r="L358" i="25"/>
  <c r="K358" i="25"/>
  <c r="H358" i="25"/>
  <c r="G357" i="25"/>
  <c r="I357" i="25"/>
  <c r="J357" i="25"/>
  <c r="L357" i="25"/>
  <c r="K357" i="25"/>
  <c r="H357" i="25"/>
  <c r="G356" i="25"/>
  <c r="I356" i="25"/>
  <c r="J356" i="25"/>
  <c r="L356" i="25"/>
  <c r="K356" i="25"/>
  <c r="H356" i="25"/>
  <c r="G355" i="25"/>
  <c r="I355" i="25"/>
  <c r="J355" i="25"/>
  <c r="L355" i="25"/>
  <c r="K355" i="25"/>
  <c r="H355" i="25"/>
  <c r="G354" i="25"/>
  <c r="I354" i="25"/>
  <c r="J354" i="25"/>
  <c r="L354" i="25"/>
  <c r="K354" i="25"/>
  <c r="H354" i="25"/>
  <c r="G353" i="25"/>
  <c r="I353" i="25"/>
  <c r="J353" i="25"/>
  <c r="L353" i="25"/>
  <c r="K353" i="25"/>
  <c r="H353" i="25"/>
  <c r="G352" i="25"/>
  <c r="I352" i="25"/>
  <c r="J352" i="25"/>
  <c r="L352" i="25"/>
  <c r="K352" i="25"/>
  <c r="H352" i="25"/>
  <c r="G351" i="25"/>
  <c r="I351" i="25"/>
  <c r="J351" i="25"/>
  <c r="L351" i="25"/>
  <c r="K351" i="25"/>
  <c r="H351" i="25"/>
  <c r="G350" i="25"/>
  <c r="I350" i="25"/>
  <c r="J350" i="25"/>
  <c r="L350" i="25"/>
  <c r="K350" i="25"/>
  <c r="H350" i="25"/>
  <c r="G349" i="25"/>
  <c r="I349" i="25"/>
  <c r="J349" i="25"/>
  <c r="L349" i="25"/>
  <c r="K349" i="25"/>
  <c r="H349" i="25"/>
  <c r="G348" i="25"/>
  <c r="I348" i="25"/>
  <c r="J348" i="25"/>
  <c r="L348" i="25"/>
  <c r="K348" i="25"/>
  <c r="H348" i="25"/>
  <c r="G347" i="25"/>
  <c r="I347" i="25"/>
  <c r="J347" i="25"/>
  <c r="L347" i="25"/>
  <c r="K347" i="25"/>
  <c r="H347" i="25"/>
  <c r="G346" i="25"/>
  <c r="I346" i="25"/>
  <c r="J346" i="25"/>
  <c r="L346" i="25"/>
  <c r="K346" i="25"/>
  <c r="H346" i="25"/>
  <c r="G345" i="25"/>
  <c r="I345" i="25"/>
  <c r="J345" i="25"/>
  <c r="L345" i="25"/>
  <c r="K345" i="25"/>
  <c r="H345" i="25"/>
  <c r="G344" i="25"/>
  <c r="I344" i="25"/>
  <c r="J344" i="25"/>
  <c r="L344" i="25"/>
  <c r="K344" i="25"/>
  <c r="H344" i="25"/>
  <c r="G343" i="25"/>
  <c r="I343" i="25"/>
  <c r="J343" i="25"/>
  <c r="L343" i="25"/>
  <c r="K343" i="25"/>
  <c r="H343" i="25"/>
  <c r="G342" i="25"/>
  <c r="I342" i="25"/>
  <c r="J342" i="25"/>
  <c r="L342" i="25"/>
  <c r="K342" i="25"/>
  <c r="H342" i="25"/>
  <c r="G341" i="25"/>
  <c r="I341" i="25"/>
  <c r="J341" i="25"/>
  <c r="L341" i="25"/>
  <c r="K341" i="25"/>
  <c r="H341" i="25"/>
  <c r="G340" i="25"/>
  <c r="I340" i="25"/>
  <c r="J340" i="25"/>
  <c r="L340" i="25"/>
  <c r="K340" i="25"/>
  <c r="H340" i="25"/>
  <c r="G339" i="25"/>
  <c r="I339" i="25"/>
  <c r="J339" i="25"/>
  <c r="L339" i="25"/>
  <c r="K339" i="25"/>
  <c r="H339" i="25"/>
  <c r="G338" i="25"/>
  <c r="I338" i="25"/>
  <c r="J338" i="25"/>
  <c r="L338" i="25"/>
  <c r="K338" i="25"/>
  <c r="H338" i="25"/>
  <c r="G337" i="25"/>
  <c r="I337" i="25"/>
  <c r="J337" i="25"/>
  <c r="L337" i="25"/>
  <c r="K337" i="25"/>
  <c r="H337" i="25"/>
  <c r="G336" i="25"/>
  <c r="I336" i="25"/>
  <c r="J336" i="25"/>
  <c r="L336" i="25"/>
  <c r="K336" i="25"/>
  <c r="H336" i="25"/>
  <c r="G335" i="25"/>
  <c r="I335" i="25"/>
  <c r="J335" i="25"/>
  <c r="L335" i="25"/>
  <c r="K335" i="25"/>
  <c r="H335" i="25"/>
  <c r="G334" i="25"/>
  <c r="I334" i="25"/>
  <c r="J334" i="25"/>
  <c r="L334" i="25"/>
  <c r="K334" i="25"/>
  <c r="H334" i="25"/>
  <c r="G333" i="25"/>
  <c r="I333" i="25"/>
  <c r="J333" i="25"/>
  <c r="L333" i="25"/>
  <c r="K333" i="25"/>
  <c r="H333" i="25"/>
  <c r="G332" i="25"/>
  <c r="I332" i="25"/>
  <c r="J332" i="25"/>
  <c r="L332" i="25"/>
  <c r="K332" i="25"/>
  <c r="H332" i="25"/>
  <c r="G331" i="25"/>
  <c r="I331" i="25"/>
  <c r="J331" i="25"/>
  <c r="L331" i="25"/>
  <c r="K331" i="25"/>
  <c r="H331" i="25"/>
  <c r="G330" i="25"/>
  <c r="I330" i="25"/>
  <c r="J330" i="25"/>
  <c r="L330" i="25"/>
  <c r="K330" i="25"/>
  <c r="H330" i="25"/>
  <c r="G329" i="25"/>
  <c r="I329" i="25"/>
  <c r="J329" i="25"/>
  <c r="L329" i="25"/>
  <c r="K329" i="25"/>
  <c r="H329" i="25"/>
  <c r="G328" i="25"/>
  <c r="I328" i="25"/>
  <c r="J328" i="25"/>
  <c r="L328" i="25"/>
  <c r="K328" i="25"/>
  <c r="H328" i="25"/>
  <c r="G327" i="25"/>
  <c r="I327" i="25"/>
  <c r="J327" i="25"/>
  <c r="L327" i="25"/>
  <c r="K327" i="25"/>
  <c r="H327" i="25"/>
  <c r="G326" i="25"/>
  <c r="I326" i="25"/>
  <c r="J326" i="25"/>
  <c r="L326" i="25"/>
  <c r="K326" i="25"/>
  <c r="H326" i="25"/>
  <c r="G325" i="25"/>
  <c r="I325" i="25"/>
  <c r="J325" i="25"/>
  <c r="L325" i="25"/>
  <c r="K325" i="25"/>
  <c r="H325" i="25"/>
  <c r="G324" i="25"/>
  <c r="I324" i="25"/>
  <c r="J324" i="25"/>
  <c r="L324" i="25"/>
  <c r="K324" i="25"/>
  <c r="H324" i="25"/>
  <c r="G323" i="25"/>
  <c r="I323" i="25"/>
  <c r="J323" i="25"/>
  <c r="L323" i="25"/>
  <c r="K323" i="25"/>
  <c r="H323" i="25"/>
  <c r="G322" i="25"/>
  <c r="I322" i="25"/>
  <c r="J322" i="25"/>
  <c r="L322" i="25"/>
  <c r="K322" i="25"/>
  <c r="H322" i="25"/>
  <c r="G321" i="25"/>
  <c r="I321" i="25"/>
  <c r="J321" i="25"/>
  <c r="L321" i="25"/>
  <c r="K321" i="25"/>
  <c r="H321" i="25"/>
  <c r="G320" i="25"/>
  <c r="I320" i="25"/>
  <c r="J320" i="25"/>
  <c r="L320" i="25"/>
  <c r="K320" i="25"/>
  <c r="H320" i="25"/>
  <c r="G319" i="25"/>
  <c r="I319" i="25"/>
  <c r="J319" i="25"/>
  <c r="L319" i="25"/>
  <c r="K319" i="25"/>
  <c r="H319" i="25"/>
  <c r="G318" i="25"/>
  <c r="I318" i="25"/>
  <c r="J318" i="25"/>
  <c r="L318" i="25"/>
  <c r="K318" i="25"/>
  <c r="H318" i="25"/>
  <c r="G317" i="25"/>
  <c r="I317" i="25"/>
  <c r="J317" i="25"/>
  <c r="L317" i="25"/>
  <c r="K317" i="25"/>
  <c r="H317" i="25"/>
  <c r="G316" i="25"/>
  <c r="I316" i="25"/>
  <c r="J316" i="25"/>
  <c r="L316" i="25"/>
  <c r="K316" i="25"/>
  <c r="H316" i="25"/>
  <c r="G315" i="25"/>
  <c r="I315" i="25"/>
  <c r="J315" i="25"/>
  <c r="L315" i="25"/>
  <c r="K315" i="25"/>
  <c r="H315" i="25"/>
  <c r="G314" i="25"/>
  <c r="I314" i="25"/>
  <c r="J314" i="25"/>
  <c r="L314" i="25"/>
  <c r="K314" i="25"/>
  <c r="H314" i="25"/>
  <c r="G313" i="25"/>
  <c r="I313" i="25"/>
  <c r="J313" i="25"/>
  <c r="L313" i="25"/>
  <c r="K313" i="25"/>
  <c r="H313" i="25"/>
  <c r="G312" i="25"/>
  <c r="I312" i="25"/>
  <c r="J312" i="25"/>
  <c r="L312" i="25"/>
  <c r="K312" i="25"/>
  <c r="H312" i="25"/>
  <c r="G311" i="25"/>
  <c r="I311" i="25"/>
  <c r="J311" i="25"/>
  <c r="L311" i="25"/>
  <c r="K311" i="25"/>
  <c r="H311" i="25"/>
  <c r="G310" i="25"/>
  <c r="I310" i="25"/>
  <c r="J310" i="25"/>
  <c r="L310" i="25"/>
  <c r="K310" i="25"/>
  <c r="H310" i="25"/>
  <c r="G309" i="25"/>
  <c r="I309" i="25"/>
  <c r="J309" i="25"/>
  <c r="L309" i="25"/>
  <c r="K309" i="25"/>
  <c r="H309" i="25"/>
  <c r="G308" i="25"/>
  <c r="I308" i="25"/>
  <c r="J308" i="25"/>
  <c r="L308" i="25"/>
  <c r="K308" i="25"/>
  <c r="H308" i="25"/>
  <c r="G35" i="25"/>
  <c r="I35" i="25"/>
  <c r="J35" i="25"/>
  <c r="L35" i="25"/>
  <c r="K35" i="25"/>
  <c r="H35" i="25"/>
  <c r="G300" i="25"/>
  <c r="I300" i="25"/>
  <c r="J300" i="25"/>
  <c r="L300" i="25"/>
  <c r="K300" i="25"/>
  <c r="H300" i="25"/>
  <c r="G24" i="25"/>
  <c r="I24" i="25"/>
  <c r="J24" i="25"/>
  <c r="L24" i="25"/>
  <c r="K24" i="25"/>
  <c r="H24" i="25"/>
  <c r="G4" i="25"/>
  <c r="I4" i="25"/>
  <c r="J4" i="25"/>
  <c r="L4" i="25"/>
  <c r="K4" i="25"/>
  <c r="H4" i="25"/>
  <c r="G60" i="25"/>
  <c r="I60" i="25"/>
  <c r="J60" i="25"/>
  <c r="L60" i="25"/>
  <c r="K60" i="25"/>
  <c r="H60" i="25"/>
  <c r="G51" i="25"/>
  <c r="I51" i="25"/>
  <c r="J51" i="25"/>
  <c r="L51" i="25"/>
  <c r="K51" i="25"/>
  <c r="H51" i="25"/>
  <c r="G282" i="25"/>
  <c r="I282" i="25"/>
  <c r="J282" i="25"/>
  <c r="L282" i="25"/>
  <c r="K282" i="25"/>
  <c r="H282" i="25"/>
  <c r="I2" i="25"/>
  <c r="J2" i="25"/>
  <c r="L2" i="25"/>
  <c r="K2" i="25"/>
  <c r="H2" i="25"/>
  <c r="G292" i="25"/>
  <c r="I292" i="25"/>
  <c r="J292" i="25"/>
  <c r="L292" i="25"/>
  <c r="K292" i="25"/>
  <c r="H292" i="25"/>
  <c r="G36" i="25"/>
  <c r="I36" i="25"/>
  <c r="J36" i="25"/>
  <c r="L36" i="25"/>
  <c r="K36" i="25"/>
  <c r="H36" i="25"/>
  <c r="G75" i="25"/>
  <c r="I75" i="25"/>
  <c r="J75" i="25"/>
  <c r="L75" i="25"/>
  <c r="K75" i="25"/>
  <c r="H75" i="25"/>
  <c r="G56" i="25"/>
  <c r="I56" i="25"/>
  <c r="J56" i="25"/>
  <c r="L56" i="25"/>
  <c r="K56" i="25"/>
  <c r="H56" i="25"/>
  <c r="G276" i="25"/>
  <c r="I276" i="25"/>
  <c r="J276" i="25"/>
  <c r="L276" i="25"/>
  <c r="K276" i="25"/>
  <c r="H276" i="25"/>
  <c r="G44" i="25"/>
  <c r="I44" i="25"/>
  <c r="J44" i="25"/>
  <c r="L44" i="25"/>
  <c r="K44" i="25"/>
  <c r="H44" i="25"/>
  <c r="G272" i="25"/>
  <c r="I272" i="25"/>
  <c r="J272" i="25"/>
  <c r="L272" i="25"/>
  <c r="K272" i="25"/>
  <c r="H272" i="25"/>
  <c r="G266" i="25"/>
  <c r="I266" i="25"/>
  <c r="J266" i="25"/>
  <c r="L266" i="25"/>
  <c r="K266" i="25"/>
  <c r="H266" i="25"/>
  <c r="G267" i="25"/>
  <c r="I267" i="25"/>
  <c r="J267" i="25"/>
  <c r="L267" i="25"/>
  <c r="K267" i="25"/>
  <c r="H267" i="25"/>
  <c r="G64" i="25"/>
  <c r="I64" i="25"/>
  <c r="J64" i="25"/>
  <c r="L64" i="25"/>
  <c r="K64" i="25"/>
  <c r="H64" i="25"/>
  <c r="G270" i="25"/>
  <c r="I270" i="25"/>
  <c r="J270" i="25"/>
  <c r="L270" i="25"/>
  <c r="K270" i="25"/>
  <c r="H270" i="25"/>
  <c r="G15" i="25"/>
  <c r="I15" i="25"/>
  <c r="J15" i="25"/>
  <c r="L15" i="25"/>
  <c r="K15" i="25"/>
  <c r="H15" i="25"/>
  <c r="G17" i="25"/>
  <c r="I17" i="25"/>
  <c r="J17" i="25"/>
  <c r="L17" i="25"/>
  <c r="K17" i="25"/>
  <c r="H17" i="25"/>
  <c r="G265" i="25"/>
  <c r="I265" i="25"/>
  <c r="J265" i="25"/>
  <c r="L265" i="25"/>
  <c r="K265" i="25"/>
  <c r="H265" i="25"/>
  <c r="G42" i="25"/>
  <c r="I42" i="25"/>
  <c r="J42" i="25"/>
  <c r="L42" i="25"/>
  <c r="K42" i="25"/>
  <c r="H42" i="25"/>
  <c r="G70" i="25"/>
  <c r="I70" i="25"/>
  <c r="J70" i="25"/>
  <c r="L70" i="25"/>
  <c r="K70" i="25"/>
  <c r="H70" i="25"/>
  <c r="G22" i="25"/>
  <c r="I22" i="25"/>
  <c r="J22" i="25"/>
  <c r="L22" i="25"/>
  <c r="K22" i="25"/>
  <c r="H22" i="25"/>
  <c r="G27" i="25"/>
  <c r="I27" i="25"/>
  <c r="J27" i="25"/>
  <c r="L27" i="25"/>
  <c r="K27" i="25"/>
  <c r="H27" i="25"/>
  <c r="G58" i="25"/>
  <c r="I58" i="25"/>
  <c r="J58" i="25"/>
  <c r="L58" i="25"/>
  <c r="K58" i="25"/>
  <c r="H58" i="25"/>
  <c r="G16" i="25"/>
  <c r="I16" i="25"/>
  <c r="J16" i="25"/>
  <c r="L16" i="25"/>
  <c r="K16" i="25"/>
  <c r="H16" i="25"/>
  <c r="G280" i="25"/>
  <c r="I280" i="25"/>
  <c r="J280" i="25"/>
  <c r="L280" i="25"/>
  <c r="K280" i="25"/>
  <c r="H280" i="25"/>
  <c r="G288" i="25"/>
  <c r="I288" i="25"/>
  <c r="J288" i="25"/>
  <c r="L288" i="25"/>
  <c r="K288" i="25"/>
  <c r="H288" i="25"/>
  <c r="G43" i="25"/>
  <c r="I43" i="25"/>
  <c r="J43" i="25"/>
  <c r="L43" i="25"/>
  <c r="K43" i="25"/>
  <c r="H43" i="25"/>
  <c r="G298" i="25"/>
  <c r="I298" i="25"/>
  <c r="J298" i="25"/>
  <c r="L298" i="25"/>
  <c r="K298" i="25"/>
  <c r="H298" i="25"/>
  <c r="G289" i="25"/>
  <c r="I289" i="25"/>
  <c r="J289" i="25"/>
  <c r="L289" i="25"/>
  <c r="K289" i="25"/>
  <c r="H289" i="25"/>
  <c r="G251" i="25"/>
  <c r="I251" i="25"/>
  <c r="J251" i="25"/>
  <c r="L251" i="25"/>
  <c r="K251" i="25"/>
  <c r="H251" i="25"/>
  <c r="G284" i="25"/>
  <c r="I284" i="25"/>
  <c r="J284" i="25"/>
  <c r="L284" i="25"/>
  <c r="K284" i="25"/>
  <c r="H284" i="25"/>
  <c r="G49" i="25"/>
  <c r="I49" i="25"/>
  <c r="J49" i="25"/>
  <c r="L49" i="25"/>
  <c r="K49" i="25"/>
  <c r="H49" i="25"/>
  <c r="G40" i="25"/>
  <c r="I40" i="25"/>
  <c r="J40" i="25"/>
  <c r="L40" i="25"/>
  <c r="K40" i="25"/>
  <c r="H40" i="25"/>
  <c r="G45" i="25"/>
  <c r="I45" i="25"/>
  <c r="J45" i="25"/>
  <c r="L45" i="25"/>
  <c r="K45" i="25"/>
  <c r="H45" i="25"/>
  <c r="G262" i="25"/>
  <c r="I262" i="25"/>
  <c r="J262" i="25"/>
  <c r="L262" i="25"/>
  <c r="K262" i="25"/>
  <c r="H262" i="25"/>
  <c r="G269" i="25"/>
  <c r="I269" i="25"/>
  <c r="J269" i="25"/>
  <c r="L269" i="25"/>
  <c r="K269" i="25"/>
  <c r="H269" i="25"/>
  <c r="G278" i="25"/>
  <c r="I278" i="25"/>
  <c r="J278" i="25"/>
  <c r="L278" i="25"/>
  <c r="K278" i="25"/>
  <c r="H278" i="25"/>
  <c r="G19" i="25"/>
  <c r="I19" i="25"/>
  <c r="J19" i="25"/>
  <c r="L19" i="25"/>
  <c r="K19" i="25"/>
  <c r="H19" i="25"/>
  <c r="G256" i="25"/>
  <c r="I256" i="25"/>
  <c r="J256" i="25"/>
  <c r="L256" i="25"/>
  <c r="K256" i="25"/>
  <c r="H256" i="25"/>
  <c r="G25" i="25"/>
  <c r="I25" i="25"/>
  <c r="J25" i="25"/>
  <c r="L25" i="25"/>
  <c r="K25" i="25"/>
  <c r="H25" i="25"/>
  <c r="G287" i="25"/>
  <c r="I287" i="25"/>
  <c r="J287" i="25"/>
  <c r="L287" i="25"/>
  <c r="K287" i="25"/>
  <c r="H287" i="25"/>
  <c r="G258" i="25"/>
  <c r="I258" i="25"/>
  <c r="J258" i="25"/>
  <c r="L258" i="25"/>
  <c r="K258" i="25"/>
  <c r="H258" i="25"/>
  <c r="G241" i="25"/>
  <c r="I241" i="25"/>
  <c r="J241" i="25"/>
  <c r="L241" i="25"/>
  <c r="K241" i="25"/>
  <c r="H241" i="25"/>
  <c r="G252" i="25"/>
  <c r="I252" i="25"/>
  <c r="J252" i="25"/>
  <c r="L252" i="25"/>
  <c r="K252" i="25"/>
  <c r="H252" i="25"/>
  <c r="G297" i="25"/>
  <c r="I297" i="25"/>
  <c r="J297" i="25"/>
  <c r="L297" i="25"/>
  <c r="K297" i="25"/>
  <c r="H297" i="25"/>
  <c r="G68" i="25"/>
  <c r="I68" i="25"/>
  <c r="J68" i="25"/>
  <c r="L68" i="25"/>
  <c r="K68" i="25"/>
  <c r="H68" i="25"/>
  <c r="G250" i="25"/>
  <c r="I250" i="25"/>
  <c r="J250" i="25"/>
  <c r="L250" i="25"/>
  <c r="K250" i="25"/>
  <c r="H250" i="25"/>
  <c r="G275" i="25"/>
  <c r="I275" i="25"/>
  <c r="J275" i="25"/>
  <c r="L275" i="25"/>
  <c r="K275" i="25"/>
  <c r="H275" i="25"/>
  <c r="G3" i="25"/>
  <c r="I3" i="25"/>
  <c r="J3" i="25"/>
  <c r="L3" i="25"/>
  <c r="K3" i="25"/>
  <c r="H3" i="25"/>
  <c r="G8" i="25"/>
  <c r="I8" i="25"/>
  <c r="J8" i="25"/>
  <c r="L8" i="25"/>
  <c r="K8" i="25"/>
  <c r="H8" i="25"/>
  <c r="G257" i="25"/>
  <c r="I257" i="25"/>
  <c r="J257" i="25"/>
  <c r="L257" i="25"/>
  <c r="K257" i="25"/>
  <c r="H257" i="25"/>
  <c r="G247" i="25"/>
  <c r="I247" i="25"/>
  <c r="J247" i="25"/>
  <c r="L247" i="25"/>
  <c r="K247" i="25"/>
  <c r="H247" i="25"/>
  <c r="G268" i="25"/>
  <c r="I268" i="25"/>
  <c r="J268" i="25"/>
  <c r="L268" i="25"/>
  <c r="K268" i="25"/>
  <c r="H268" i="25"/>
  <c r="G291" i="25"/>
  <c r="I291" i="25"/>
  <c r="J291" i="25"/>
  <c r="L291" i="25"/>
  <c r="K291" i="25"/>
  <c r="H291" i="25"/>
  <c r="G279" i="25"/>
  <c r="I279" i="25"/>
  <c r="J279" i="25"/>
  <c r="L279" i="25"/>
  <c r="K279" i="25"/>
  <c r="H279" i="25"/>
  <c r="G302" i="25"/>
  <c r="I302" i="25"/>
  <c r="J302" i="25"/>
  <c r="L302" i="25"/>
  <c r="K302" i="25"/>
  <c r="H302" i="25"/>
  <c r="G61" i="25"/>
  <c r="I61" i="25"/>
  <c r="J61" i="25"/>
  <c r="L61" i="25"/>
  <c r="K61" i="25"/>
  <c r="H61" i="25"/>
  <c r="G9" i="25"/>
  <c r="I9" i="25"/>
  <c r="J9" i="25"/>
  <c r="L9" i="25"/>
  <c r="K9" i="25"/>
  <c r="H9" i="25"/>
  <c r="CJ2" i="27"/>
  <c r="CL2" i="27"/>
  <c r="CJ5" i="27"/>
  <c r="CL5" i="27"/>
  <c r="CJ30" i="27"/>
  <c r="CL30" i="27"/>
  <c r="CJ28" i="27"/>
  <c r="CL28" i="27"/>
  <c r="CJ3" i="27"/>
  <c r="CL3" i="27"/>
  <c r="CJ18" i="27"/>
  <c r="CL18" i="27"/>
  <c r="CJ26" i="27"/>
  <c r="CL26" i="27"/>
  <c r="CJ29" i="27"/>
  <c r="CL29" i="27"/>
  <c r="CJ6" i="27"/>
  <c r="CL6" i="27"/>
  <c r="CJ21" i="27"/>
  <c r="CL21" i="27"/>
  <c r="CJ25" i="27"/>
  <c r="CL25" i="27"/>
  <c r="CJ23" i="27"/>
  <c r="CL23" i="27"/>
  <c r="CJ12" i="27"/>
  <c r="CL12" i="27"/>
  <c r="CJ24" i="27"/>
  <c r="CL24" i="27"/>
  <c r="CJ22" i="27"/>
  <c r="CL22" i="27"/>
  <c r="CJ9" i="27"/>
  <c r="CL9" i="27"/>
  <c r="CL32" i="27"/>
  <c r="CL35" i="27"/>
  <c r="CL37" i="27"/>
  <c r="CK37" i="27"/>
  <c r="CJ37" i="27"/>
  <c r="CK9" i="27"/>
  <c r="CK22" i="27"/>
  <c r="CK24" i="27"/>
  <c r="CK12" i="27"/>
  <c r="CK23" i="27"/>
  <c r="CK25" i="27"/>
  <c r="CK21" i="27"/>
  <c r="CK6" i="27"/>
  <c r="CK29" i="27"/>
  <c r="CK26" i="27"/>
  <c r="CK18" i="27"/>
  <c r="CK3" i="27"/>
  <c r="CK28" i="27"/>
  <c r="CK30" i="27"/>
  <c r="CK5" i="27"/>
  <c r="CK2" i="27"/>
  <c r="CG2" i="27"/>
  <c r="CI2" i="27"/>
  <c r="CG5" i="27"/>
  <c r="CI5" i="27"/>
  <c r="CG30" i="27"/>
  <c r="CI30" i="27"/>
  <c r="CG28" i="27"/>
  <c r="CI28" i="27"/>
  <c r="CG3" i="27"/>
  <c r="CI3" i="27"/>
  <c r="CG18" i="27"/>
  <c r="CI18" i="27"/>
  <c r="CG26" i="27"/>
  <c r="CI26" i="27"/>
  <c r="CG29" i="27"/>
  <c r="CI29" i="27"/>
  <c r="CG6" i="27"/>
  <c r="CI6" i="27"/>
  <c r="CG21" i="27"/>
  <c r="CI21" i="27"/>
  <c r="CG25" i="27"/>
  <c r="CI25" i="27"/>
  <c r="CG23" i="27"/>
  <c r="CI23" i="27"/>
  <c r="CG12" i="27"/>
  <c r="CI12" i="27"/>
  <c r="CG24" i="27"/>
  <c r="CI24" i="27"/>
  <c r="CG22" i="27"/>
  <c r="CI22" i="27"/>
  <c r="CG9" i="27"/>
  <c r="CI9" i="27"/>
  <c r="CI32" i="27"/>
  <c r="CI35" i="27"/>
  <c r="CI37" i="27"/>
  <c r="CH37" i="27"/>
  <c r="CG37" i="27"/>
  <c r="CH9" i="27"/>
  <c r="CH22" i="27"/>
  <c r="CH24" i="27"/>
  <c r="CH12" i="27"/>
  <c r="CH23" i="27"/>
  <c r="CH25" i="27"/>
  <c r="CH21" i="27"/>
  <c r="CH6" i="27"/>
  <c r="CH29" i="27"/>
  <c r="CH26" i="27"/>
  <c r="CH18" i="27"/>
  <c r="CH3" i="27"/>
  <c r="CH28" i="27"/>
  <c r="CH30" i="27"/>
  <c r="CH5" i="27"/>
  <c r="CH2" i="27"/>
  <c r="CD2" i="27"/>
  <c r="CF2" i="27"/>
  <c r="CD5" i="27"/>
  <c r="CF5" i="27"/>
  <c r="CD30" i="27"/>
  <c r="CF30" i="27"/>
  <c r="CD28" i="27"/>
  <c r="CF28" i="27"/>
  <c r="CD3" i="27"/>
  <c r="CF3" i="27"/>
  <c r="CD18" i="27"/>
  <c r="CF18" i="27"/>
  <c r="CD26" i="27"/>
  <c r="CF26" i="27"/>
  <c r="CD29" i="27"/>
  <c r="CF29" i="27"/>
  <c r="CD6" i="27"/>
  <c r="CF6" i="27"/>
  <c r="CD21" i="27"/>
  <c r="CF21" i="27"/>
  <c r="CD25" i="27"/>
  <c r="CF25" i="27"/>
  <c r="CD23" i="27"/>
  <c r="CF23" i="27"/>
  <c r="CD12" i="27"/>
  <c r="CF12" i="27"/>
  <c r="CD24" i="27"/>
  <c r="CF24" i="27"/>
  <c r="CD22" i="27"/>
  <c r="CF22" i="27"/>
  <c r="CD9" i="27"/>
  <c r="CF9" i="27"/>
  <c r="CF32" i="27"/>
  <c r="CF35" i="27"/>
  <c r="CF37" i="27"/>
  <c r="CE37" i="27"/>
  <c r="CD37" i="27"/>
  <c r="CE9" i="27"/>
  <c r="CE22" i="27"/>
  <c r="CE24" i="27"/>
  <c r="CE12" i="27"/>
  <c r="CE23" i="27"/>
  <c r="CE25" i="27"/>
  <c r="CE21" i="27"/>
  <c r="CE6" i="27"/>
  <c r="CE29" i="27"/>
  <c r="CE26" i="27"/>
  <c r="CE18" i="27"/>
  <c r="CE3" i="27"/>
  <c r="CE28" i="27"/>
  <c r="CE30" i="27"/>
  <c r="CE5" i="27"/>
  <c r="CE2" i="27"/>
  <c r="CA2" i="27"/>
  <c r="CC2" i="27"/>
  <c r="CA5" i="27"/>
  <c r="CC5" i="27"/>
  <c r="CA30" i="27"/>
  <c r="CC30" i="27"/>
  <c r="CA3" i="27"/>
  <c r="CC3" i="27"/>
  <c r="CA26" i="27"/>
  <c r="CC26" i="27"/>
  <c r="CA28" i="27"/>
  <c r="CC28" i="27"/>
  <c r="CA6" i="27"/>
  <c r="CC6" i="27"/>
  <c r="CA18" i="27"/>
  <c r="CC18" i="27"/>
  <c r="CA21" i="27"/>
  <c r="CC21" i="27"/>
  <c r="CA29" i="27"/>
  <c r="CC29" i="27"/>
  <c r="CA12" i="27"/>
  <c r="CC12" i="27"/>
  <c r="CA23" i="27"/>
  <c r="CC23" i="27"/>
  <c r="CA25" i="27"/>
  <c r="CC25" i="27"/>
  <c r="CA24" i="27"/>
  <c r="CC24" i="27"/>
  <c r="CA22" i="27"/>
  <c r="CC22" i="27"/>
  <c r="CA9" i="27"/>
  <c r="CC9" i="27"/>
  <c r="CC32" i="27"/>
  <c r="CC35" i="27"/>
  <c r="CC37" i="27"/>
  <c r="CB37" i="27"/>
  <c r="CA37" i="27"/>
  <c r="CB9" i="27"/>
  <c r="CB22" i="27"/>
  <c r="CB24" i="27"/>
  <c r="CB25" i="27"/>
  <c r="CB23" i="27"/>
  <c r="CB12" i="27"/>
  <c r="CB29" i="27"/>
  <c r="CB21" i="27"/>
  <c r="CB18" i="27"/>
  <c r="CB6" i="27"/>
  <c r="CB28" i="27"/>
  <c r="CB26" i="27"/>
  <c r="CB3" i="27"/>
  <c r="CB30" i="27"/>
  <c r="CB5" i="27"/>
  <c r="CB2" i="27"/>
  <c r="BX18" i="27"/>
  <c r="BY18" i="27"/>
  <c r="BZ18" i="27"/>
  <c r="BX6" i="27"/>
  <c r="BY6" i="27"/>
  <c r="BZ6" i="27"/>
  <c r="BX21" i="27"/>
  <c r="BY21" i="27"/>
  <c r="BZ21" i="27"/>
  <c r="BX2" i="27"/>
  <c r="BZ2" i="27"/>
  <c r="BX5" i="27"/>
  <c r="BZ5" i="27"/>
  <c r="BX30" i="27"/>
  <c r="BZ30" i="27"/>
  <c r="BX3" i="27"/>
  <c r="BZ3" i="27"/>
  <c r="BX26" i="27"/>
  <c r="BZ26" i="27"/>
  <c r="BX28" i="27"/>
  <c r="BZ28" i="27"/>
  <c r="BX23" i="27"/>
  <c r="BZ23" i="27"/>
  <c r="BX12" i="27"/>
  <c r="BZ12" i="27"/>
  <c r="BX29" i="27"/>
  <c r="BZ29" i="27"/>
  <c r="BX25" i="27"/>
  <c r="BZ25" i="27"/>
  <c r="BX24" i="27"/>
  <c r="BZ24" i="27"/>
  <c r="BX22" i="27"/>
  <c r="BZ22" i="27"/>
  <c r="BX9" i="27"/>
  <c r="BZ9" i="27"/>
  <c r="BZ32" i="27"/>
  <c r="BZ35" i="27"/>
  <c r="BZ37" i="27"/>
  <c r="BY37" i="27"/>
  <c r="BX37" i="27"/>
  <c r="BY9" i="27"/>
  <c r="BY22" i="27"/>
  <c r="BY24" i="27"/>
  <c r="BY25" i="27"/>
  <c r="BY29" i="27"/>
  <c r="BY12" i="27"/>
  <c r="BY23" i="27"/>
  <c r="BY28" i="27"/>
  <c r="BY26" i="27"/>
  <c r="BY3" i="27"/>
  <c r="BY30" i="27"/>
  <c r="BY5" i="27"/>
  <c r="BY2" i="27"/>
  <c r="BT17" i="27"/>
  <c r="BV17" i="27"/>
  <c r="BW17" i="27"/>
  <c r="BT16" i="27"/>
  <c r="BV16" i="27"/>
  <c r="BW16" i="27"/>
  <c r="BW37" i="27"/>
  <c r="C3" i="32"/>
  <c r="D3" i="32"/>
  <c r="C14" i="32"/>
  <c r="D14" i="32"/>
  <c r="C15" i="32"/>
  <c r="D15" i="32"/>
  <c r="C16" i="32"/>
  <c r="D16" i="32"/>
  <c r="C17" i="32"/>
  <c r="D17" i="32"/>
  <c r="C8" i="32"/>
  <c r="D8" i="32"/>
  <c r="C5" i="32"/>
  <c r="D5" i="32"/>
  <c r="C11" i="32"/>
  <c r="D11" i="32"/>
  <c r="C9" i="32"/>
  <c r="D9" i="32"/>
  <c r="C13" i="32"/>
  <c r="D13" i="32"/>
  <c r="C4" i="32"/>
  <c r="D4" i="32"/>
  <c r="C6" i="32"/>
  <c r="D6" i="32"/>
  <c r="C7" i="32"/>
  <c r="D7" i="32"/>
  <c r="C2" i="32"/>
  <c r="D2" i="32"/>
  <c r="C12" i="32"/>
  <c r="D12" i="32"/>
  <c r="C10" i="32"/>
  <c r="D10" i="32"/>
  <c r="R57" i="25"/>
  <c r="R261" i="25"/>
  <c r="R233" i="25"/>
  <c r="R20" i="25"/>
  <c r="R54" i="25"/>
  <c r="R18" i="25"/>
  <c r="R224" i="25"/>
  <c r="R226" i="25"/>
  <c r="R170" i="25"/>
  <c r="R231" i="25"/>
  <c r="R65" i="25"/>
  <c r="R30" i="25"/>
  <c r="R31" i="25"/>
  <c r="R23" i="25"/>
  <c r="R14" i="25"/>
  <c r="R255" i="25"/>
  <c r="R299" i="25"/>
  <c r="R28" i="25"/>
  <c r="R63" i="25"/>
  <c r="R66" i="25"/>
  <c r="R307" i="25"/>
  <c r="R301" i="25"/>
  <c r="R50" i="25"/>
  <c r="R7" i="25"/>
  <c r="R274" i="25"/>
  <c r="R47" i="25"/>
  <c r="R253" i="25"/>
  <c r="R219" i="25"/>
  <c r="R71" i="25"/>
  <c r="R29" i="25"/>
  <c r="R5" i="25"/>
  <c r="R295" i="25"/>
  <c r="R34" i="25"/>
  <c r="R242" i="25"/>
  <c r="R271" i="25"/>
  <c r="R254" i="25"/>
  <c r="R273" i="25"/>
  <c r="R38" i="25"/>
  <c r="R13" i="25"/>
  <c r="R59" i="25"/>
  <c r="R41" i="25"/>
  <c r="R53" i="25"/>
  <c r="R33" i="25"/>
  <c r="R52" i="25"/>
  <c r="R46" i="25"/>
  <c r="R239" i="25"/>
  <c r="R69" i="25"/>
  <c r="R48" i="25"/>
  <c r="R240" i="25"/>
  <c r="R249" i="25"/>
  <c r="R244" i="25"/>
  <c r="R238" i="25"/>
  <c r="R259" i="25"/>
  <c r="R283" i="25"/>
  <c r="R62" i="25"/>
  <c r="R304" i="25"/>
  <c r="R248" i="25"/>
  <c r="R10" i="25"/>
  <c r="R305" i="25"/>
  <c r="R285" i="25"/>
  <c r="R6" i="25"/>
  <c r="R72" i="25"/>
  <c r="R21" i="25"/>
  <c r="R303" i="25"/>
  <c r="R127" i="25"/>
  <c r="R128" i="25"/>
  <c r="R159" i="25"/>
  <c r="R160" i="25"/>
  <c r="R232" i="25"/>
  <c r="R77" i="25"/>
  <c r="R76" i="25"/>
  <c r="R79" i="25"/>
  <c r="R80" i="25"/>
  <c r="R78" i="25"/>
  <c r="R81" i="25"/>
  <c r="R84" i="25"/>
  <c r="R83" i="25"/>
  <c r="R82" i="25"/>
  <c r="R85" i="25"/>
  <c r="R86" i="25"/>
  <c r="R87" i="25"/>
  <c r="R88" i="25"/>
  <c r="R89" i="25"/>
  <c r="R90" i="25"/>
  <c r="R91" i="25"/>
  <c r="R92" i="25"/>
  <c r="R94" i="25"/>
  <c r="R93" i="25"/>
  <c r="R95" i="25"/>
  <c r="R96" i="25"/>
  <c r="R98" i="25"/>
  <c r="R97" i="25"/>
  <c r="R99" i="25"/>
  <c r="R104" i="25"/>
  <c r="R100" i="25"/>
  <c r="R102" i="25"/>
  <c r="R103" i="25"/>
  <c r="R106" i="25"/>
  <c r="R105" i="25"/>
  <c r="R101" i="25"/>
  <c r="R108" i="25"/>
  <c r="R107" i="25"/>
  <c r="R109" i="25"/>
  <c r="R113" i="25"/>
  <c r="R110" i="25"/>
  <c r="R114" i="25"/>
  <c r="R112" i="25"/>
  <c r="R111" i="25"/>
  <c r="R120" i="25"/>
  <c r="R116" i="25"/>
  <c r="R121" i="25"/>
  <c r="R117" i="25"/>
  <c r="R119" i="25"/>
  <c r="R115" i="25"/>
  <c r="R118" i="25"/>
  <c r="R124" i="25"/>
  <c r="R125" i="25"/>
  <c r="R122" i="25"/>
  <c r="R123" i="25"/>
  <c r="R126" i="25"/>
  <c r="R132" i="25"/>
  <c r="R129" i="25"/>
  <c r="R133" i="25"/>
  <c r="R130" i="25"/>
  <c r="R131" i="25"/>
  <c r="R134" i="25"/>
  <c r="R135" i="25"/>
  <c r="R136" i="25"/>
  <c r="R140" i="25"/>
  <c r="R144" i="25"/>
  <c r="R142" i="25"/>
  <c r="R139" i="25"/>
  <c r="R145" i="25"/>
  <c r="R147" i="25"/>
  <c r="R146" i="25"/>
  <c r="R138" i="25"/>
  <c r="R137" i="25"/>
  <c r="R143" i="25"/>
  <c r="R141" i="25"/>
  <c r="R148" i="25"/>
  <c r="R149" i="25"/>
  <c r="R150" i="25"/>
  <c r="R152" i="25"/>
  <c r="R151" i="25"/>
  <c r="R153" i="25"/>
  <c r="R154" i="25"/>
  <c r="R157" i="25"/>
  <c r="R156" i="25"/>
  <c r="R155" i="25"/>
  <c r="R158" i="25"/>
  <c r="R164" i="25"/>
  <c r="R163" i="25"/>
  <c r="R165" i="25"/>
  <c r="R162" i="25"/>
  <c r="R161" i="25"/>
  <c r="R171" i="25"/>
  <c r="R166" i="25"/>
  <c r="R167" i="25"/>
  <c r="R169" i="25"/>
  <c r="R168" i="25"/>
  <c r="R172" i="25"/>
  <c r="R173" i="25"/>
  <c r="R174" i="25"/>
  <c r="R175" i="25"/>
  <c r="R176" i="25"/>
  <c r="R177" i="25"/>
  <c r="R178" i="25"/>
  <c r="R179" i="25"/>
  <c r="R180" i="25"/>
  <c r="R181" i="25"/>
  <c r="R182" i="25"/>
  <c r="R183" i="25"/>
  <c r="R184" i="25"/>
  <c r="R185" i="25"/>
  <c r="R186" i="25"/>
  <c r="R187" i="25"/>
  <c r="R188" i="25"/>
  <c r="R190" i="25"/>
  <c r="R189" i="25"/>
  <c r="R191" i="25"/>
  <c r="R192" i="25"/>
  <c r="R193" i="25"/>
  <c r="R194" i="25"/>
  <c r="R195" i="25"/>
  <c r="R199" i="25"/>
  <c r="R198" i="25"/>
  <c r="R196" i="25"/>
  <c r="R197" i="25"/>
  <c r="R200" i="25"/>
  <c r="R201" i="25"/>
  <c r="R202" i="25"/>
  <c r="R203" i="25"/>
  <c r="R204" i="25"/>
  <c r="R206" i="25"/>
  <c r="R205" i="25"/>
  <c r="R207" i="25"/>
  <c r="R208" i="25"/>
  <c r="R212" i="25"/>
  <c r="R214" i="25"/>
  <c r="R217" i="25"/>
  <c r="R215" i="25"/>
  <c r="R209" i="25"/>
  <c r="R213" i="25"/>
  <c r="R216" i="25"/>
  <c r="R210" i="25"/>
  <c r="R211" i="25"/>
  <c r="R221" i="25"/>
  <c r="R220" i="25"/>
  <c r="R223" i="25"/>
  <c r="R225" i="25"/>
  <c r="R228" i="25"/>
  <c r="R229" i="25"/>
  <c r="R222" i="25"/>
  <c r="R230" i="25"/>
  <c r="R227" i="25"/>
  <c r="R218" i="25"/>
  <c r="R234" i="25"/>
  <c r="R74" i="25"/>
  <c r="R264" i="25"/>
  <c r="R263" i="25"/>
  <c r="R237" i="25"/>
  <c r="R306" i="25"/>
  <c r="R235" i="25"/>
  <c r="R32" i="25"/>
  <c r="R236" i="25"/>
  <c r="R67" i="25"/>
  <c r="R296" i="25"/>
  <c r="R55" i="25"/>
  <c r="R281" i="25"/>
  <c r="R277" i="25"/>
  <c r="R245" i="25"/>
  <c r="R294" i="25"/>
  <c r="R12" i="25"/>
  <c r="R37" i="25"/>
  <c r="R246" i="25"/>
  <c r="R39" i="25"/>
  <c r="R11" i="25"/>
  <c r="R260" i="25"/>
  <c r="R290" i="25"/>
  <c r="R286" i="25"/>
  <c r="R243" i="25"/>
  <c r="R293" i="25"/>
  <c r="R26" i="25"/>
  <c r="X2" i="25"/>
  <c r="T57" i="25"/>
  <c r="T261" i="25"/>
  <c r="T233" i="25"/>
  <c r="T20" i="25"/>
  <c r="T54" i="25"/>
  <c r="T18" i="25"/>
  <c r="T224" i="25"/>
  <c r="T226" i="25"/>
  <c r="T170" i="25"/>
  <c r="T231" i="25"/>
  <c r="T65" i="25"/>
  <c r="T30" i="25"/>
  <c r="T31" i="25"/>
  <c r="T23" i="25"/>
  <c r="T14" i="25"/>
  <c r="T255" i="25"/>
  <c r="T299" i="25"/>
  <c r="T28" i="25"/>
  <c r="T63" i="25"/>
  <c r="T66" i="25"/>
  <c r="T307" i="25"/>
  <c r="T301" i="25"/>
  <c r="T50" i="25"/>
  <c r="T7" i="25"/>
  <c r="T274" i="25"/>
  <c r="T47" i="25"/>
  <c r="T253" i="25"/>
  <c r="T219" i="25"/>
  <c r="T71" i="25"/>
  <c r="T29" i="25"/>
  <c r="T5" i="25"/>
  <c r="T295" i="25"/>
  <c r="T73" i="25"/>
  <c r="T34" i="25"/>
  <c r="T242" i="25"/>
  <c r="T271" i="25"/>
  <c r="T254" i="25"/>
  <c r="T273" i="25"/>
  <c r="T38" i="25"/>
  <c r="T13" i="25"/>
  <c r="T59" i="25"/>
  <c r="T41" i="25"/>
  <c r="T53" i="25"/>
  <c r="T33" i="25"/>
  <c r="T52" i="25"/>
  <c r="T46" i="25"/>
  <c r="T239" i="25"/>
  <c r="T69" i="25"/>
  <c r="T48" i="25"/>
  <c r="T240" i="25"/>
  <c r="T249" i="25"/>
  <c r="T244" i="25"/>
  <c r="T238" i="25"/>
  <c r="T259" i="25"/>
  <c r="T283" i="25"/>
  <c r="T62" i="25"/>
  <c r="T304" i="25"/>
  <c r="T248" i="25"/>
  <c r="T10" i="25"/>
  <c r="T305" i="25"/>
  <c r="T285" i="25"/>
  <c r="T6" i="25"/>
  <c r="T72" i="25"/>
  <c r="T21" i="25"/>
  <c r="T303" i="25"/>
  <c r="T127" i="25"/>
  <c r="T128" i="25"/>
  <c r="T159" i="25"/>
  <c r="T160" i="25"/>
  <c r="T232" i="25"/>
  <c r="T77" i="25"/>
  <c r="T76" i="25"/>
  <c r="T79" i="25"/>
  <c r="T80" i="25"/>
  <c r="T78" i="25"/>
  <c r="T81" i="25"/>
  <c r="T84" i="25"/>
  <c r="T83" i="25"/>
  <c r="T82" i="25"/>
  <c r="T85" i="25"/>
  <c r="T86" i="25"/>
  <c r="T87" i="25"/>
  <c r="T88" i="25"/>
  <c r="T89" i="25"/>
  <c r="T90" i="25"/>
  <c r="T91" i="25"/>
  <c r="T92" i="25"/>
  <c r="T94" i="25"/>
  <c r="T93" i="25"/>
  <c r="T95" i="25"/>
  <c r="T96" i="25"/>
  <c r="T98" i="25"/>
  <c r="T97" i="25"/>
  <c r="T99" i="25"/>
  <c r="T104" i="25"/>
  <c r="T100" i="25"/>
  <c r="T102" i="25"/>
  <c r="T103" i="25"/>
  <c r="T106" i="25"/>
  <c r="T105" i="25"/>
  <c r="T101" i="25"/>
  <c r="T108" i="25"/>
  <c r="T107" i="25"/>
  <c r="T109" i="25"/>
  <c r="T113" i="25"/>
  <c r="T110" i="25"/>
  <c r="T114" i="25"/>
  <c r="T112" i="25"/>
  <c r="T111" i="25"/>
  <c r="T120" i="25"/>
  <c r="T116" i="25"/>
  <c r="T121" i="25"/>
  <c r="T117" i="25"/>
  <c r="T119" i="25"/>
  <c r="T115" i="25"/>
  <c r="T118" i="25"/>
  <c r="T124" i="25"/>
  <c r="T125" i="25"/>
  <c r="T122" i="25"/>
  <c r="T123" i="25"/>
  <c r="T126" i="25"/>
  <c r="T132" i="25"/>
  <c r="T129" i="25"/>
  <c r="T133" i="25"/>
  <c r="T130" i="25"/>
  <c r="T131" i="25"/>
  <c r="T134" i="25"/>
  <c r="T135" i="25"/>
  <c r="T136" i="25"/>
  <c r="T140" i="25"/>
  <c r="T144" i="25"/>
  <c r="T142" i="25"/>
  <c r="T139" i="25"/>
  <c r="T145" i="25"/>
  <c r="T147" i="25"/>
  <c r="T146" i="25"/>
  <c r="T138" i="25"/>
  <c r="T137" i="25"/>
  <c r="T143" i="25"/>
  <c r="T141" i="25"/>
  <c r="T148" i="25"/>
  <c r="T149" i="25"/>
  <c r="T150" i="25"/>
  <c r="T152" i="25"/>
  <c r="T151" i="25"/>
  <c r="T153" i="25"/>
  <c r="T154" i="25"/>
  <c r="T157" i="25"/>
  <c r="T156" i="25"/>
  <c r="T155" i="25"/>
  <c r="T158" i="25"/>
  <c r="T164" i="25"/>
  <c r="T163" i="25"/>
  <c r="T165" i="25"/>
  <c r="T162" i="25"/>
  <c r="T161" i="25"/>
  <c r="T171" i="25"/>
  <c r="T166" i="25"/>
  <c r="T167" i="25"/>
  <c r="T169" i="25"/>
  <c r="T168" i="25"/>
  <c r="F172" i="25"/>
  <c r="D172" i="25"/>
  <c r="T172" i="25"/>
  <c r="T173" i="25"/>
  <c r="T174" i="25"/>
  <c r="T175" i="25"/>
  <c r="T176" i="25"/>
  <c r="T177" i="25"/>
  <c r="T178" i="25"/>
  <c r="T179" i="25"/>
  <c r="T180" i="25"/>
  <c r="T181" i="25"/>
  <c r="T182" i="25"/>
  <c r="T183" i="25"/>
  <c r="T184" i="25"/>
  <c r="T185" i="25"/>
  <c r="T186" i="25"/>
  <c r="T187" i="25"/>
  <c r="T188" i="25"/>
  <c r="T190" i="25"/>
  <c r="T189" i="25"/>
  <c r="T191" i="25"/>
  <c r="T192" i="25"/>
  <c r="T193" i="25"/>
  <c r="T194" i="25"/>
  <c r="T195" i="25"/>
  <c r="T199" i="25"/>
  <c r="T198" i="25"/>
  <c r="T196" i="25"/>
  <c r="T197" i="25"/>
  <c r="T200" i="25"/>
  <c r="T201" i="25"/>
  <c r="T202" i="25"/>
  <c r="T203" i="25"/>
  <c r="T204" i="25"/>
  <c r="T206" i="25"/>
  <c r="T205" i="25"/>
  <c r="T207" i="25"/>
  <c r="T208" i="25"/>
  <c r="T212" i="25"/>
  <c r="T214" i="25"/>
  <c r="T217" i="25"/>
  <c r="T215" i="25"/>
  <c r="T209" i="25"/>
  <c r="T213" i="25"/>
  <c r="T216" i="25"/>
  <c r="T210" i="25"/>
  <c r="T211" i="25"/>
  <c r="T221" i="25"/>
  <c r="T220" i="25"/>
  <c r="T223" i="25"/>
  <c r="T225" i="25"/>
  <c r="T228" i="25"/>
  <c r="T229" i="25"/>
  <c r="T222" i="25"/>
  <c r="T230" i="25"/>
  <c r="T227" i="25"/>
  <c r="T218" i="25"/>
  <c r="T234" i="25"/>
  <c r="T74" i="25"/>
  <c r="T264" i="25"/>
  <c r="T263" i="25"/>
  <c r="T237" i="25"/>
  <c r="T306" i="25"/>
  <c r="T235" i="25"/>
  <c r="T32" i="25"/>
  <c r="T236" i="25"/>
  <c r="T67" i="25"/>
  <c r="T296" i="25"/>
  <c r="T55" i="25"/>
  <c r="T281" i="25"/>
  <c r="T277" i="25"/>
  <c r="T245" i="25"/>
  <c r="T294" i="25"/>
  <c r="T12" i="25"/>
  <c r="T37" i="25"/>
  <c r="T246" i="25"/>
  <c r="T39" i="25"/>
  <c r="T11" i="25"/>
  <c r="T260" i="25"/>
  <c r="T290" i="25"/>
  <c r="T286" i="25"/>
  <c r="T243" i="25"/>
  <c r="T293" i="25"/>
  <c r="T26" i="25"/>
  <c r="V2" i="25"/>
  <c r="Y2" i="25"/>
  <c r="O207" i="25"/>
  <c r="O159" i="25"/>
  <c r="O160" i="25"/>
  <c r="O127" i="25"/>
  <c r="O128" i="25"/>
  <c r="O92" i="25"/>
  <c r="O69" i="25"/>
  <c r="O242" i="25"/>
  <c r="O158" i="25"/>
  <c r="O203" i="25"/>
  <c r="O108" i="25"/>
  <c r="O104" i="25"/>
  <c r="O50" i="25"/>
  <c r="O48" i="25"/>
  <c r="O283" i="25"/>
  <c r="O120" i="25"/>
  <c r="O124" i="25"/>
  <c r="O285" i="25"/>
  <c r="O190" i="25"/>
  <c r="O189" i="25"/>
  <c r="O239" i="25"/>
  <c r="O94" i="25"/>
  <c r="O93" i="25"/>
  <c r="O110" i="25"/>
  <c r="O305" i="25"/>
  <c r="O304" i="25"/>
  <c r="O303" i="25"/>
  <c r="O99" i="25"/>
  <c r="O200" i="25"/>
  <c r="O139" i="25"/>
  <c r="O102" i="25"/>
  <c r="O103" i="25"/>
  <c r="O106" i="25"/>
  <c r="O212" i="25"/>
  <c r="O307" i="25"/>
  <c r="O164" i="25"/>
  <c r="O125" i="25"/>
  <c r="O132" i="25"/>
  <c r="O214" i="25"/>
  <c r="O231" i="25"/>
  <c r="O178" i="25"/>
  <c r="O179" i="25"/>
  <c r="O114" i="25"/>
  <c r="O23" i="25"/>
  <c r="O31" i="25"/>
  <c r="O30" i="25"/>
  <c r="O29" i="25"/>
  <c r="O240" i="25"/>
  <c r="O198" i="25"/>
  <c r="O175" i="25"/>
  <c r="O116" i="25"/>
  <c r="O219" i="25"/>
  <c r="O129" i="25"/>
  <c r="O81" i="25"/>
  <c r="O79" i="25"/>
  <c r="O73" i="25"/>
  <c r="O199" i="25"/>
  <c r="O171" i="25"/>
  <c r="O72" i="25"/>
  <c r="O221" i="25"/>
  <c r="O271" i="25"/>
  <c r="O140" i="25"/>
  <c r="O144" i="25"/>
  <c r="O253" i="25"/>
  <c r="O187" i="25"/>
  <c r="O254" i="25"/>
  <c r="O100" i="25"/>
  <c r="O53" i="25"/>
  <c r="O52" i="25"/>
  <c r="O33" i="25"/>
  <c r="O223" i="25"/>
  <c r="O83" i="25"/>
  <c r="O82" i="25"/>
  <c r="O206" i="25"/>
  <c r="O152" i="25"/>
  <c r="O133" i="25"/>
  <c r="O166" i="25"/>
  <c r="O167" i="25"/>
  <c r="O87" i="25"/>
  <c r="O225" i="25"/>
  <c r="O145" i="25"/>
  <c r="O80" i="25"/>
  <c r="O41" i="25"/>
  <c r="O38" i="25"/>
  <c r="O157" i="25"/>
  <c r="O228" i="25"/>
  <c r="O147" i="25"/>
  <c r="O146" i="25"/>
  <c r="O151" i="25"/>
  <c r="O153" i="25"/>
  <c r="O95" i="25"/>
  <c r="O138" i="25"/>
  <c r="O117" i="25"/>
  <c r="O119" i="25"/>
  <c r="O62" i="25"/>
  <c r="O163" i="25"/>
  <c r="O165" i="25"/>
  <c r="O217" i="25"/>
  <c r="O149" i="25"/>
  <c r="O77" i="25"/>
  <c r="O176" i="25"/>
  <c r="O137" i="25"/>
  <c r="O85" i="25"/>
  <c r="O21" i="25"/>
  <c r="O204" i="25"/>
  <c r="O98" i="25"/>
  <c r="O299" i="25"/>
  <c r="O301" i="25"/>
  <c r="O113" i="25"/>
  <c r="O205" i="25"/>
  <c r="O202" i="25"/>
  <c r="O162" i="25"/>
  <c r="O208" i="25"/>
  <c r="O169" i="25"/>
  <c r="O112" i="25"/>
  <c r="O6" i="25"/>
  <c r="O194" i="25"/>
  <c r="O142" i="25"/>
  <c r="O59" i="25"/>
  <c r="O63" i="25"/>
  <c r="O170" i="25"/>
  <c r="O215" i="25"/>
  <c r="O154" i="25"/>
  <c r="O109" i="25"/>
  <c r="O229" i="25"/>
  <c r="O96" i="25"/>
  <c r="O209" i="25"/>
  <c r="O143" i="25"/>
  <c r="O47" i="25"/>
  <c r="O238" i="25"/>
  <c r="O255" i="25"/>
  <c r="O84" i="25"/>
  <c r="O222" i="25"/>
  <c r="O191" i="25"/>
  <c r="O28" i="25"/>
  <c r="O121" i="25"/>
  <c r="O13" i="25"/>
  <c r="O249" i="25"/>
  <c r="O65" i="25"/>
  <c r="O181" i="25"/>
  <c r="O201" i="25"/>
  <c r="O234" i="25"/>
  <c r="O230" i="25"/>
  <c r="O78" i="25"/>
  <c r="O105" i="25"/>
  <c r="O101" i="25"/>
  <c r="O122" i="25"/>
  <c r="O89" i="25"/>
  <c r="O14" i="25"/>
  <c r="O173" i="25"/>
  <c r="O220" i="25"/>
  <c r="O273" i="25"/>
  <c r="O213" i="25"/>
  <c r="O227" i="25"/>
  <c r="O295" i="25"/>
  <c r="O5" i="25"/>
  <c r="O130" i="25"/>
  <c r="O97" i="25"/>
  <c r="O264" i="25"/>
  <c r="O107" i="25"/>
  <c r="O177" i="25"/>
  <c r="O156" i="25"/>
  <c r="O237" i="25"/>
  <c r="O172" i="25"/>
  <c r="O182" i="25"/>
  <c r="O183" i="25"/>
  <c r="O66" i="25"/>
  <c r="O134" i="25"/>
  <c r="O226" i="25"/>
  <c r="O224" i="25"/>
  <c r="O274" i="25"/>
  <c r="O195" i="25"/>
  <c r="O34" i="25"/>
  <c r="O141" i="25"/>
  <c r="O115" i="25"/>
  <c r="O74" i="25"/>
  <c r="O123" i="25"/>
  <c r="O71" i="25"/>
  <c r="O118" i="25"/>
  <c r="O216" i="25"/>
  <c r="O192" i="25"/>
  <c r="O180" i="25"/>
  <c r="O7" i="25"/>
  <c r="O155" i="25"/>
  <c r="O193" i="25"/>
  <c r="O90" i="25"/>
  <c r="O185" i="25"/>
  <c r="O248" i="25"/>
  <c r="O244" i="25"/>
  <c r="O184" i="25"/>
  <c r="O126" i="25"/>
  <c r="O210" i="25"/>
  <c r="O196" i="25"/>
  <c r="O186" i="25"/>
  <c r="O91" i="25"/>
  <c r="O150" i="25"/>
  <c r="O10" i="25"/>
  <c r="O86" i="25"/>
  <c r="O168" i="25"/>
  <c r="O218" i="25"/>
  <c r="O76" i="25"/>
  <c r="O174" i="25"/>
  <c r="O211" i="25"/>
  <c r="O161" i="25"/>
  <c r="O135" i="25"/>
  <c r="O136" i="25"/>
  <c r="O188" i="25"/>
  <c r="O148" i="25"/>
  <c r="O197" i="25"/>
  <c r="O131" i="25"/>
  <c r="O18" i="25"/>
  <c r="O111" i="25"/>
  <c r="O46" i="25"/>
  <c r="O88" i="25"/>
  <c r="O259" i="25"/>
  <c r="O263" i="25"/>
  <c r="O57" i="25"/>
  <c r="O261" i="25"/>
  <c r="O233" i="25"/>
  <c r="O20" i="25"/>
  <c r="O54" i="25"/>
  <c r="O306" i="25"/>
  <c r="O235" i="25"/>
  <c r="O32" i="25"/>
  <c r="O236" i="25"/>
  <c r="O67" i="25"/>
  <c r="O296" i="25"/>
  <c r="O55" i="25"/>
  <c r="O281" i="25"/>
  <c r="O277" i="25"/>
  <c r="O245" i="25"/>
  <c r="O294" i="25"/>
  <c r="O12" i="25"/>
  <c r="O37" i="25"/>
  <c r="O246" i="25"/>
  <c r="O39" i="25"/>
  <c r="O11" i="25"/>
  <c r="O260" i="25"/>
  <c r="O290" i="25"/>
  <c r="O286" i="25"/>
  <c r="O243" i="25"/>
  <c r="O293" i="25"/>
  <c r="O26" i="25"/>
  <c r="O232" i="25"/>
  <c r="BT3" i="27"/>
  <c r="BU3" i="27"/>
  <c r="BV3" i="27"/>
  <c r="BT28" i="27"/>
  <c r="BU28" i="27"/>
  <c r="BV28" i="27"/>
  <c r="BT2" i="27"/>
  <c r="BV2" i="27"/>
  <c r="BT5" i="27"/>
  <c r="BV5" i="27"/>
  <c r="BT30" i="27"/>
  <c r="BV30" i="27"/>
  <c r="BT26" i="27"/>
  <c r="BV26" i="27"/>
  <c r="BT12" i="27"/>
  <c r="BV12" i="27"/>
  <c r="BT29" i="27"/>
  <c r="BV29" i="27"/>
  <c r="BT25" i="27"/>
  <c r="BV25" i="27"/>
  <c r="BT23" i="27"/>
  <c r="BV23" i="27"/>
  <c r="BT24" i="27"/>
  <c r="BV24" i="27"/>
  <c r="BT22" i="27"/>
  <c r="BV22" i="27"/>
  <c r="BT9" i="27"/>
  <c r="BV9" i="27"/>
  <c r="BV32" i="27"/>
  <c r="BV35" i="27"/>
  <c r="BV37" i="27"/>
  <c r="BU37" i="27"/>
  <c r="BT37" i="27"/>
  <c r="BU16" i="27"/>
  <c r="BU9" i="27"/>
  <c r="BU17" i="27"/>
  <c r="BU22" i="27"/>
  <c r="BU24" i="27"/>
  <c r="BU23" i="27"/>
  <c r="BU25" i="27"/>
  <c r="BU29" i="27"/>
  <c r="BU12" i="27"/>
  <c r="BU26" i="27"/>
  <c r="BU30" i="27"/>
  <c r="BU5" i="27"/>
  <c r="BU2" i="27"/>
  <c r="E172" i="25"/>
  <c r="BQ12" i="27"/>
  <c r="BR12" i="27"/>
  <c r="BS12" i="27"/>
  <c r="BQ25" i="27"/>
  <c r="BR25" i="27"/>
  <c r="BS25" i="27"/>
  <c r="BQ23" i="27"/>
  <c r="BR23" i="27"/>
  <c r="BS23" i="27"/>
  <c r="BQ2" i="27"/>
  <c r="BS2" i="27"/>
  <c r="BQ5" i="27"/>
  <c r="BS5" i="27"/>
  <c r="BQ30" i="27"/>
  <c r="BS30" i="27"/>
  <c r="BQ15" i="27"/>
  <c r="BS15" i="27"/>
  <c r="BQ26" i="27"/>
  <c r="BS26" i="27"/>
  <c r="BQ29" i="27"/>
  <c r="BS29" i="27"/>
  <c r="BQ24" i="27"/>
  <c r="BS24" i="27"/>
  <c r="BQ17" i="27"/>
  <c r="BS17" i="27"/>
  <c r="BQ22" i="27"/>
  <c r="BS22" i="27"/>
  <c r="BQ9" i="27"/>
  <c r="BS9" i="27"/>
  <c r="BQ16" i="27"/>
  <c r="BS16" i="27"/>
  <c r="BS32" i="27"/>
  <c r="BS35" i="27"/>
  <c r="BS37" i="27"/>
  <c r="BR37" i="27"/>
  <c r="BQ37" i="27"/>
  <c r="BR16" i="27"/>
  <c r="BR9" i="27"/>
  <c r="BR22" i="27"/>
  <c r="BR17" i="27"/>
  <c r="BR24" i="27"/>
  <c r="BR29" i="27"/>
  <c r="BR26" i="27"/>
  <c r="BR15" i="27"/>
  <c r="BR30" i="27"/>
  <c r="BR5" i="27"/>
  <c r="BR2" i="27"/>
  <c r="G127" i="25"/>
  <c r="I127" i="25"/>
  <c r="J127" i="25"/>
  <c r="L127" i="25"/>
  <c r="G128" i="25"/>
  <c r="I128" i="25"/>
  <c r="J128" i="25"/>
  <c r="L128" i="25"/>
  <c r="G301" i="25"/>
  <c r="BN2" i="27"/>
  <c r="BP2" i="27"/>
  <c r="BN5" i="27"/>
  <c r="BP5" i="27"/>
  <c r="BN14" i="27"/>
  <c r="BP14" i="27"/>
  <c r="BN30" i="27"/>
  <c r="BP30" i="27"/>
  <c r="BN15" i="27"/>
  <c r="BP15" i="27"/>
  <c r="BN29" i="27"/>
  <c r="BP29" i="27"/>
  <c r="BN26" i="27"/>
  <c r="BP26" i="27"/>
  <c r="BN24" i="27"/>
  <c r="BP24" i="27"/>
  <c r="BN17" i="27"/>
  <c r="BP17" i="27"/>
  <c r="BN22" i="27"/>
  <c r="BP22" i="27"/>
  <c r="BN9" i="27"/>
  <c r="BP9" i="27"/>
  <c r="BN16" i="27"/>
  <c r="BP16" i="27"/>
  <c r="BP32" i="27"/>
  <c r="BP35" i="27"/>
  <c r="BP37" i="27"/>
  <c r="BO37" i="27"/>
  <c r="BN37" i="27"/>
  <c r="BO16" i="27"/>
  <c r="BO9" i="27"/>
  <c r="BO22" i="27"/>
  <c r="BO17" i="27"/>
  <c r="BO24" i="27"/>
  <c r="BO26" i="27"/>
  <c r="BO29" i="27"/>
  <c r="BO15" i="27"/>
  <c r="BO30" i="27"/>
  <c r="BO14" i="27"/>
  <c r="BO5" i="27"/>
  <c r="BO2" i="27"/>
  <c r="BK2" i="27"/>
  <c r="BM2" i="27"/>
  <c r="BK5" i="27"/>
  <c r="BM5" i="27"/>
  <c r="BK14" i="27"/>
  <c r="BM14" i="27"/>
  <c r="BK30" i="27"/>
  <c r="BM30" i="27"/>
  <c r="BK24" i="27"/>
  <c r="BM24" i="27"/>
  <c r="BK29" i="27"/>
  <c r="BM29" i="27"/>
  <c r="BK26" i="27"/>
  <c r="BM26" i="27"/>
  <c r="BK15" i="27"/>
  <c r="BM15" i="27"/>
  <c r="BK22" i="27"/>
  <c r="BM22" i="27"/>
  <c r="BK17" i="27"/>
  <c r="BM17" i="27"/>
  <c r="BK16" i="27"/>
  <c r="BM16" i="27"/>
  <c r="BK9" i="27"/>
  <c r="BM9" i="27"/>
  <c r="BM32" i="27"/>
  <c r="BM35" i="27"/>
  <c r="BM37" i="27"/>
  <c r="BL37" i="27"/>
  <c r="BK37" i="27"/>
  <c r="BL9" i="27"/>
  <c r="BL16" i="27"/>
  <c r="BL17" i="27"/>
  <c r="BL22" i="27"/>
  <c r="BL15" i="27"/>
  <c r="BL26" i="27"/>
  <c r="BL29" i="27"/>
  <c r="BL24" i="27"/>
  <c r="BL30" i="27"/>
  <c r="BL14" i="27"/>
  <c r="BL5" i="27"/>
  <c r="BL2" i="27"/>
  <c r="BH2" i="27"/>
  <c r="BJ2" i="27"/>
  <c r="BH5" i="27"/>
  <c r="BJ5" i="27"/>
  <c r="BH14" i="27"/>
  <c r="BJ14" i="27"/>
  <c r="BH30" i="27"/>
  <c r="BJ30" i="27"/>
  <c r="BH24" i="27"/>
  <c r="BJ24" i="27"/>
  <c r="BH29" i="27"/>
  <c r="BJ29" i="27"/>
  <c r="BH26" i="27"/>
  <c r="BJ26" i="27"/>
  <c r="BH15" i="27"/>
  <c r="BJ15" i="27"/>
  <c r="BH22" i="27"/>
  <c r="BJ22" i="27"/>
  <c r="BH17" i="27"/>
  <c r="BJ17" i="27"/>
  <c r="BH16" i="27"/>
  <c r="BJ16" i="27"/>
  <c r="BH9" i="27"/>
  <c r="BJ9" i="27"/>
  <c r="BJ32" i="27"/>
  <c r="BJ35" i="27"/>
  <c r="BJ37" i="27"/>
  <c r="BI37" i="27"/>
  <c r="BH37" i="27"/>
  <c r="BI9" i="27"/>
  <c r="BI16" i="27"/>
  <c r="BI17" i="27"/>
  <c r="BI22" i="27"/>
  <c r="BI15" i="27"/>
  <c r="BI26" i="27"/>
  <c r="BI29" i="27"/>
  <c r="BI24" i="27"/>
  <c r="BI30" i="27"/>
  <c r="BI14" i="27"/>
  <c r="BI5" i="27"/>
  <c r="BI2" i="27"/>
  <c r="BE2" i="27"/>
  <c r="BG2" i="27"/>
  <c r="BE5" i="27"/>
  <c r="BG5" i="27"/>
  <c r="BE30" i="27"/>
  <c r="BG30" i="27"/>
  <c r="BE14" i="27"/>
  <c r="BG14" i="27"/>
  <c r="BE24" i="27"/>
  <c r="BG24" i="27"/>
  <c r="BE29" i="27"/>
  <c r="BG29" i="27"/>
  <c r="BE26" i="27"/>
  <c r="BG26" i="27"/>
  <c r="BE15" i="27"/>
  <c r="BG15" i="27"/>
  <c r="BE17" i="27"/>
  <c r="BG17" i="27"/>
  <c r="BE22" i="27"/>
  <c r="BG22" i="27"/>
  <c r="BE16" i="27"/>
  <c r="BG16" i="27"/>
  <c r="BE9" i="27"/>
  <c r="BG9" i="27"/>
  <c r="BG32" i="27"/>
  <c r="BG35" i="27"/>
  <c r="BG37" i="27"/>
  <c r="BF37" i="27"/>
  <c r="BE37" i="27"/>
  <c r="BF9" i="27"/>
  <c r="BF16" i="27"/>
  <c r="BF22" i="27"/>
  <c r="BF17" i="27"/>
  <c r="BF15" i="27"/>
  <c r="BF26" i="27"/>
  <c r="BF29" i="27"/>
  <c r="BF24" i="27"/>
  <c r="BF14" i="27"/>
  <c r="BF30" i="27"/>
  <c r="BF5" i="27"/>
  <c r="BF2" i="27"/>
  <c r="BB2" i="27"/>
  <c r="BD2" i="27"/>
  <c r="BB5" i="27"/>
  <c r="BD5" i="27"/>
  <c r="BB30" i="27"/>
  <c r="BD30" i="27"/>
  <c r="BB14" i="27"/>
  <c r="BD14" i="27"/>
  <c r="BB24" i="27"/>
  <c r="BD24" i="27"/>
  <c r="BB29" i="27"/>
  <c r="BD29" i="27"/>
  <c r="BB26" i="27"/>
  <c r="BD26" i="27"/>
  <c r="BB15" i="27"/>
  <c r="BD15" i="27"/>
  <c r="BB17" i="27"/>
  <c r="BD17" i="27"/>
  <c r="BB22" i="27"/>
  <c r="BD22" i="27"/>
  <c r="BB16" i="27"/>
  <c r="BD16" i="27"/>
  <c r="BB9" i="27"/>
  <c r="BD9" i="27"/>
  <c r="BD32" i="27"/>
  <c r="BD35" i="27"/>
  <c r="BD37" i="27"/>
  <c r="BC37" i="27"/>
  <c r="BB37" i="27"/>
  <c r="BC9" i="27"/>
  <c r="BC16" i="27"/>
  <c r="BC22" i="27"/>
  <c r="BC17" i="27"/>
  <c r="BC15" i="27"/>
  <c r="BC26" i="27"/>
  <c r="BC29" i="27"/>
  <c r="BC24" i="27"/>
  <c r="BC14" i="27"/>
  <c r="BC30" i="27"/>
  <c r="BC5" i="27"/>
  <c r="BC2" i="27"/>
  <c r="AY2" i="27"/>
  <c r="BA2" i="27"/>
  <c r="AY5" i="27"/>
  <c r="BA5" i="27"/>
  <c r="AY30" i="27"/>
  <c r="BA30" i="27"/>
  <c r="AY14" i="27"/>
  <c r="BA14" i="27"/>
  <c r="AY24" i="27"/>
  <c r="BA24" i="27"/>
  <c r="AY29" i="27"/>
  <c r="BA29" i="27"/>
  <c r="AY26" i="27"/>
  <c r="BA26" i="27"/>
  <c r="AY15" i="27"/>
  <c r="BA15" i="27"/>
  <c r="AY17" i="27"/>
  <c r="BA17" i="27"/>
  <c r="AY22" i="27"/>
  <c r="BA22" i="27"/>
  <c r="AY16" i="27"/>
  <c r="BA16" i="27"/>
  <c r="AY9" i="27"/>
  <c r="BA9" i="27"/>
  <c r="BA32" i="27"/>
  <c r="BA35" i="27"/>
  <c r="BA37" i="27"/>
  <c r="AZ37" i="27"/>
  <c r="AY37" i="27"/>
  <c r="AZ9" i="27"/>
  <c r="AZ16" i="27"/>
  <c r="AZ22" i="27"/>
  <c r="AZ17" i="27"/>
  <c r="AZ15" i="27"/>
  <c r="AZ26" i="27"/>
  <c r="AZ29" i="27"/>
  <c r="AZ24" i="27"/>
  <c r="AZ14" i="27"/>
  <c r="AZ30" i="27"/>
  <c r="AZ5" i="27"/>
  <c r="AZ2" i="27"/>
  <c r="AV30" i="27"/>
  <c r="AX30" i="27"/>
  <c r="AV14" i="27"/>
  <c r="AX14" i="27"/>
  <c r="AV24" i="27"/>
  <c r="AX24" i="27"/>
  <c r="AV29" i="27"/>
  <c r="AX29" i="27"/>
  <c r="AV5" i="27"/>
  <c r="AX5" i="27"/>
  <c r="AV26" i="27"/>
  <c r="AX26" i="27"/>
  <c r="AV15" i="27"/>
  <c r="AX15" i="27"/>
  <c r="AV16" i="27"/>
  <c r="AX16" i="27"/>
  <c r="AV22" i="27"/>
  <c r="AX22" i="27"/>
  <c r="AV2" i="27"/>
  <c r="AX2" i="27"/>
  <c r="AV17" i="27"/>
  <c r="AX17" i="27"/>
  <c r="AV9" i="27"/>
  <c r="AX9" i="27"/>
  <c r="AX32" i="27"/>
  <c r="AX35" i="27"/>
  <c r="AX37" i="27"/>
  <c r="AW37" i="27"/>
  <c r="AV37" i="27"/>
  <c r="AW9" i="27"/>
  <c r="AW17" i="27"/>
  <c r="AW2" i="27"/>
  <c r="AW22" i="27"/>
  <c r="AW16" i="27"/>
  <c r="AW15" i="27"/>
  <c r="AW26" i="27"/>
  <c r="AW5" i="27"/>
  <c r="AW29" i="27"/>
  <c r="AW24" i="27"/>
  <c r="AW14" i="27"/>
  <c r="AW30" i="27"/>
  <c r="AS30" i="27"/>
  <c r="AT30" i="27"/>
  <c r="AU30" i="27"/>
  <c r="AS14" i="27"/>
  <c r="AT14" i="27"/>
  <c r="AU14" i="27"/>
  <c r="AS24" i="27"/>
  <c r="AT24" i="27"/>
  <c r="AU24" i="27"/>
  <c r="AS29" i="27"/>
  <c r="AT29" i="27"/>
  <c r="AU29" i="27"/>
  <c r="AS5" i="27"/>
  <c r="AT5" i="27"/>
  <c r="AU5" i="27"/>
  <c r="AS26" i="27"/>
  <c r="AT26" i="27"/>
  <c r="AU26" i="27"/>
  <c r="AS15" i="27"/>
  <c r="AT15" i="27"/>
  <c r="AU15" i="27"/>
  <c r="AS16" i="27"/>
  <c r="AT16" i="27"/>
  <c r="AU16" i="27"/>
  <c r="AS22" i="27"/>
  <c r="AT22" i="27"/>
  <c r="AU22" i="27"/>
  <c r="AS2" i="27"/>
  <c r="AT2" i="27"/>
  <c r="AU2" i="27"/>
  <c r="AS17" i="27"/>
  <c r="AT17" i="27"/>
  <c r="AU17" i="27"/>
  <c r="AS9" i="27"/>
  <c r="AT9" i="27"/>
  <c r="AU9" i="27"/>
  <c r="AU32" i="27"/>
  <c r="AU35" i="27"/>
  <c r="AS37" i="27"/>
  <c r="AT37" i="27"/>
  <c r="AU37" i="27"/>
  <c r="F5" i="27"/>
  <c r="H5" i="27"/>
  <c r="F30" i="27"/>
  <c r="H30" i="27"/>
  <c r="F24" i="27"/>
  <c r="H24" i="27"/>
  <c r="F14" i="27"/>
  <c r="H14" i="27"/>
  <c r="F29" i="27"/>
  <c r="H29" i="27"/>
  <c r="F26" i="27"/>
  <c r="H26" i="27"/>
  <c r="F15" i="27"/>
  <c r="H15" i="27"/>
  <c r="F17" i="27"/>
  <c r="H17" i="27"/>
  <c r="F22" i="27"/>
  <c r="H22" i="27"/>
  <c r="F16" i="27"/>
  <c r="H16" i="27"/>
  <c r="F2" i="27"/>
  <c r="H2" i="27"/>
  <c r="J37" i="27"/>
  <c r="I2" i="27"/>
  <c r="K2" i="27"/>
  <c r="I5" i="27"/>
  <c r="K5" i="27"/>
  <c r="I24" i="27"/>
  <c r="K24" i="27"/>
  <c r="I26" i="27"/>
  <c r="K26" i="27"/>
  <c r="I29" i="27"/>
  <c r="K29" i="27"/>
  <c r="I14" i="27"/>
  <c r="K14" i="27"/>
  <c r="I15" i="27"/>
  <c r="K15" i="27"/>
  <c r="I17" i="27"/>
  <c r="K17" i="27"/>
  <c r="I30" i="27"/>
  <c r="K30" i="27"/>
  <c r="I16" i="27"/>
  <c r="K16" i="27"/>
  <c r="I22" i="27"/>
  <c r="K22" i="27"/>
  <c r="I13" i="27"/>
  <c r="K13" i="27"/>
  <c r="K32" i="27"/>
  <c r="K35" i="27"/>
  <c r="K37" i="27"/>
  <c r="L37" i="27"/>
  <c r="M37" i="27"/>
  <c r="L2" i="27"/>
  <c r="N2" i="27"/>
  <c r="L5" i="27"/>
  <c r="N5" i="27"/>
  <c r="L24" i="27"/>
  <c r="N24" i="27"/>
  <c r="L26" i="27"/>
  <c r="N26" i="27"/>
  <c r="L29" i="27"/>
  <c r="N29" i="27"/>
  <c r="L14" i="27"/>
  <c r="N14" i="27"/>
  <c r="L15" i="27"/>
  <c r="N15" i="27"/>
  <c r="L17" i="27"/>
  <c r="N17" i="27"/>
  <c r="L30" i="27"/>
  <c r="N30" i="27"/>
  <c r="L16" i="27"/>
  <c r="N16" i="27"/>
  <c r="L22" i="27"/>
  <c r="N22" i="27"/>
  <c r="L9" i="27"/>
  <c r="N9" i="27"/>
  <c r="N32" i="27"/>
  <c r="N35" i="27"/>
  <c r="N37" i="27"/>
  <c r="O37" i="27"/>
  <c r="P37" i="27"/>
  <c r="O2" i="27"/>
  <c r="Q2" i="27"/>
  <c r="O5" i="27"/>
  <c r="Q5" i="27"/>
  <c r="O24" i="27"/>
  <c r="Q24" i="27"/>
  <c r="O26" i="27"/>
  <c r="Q26" i="27"/>
  <c r="O29" i="27"/>
  <c r="Q29" i="27"/>
  <c r="O14" i="27"/>
  <c r="Q14" i="27"/>
  <c r="O15" i="27"/>
  <c r="Q15" i="27"/>
  <c r="O17" i="27"/>
  <c r="Q17" i="27"/>
  <c r="O30" i="27"/>
  <c r="Q30" i="27"/>
  <c r="O16" i="27"/>
  <c r="Q16" i="27"/>
  <c r="O22" i="27"/>
  <c r="Q22" i="27"/>
  <c r="O9" i="27"/>
  <c r="Q9" i="27"/>
  <c r="Q32" i="27"/>
  <c r="Q35" i="27"/>
  <c r="Q37" i="27"/>
  <c r="R37" i="27"/>
  <c r="S37" i="27"/>
  <c r="R2" i="27"/>
  <c r="T2" i="27"/>
  <c r="R5" i="27"/>
  <c r="T5" i="27"/>
  <c r="R24" i="27"/>
  <c r="T24" i="27"/>
  <c r="R26" i="27"/>
  <c r="T26" i="27"/>
  <c r="R29" i="27"/>
  <c r="T29" i="27"/>
  <c r="R14" i="27"/>
  <c r="T14" i="27"/>
  <c r="R15" i="27"/>
  <c r="T15" i="27"/>
  <c r="R17" i="27"/>
  <c r="T17" i="27"/>
  <c r="R30" i="27"/>
  <c r="T30" i="27"/>
  <c r="R16" i="27"/>
  <c r="T16" i="27"/>
  <c r="R22" i="27"/>
  <c r="T22" i="27"/>
  <c r="R9" i="27"/>
  <c r="T9" i="27"/>
  <c r="T32" i="27"/>
  <c r="T35" i="27"/>
  <c r="T37" i="27"/>
  <c r="U37" i="27"/>
  <c r="V37" i="27"/>
  <c r="U2" i="27"/>
  <c r="W2" i="27"/>
  <c r="U5" i="27"/>
  <c r="W5" i="27"/>
  <c r="U24" i="27"/>
  <c r="W24" i="27"/>
  <c r="U26" i="27"/>
  <c r="W26" i="27"/>
  <c r="U29" i="27"/>
  <c r="W29" i="27"/>
  <c r="U14" i="27"/>
  <c r="W14" i="27"/>
  <c r="U15" i="27"/>
  <c r="W15" i="27"/>
  <c r="U17" i="27"/>
  <c r="W17" i="27"/>
  <c r="U30" i="27"/>
  <c r="W30" i="27"/>
  <c r="U16" i="27"/>
  <c r="W16" i="27"/>
  <c r="U22" i="27"/>
  <c r="W22" i="27"/>
  <c r="U9" i="27"/>
  <c r="W9" i="27"/>
  <c r="W32" i="27"/>
  <c r="W35" i="27"/>
  <c r="W37" i="27"/>
  <c r="X37" i="27"/>
  <c r="Y37" i="27"/>
  <c r="X2" i="27"/>
  <c r="Z2" i="27"/>
  <c r="X5" i="27"/>
  <c r="Z5" i="27"/>
  <c r="X24" i="27"/>
  <c r="Z24" i="27"/>
  <c r="X26" i="27"/>
  <c r="Z26" i="27"/>
  <c r="X29" i="27"/>
  <c r="Z29" i="27"/>
  <c r="X14" i="27"/>
  <c r="Z14" i="27"/>
  <c r="X15" i="27"/>
  <c r="Z15" i="27"/>
  <c r="X17" i="27"/>
  <c r="Z17" i="27"/>
  <c r="X30" i="27"/>
  <c r="Z30" i="27"/>
  <c r="X16" i="27"/>
  <c r="Z16" i="27"/>
  <c r="X22" i="27"/>
  <c r="Z22" i="27"/>
  <c r="X9" i="27"/>
  <c r="Z9" i="27"/>
  <c r="Z32" i="27"/>
  <c r="Z35" i="27"/>
  <c r="Z37" i="27"/>
  <c r="AA37" i="27"/>
  <c r="AB37" i="27"/>
  <c r="AA2" i="27"/>
  <c r="AC2" i="27"/>
  <c r="AA5" i="27"/>
  <c r="AC5" i="27"/>
  <c r="AA24" i="27"/>
  <c r="AC24" i="27"/>
  <c r="AA26" i="27"/>
  <c r="AC26" i="27"/>
  <c r="AA29" i="27"/>
  <c r="AC29" i="27"/>
  <c r="AA14" i="27"/>
  <c r="AC14" i="27"/>
  <c r="AA15" i="27"/>
  <c r="AC15" i="27"/>
  <c r="AA17" i="27"/>
  <c r="AC17" i="27"/>
  <c r="AA30" i="27"/>
  <c r="AC30" i="27"/>
  <c r="AA16" i="27"/>
  <c r="AC16" i="27"/>
  <c r="AA22" i="27"/>
  <c r="AC22" i="27"/>
  <c r="AA9" i="27"/>
  <c r="AC9" i="27"/>
  <c r="AC32" i="27"/>
  <c r="AC35" i="27"/>
  <c r="AC37" i="27"/>
  <c r="AD37" i="27"/>
  <c r="AE37" i="27"/>
  <c r="AD2" i="27"/>
  <c r="AF2" i="27"/>
  <c r="AD5" i="27"/>
  <c r="AF5" i="27"/>
  <c r="AD24" i="27"/>
  <c r="AF24" i="27"/>
  <c r="AD26" i="27"/>
  <c r="AF26" i="27"/>
  <c r="AD29" i="27"/>
  <c r="AF29" i="27"/>
  <c r="AD14" i="27"/>
  <c r="AF14" i="27"/>
  <c r="AD15" i="27"/>
  <c r="AF15" i="27"/>
  <c r="AD17" i="27"/>
  <c r="AF17" i="27"/>
  <c r="AD30" i="27"/>
  <c r="AF30" i="27"/>
  <c r="AD16" i="27"/>
  <c r="AF16" i="27"/>
  <c r="AD22" i="27"/>
  <c r="AF22" i="27"/>
  <c r="AD9" i="27"/>
  <c r="AF9" i="27"/>
  <c r="AF32" i="27"/>
  <c r="AF35" i="27"/>
  <c r="AF37" i="27"/>
  <c r="AG37" i="27"/>
  <c r="AH37" i="27"/>
  <c r="AG2" i="27"/>
  <c r="AI2" i="27"/>
  <c r="AG5" i="27"/>
  <c r="AI5" i="27"/>
  <c r="AG24" i="27"/>
  <c r="AI24" i="27"/>
  <c r="AG26" i="27"/>
  <c r="AI26" i="27"/>
  <c r="AG29" i="27"/>
  <c r="AI29" i="27"/>
  <c r="AG14" i="27"/>
  <c r="AI14" i="27"/>
  <c r="AG15" i="27"/>
  <c r="AI15" i="27"/>
  <c r="AG17" i="27"/>
  <c r="AI17" i="27"/>
  <c r="AG30" i="27"/>
  <c r="AI30" i="27"/>
  <c r="AG16" i="27"/>
  <c r="AI16" i="27"/>
  <c r="AG22" i="27"/>
  <c r="AI22" i="27"/>
  <c r="AG9" i="27"/>
  <c r="AI9" i="27"/>
  <c r="AI32" i="27"/>
  <c r="AI35" i="27"/>
  <c r="AI37" i="27"/>
  <c r="AJ37" i="27"/>
  <c r="AK37" i="27"/>
  <c r="AJ2" i="27"/>
  <c r="AL2" i="27"/>
  <c r="AJ5" i="27"/>
  <c r="AL5" i="27"/>
  <c r="AJ24" i="27"/>
  <c r="AL24" i="27"/>
  <c r="AJ26" i="27"/>
  <c r="AL26" i="27"/>
  <c r="AJ29" i="27"/>
  <c r="AL29" i="27"/>
  <c r="AJ14" i="27"/>
  <c r="AL14" i="27"/>
  <c r="AJ15" i="27"/>
  <c r="AL15" i="27"/>
  <c r="AJ17" i="27"/>
  <c r="AL17" i="27"/>
  <c r="AJ30" i="27"/>
  <c r="AL30" i="27"/>
  <c r="AJ16" i="27"/>
  <c r="AL16" i="27"/>
  <c r="AJ22" i="27"/>
  <c r="AL22" i="27"/>
  <c r="AJ9" i="27"/>
  <c r="AL9" i="27"/>
  <c r="AL32" i="27"/>
  <c r="AL35" i="27"/>
  <c r="AL37" i="27"/>
  <c r="AM37" i="27"/>
  <c r="AN37" i="27"/>
  <c r="AM2" i="27"/>
  <c r="AO2" i="27"/>
  <c r="AM5" i="27"/>
  <c r="AO5" i="27"/>
  <c r="AM24" i="27"/>
  <c r="AO24" i="27"/>
  <c r="AM26" i="27"/>
  <c r="AO26" i="27"/>
  <c r="AM29" i="27"/>
  <c r="AO29" i="27"/>
  <c r="AM14" i="27"/>
  <c r="AO14" i="27"/>
  <c r="AM15" i="27"/>
  <c r="AO15" i="27"/>
  <c r="AM17" i="27"/>
  <c r="AO17" i="27"/>
  <c r="AM30" i="27"/>
  <c r="AO30" i="27"/>
  <c r="AM16" i="27"/>
  <c r="AO16" i="27"/>
  <c r="AM22" i="27"/>
  <c r="AO22" i="27"/>
  <c r="AM9" i="27"/>
  <c r="AO9" i="27"/>
  <c r="AO32" i="27"/>
  <c r="AO35" i="27"/>
  <c r="AO37" i="27"/>
  <c r="AP37" i="27"/>
  <c r="AQ37" i="27"/>
  <c r="AP2" i="27"/>
  <c r="AR2" i="27"/>
  <c r="AP5" i="27"/>
  <c r="AR5" i="27"/>
  <c r="AP24" i="27"/>
  <c r="AR24" i="27"/>
  <c r="AP26" i="27"/>
  <c r="AR26" i="27"/>
  <c r="AP29" i="27"/>
  <c r="AR29" i="27"/>
  <c r="AP14" i="27"/>
  <c r="AR14" i="27"/>
  <c r="AP15" i="27"/>
  <c r="AR15" i="27"/>
  <c r="AP17" i="27"/>
  <c r="AR17" i="27"/>
  <c r="AP30" i="27"/>
  <c r="AR30" i="27"/>
  <c r="AP16" i="27"/>
  <c r="AR16" i="27"/>
  <c r="AP22" i="27"/>
  <c r="AR22" i="27"/>
  <c r="AP9" i="27"/>
  <c r="AR9" i="27"/>
  <c r="AR32" i="27"/>
  <c r="AR35" i="27"/>
  <c r="AR37" i="27"/>
  <c r="F37" i="27"/>
  <c r="G37" i="27"/>
  <c r="I37" i="27"/>
  <c r="F13" i="27"/>
  <c r="H13" i="27"/>
  <c r="H32" i="27"/>
  <c r="H35" i="27"/>
  <c r="H37" i="27"/>
  <c r="AQ9" i="27"/>
  <c r="AQ22" i="27"/>
  <c r="AQ16" i="27"/>
  <c r="AQ30" i="27"/>
  <c r="AQ17" i="27"/>
  <c r="AQ15" i="27"/>
  <c r="AQ14" i="27"/>
  <c r="AQ29" i="27"/>
  <c r="AQ26" i="27"/>
  <c r="AQ24" i="27"/>
  <c r="AQ5" i="27"/>
  <c r="AQ2" i="27"/>
  <c r="AN9" i="27"/>
  <c r="AN22" i="27"/>
  <c r="AN16" i="27"/>
  <c r="AN30" i="27"/>
  <c r="AN17" i="27"/>
  <c r="AN15" i="27"/>
  <c r="AN14" i="27"/>
  <c r="AN29" i="27"/>
  <c r="AN26" i="27"/>
  <c r="AN24" i="27"/>
  <c r="AN5" i="27"/>
  <c r="AN2" i="27"/>
  <c r="AK9" i="27"/>
  <c r="AK22" i="27"/>
  <c r="AK16" i="27"/>
  <c r="AK14" i="27"/>
  <c r="AK17" i="27"/>
  <c r="AK30" i="27"/>
  <c r="AK15" i="27"/>
  <c r="AK29" i="27"/>
  <c r="AK24" i="27"/>
  <c r="AK26" i="27"/>
  <c r="AK5" i="27"/>
  <c r="AK2" i="27"/>
  <c r="AH9" i="27"/>
  <c r="AH22" i="27"/>
  <c r="AH16" i="27"/>
  <c r="AH14" i="27"/>
  <c r="AH17" i="27"/>
  <c r="AH30" i="27"/>
  <c r="AH15" i="27"/>
  <c r="AH29" i="27"/>
  <c r="AH24" i="27"/>
  <c r="AH26" i="27"/>
  <c r="AH5" i="27"/>
  <c r="AH2" i="27"/>
  <c r="AE9" i="27"/>
  <c r="AE22" i="27"/>
  <c r="AE16" i="27"/>
  <c r="AE14" i="27"/>
  <c r="AE17" i="27"/>
  <c r="AE30" i="27"/>
  <c r="AE29" i="27"/>
  <c r="AE15" i="27"/>
  <c r="AE24" i="27"/>
  <c r="AE26" i="27"/>
  <c r="AE5" i="27"/>
  <c r="AE2" i="27"/>
  <c r="AB9" i="27"/>
  <c r="AB16" i="27"/>
  <c r="AB14" i="27"/>
  <c r="AB22" i="27"/>
  <c r="AB30" i="27"/>
  <c r="AB17" i="27"/>
  <c r="AB15" i="27"/>
  <c r="AB29" i="27"/>
  <c r="AB24" i="27"/>
  <c r="AB26" i="27"/>
  <c r="AB5" i="27"/>
  <c r="AB2" i="27"/>
  <c r="L369" i="17"/>
  <c r="L364" i="17"/>
  <c r="F359" i="17"/>
  <c r="E359" i="17"/>
  <c r="D359" i="17"/>
  <c r="G343" i="17"/>
  <c r="J343" i="17"/>
  <c r="I343" i="17"/>
  <c r="H343" i="17"/>
  <c r="G359" i="17"/>
  <c r="J359" i="17"/>
  <c r="I359" i="17"/>
  <c r="H359" i="17"/>
  <c r="G358" i="17"/>
  <c r="J358" i="17"/>
  <c r="I358" i="17"/>
  <c r="H358" i="17"/>
  <c r="G370" i="17"/>
  <c r="H370" i="17"/>
  <c r="I370" i="17"/>
  <c r="J370" i="17"/>
  <c r="K370" i="17"/>
  <c r="L370" i="17"/>
  <c r="M370" i="17"/>
  <c r="N370" i="17"/>
  <c r="Q370" i="17"/>
  <c r="G371" i="17"/>
  <c r="H371" i="17"/>
  <c r="I371" i="17"/>
  <c r="J371" i="17"/>
  <c r="K371" i="17"/>
  <c r="L371" i="17"/>
  <c r="M371" i="17"/>
  <c r="N371" i="17"/>
  <c r="Q371" i="17"/>
  <c r="G372" i="17"/>
  <c r="H372" i="17"/>
  <c r="I372" i="17"/>
  <c r="J372" i="17"/>
  <c r="K372" i="17"/>
  <c r="L372" i="17"/>
  <c r="M372" i="17"/>
  <c r="N372" i="17"/>
  <c r="Q372" i="17"/>
  <c r="G373" i="17"/>
  <c r="H373" i="17"/>
  <c r="I373" i="17"/>
  <c r="J373" i="17"/>
  <c r="K373" i="17"/>
  <c r="L373" i="17"/>
  <c r="M373" i="17"/>
  <c r="N373" i="17"/>
  <c r="Q373" i="17"/>
  <c r="G374" i="17"/>
  <c r="H374" i="17"/>
  <c r="I374" i="17"/>
  <c r="J374" i="17"/>
  <c r="K374" i="17"/>
  <c r="L374" i="17"/>
  <c r="M374" i="17"/>
  <c r="N374" i="17"/>
  <c r="Q374" i="17"/>
  <c r="G375" i="17"/>
  <c r="H375" i="17"/>
  <c r="I375" i="17"/>
  <c r="J375" i="17"/>
  <c r="K375" i="17"/>
  <c r="L375" i="17"/>
  <c r="M375" i="17"/>
  <c r="N375" i="17"/>
  <c r="Q375" i="17"/>
  <c r="G376" i="17"/>
  <c r="H376" i="17"/>
  <c r="I376" i="17"/>
  <c r="J376" i="17"/>
  <c r="K376" i="17"/>
  <c r="L376" i="17"/>
  <c r="M376" i="17"/>
  <c r="N376" i="17"/>
  <c r="Q376" i="17"/>
  <c r="G377" i="17"/>
  <c r="H377" i="17"/>
  <c r="I377" i="17"/>
  <c r="J377" i="17"/>
  <c r="K377" i="17"/>
  <c r="L377" i="17"/>
  <c r="M377" i="17"/>
  <c r="N377" i="17"/>
  <c r="Q377" i="17"/>
  <c r="G378" i="17"/>
  <c r="H378" i="17"/>
  <c r="I378" i="17"/>
  <c r="J378" i="17"/>
  <c r="K378" i="17"/>
  <c r="L378" i="17"/>
  <c r="M378" i="17"/>
  <c r="N378" i="17"/>
  <c r="Q378" i="17"/>
  <c r="G379" i="17"/>
  <c r="H379" i="17"/>
  <c r="I379" i="17"/>
  <c r="J379" i="17"/>
  <c r="K379" i="17"/>
  <c r="L379" i="17"/>
  <c r="M379" i="17"/>
  <c r="N379" i="17"/>
  <c r="Q379" i="17"/>
  <c r="G380" i="17"/>
  <c r="H380" i="17"/>
  <c r="I380" i="17"/>
  <c r="J380" i="17"/>
  <c r="K380" i="17"/>
  <c r="L380" i="17"/>
  <c r="M380" i="17"/>
  <c r="N380" i="17"/>
  <c r="Q380" i="17"/>
  <c r="G381" i="17"/>
  <c r="H381" i="17"/>
  <c r="I381" i="17"/>
  <c r="J381" i="17"/>
  <c r="K381" i="17"/>
  <c r="L381" i="17"/>
  <c r="M381" i="17"/>
  <c r="N381" i="17"/>
  <c r="Q381" i="17"/>
  <c r="G382" i="17"/>
  <c r="H382" i="17"/>
  <c r="I382" i="17"/>
  <c r="J382" i="17"/>
  <c r="K382" i="17"/>
  <c r="L382" i="17"/>
  <c r="M382" i="17"/>
  <c r="N382" i="17"/>
  <c r="Q382" i="17"/>
  <c r="G383" i="17"/>
  <c r="H383" i="17"/>
  <c r="I383" i="17"/>
  <c r="J383" i="17"/>
  <c r="K383" i="17"/>
  <c r="L383" i="17"/>
  <c r="M383" i="17"/>
  <c r="N383" i="17"/>
  <c r="Q383" i="17"/>
  <c r="G384" i="17"/>
  <c r="H384" i="17"/>
  <c r="I384" i="17"/>
  <c r="J384" i="17"/>
  <c r="K384" i="17"/>
  <c r="L384" i="17"/>
  <c r="M384" i="17"/>
  <c r="N384" i="17"/>
  <c r="Q384" i="17"/>
  <c r="G385" i="17"/>
  <c r="H385" i="17"/>
  <c r="I385" i="17"/>
  <c r="J385" i="17"/>
  <c r="K385" i="17"/>
  <c r="L385" i="17"/>
  <c r="M385" i="17"/>
  <c r="N385" i="17"/>
  <c r="Q385" i="17"/>
  <c r="G386" i="17"/>
  <c r="H386" i="17"/>
  <c r="I386" i="17"/>
  <c r="J386" i="17"/>
  <c r="K386" i="17"/>
  <c r="L386" i="17"/>
  <c r="M386" i="17"/>
  <c r="N386" i="17"/>
  <c r="Q386" i="17"/>
  <c r="G387" i="17"/>
  <c r="H387" i="17"/>
  <c r="I387" i="17"/>
  <c r="J387" i="17"/>
  <c r="K387" i="17"/>
  <c r="L387" i="17"/>
  <c r="M387" i="17"/>
  <c r="N387" i="17"/>
  <c r="Q387" i="17"/>
  <c r="G388" i="17"/>
  <c r="H388" i="17"/>
  <c r="I388" i="17"/>
  <c r="J388" i="17"/>
  <c r="K388" i="17"/>
  <c r="L388" i="17"/>
  <c r="M388" i="17"/>
  <c r="N388" i="17"/>
  <c r="Q388" i="17"/>
  <c r="G389" i="17"/>
  <c r="H389" i="17"/>
  <c r="I389" i="17"/>
  <c r="J389" i="17"/>
  <c r="K389" i="17"/>
  <c r="L389" i="17"/>
  <c r="M389" i="17"/>
  <c r="N389" i="17"/>
  <c r="Q389" i="17"/>
  <c r="G390" i="17"/>
  <c r="H390" i="17"/>
  <c r="I390" i="17"/>
  <c r="J390" i="17"/>
  <c r="K390" i="17"/>
  <c r="L390" i="17"/>
  <c r="M390" i="17"/>
  <c r="N390" i="17"/>
  <c r="Q390" i="17"/>
  <c r="G391" i="17"/>
  <c r="H391" i="17"/>
  <c r="I391" i="17"/>
  <c r="J391" i="17"/>
  <c r="K391" i="17"/>
  <c r="L391" i="17"/>
  <c r="M391" i="17"/>
  <c r="N391" i="17"/>
  <c r="Q391" i="17"/>
  <c r="G392" i="17"/>
  <c r="H392" i="17"/>
  <c r="I392" i="17"/>
  <c r="J392" i="17"/>
  <c r="K392" i="17"/>
  <c r="L392" i="17"/>
  <c r="M392" i="17"/>
  <c r="N392" i="17"/>
  <c r="Q392" i="17"/>
  <c r="G393" i="17"/>
  <c r="H393" i="17"/>
  <c r="I393" i="17"/>
  <c r="J393" i="17"/>
  <c r="K393" i="17"/>
  <c r="L393" i="17"/>
  <c r="M393" i="17"/>
  <c r="N393" i="17"/>
  <c r="Q393" i="17"/>
  <c r="G394" i="17"/>
  <c r="H394" i="17"/>
  <c r="I394" i="17"/>
  <c r="J394" i="17"/>
  <c r="K394" i="17"/>
  <c r="L394" i="17"/>
  <c r="M394" i="17"/>
  <c r="N394" i="17"/>
  <c r="Q394" i="17"/>
  <c r="G395" i="17"/>
  <c r="H395" i="17"/>
  <c r="I395" i="17"/>
  <c r="J395" i="17"/>
  <c r="K395" i="17"/>
  <c r="L395" i="17"/>
  <c r="M395" i="17"/>
  <c r="N395" i="17"/>
  <c r="Q395" i="17"/>
  <c r="G396" i="17"/>
  <c r="H396" i="17"/>
  <c r="I396" i="17"/>
  <c r="J396" i="17"/>
  <c r="K396" i="17"/>
  <c r="L396" i="17"/>
  <c r="M396" i="17"/>
  <c r="N396" i="17"/>
  <c r="Q396" i="17"/>
  <c r="G397" i="17"/>
  <c r="H397" i="17"/>
  <c r="I397" i="17"/>
  <c r="J397" i="17"/>
  <c r="K397" i="17"/>
  <c r="L397" i="17"/>
  <c r="M397" i="17"/>
  <c r="N397" i="17"/>
  <c r="Q397" i="17"/>
  <c r="G398" i="17"/>
  <c r="H398" i="17"/>
  <c r="I398" i="17"/>
  <c r="J398" i="17"/>
  <c r="K398" i="17"/>
  <c r="L398" i="17"/>
  <c r="M398" i="17"/>
  <c r="N398" i="17"/>
  <c r="Q398" i="17"/>
  <c r="G399" i="17"/>
  <c r="H399" i="17"/>
  <c r="I399" i="17"/>
  <c r="J399" i="17"/>
  <c r="K399" i="17"/>
  <c r="L399" i="17"/>
  <c r="M399" i="17"/>
  <c r="N399" i="17"/>
  <c r="Q399" i="17"/>
  <c r="G400" i="17"/>
  <c r="H400" i="17"/>
  <c r="I400" i="17"/>
  <c r="J400" i="17"/>
  <c r="K400" i="17"/>
  <c r="L400" i="17"/>
  <c r="M400" i="17"/>
  <c r="N400" i="17"/>
  <c r="Q400" i="17"/>
  <c r="G401" i="17"/>
  <c r="H401" i="17"/>
  <c r="I401" i="17"/>
  <c r="J401" i="17"/>
  <c r="K401" i="17"/>
  <c r="L401" i="17"/>
  <c r="M401" i="17"/>
  <c r="N401" i="17"/>
  <c r="Q401" i="17"/>
  <c r="G402" i="17"/>
  <c r="H402" i="17"/>
  <c r="I402" i="17"/>
  <c r="J402" i="17"/>
  <c r="K402" i="17"/>
  <c r="L402" i="17"/>
  <c r="M402" i="17"/>
  <c r="N402" i="17"/>
  <c r="Q402" i="17"/>
  <c r="G403" i="17"/>
  <c r="H403" i="17"/>
  <c r="I403" i="17"/>
  <c r="J403" i="17"/>
  <c r="K403" i="17"/>
  <c r="L403" i="17"/>
  <c r="M403" i="17"/>
  <c r="N403" i="17"/>
  <c r="Q403" i="17"/>
  <c r="G404" i="17"/>
  <c r="H404" i="17"/>
  <c r="I404" i="17"/>
  <c r="J404" i="17"/>
  <c r="K404" i="17"/>
  <c r="L404" i="17"/>
  <c r="M404" i="17"/>
  <c r="N404" i="17"/>
  <c r="Q404" i="17"/>
  <c r="G405" i="17"/>
  <c r="H405" i="17"/>
  <c r="I405" i="17"/>
  <c r="J405" i="17"/>
  <c r="K405" i="17"/>
  <c r="L405" i="17"/>
  <c r="M405" i="17"/>
  <c r="N405" i="17"/>
  <c r="Q405" i="17"/>
  <c r="G406" i="17"/>
  <c r="H406" i="17"/>
  <c r="I406" i="17"/>
  <c r="J406" i="17"/>
  <c r="K406" i="17"/>
  <c r="L406" i="17"/>
  <c r="M406" i="17"/>
  <c r="N406" i="17"/>
  <c r="Q406" i="17"/>
  <c r="G407" i="17"/>
  <c r="H407" i="17"/>
  <c r="I407" i="17"/>
  <c r="J407" i="17"/>
  <c r="K407" i="17"/>
  <c r="L407" i="17"/>
  <c r="M407" i="17"/>
  <c r="N407" i="17"/>
  <c r="Q407" i="17"/>
  <c r="G408" i="17"/>
  <c r="H408" i="17"/>
  <c r="I408" i="17"/>
  <c r="J408" i="17"/>
  <c r="K408" i="17"/>
  <c r="L408" i="17"/>
  <c r="M408" i="17"/>
  <c r="N408" i="17"/>
  <c r="Q408" i="17"/>
  <c r="G409" i="17"/>
  <c r="H409" i="17"/>
  <c r="I409" i="17"/>
  <c r="J409" i="17"/>
  <c r="K409" i="17"/>
  <c r="L409" i="17"/>
  <c r="M409" i="17"/>
  <c r="N409" i="17"/>
  <c r="Q409" i="17"/>
  <c r="G410" i="17"/>
  <c r="H410" i="17"/>
  <c r="I410" i="17"/>
  <c r="J410" i="17"/>
  <c r="K410" i="17"/>
  <c r="L410" i="17"/>
  <c r="M410" i="17"/>
  <c r="N410" i="17"/>
  <c r="Q410" i="17"/>
  <c r="G411" i="17"/>
  <c r="H411" i="17"/>
  <c r="I411" i="17"/>
  <c r="J411" i="17"/>
  <c r="K411" i="17"/>
  <c r="L411" i="17"/>
  <c r="M411" i="17"/>
  <c r="N411" i="17"/>
  <c r="Q411" i="17"/>
  <c r="G412" i="17"/>
  <c r="H412" i="17"/>
  <c r="I412" i="17"/>
  <c r="J412" i="17"/>
  <c r="K412" i="17"/>
  <c r="L412" i="17"/>
  <c r="M412" i="17"/>
  <c r="N412" i="17"/>
  <c r="Q412" i="17"/>
  <c r="G413" i="17"/>
  <c r="H413" i="17"/>
  <c r="I413" i="17"/>
  <c r="J413" i="17"/>
  <c r="K413" i="17"/>
  <c r="L413" i="17"/>
  <c r="M413" i="17"/>
  <c r="N413" i="17"/>
  <c r="Q413" i="17"/>
  <c r="G414" i="17"/>
  <c r="H414" i="17"/>
  <c r="I414" i="17"/>
  <c r="J414" i="17"/>
  <c r="K414" i="17"/>
  <c r="L414" i="17"/>
  <c r="M414" i="17"/>
  <c r="N414" i="17"/>
  <c r="Q414" i="17"/>
  <c r="G415" i="17"/>
  <c r="H415" i="17"/>
  <c r="I415" i="17"/>
  <c r="J415" i="17"/>
  <c r="K415" i="17"/>
  <c r="L415" i="17"/>
  <c r="M415" i="17"/>
  <c r="N415" i="17"/>
  <c r="Q415" i="17"/>
  <c r="G416" i="17"/>
  <c r="H416" i="17"/>
  <c r="I416" i="17"/>
  <c r="J416" i="17"/>
  <c r="K416" i="17"/>
  <c r="L416" i="17"/>
  <c r="M416" i="17"/>
  <c r="N416" i="17"/>
  <c r="Q416" i="17"/>
  <c r="G417" i="17"/>
  <c r="H417" i="17"/>
  <c r="I417" i="17"/>
  <c r="J417" i="17"/>
  <c r="K417" i="17"/>
  <c r="L417" i="17"/>
  <c r="M417" i="17"/>
  <c r="N417" i="17"/>
  <c r="Q417" i="17"/>
  <c r="G418" i="17"/>
  <c r="H418" i="17"/>
  <c r="I418" i="17"/>
  <c r="J418" i="17"/>
  <c r="K418" i="17"/>
  <c r="L418" i="17"/>
  <c r="M418" i="17"/>
  <c r="N418" i="17"/>
  <c r="Q418" i="17"/>
  <c r="G419" i="17"/>
  <c r="H419" i="17"/>
  <c r="I419" i="17"/>
  <c r="J419" i="17"/>
  <c r="K419" i="17"/>
  <c r="L419" i="17"/>
  <c r="M419" i="17"/>
  <c r="N419" i="17"/>
  <c r="Q419" i="17"/>
  <c r="G420" i="17"/>
  <c r="H420" i="17"/>
  <c r="I420" i="17"/>
  <c r="J420" i="17"/>
  <c r="K420" i="17"/>
  <c r="L420" i="17"/>
  <c r="M420" i="17"/>
  <c r="N420" i="17"/>
  <c r="Q420" i="17"/>
  <c r="G421" i="17"/>
  <c r="H421" i="17"/>
  <c r="I421" i="17"/>
  <c r="J421" i="17"/>
  <c r="K421" i="17"/>
  <c r="L421" i="17"/>
  <c r="M421" i="17"/>
  <c r="N421" i="17"/>
  <c r="Q421" i="17"/>
  <c r="G422" i="17"/>
  <c r="H422" i="17"/>
  <c r="I422" i="17"/>
  <c r="J422" i="17"/>
  <c r="K422" i="17"/>
  <c r="L422" i="17"/>
  <c r="M422" i="17"/>
  <c r="N422" i="17"/>
  <c r="Q422" i="17"/>
  <c r="G423" i="17"/>
  <c r="H423" i="17"/>
  <c r="I423" i="17"/>
  <c r="J423" i="17"/>
  <c r="K423" i="17"/>
  <c r="L423" i="17"/>
  <c r="M423" i="17"/>
  <c r="N423" i="17"/>
  <c r="Q423" i="17"/>
  <c r="G424" i="17"/>
  <c r="H424" i="17"/>
  <c r="I424" i="17"/>
  <c r="J424" i="17"/>
  <c r="K424" i="17"/>
  <c r="L424" i="17"/>
  <c r="M424" i="17"/>
  <c r="N424" i="17"/>
  <c r="Q424" i="17"/>
  <c r="G425" i="17"/>
  <c r="H425" i="17"/>
  <c r="I425" i="17"/>
  <c r="J425" i="17"/>
  <c r="K425" i="17"/>
  <c r="L425" i="17"/>
  <c r="M425" i="17"/>
  <c r="N425" i="17"/>
  <c r="Q425" i="17"/>
  <c r="G426" i="17"/>
  <c r="H426" i="17"/>
  <c r="I426" i="17"/>
  <c r="J426" i="17"/>
  <c r="K426" i="17"/>
  <c r="L426" i="17"/>
  <c r="M426" i="17"/>
  <c r="N426" i="17"/>
  <c r="Q426" i="17"/>
  <c r="G427" i="17"/>
  <c r="H427" i="17"/>
  <c r="I427" i="17"/>
  <c r="J427" i="17"/>
  <c r="K427" i="17"/>
  <c r="L427" i="17"/>
  <c r="M427" i="17"/>
  <c r="N427" i="17"/>
  <c r="Q427" i="17"/>
  <c r="G428" i="17"/>
  <c r="H428" i="17"/>
  <c r="I428" i="17"/>
  <c r="J428" i="17"/>
  <c r="K428" i="17"/>
  <c r="L428" i="17"/>
  <c r="M428" i="17"/>
  <c r="N428" i="17"/>
  <c r="Q428" i="17"/>
  <c r="G429" i="17"/>
  <c r="H429" i="17"/>
  <c r="I429" i="17"/>
  <c r="J429" i="17"/>
  <c r="K429" i="17"/>
  <c r="L429" i="17"/>
  <c r="M429" i="17"/>
  <c r="N429" i="17"/>
  <c r="Q429" i="17"/>
  <c r="G430" i="17"/>
  <c r="H430" i="17"/>
  <c r="I430" i="17"/>
  <c r="J430" i="17"/>
  <c r="K430" i="17"/>
  <c r="L430" i="17"/>
  <c r="M430" i="17"/>
  <c r="N430" i="17"/>
  <c r="Q430" i="17"/>
  <c r="G431" i="17"/>
  <c r="H431" i="17"/>
  <c r="I431" i="17"/>
  <c r="J431" i="17"/>
  <c r="K431" i="17"/>
  <c r="L431" i="17"/>
  <c r="M431" i="17"/>
  <c r="N431" i="17"/>
  <c r="Q431" i="17"/>
  <c r="G432" i="17"/>
  <c r="H432" i="17"/>
  <c r="I432" i="17"/>
  <c r="J432" i="17"/>
  <c r="K432" i="17"/>
  <c r="L432" i="17"/>
  <c r="M432" i="17"/>
  <c r="N432" i="17"/>
  <c r="Q432" i="17"/>
  <c r="G433" i="17"/>
  <c r="H433" i="17"/>
  <c r="I433" i="17"/>
  <c r="J433" i="17"/>
  <c r="K433" i="17"/>
  <c r="L433" i="17"/>
  <c r="M433" i="17"/>
  <c r="N433" i="17"/>
  <c r="Q433" i="17"/>
  <c r="G434" i="17"/>
  <c r="H434" i="17"/>
  <c r="I434" i="17"/>
  <c r="J434" i="17"/>
  <c r="K434" i="17"/>
  <c r="L434" i="17"/>
  <c r="M434" i="17"/>
  <c r="N434" i="17"/>
  <c r="Q434" i="17"/>
  <c r="G435" i="17"/>
  <c r="H435" i="17"/>
  <c r="I435" i="17"/>
  <c r="J435" i="17"/>
  <c r="K435" i="17"/>
  <c r="L435" i="17"/>
  <c r="M435" i="17"/>
  <c r="N435" i="17"/>
  <c r="Q435" i="17"/>
  <c r="G436" i="17"/>
  <c r="H436" i="17"/>
  <c r="I436" i="17"/>
  <c r="J436" i="17"/>
  <c r="K436" i="17"/>
  <c r="L436" i="17"/>
  <c r="M436" i="17"/>
  <c r="N436" i="17"/>
  <c r="Q436" i="17"/>
  <c r="G437" i="17"/>
  <c r="H437" i="17"/>
  <c r="I437" i="17"/>
  <c r="J437" i="17"/>
  <c r="K437" i="17"/>
  <c r="L437" i="17"/>
  <c r="M437" i="17"/>
  <c r="N437" i="17"/>
  <c r="Q437" i="17"/>
  <c r="G438" i="17"/>
  <c r="H438" i="17"/>
  <c r="I438" i="17"/>
  <c r="J438" i="17"/>
  <c r="K438" i="17"/>
  <c r="L438" i="17"/>
  <c r="M438" i="17"/>
  <c r="N438" i="17"/>
  <c r="Q438" i="17"/>
  <c r="G439" i="17"/>
  <c r="H439" i="17"/>
  <c r="I439" i="17"/>
  <c r="J439" i="17"/>
  <c r="K439" i="17"/>
  <c r="L439" i="17"/>
  <c r="M439" i="17"/>
  <c r="N439" i="17"/>
  <c r="Q439" i="17"/>
  <c r="G440" i="17"/>
  <c r="H440" i="17"/>
  <c r="I440" i="17"/>
  <c r="J440" i="17"/>
  <c r="K440" i="17"/>
  <c r="L440" i="17"/>
  <c r="M440" i="17"/>
  <c r="N440" i="17"/>
  <c r="Q440" i="17"/>
  <c r="G441" i="17"/>
  <c r="H441" i="17"/>
  <c r="I441" i="17"/>
  <c r="J441" i="17"/>
  <c r="K441" i="17"/>
  <c r="L441" i="17"/>
  <c r="M441" i="17"/>
  <c r="N441" i="17"/>
  <c r="Q441" i="17"/>
  <c r="G442" i="17"/>
  <c r="H442" i="17"/>
  <c r="I442" i="17"/>
  <c r="J442" i="17"/>
  <c r="K442" i="17"/>
  <c r="L442" i="17"/>
  <c r="M442" i="17"/>
  <c r="N442" i="17"/>
  <c r="Q442" i="17"/>
  <c r="G443" i="17"/>
  <c r="H443" i="17"/>
  <c r="I443" i="17"/>
  <c r="J443" i="17"/>
  <c r="K443" i="17"/>
  <c r="L443" i="17"/>
  <c r="M443" i="17"/>
  <c r="N443" i="17"/>
  <c r="Q443" i="17"/>
  <c r="G444" i="17"/>
  <c r="H444" i="17"/>
  <c r="I444" i="17"/>
  <c r="J444" i="17"/>
  <c r="K444" i="17"/>
  <c r="L444" i="17"/>
  <c r="M444" i="17"/>
  <c r="N444" i="17"/>
  <c r="Q444" i="17"/>
  <c r="G445" i="17"/>
  <c r="H445" i="17"/>
  <c r="I445" i="17"/>
  <c r="J445" i="17"/>
  <c r="K445" i="17"/>
  <c r="L445" i="17"/>
  <c r="M445" i="17"/>
  <c r="N445" i="17"/>
  <c r="Q445" i="17"/>
  <c r="G446" i="17"/>
  <c r="H446" i="17"/>
  <c r="I446" i="17"/>
  <c r="J446" i="17"/>
  <c r="K446" i="17"/>
  <c r="L446" i="17"/>
  <c r="M446" i="17"/>
  <c r="N446" i="17"/>
  <c r="Q446" i="17"/>
  <c r="G447" i="17"/>
  <c r="H447" i="17"/>
  <c r="I447" i="17"/>
  <c r="J447" i="17"/>
  <c r="K447" i="17"/>
  <c r="L447" i="17"/>
  <c r="M447" i="17"/>
  <c r="N447" i="17"/>
  <c r="Q447" i="17"/>
  <c r="G448" i="17"/>
  <c r="H448" i="17"/>
  <c r="I448" i="17"/>
  <c r="J448" i="17"/>
  <c r="K448" i="17"/>
  <c r="L448" i="17"/>
  <c r="M448" i="17"/>
  <c r="N448" i="17"/>
  <c r="Q448" i="17"/>
  <c r="G449" i="17"/>
  <c r="H449" i="17"/>
  <c r="I449" i="17"/>
  <c r="J449" i="17"/>
  <c r="K449" i="17"/>
  <c r="L449" i="17"/>
  <c r="M449" i="17"/>
  <c r="N449" i="17"/>
  <c r="Q449" i="17"/>
  <c r="G450" i="17"/>
  <c r="H450" i="17"/>
  <c r="I450" i="17"/>
  <c r="J450" i="17"/>
  <c r="K450" i="17"/>
  <c r="L450" i="17"/>
  <c r="M450" i="17"/>
  <c r="N450" i="17"/>
  <c r="Q450" i="17"/>
  <c r="G451" i="17"/>
  <c r="H451" i="17"/>
  <c r="I451" i="17"/>
  <c r="J451" i="17"/>
  <c r="K451" i="17"/>
  <c r="L451" i="17"/>
  <c r="M451" i="17"/>
  <c r="N451" i="17"/>
  <c r="Q451" i="17"/>
  <c r="G452" i="17"/>
  <c r="H452" i="17"/>
  <c r="I452" i="17"/>
  <c r="J452" i="17"/>
  <c r="K452" i="17"/>
  <c r="L452" i="17"/>
  <c r="M452" i="17"/>
  <c r="N452" i="17"/>
  <c r="Q452" i="17"/>
  <c r="G453" i="17"/>
  <c r="H453" i="17"/>
  <c r="I453" i="17"/>
  <c r="J453" i="17"/>
  <c r="K453" i="17"/>
  <c r="L453" i="17"/>
  <c r="M453" i="17"/>
  <c r="N453" i="17"/>
  <c r="Q453" i="17"/>
  <c r="G454" i="17"/>
  <c r="H454" i="17"/>
  <c r="I454" i="17"/>
  <c r="J454" i="17"/>
  <c r="K454" i="17"/>
  <c r="L454" i="17"/>
  <c r="M454" i="17"/>
  <c r="N454" i="17"/>
  <c r="Q454" i="17"/>
  <c r="G455" i="17"/>
  <c r="H455" i="17"/>
  <c r="I455" i="17"/>
  <c r="J455" i="17"/>
  <c r="K455" i="17"/>
  <c r="L455" i="17"/>
  <c r="M455" i="17"/>
  <c r="N455" i="17"/>
  <c r="Q455" i="17"/>
  <c r="G456" i="17"/>
  <c r="H456" i="17"/>
  <c r="I456" i="17"/>
  <c r="J456" i="17"/>
  <c r="K456" i="17"/>
  <c r="L456" i="17"/>
  <c r="M456" i="17"/>
  <c r="N456" i="17"/>
  <c r="Q456" i="17"/>
  <c r="G457" i="17"/>
  <c r="H457" i="17"/>
  <c r="I457" i="17"/>
  <c r="J457" i="17"/>
  <c r="K457" i="17"/>
  <c r="L457" i="17"/>
  <c r="M457" i="17"/>
  <c r="N457" i="17"/>
  <c r="Q457" i="17"/>
  <c r="G458" i="17"/>
  <c r="H458" i="17"/>
  <c r="I458" i="17"/>
  <c r="J458" i="17"/>
  <c r="K458" i="17"/>
  <c r="L458" i="17"/>
  <c r="M458" i="17"/>
  <c r="N458" i="17"/>
  <c r="Q458" i="17"/>
  <c r="G459" i="17"/>
  <c r="H459" i="17"/>
  <c r="I459" i="17"/>
  <c r="J459" i="17"/>
  <c r="K459" i="17"/>
  <c r="L459" i="17"/>
  <c r="M459" i="17"/>
  <c r="N459" i="17"/>
  <c r="Q459" i="17"/>
  <c r="G460" i="17"/>
  <c r="H460" i="17"/>
  <c r="I460" i="17"/>
  <c r="J460" i="17"/>
  <c r="K460" i="17"/>
  <c r="L460" i="17"/>
  <c r="M460" i="17"/>
  <c r="N460" i="17"/>
  <c r="Q460" i="17"/>
  <c r="G461" i="17"/>
  <c r="H461" i="17"/>
  <c r="I461" i="17"/>
  <c r="J461" i="17"/>
  <c r="K461" i="17"/>
  <c r="L461" i="17"/>
  <c r="M461" i="17"/>
  <c r="N461" i="17"/>
  <c r="Q461" i="17"/>
  <c r="G462" i="17"/>
  <c r="H462" i="17"/>
  <c r="I462" i="17"/>
  <c r="J462" i="17"/>
  <c r="K462" i="17"/>
  <c r="L462" i="17"/>
  <c r="M462" i="17"/>
  <c r="N462" i="17"/>
  <c r="Q462" i="17"/>
  <c r="G463" i="17"/>
  <c r="H463" i="17"/>
  <c r="I463" i="17"/>
  <c r="J463" i="17"/>
  <c r="K463" i="17"/>
  <c r="L463" i="17"/>
  <c r="M463" i="17"/>
  <c r="N463" i="17"/>
  <c r="Q463" i="17"/>
  <c r="G464" i="17"/>
  <c r="H464" i="17"/>
  <c r="I464" i="17"/>
  <c r="J464" i="17"/>
  <c r="K464" i="17"/>
  <c r="L464" i="17"/>
  <c r="M464" i="17"/>
  <c r="N464" i="17"/>
  <c r="Q464" i="17"/>
  <c r="G465" i="17"/>
  <c r="H465" i="17"/>
  <c r="I465" i="17"/>
  <c r="J465" i="17"/>
  <c r="K465" i="17"/>
  <c r="L465" i="17"/>
  <c r="M465" i="17"/>
  <c r="N465" i="17"/>
  <c r="Q465" i="17"/>
  <c r="G466" i="17"/>
  <c r="H466" i="17"/>
  <c r="I466" i="17"/>
  <c r="J466" i="17"/>
  <c r="K466" i="17"/>
  <c r="L466" i="17"/>
  <c r="M466" i="17"/>
  <c r="N466" i="17"/>
  <c r="Q466" i="17"/>
  <c r="G467" i="17"/>
  <c r="H467" i="17"/>
  <c r="I467" i="17"/>
  <c r="J467" i="17"/>
  <c r="K467" i="17"/>
  <c r="L467" i="17"/>
  <c r="M467" i="17"/>
  <c r="N467" i="17"/>
  <c r="Q467" i="17"/>
  <c r="G468" i="17"/>
  <c r="H468" i="17"/>
  <c r="I468" i="17"/>
  <c r="J468" i="17"/>
  <c r="K468" i="17"/>
  <c r="L468" i="17"/>
  <c r="M468" i="17"/>
  <c r="N468" i="17"/>
  <c r="Q468" i="17"/>
  <c r="G469" i="17"/>
  <c r="H469" i="17"/>
  <c r="I469" i="17"/>
  <c r="J469" i="17"/>
  <c r="K469" i="17"/>
  <c r="L469" i="17"/>
  <c r="M469" i="17"/>
  <c r="N469" i="17"/>
  <c r="Q469" i="17"/>
  <c r="G470" i="17"/>
  <c r="H470" i="17"/>
  <c r="I470" i="17"/>
  <c r="J470" i="17"/>
  <c r="K470" i="17"/>
  <c r="L470" i="17"/>
  <c r="M470" i="17"/>
  <c r="N470" i="17"/>
  <c r="Q470" i="17"/>
  <c r="G471" i="17"/>
  <c r="H471" i="17"/>
  <c r="I471" i="17"/>
  <c r="J471" i="17"/>
  <c r="K471" i="17"/>
  <c r="L471" i="17"/>
  <c r="M471" i="17"/>
  <c r="N471" i="17"/>
  <c r="Q471" i="17"/>
  <c r="G472" i="17"/>
  <c r="H472" i="17"/>
  <c r="I472" i="17"/>
  <c r="J472" i="17"/>
  <c r="K472" i="17"/>
  <c r="L472" i="17"/>
  <c r="M472" i="17"/>
  <c r="N472" i="17"/>
  <c r="Q472" i="17"/>
  <c r="G473" i="17"/>
  <c r="H473" i="17"/>
  <c r="I473" i="17"/>
  <c r="J473" i="17"/>
  <c r="K473" i="17"/>
  <c r="L473" i="17"/>
  <c r="M473" i="17"/>
  <c r="N473" i="17"/>
  <c r="Q473" i="17"/>
  <c r="G474" i="17"/>
  <c r="H474" i="17"/>
  <c r="I474" i="17"/>
  <c r="J474" i="17"/>
  <c r="K474" i="17"/>
  <c r="L474" i="17"/>
  <c r="M474" i="17"/>
  <c r="N474" i="17"/>
  <c r="Q474" i="17"/>
  <c r="G475" i="17"/>
  <c r="H475" i="17"/>
  <c r="I475" i="17"/>
  <c r="J475" i="17"/>
  <c r="K475" i="17"/>
  <c r="L475" i="17"/>
  <c r="M475" i="17"/>
  <c r="N475" i="17"/>
  <c r="Q475" i="17"/>
  <c r="G476" i="17"/>
  <c r="H476" i="17"/>
  <c r="I476" i="17"/>
  <c r="J476" i="17"/>
  <c r="K476" i="17"/>
  <c r="L476" i="17"/>
  <c r="M476" i="17"/>
  <c r="N476" i="17"/>
  <c r="Q476" i="17"/>
  <c r="G477" i="17"/>
  <c r="H477" i="17"/>
  <c r="I477" i="17"/>
  <c r="J477" i="17"/>
  <c r="K477" i="17"/>
  <c r="L477" i="17"/>
  <c r="M477" i="17"/>
  <c r="N477" i="17"/>
  <c r="Q477" i="17"/>
  <c r="G478" i="17"/>
  <c r="H478" i="17"/>
  <c r="I478" i="17"/>
  <c r="J478" i="17"/>
  <c r="K478" i="17"/>
  <c r="L478" i="17"/>
  <c r="M478" i="17"/>
  <c r="N478" i="17"/>
  <c r="Q478" i="17"/>
  <c r="G479" i="17"/>
  <c r="H479" i="17"/>
  <c r="I479" i="17"/>
  <c r="J479" i="17"/>
  <c r="K479" i="17"/>
  <c r="L479" i="17"/>
  <c r="M479" i="17"/>
  <c r="N479" i="17"/>
  <c r="Q479" i="17"/>
  <c r="G480" i="17"/>
  <c r="H480" i="17"/>
  <c r="I480" i="17"/>
  <c r="J480" i="17"/>
  <c r="K480" i="17"/>
  <c r="L480" i="17"/>
  <c r="M480" i="17"/>
  <c r="N480" i="17"/>
  <c r="Q480" i="17"/>
  <c r="G481" i="17"/>
  <c r="H481" i="17"/>
  <c r="I481" i="17"/>
  <c r="J481" i="17"/>
  <c r="K481" i="17"/>
  <c r="L481" i="17"/>
  <c r="M481" i="17"/>
  <c r="N481" i="17"/>
  <c r="Q481" i="17"/>
  <c r="G482" i="17"/>
  <c r="H482" i="17"/>
  <c r="I482" i="17"/>
  <c r="J482" i="17"/>
  <c r="K482" i="17"/>
  <c r="L482" i="17"/>
  <c r="M482" i="17"/>
  <c r="N482" i="17"/>
  <c r="Q482" i="17"/>
  <c r="G483" i="17"/>
  <c r="H483" i="17"/>
  <c r="I483" i="17"/>
  <c r="J483" i="17"/>
  <c r="K483" i="17"/>
  <c r="L483" i="17"/>
  <c r="M483" i="17"/>
  <c r="N483" i="17"/>
  <c r="Q483" i="17"/>
  <c r="G484" i="17"/>
  <c r="H484" i="17"/>
  <c r="I484" i="17"/>
  <c r="J484" i="17"/>
  <c r="K484" i="17"/>
  <c r="L484" i="17"/>
  <c r="M484" i="17"/>
  <c r="N484" i="17"/>
  <c r="Q484" i="17"/>
  <c r="G485" i="17"/>
  <c r="H485" i="17"/>
  <c r="I485" i="17"/>
  <c r="J485" i="17"/>
  <c r="K485" i="17"/>
  <c r="L485" i="17"/>
  <c r="M485" i="17"/>
  <c r="N485" i="17"/>
  <c r="Q485" i="17"/>
  <c r="G486" i="17"/>
  <c r="H486" i="17"/>
  <c r="I486" i="17"/>
  <c r="J486" i="17"/>
  <c r="K486" i="17"/>
  <c r="L486" i="17"/>
  <c r="M486" i="17"/>
  <c r="N486" i="17"/>
  <c r="Q486" i="17"/>
  <c r="G487" i="17"/>
  <c r="H487" i="17"/>
  <c r="I487" i="17"/>
  <c r="J487" i="17"/>
  <c r="K487" i="17"/>
  <c r="L487" i="17"/>
  <c r="M487" i="17"/>
  <c r="N487" i="17"/>
  <c r="Q487" i="17"/>
  <c r="G488" i="17"/>
  <c r="H488" i="17"/>
  <c r="I488" i="17"/>
  <c r="J488" i="17"/>
  <c r="K488" i="17"/>
  <c r="L488" i="17"/>
  <c r="M488" i="17"/>
  <c r="N488" i="17"/>
  <c r="Q488" i="17"/>
  <c r="G489" i="17"/>
  <c r="H489" i="17"/>
  <c r="I489" i="17"/>
  <c r="J489" i="17"/>
  <c r="K489" i="17"/>
  <c r="L489" i="17"/>
  <c r="M489" i="17"/>
  <c r="N489" i="17"/>
  <c r="Q489" i="17"/>
  <c r="G490" i="17"/>
  <c r="H490" i="17"/>
  <c r="I490" i="17"/>
  <c r="J490" i="17"/>
  <c r="K490" i="17"/>
  <c r="L490" i="17"/>
  <c r="M490" i="17"/>
  <c r="N490" i="17"/>
  <c r="Q490" i="17"/>
  <c r="G491" i="17"/>
  <c r="H491" i="17"/>
  <c r="I491" i="17"/>
  <c r="J491" i="17"/>
  <c r="K491" i="17"/>
  <c r="L491" i="17"/>
  <c r="M491" i="17"/>
  <c r="N491" i="17"/>
  <c r="Q491" i="17"/>
  <c r="G492" i="17"/>
  <c r="H492" i="17"/>
  <c r="I492" i="17"/>
  <c r="J492" i="17"/>
  <c r="K492" i="17"/>
  <c r="L492" i="17"/>
  <c r="M492" i="17"/>
  <c r="N492" i="17"/>
  <c r="Q492" i="17"/>
  <c r="G493" i="17"/>
  <c r="H493" i="17"/>
  <c r="I493" i="17"/>
  <c r="J493" i="17"/>
  <c r="K493" i="17"/>
  <c r="L493" i="17"/>
  <c r="M493" i="17"/>
  <c r="N493" i="17"/>
  <c r="Q493" i="17"/>
  <c r="G494" i="17"/>
  <c r="H494" i="17"/>
  <c r="I494" i="17"/>
  <c r="J494" i="17"/>
  <c r="K494" i="17"/>
  <c r="L494" i="17"/>
  <c r="M494" i="17"/>
  <c r="N494" i="17"/>
  <c r="Q494" i="17"/>
  <c r="G495" i="17"/>
  <c r="H495" i="17"/>
  <c r="I495" i="17"/>
  <c r="J495" i="17"/>
  <c r="K495" i="17"/>
  <c r="L495" i="17"/>
  <c r="M495" i="17"/>
  <c r="N495" i="17"/>
  <c r="Q495" i="17"/>
  <c r="G496" i="17"/>
  <c r="H496" i="17"/>
  <c r="I496" i="17"/>
  <c r="J496" i="17"/>
  <c r="K496" i="17"/>
  <c r="L496" i="17"/>
  <c r="M496" i="17"/>
  <c r="N496" i="17"/>
  <c r="Q496" i="17"/>
  <c r="G497" i="17"/>
  <c r="H497" i="17"/>
  <c r="I497" i="17"/>
  <c r="J497" i="17"/>
  <c r="K497" i="17"/>
  <c r="L497" i="17"/>
  <c r="M497" i="17"/>
  <c r="N497" i="17"/>
  <c r="Q497" i="17"/>
  <c r="G498" i="17"/>
  <c r="H498" i="17"/>
  <c r="I498" i="17"/>
  <c r="J498" i="17"/>
  <c r="K498" i="17"/>
  <c r="L498" i="17"/>
  <c r="M498" i="17"/>
  <c r="N498" i="17"/>
  <c r="Q498" i="17"/>
  <c r="G499" i="17"/>
  <c r="H499" i="17"/>
  <c r="I499" i="17"/>
  <c r="J499" i="17"/>
  <c r="K499" i="17"/>
  <c r="L499" i="17"/>
  <c r="M499" i="17"/>
  <c r="N499" i="17"/>
  <c r="Q499" i="17"/>
  <c r="G500" i="17"/>
  <c r="H500" i="17"/>
  <c r="I500" i="17"/>
  <c r="J500" i="17"/>
  <c r="K500" i="17"/>
  <c r="L500" i="17"/>
  <c r="M500" i="17"/>
  <c r="N500" i="17"/>
  <c r="Q500" i="17"/>
  <c r="G501" i="17"/>
  <c r="H501" i="17"/>
  <c r="I501" i="17"/>
  <c r="J501" i="17"/>
  <c r="K501" i="17"/>
  <c r="L501" i="17"/>
  <c r="M501" i="17"/>
  <c r="N501" i="17"/>
  <c r="Q501" i="17"/>
  <c r="G502" i="17"/>
  <c r="H502" i="17"/>
  <c r="I502" i="17"/>
  <c r="J502" i="17"/>
  <c r="K502" i="17"/>
  <c r="L502" i="17"/>
  <c r="M502" i="17"/>
  <c r="N502" i="17"/>
  <c r="Q502" i="17"/>
  <c r="G503" i="17"/>
  <c r="H503" i="17"/>
  <c r="I503" i="17"/>
  <c r="J503" i="17"/>
  <c r="K503" i="17"/>
  <c r="L503" i="17"/>
  <c r="M503" i="17"/>
  <c r="N503" i="17"/>
  <c r="Q503" i="17"/>
  <c r="G504" i="17"/>
  <c r="H504" i="17"/>
  <c r="I504" i="17"/>
  <c r="J504" i="17"/>
  <c r="K504" i="17"/>
  <c r="L504" i="17"/>
  <c r="M504" i="17"/>
  <c r="N504" i="17"/>
  <c r="Q504" i="17"/>
  <c r="G505" i="17"/>
  <c r="H505" i="17"/>
  <c r="I505" i="17"/>
  <c r="J505" i="17"/>
  <c r="K505" i="17"/>
  <c r="L505" i="17"/>
  <c r="M505" i="17"/>
  <c r="N505" i="17"/>
  <c r="Q505" i="17"/>
  <c r="G506" i="17"/>
  <c r="H506" i="17"/>
  <c r="I506" i="17"/>
  <c r="J506" i="17"/>
  <c r="K506" i="17"/>
  <c r="L506" i="17"/>
  <c r="M506" i="17"/>
  <c r="N506" i="17"/>
  <c r="Q506" i="17"/>
  <c r="G507" i="17"/>
  <c r="H507" i="17"/>
  <c r="I507" i="17"/>
  <c r="J507" i="17"/>
  <c r="K507" i="17"/>
  <c r="L507" i="17"/>
  <c r="M507" i="17"/>
  <c r="N507" i="17"/>
  <c r="Q507" i="17"/>
  <c r="G508" i="17"/>
  <c r="H508" i="17"/>
  <c r="I508" i="17"/>
  <c r="J508" i="17"/>
  <c r="K508" i="17"/>
  <c r="L508" i="17"/>
  <c r="M508" i="17"/>
  <c r="N508" i="17"/>
  <c r="Q508" i="17"/>
  <c r="G509" i="17"/>
  <c r="H509" i="17"/>
  <c r="I509" i="17"/>
  <c r="J509" i="17"/>
  <c r="K509" i="17"/>
  <c r="L509" i="17"/>
  <c r="M509" i="17"/>
  <c r="N509" i="17"/>
  <c r="Q509" i="17"/>
  <c r="Y9" i="27"/>
  <c r="Y22" i="27"/>
  <c r="Y24" i="27"/>
  <c r="Y15" i="27"/>
  <c r="Y17" i="27"/>
  <c r="Y26" i="27"/>
  <c r="Y29" i="27"/>
  <c r="Y30" i="27"/>
  <c r="Y16" i="27"/>
  <c r="Y5" i="27"/>
  <c r="Y2" i="27"/>
  <c r="Y14" i="27"/>
  <c r="V9" i="27"/>
  <c r="V22" i="27"/>
  <c r="V24" i="27"/>
  <c r="V15" i="27"/>
  <c r="V17" i="27"/>
  <c r="V26" i="27"/>
  <c r="V29" i="27"/>
  <c r="V30" i="27"/>
  <c r="V16" i="27"/>
  <c r="V5" i="27"/>
  <c r="V2" i="27"/>
  <c r="V14" i="27"/>
  <c r="S24" i="27"/>
  <c r="S22" i="27"/>
  <c r="S9" i="27"/>
  <c r="S15" i="27"/>
  <c r="S17" i="27"/>
  <c r="S26" i="27"/>
  <c r="S29" i="27"/>
  <c r="S30" i="27"/>
  <c r="S2" i="27"/>
  <c r="S5" i="27"/>
  <c r="S16" i="27"/>
  <c r="S14" i="27"/>
  <c r="P9" i="27"/>
  <c r="P14" i="27"/>
  <c r="P16" i="27"/>
  <c r="P22" i="27"/>
  <c r="P26" i="27"/>
  <c r="P30" i="27"/>
  <c r="P15" i="27"/>
  <c r="P24" i="27"/>
  <c r="P29" i="27"/>
  <c r="P17" i="27"/>
  <c r="P5" i="27"/>
  <c r="P2" i="27"/>
  <c r="G52" i="17"/>
  <c r="G339" i="17"/>
  <c r="J339" i="17"/>
  <c r="G356" i="17"/>
  <c r="J356" i="17"/>
  <c r="G11" i="17"/>
  <c r="J11" i="17"/>
  <c r="G10" i="17"/>
  <c r="J10" i="17"/>
  <c r="G8" i="17"/>
  <c r="J8" i="17"/>
  <c r="G6" i="17"/>
  <c r="J6" i="17"/>
  <c r="G5" i="17"/>
  <c r="J5" i="17"/>
  <c r="G4" i="17"/>
  <c r="J4" i="17"/>
  <c r="G3" i="17"/>
  <c r="J3" i="17"/>
  <c r="G2" i="17"/>
  <c r="J2" i="17"/>
  <c r="G21" i="17"/>
  <c r="J21" i="17"/>
  <c r="G20" i="17"/>
  <c r="J20" i="17"/>
  <c r="G19" i="17"/>
  <c r="J19" i="17"/>
  <c r="G18" i="17"/>
  <c r="J18" i="17"/>
  <c r="G17" i="17"/>
  <c r="J17" i="17"/>
  <c r="G16" i="17"/>
  <c r="J16" i="17"/>
  <c r="G15" i="17"/>
  <c r="J15" i="17"/>
  <c r="G14" i="17"/>
  <c r="J14" i="17"/>
  <c r="G13" i="17"/>
  <c r="J13" i="17"/>
  <c r="G12" i="17"/>
  <c r="J12" i="17"/>
  <c r="G30" i="17"/>
  <c r="J30" i="17"/>
  <c r="G29" i="17"/>
  <c r="J29" i="17"/>
  <c r="G28" i="17"/>
  <c r="J28" i="17"/>
  <c r="G27" i="17"/>
  <c r="J27" i="17"/>
  <c r="G26" i="17"/>
  <c r="J26" i="17"/>
  <c r="G25" i="17"/>
  <c r="J25" i="17"/>
  <c r="G24" i="17"/>
  <c r="J24" i="17"/>
  <c r="G23" i="17"/>
  <c r="J23" i="17"/>
  <c r="G22" i="17"/>
  <c r="J22" i="17"/>
  <c r="G42" i="17"/>
  <c r="J42" i="17"/>
  <c r="G41" i="17"/>
  <c r="J41" i="17"/>
  <c r="G40" i="17"/>
  <c r="J40" i="17"/>
  <c r="G39" i="17"/>
  <c r="J39" i="17"/>
  <c r="G38" i="17"/>
  <c r="J38" i="17"/>
  <c r="G37" i="17"/>
  <c r="J37" i="17"/>
  <c r="G36" i="17"/>
  <c r="J36" i="17"/>
  <c r="G35" i="17"/>
  <c r="J35" i="17"/>
  <c r="G34" i="17"/>
  <c r="J34" i="17"/>
  <c r="G33" i="17"/>
  <c r="J33" i="17"/>
  <c r="G32" i="17"/>
  <c r="J32" i="17"/>
  <c r="G31" i="17"/>
  <c r="J31" i="17"/>
  <c r="G54" i="17"/>
  <c r="J54" i="17"/>
  <c r="G53" i="17"/>
  <c r="J53" i="17"/>
  <c r="J52" i="17"/>
  <c r="G51" i="17"/>
  <c r="J51" i="17"/>
  <c r="G50" i="17"/>
  <c r="J50" i="17"/>
  <c r="G49" i="17"/>
  <c r="J49" i="17"/>
  <c r="G48" i="17"/>
  <c r="J48" i="17"/>
  <c r="G47" i="17"/>
  <c r="J47" i="17"/>
  <c r="G46" i="17"/>
  <c r="J46" i="17"/>
  <c r="G45" i="17"/>
  <c r="J45" i="17"/>
  <c r="G44" i="17"/>
  <c r="J44" i="17"/>
  <c r="G43" i="17"/>
  <c r="J43" i="17"/>
  <c r="G360" i="17"/>
  <c r="J360" i="17"/>
  <c r="G333" i="17"/>
  <c r="J333" i="17"/>
  <c r="G101" i="17"/>
  <c r="J101" i="17"/>
  <c r="G111" i="17"/>
  <c r="J111" i="17"/>
  <c r="G83" i="17"/>
  <c r="J83" i="17"/>
  <c r="G88" i="17"/>
  <c r="J88" i="17"/>
  <c r="G352" i="17"/>
  <c r="J352" i="17"/>
  <c r="G338" i="17"/>
  <c r="J338" i="17"/>
  <c r="G114" i="17"/>
  <c r="J114" i="17"/>
  <c r="G337" i="17"/>
  <c r="J337" i="17"/>
  <c r="G85" i="17"/>
  <c r="J85" i="17"/>
  <c r="G98" i="17"/>
  <c r="J98" i="17"/>
  <c r="G268" i="17"/>
  <c r="J268" i="17"/>
  <c r="G77" i="17"/>
  <c r="J77" i="17"/>
  <c r="G99" i="17"/>
  <c r="J99" i="17"/>
  <c r="G60" i="17"/>
  <c r="J60" i="17"/>
  <c r="G87" i="17"/>
  <c r="J87" i="17"/>
  <c r="G75" i="17"/>
  <c r="J75" i="17"/>
  <c r="G331" i="17"/>
  <c r="J331" i="17"/>
  <c r="G122" i="17"/>
  <c r="J122" i="17"/>
  <c r="G67" i="17"/>
  <c r="J67" i="17"/>
  <c r="G368" i="17"/>
  <c r="J368" i="17"/>
  <c r="G93" i="17"/>
  <c r="J93" i="17"/>
  <c r="G84" i="17"/>
  <c r="J84" i="17"/>
  <c r="G72" i="17"/>
  <c r="J72" i="17"/>
  <c r="G61" i="17"/>
  <c r="J61" i="17"/>
  <c r="G81" i="17"/>
  <c r="J81" i="17"/>
  <c r="G361" i="17"/>
  <c r="J361" i="17"/>
  <c r="G327" i="17"/>
  <c r="J327" i="17"/>
  <c r="G342" i="17"/>
  <c r="J342" i="17"/>
  <c r="G357" i="17"/>
  <c r="J357" i="17"/>
  <c r="G97" i="17"/>
  <c r="J97" i="17"/>
  <c r="G321" i="17"/>
  <c r="J321" i="17"/>
  <c r="G9" i="17"/>
  <c r="J9" i="17"/>
  <c r="G348" i="17"/>
  <c r="J348" i="17"/>
  <c r="G68" i="17"/>
  <c r="J68" i="17"/>
  <c r="G366" i="17"/>
  <c r="J366" i="17"/>
  <c r="G89" i="17"/>
  <c r="J89" i="17"/>
  <c r="G351" i="17"/>
  <c r="J351" i="17"/>
  <c r="G355" i="17"/>
  <c r="J355" i="17"/>
  <c r="G324" i="17"/>
  <c r="J324" i="17"/>
  <c r="G74" i="17"/>
  <c r="J74" i="17"/>
  <c r="G76" i="17"/>
  <c r="J76" i="17"/>
  <c r="G319" i="17"/>
  <c r="J319" i="17"/>
  <c r="G328" i="17"/>
  <c r="J328" i="17"/>
  <c r="G326" i="17"/>
  <c r="J326" i="17"/>
  <c r="G7" i="17"/>
  <c r="J7" i="17"/>
  <c r="G330" i="17"/>
  <c r="J330" i="17"/>
  <c r="G95" i="17"/>
  <c r="J95" i="17"/>
  <c r="G66" i="17"/>
  <c r="J66" i="17"/>
  <c r="G110" i="17"/>
  <c r="J110" i="17"/>
  <c r="G340" i="17"/>
  <c r="J340" i="17"/>
  <c r="G123" i="17"/>
  <c r="J123" i="17"/>
  <c r="G73" i="17"/>
  <c r="J73" i="17"/>
  <c r="G59" i="17"/>
  <c r="J59" i="17"/>
  <c r="G116" i="17"/>
  <c r="J116" i="17"/>
  <c r="G320" i="17"/>
  <c r="J320" i="17"/>
  <c r="G229" i="17"/>
  <c r="J229" i="17"/>
  <c r="G55" i="17"/>
  <c r="J55" i="17"/>
  <c r="G335" i="17"/>
  <c r="J335" i="17"/>
  <c r="G70" i="17"/>
  <c r="J70" i="17"/>
  <c r="G119" i="17"/>
  <c r="J119" i="17"/>
  <c r="G117" i="17"/>
  <c r="J117" i="17"/>
  <c r="G113" i="17"/>
  <c r="J113" i="17"/>
  <c r="G80" i="17"/>
  <c r="J80" i="17"/>
  <c r="G90" i="17"/>
  <c r="J90" i="17"/>
  <c r="G323" i="17"/>
  <c r="J323" i="17"/>
  <c r="G91" i="17"/>
  <c r="J91" i="17"/>
  <c r="G332" i="17"/>
  <c r="J332" i="17"/>
  <c r="G349" i="17"/>
  <c r="J349" i="17"/>
  <c r="G334" i="17"/>
  <c r="J334" i="17"/>
  <c r="G82" i="17"/>
  <c r="J82" i="17"/>
  <c r="G102" i="17"/>
  <c r="J102" i="17"/>
  <c r="G96" i="17"/>
  <c r="J96" i="17"/>
  <c r="G79" i="17"/>
  <c r="J79" i="17"/>
  <c r="G329" i="17"/>
  <c r="J329" i="17"/>
  <c r="G103" i="17"/>
  <c r="J103" i="17"/>
  <c r="G322" i="17"/>
  <c r="J322" i="17"/>
  <c r="G362" i="17"/>
  <c r="J362" i="17"/>
  <c r="G62" i="17"/>
  <c r="J62" i="17"/>
  <c r="G347" i="17"/>
  <c r="J347" i="17"/>
  <c r="G344" i="17"/>
  <c r="J344" i="17"/>
  <c r="G57" i="17"/>
  <c r="J57" i="17"/>
  <c r="G58" i="17"/>
  <c r="J58" i="17"/>
  <c r="G109" i="17"/>
  <c r="J109" i="17"/>
  <c r="G92" i="17"/>
  <c r="J92" i="17"/>
  <c r="G71" i="17"/>
  <c r="J71" i="17"/>
  <c r="G104" i="17"/>
  <c r="J104" i="17"/>
  <c r="G120" i="17"/>
  <c r="J120" i="17"/>
  <c r="F118" i="17"/>
  <c r="G118" i="17"/>
  <c r="J118" i="17"/>
  <c r="G364" i="17"/>
  <c r="J364" i="17"/>
  <c r="G369" i="17"/>
  <c r="J369" i="17"/>
  <c r="F354" i="17"/>
  <c r="G354" i="17"/>
  <c r="J354" i="17"/>
  <c r="G363" i="17"/>
  <c r="J363" i="17"/>
  <c r="G78" i="17"/>
  <c r="J78" i="17"/>
  <c r="G105" i="17"/>
  <c r="J105" i="17"/>
  <c r="G121" i="17"/>
  <c r="J121" i="17"/>
  <c r="G350" i="17"/>
  <c r="J350" i="17"/>
  <c r="G336" i="17"/>
  <c r="J336" i="17"/>
  <c r="G64" i="17"/>
  <c r="J64" i="17"/>
  <c r="M9" i="27"/>
  <c r="M22" i="27"/>
  <c r="M24" i="27"/>
  <c r="M15" i="27"/>
  <c r="M17" i="27"/>
  <c r="M26" i="27"/>
  <c r="M29" i="27"/>
  <c r="M30" i="27"/>
  <c r="M16" i="27"/>
  <c r="M5" i="27"/>
  <c r="M2" i="27"/>
  <c r="M14" i="27"/>
  <c r="E354" i="17"/>
  <c r="D354" i="17"/>
  <c r="E118" i="17"/>
  <c r="D118" i="17"/>
  <c r="J13" i="27"/>
  <c r="J22" i="27"/>
  <c r="J24" i="27"/>
  <c r="J15" i="27"/>
  <c r="J17" i="27"/>
  <c r="J26" i="27"/>
  <c r="J29" i="27"/>
  <c r="J30" i="27"/>
  <c r="J16" i="27"/>
  <c r="J5" i="27"/>
  <c r="J2" i="27"/>
  <c r="J14" i="27"/>
  <c r="G5" i="27"/>
  <c r="G17" i="27"/>
  <c r="G24" i="27"/>
  <c r="G15" i="27"/>
  <c r="G26" i="27"/>
  <c r="G29" i="27"/>
  <c r="G16" i="27"/>
  <c r="G13" i="27"/>
  <c r="G14" i="27"/>
  <c r="G22" i="27"/>
  <c r="G30" i="27"/>
  <c r="G2" i="27"/>
  <c r="E5" i="27"/>
  <c r="E2" i="27"/>
  <c r="Q131" i="17"/>
  <c r="G134" i="17"/>
  <c r="G307" i="17"/>
  <c r="G142" i="17"/>
  <c r="G125" i="17"/>
  <c r="H134" i="17"/>
  <c r="H307" i="17"/>
  <c r="H142" i="17"/>
  <c r="H338" i="17"/>
  <c r="H351" i="17"/>
  <c r="H229" i="17"/>
  <c r="H73" i="17"/>
  <c r="H361" i="17"/>
  <c r="H125" i="17"/>
  <c r="I134" i="17"/>
  <c r="I307" i="17"/>
  <c r="I142" i="17"/>
  <c r="I338" i="17"/>
  <c r="I351" i="17"/>
  <c r="I229" i="17"/>
  <c r="I73" i="17"/>
  <c r="I361" i="17"/>
  <c r="I125" i="17"/>
  <c r="J134" i="17"/>
  <c r="J307" i="17"/>
  <c r="J142" i="17"/>
  <c r="J125" i="17"/>
  <c r="K134" i="17"/>
  <c r="K307" i="17"/>
  <c r="K142" i="17"/>
  <c r="K338" i="17"/>
  <c r="K351" i="17"/>
  <c r="K229" i="17"/>
  <c r="K73" i="17"/>
  <c r="K361" i="17"/>
  <c r="K125" i="17"/>
  <c r="L134" i="17"/>
  <c r="L307" i="17"/>
  <c r="L142" i="17"/>
  <c r="L338" i="17"/>
  <c r="L351" i="17"/>
  <c r="L229" i="17"/>
  <c r="L73" i="17"/>
  <c r="L361" i="17"/>
  <c r="L125" i="17"/>
  <c r="M134" i="17"/>
  <c r="M307" i="17"/>
  <c r="M142" i="17"/>
  <c r="M338" i="17"/>
  <c r="M351" i="17"/>
  <c r="M229" i="17"/>
  <c r="M73" i="17"/>
  <c r="M361" i="17"/>
  <c r="M125" i="17"/>
  <c r="N134" i="17"/>
  <c r="N307" i="17"/>
  <c r="N142" i="17"/>
  <c r="N338" i="17"/>
  <c r="N351" i="17"/>
  <c r="N229" i="17"/>
  <c r="N73" i="17"/>
  <c r="N361" i="17"/>
  <c r="N125" i="17"/>
  <c r="Q134" i="17"/>
  <c r="Q307" i="17"/>
  <c r="Q142" i="17"/>
  <c r="Q338" i="17"/>
  <c r="Q351" i="17"/>
  <c r="Q229" i="17"/>
  <c r="Q73" i="17"/>
  <c r="Q361" i="17"/>
  <c r="Q125" i="17"/>
  <c r="G219" i="17"/>
  <c r="H219" i="17"/>
  <c r="I219" i="17"/>
  <c r="J219" i="17"/>
  <c r="K219" i="17"/>
  <c r="L219" i="17"/>
  <c r="M219" i="17"/>
  <c r="N219" i="17"/>
  <c r="Q219" i="17"/>
  <c r="G244" i="17"/>
  <c r="H244" i="17"/>
  <c r="I244" i="17"/>
  <c r="J244" i="17"/>
  <c r="K244" i="17"/>
  <c r="L244" i="17"/>
  <c r="M244" i="17"/>
  <c r="N244" i="17"/>
  <c r="Q244" i="17"/>
  <c r="G205" i="17"/>
  <c r="H205" i="17"/>
  <c r="I205" i="17"/>
  <c r="J205" i="17"/>
  <c r="K205" i="17"/>
  <c r="L205" i="17"/>
  <c r="M205" i="17"/>
  <c r="N205" i="17"/>
  <c r="Q205" i="17"/>
  <c r="G206" i="17"/>
  <c r="H206" i="17"/>
  <c r="I206" i="17"/>
  <c r="J206" i="17"/>
  <c r="K206" i="17"/>
  <c r="L206" i="17"/>
  <c r="M206" i="17"/>
  <c r="N206" i="17"/>
  <c r="Q206" i="17"/>
  <c r="G257" i="17"/>
  <c r="H257" i="17"/>
  <c r="I257" i="17"/>
  <c r="J257" i="17"/>
  <c r="K257" i="17"/>
  <c r="L257" i="17"/>
  <c r="M257" i="17"/>
  <c r="N257" i="17"/>
  <c r="Q257" i="17"/>
  <c r="G208" i="17"/>
  <c r="H208" i="17"/>
  <c r="I208" i="17"/>
  <c r="J208" i="17"/>
  <c r="K208" i="17"/>
  <c r="L208" i="17"/>
  <c r="M208" i="17"/>
  <c r="N208" i="17"/>
  <c r="Q208" i="17"/>
  <c r="G246" i="17"/>
  <c r="H246" i="17"/>
  <c r="I246" i="17"/>
  <c r="J246" i="17"/>
  <c r="K246" i="17"/>
  <c r="L246" i="17"/>
  <c r="M246" i="17"/>
  <c r="N246" i="17"/>
  <c r="Q246" i="17"/>
  <c r="G108" i="17"/>
  <c r="H336" i="17"/>
  <c r="H97" i="17"/>
  <c r="H108" i="17"/>
  <c r="H122" i="17"/>
  <c r="H342" i="17"/>
  <c r="H123" i="17"/>
  <c r="H366" i="17"/>
  <c r="H95" i="17"/>
  <c r="I336" i="17"/>
  <c r="I97" i="17"/>
  <c r="I108" i="17"/>
  <c r="I122" i="17"/>
  <c r="I342" i="17"/>
  <c r="I123" i="17"/>
  <c r="I366" i="17"/>
  <c r="I95" i="17"/>
  <c r="J108" i="17"/>
  <c r="K336" i="17"/>
  <c r="K97" i="17"/>
  <c r="K108" i="17"/>
  <c r="K122" i="17"/>
  <c r="K342" i="17"/>
  <c r="K123" i="17"/>
  <c r="K366" i="17"/>
  <c r="K95" i="17"/>
  <c r="L336" i="17"/>
  <c r="L97" i="17"/>
  <c r="L108" i="17"/>
  <c r="L122" i="17"/>
  <c r="L342" i="17"/>
  <c r="L123" i="17"/>
  <c r="L366" i="17"/>
  <c r="L95" i="17"/>
  <c r="M336" i="17"/>
  <c r="M97" i="17"/>
  <c r="M108" i="17"/>
  <c r="M122" i="17"/>
  <c r="M342" i="17"/>
  <c r="M123" i="17"/>
  <c r="M366" i="17"/>
  <c r="M95" i="17"/>
  <c r="N336" i="17"/>
  <c r="N97" i="17"/>
  <c r="N108" i="17"/>
  <c r="N122" i="17"/>
  <c r="N342" i="17"/>
  <c r="N123" i="17"/>
  <c r="N366" i="17"/>
  <c r="N95" i="17"/>
  <c r="Q336" i="17"/>
  <c r="Q97" i="17"/>
  <c r="Q108" i="17"/>
  <c r="Q122" i="17"/>
  <c r="Q342" i="17"/>
  <c r="Q123" i="17"/>
  <c r="Q366" i="17"/>
  <c r="Q95" i="17"/>
  <c r="G210" i="17"/>
  <c r="H210" i="17"/>
  <c r="I210" i="17"/>
  <c r="J210" i="17"/>
  <c r="K210" i="17"/>
  <c r="L210" i="17"/>
  <c r="M210" i="17"/>
  <c r="N210" i="17"/>
  <c r="Q210" i="17"/>
  <c r="G247" i="17"/>
  <c r="H247" i="17"/>
  <c r="I247" i="17"/>
  <c r="J247" i="17"/>
  <c r="K247" i="17"/>
  <c r="L247" i="17"/>
  <c r="M247" i="17"/>
  <c r="N247" i="17"/>
  <c r="Q247" i="17"/>
  <c r="G194" i="17"/>
  <c r="H194" i="17"/>
  <c r="I194" i="17"/>
  <c r="J194" i="17"/>
  <c r="K194" i="17"/>
  <c r="L194" i="17"/>
  <c r="M194" i="17"/>
  <c r="N194" i="17"/>
  <c r="Q194" i="17"/>
  <c r="G127" i="17"/>
  <c r="G148" i="17"/>
  <c r="H127" i="17"/>
  <c r="H98" i="17"/>
  <c r="H148" i="17"/>
  <c r="H66" i="17"/>
  <c r="H99" i="17"/>
  <c r="H72" i="17"/>
  <c r="H93" i="17"/>
  <c r="I127" i="17"/>
  <c r="I98" i="17"/>
  <c r="I148" i="17"/>
  <c r="I66" i="17"/>
  <c r="I99" i="17"/>
  <c r="I72" i="17"/>
  <c r="I93" i="17"/>
  <c r="J127" i="17"/>
  <c r="J148" i="17"/>
  <c r="K127" i="17"/>
  <c r="K98" i="17"/>
  <c r="K148" i="17"/>
  <c r="K66" i="17"/>
  <c r="K99" i="17"/>
  <c r="K72" i="17"/>
  <c r="K93" i="17"/>
  <c r="L127" i="17"/>
  <c r="L98" i="17"/>
  <c r="L148" i="17"/>
  <c r="L66" i="17"/>
  <c r="L99" i="17"/>
  <c r="L72" i="17"/>
  <c r="L93" i="17"/>
  <c r="M127" i="17"/>
  <c r="M98" i="17"/>
  <c r="M148" i="17"/>
  <c r="M66" i="17"/>
  <c r="M99" i="17"/>
  <c r="M72" i="17"/>
  <c r="M93" i="17"/>
  <c r="N127" i="17"/>
  <c r="N98" i="17"/>
  <c r="N148" i="17"/>
  <c r="N66" i="17"/>
  <c r="N99" i="17"/>
  <c r="N72" i="17"/>
  <c r="N93" i="17"/>
  <c r="Q127" i="17"/>
  <c r="Q98" i="17"/>
  <c r="Q148" i="17"/>
  <c r="Q66" i="17"/>
  <c r="Q99" i="17"/>
  <c r="Q72" i="17"/>
  <c r="Q93" i="17"/>
  <c r="G213" i="17"/>
  <c r="H213" i="17"/>
  <c r="I213" i="17"/>
  <c r="J213" i="17"/>
  <c r="K213" i="17"/>
  <c r="L213" i="17"/>
  <c r="M213" i="17"/>
  <c r="N213" i="17"/>
  <c r="Q213" i="17"/>
  <c r="G271" i="17"/>
  <c r="H271" i="17"/>
  <c r="I271" i="17"/>
  <c r="J271" i="17"/>
  <c r="K271" i="17"/>
  <c r="L271" i="17"/>
  <c r="M271" i="17"/>
  <c r="N271" i="17"/>
  <c r="Q271" i="17"/>
  <c r="H103" i="17"/>
  <c r="H117" i="17"/>
  <c r="H64" i="17"/>
  <c r="H369" i="17"/>
  <c r="H75" i="17"/>
  <c r="H87" i="17"/>
  <c r="I103" i="17"/>
  <c r="I117" i="17"/>
  <c r="I64" i="17"/>
  <c r="I369" i="17"/>
  <c r="I75" i="17"/>
  <c r="I87" i="17"/>
  <c r="K103" i="17"/>
  <c r="K117" i="17"/>
  <c r="K64" i="17"/>
  <c r="K369" i="17"/>
  <c r="K75" i="17"/>
  <c r="K87" i="17"/>
  <c r="L103" i="17"/>
  <c r="L117" i="17"/>
  <c r="L64" i="17"/>
  <c r="L75" i="17"/>
  <c r="L87" i="17"/>
  <c r="M103" i="17"/>
  <c r="M117" i="17"/>
  <c r="M64" i="17"/>
  <c r="M369" i="17"/>
  <c r="M75" i="17"/>
  <c r="M87" i="17"/>
  <c r="N103" i="17"/>
  <c r="N117" i="17"/>
  <c r="N64" i="17"/>
  <c r="N369" i="17"/>
  <c r="N75" i="17"/>
  <c r="N87" i="17"/>
  <c r="Q103" i="17"/>
  <c r="Q117" i="17"/>
  <c r="Q64" i="17"/>
  <c r="Q369" i="17"/>
  <c r="Q75" i="17"/>
  <c r="Q87" i="17"/>
  <c r="G215" i="17"/>
  <c r="H215" i="17"/>
  <c r="I215" i="17"/>
  <c r="J215" i="17"/>
  <c r="K215" i="17"/>
  <c r="L215" i="17"/>
  <c r="M215" i="17"/>
  <c r="N215" i="17"/>
  <c r="Q215" i="17"/>
  <c r="G112" i="17"/>
  <c r="G158" i="17"/>
  <c r="H112" i="17"/>
  <c r="H158" i="17"/>
  <c r="H9" i="17"/>
  <c r="H7" i="17"/>
  <c r="H324" i="17"/>
  <c r="I112" i="17"/>
  <c r="I158" i="17"/>
  <c r="I9" i="17"/>
  <c r="I7" i="17"/>
  <c r="I324" i="17"/>
  <c r="J112" i="17"/>
  <c r="J158" i="17"/>
  <c r="K112" i="17"/>
  <c r="K158" i="17"/>
  <c r="K9" i="17"/>
  <c r="K7" i="17"/>
  <c r="K324" i="17"/>
  <c r="L112" i="17"/>
  <c r="L158" i="17"/>
  <c r="L9" i="17"/>
  <c r="L7" i="17"/>
  <c r="L324" i="17"/>
  <c r="M112" i="17"/>
  <c r="M158" i="17"/>
  <c r="M9" i="17"/>
  <c r="M7" i="17"/>
  <c r="M324" i="17"/>
  <c r="N112" i="17"/>
  <c r="N158" i="17"/>
  <c r="N9" i="17"/>
  <c r="N7" i="17"/>
  <c r="N324" i="17"/>
  <c r="Q112" i="17"/>
  <c r="Q158" i="17"/>
  <c r="Q9" i="17"/>
  <c r="Q7" i="17"/>
  <c r="Q324" i="17"/>
  <c r="G129" i="17"/>
  <c r="H90" i="17"/>
  <c r="H129" i="17"/>
  <c r="H326" i="17"/>
  <c r="I90" i="17"/>
  <c r="I129" i="17"/>
  <c r="I326" i="17"/>
  <c r="J129" i="17"/>
  <c r="K90" i="17"/>
  <c r="K129" i="17"/>
  <c r="K326" i="17"/>
  <c r="L90" i="17"/>
  <c r="L129" i="17"/>
  <c r="L326" i="17"/>
  <c r="M90" i="17"/>
  <c r="M129" i="17"/>
  <c r="M326" i="17"/>
  <c r="N90" i="17"/>
  <c r="N129" i="17"/>
  <c r="N326" i="17"/>
  <c r="Q90" i="17"/>
  <c r="Q129" i="17"/>
  <c r="Q326" i="17"/>
  <c r="G126" i="17"/>
  <c r="G309" i="17"/>
  <c r="H126" i="17"/>
  <c r="H309" i="17"/>
  <c r="H364" i="17"/>
  <c r="H328" i="17"/>
  <c r="I126" i="17"/>
  <c r="I309" i="17"/>
  <c r="I364" i="17"/>
  <c r="I328" i="17"/>
  <c r="J126" i="17"/>
  <c r="J309" i="17"/>
  <c r="K126" i="17"/>
  <c r="K309" i="17"/>
  <c r="K364" i="17"/>
  <c r="K328" i="17"/>
  <c r="L126" i="17"/>
  <c r="L309" i="17"/>
  <c r="L328" i="17"/>
  <c r="M126" i="17"/>
  <c r="M309" i="17"/>
  <c r="M364" i="17"/>
  <c r="M328" i="17"/>
  <c r="N126" i="17"/>
  <c r="N309" i="17"/>
  <c r="N364" i="17"/>
  <c r="N328" i="17"/>
  <c r="Q126" i="17"/>
  <c r="Q309" i="17"/>
  <c r="Q364" i="17"/>
  <c r="Q328" i="17"/>
  <c r="G235" i="17"/>
  <c r="H235" i="17"/>
  <c r="I235" i="17"/>
  <c r="J235" i="17"/>
  <c r="K235" i="17"/>
  <c r="L235" i="17"/>
  <c r="M235" i="17"/>
  <c r="N235" i="17"/>
  <c r="Q235" i="17"/>
  <c r="G100" i="17"/>
  <c r="G94" i="17"/>
  <c r="H100" i="17"/>
  <c r="H94" i="17"/>
  <c r="H319" i="17"/>
  <c r="H268" i="17"/>
  <c r="I100" i="17"/>
  <c r="I94" i="17"/>
  <c r="I319" i="17"/>
  <c r="I268" i="17"/>
  <c r="J100" i="17"/>
  <c r="J94" i="17"/>
  <c r="K100" i="17"/>
  <c r="K94" i="17"/>
  <c r="K319" i="17"/>
  <c r="K268" i="17"/>
  <c r="L100" i="17"/>
  <c r="L94" i="17"/>
  <c r="L319" i="17"/>
  <c r="L268" i="17"/>
  <c r="M100" i="17"/>
  <c r="M94" i="17"/>
  <c r="M319" i="17"/>
  <c r="M268" i="17"/>
  <c r="N100" i="17"/>
  <c r="N94" i="17"/>
  <c r="N319" i="17"/>
  <c r="N268" i="17"/>
  <c r="Q100" i="17"/>
  <c r="Q94" i="17"/>
  <c r="Q319" i="17"/>
  <c r="Q268" i="17"/>
  <c r="G133" i="17"/>
  <c r="G153" i="17"/>
  <c r="H133" i="17"/>
  <c r="H153" i="17"/>
  <c r="H323" i="17"/>
  <c r="H76" i="17"/>
  <c r="I133" i="17"/>
  <c r="I153" i="17"/>
  <c r="I323" i="17"/>
  <c r="I76" i="17"/>
  <c r="J133" i="17"/>
  <c r="J153" i="17"/>
  <c r="K133" i="17"/>
  <c r="K153" i="17"/>
  <c r="K323" i="17"/>
  <c r="K76" i="17"/>
  <c r="L133" i="17"/>
  <c r="L153" i="17"/>
  <c r="L323" i="17"/>
  <c r="L76" i="17"/>
  <c r="M133" i="17"/>
  <c r="M153" i="17"/>
  <c r="M323" i="17"/>
  <c r="M76" i="17"/>
  <c r="N133" i="17"/>
  <c r="N153" i="17"/>
  <c r="N323" i="17"/>
  <c r="N76" i="17"/>
  <c r="Q133" i="17"/>
  <c r="Q153" i="17"/>
  <c r="Q323" i="17"/>
  <c r="Q76" i="17"/>
  <c r="G217" i="17"/>
  <c r="H217" i="17"/>
  <c r="I217" i="17"/>
  <c r="J217" i="17"/>
  <c r="K217" i="17"/>
  <c r="L217" i="17"/>
  <c r="M217" i="17"/>
  <c r="N217" i="17"/>
  <c r="Q217" i="17"/>
  <c r="G218" i="17"/>
  <c r="H218" i="17"/>
  <c r="I218" i="17"/>
  <c r="J218" i="17"/>
  <c r="K218" i="17"/>
  <c r="L218" i="17"/>
  <c r="M218" i="17"/>
  <c r="N218" i="17"/>
  <c r="Q218" i="17"/>
  <c r="G141" i="17"/>
  <c r="H104" i="17"/>
  <c r="H141" i="17"/>
  <c r="I104" i="17"/>
  <c r="I141" i="17"/>
  <c r="J141" i="17"/>
  <c r="K104" i="17"/>
  <c r="K141" i="17"/>
  <c r="L104" i="17"/>
  <c r="L141" i="17"/>
  <c r="M104" i="17"/>
  <c r="M141" i="17"/>
  <c r="N104" i="17"/>
  <c r="N141" i="17"/>
  <c r="Q104" i="17"/>
  <c r="Q141" i="17"/>
  <c r="G130" i="17"/>
  <c r="H130" i="17"/>
  <c r="I130" i="17"/>
  <c r="J130" i="17"/>
  <c r="K130" i="17"/>
  <c r="L130" i="17"/>
  <c r="M130" i="17"/>
  <c r="N130" i="17"/>
  <c r="Q130" i="17"/>
  <c r="G202" i="17"/>
  <c r="H202" i="17"/>
  <c r="I202" i="17"/>
  <c r="J202" i="17"/>
  <c r="K202" i="17"/>
  <c r="L202" i="17"/>
  <c r="M202" i="17"/>
  <c r="N202" i="17"/>
  <c r="Q202" i="17"/>
  <c r="G187" i="17"/>
  <c r="H187" i="17"/>
  <c r="I187" i="17"/>
  <c r="J187" i="17"/>
  <c r="K187" i="17"/>
  <c r="L187" i="17"/>
  <c r="M187" i="17"/>
  <c r="N187" i="17"/>
  <c r="Q187" i="17"/>
  <c r="G136" i="17"/>
  <c r="H331" i="17"/>
  <c r="H136" i="17"/>
  <c r="I331" i="17"/>
  <c r="I136" i="17"/>
  <c r="J136" i="17"/>
  <c r="K331" i="17"/>
  <c r="K136" i="17"/>
  <c r="L331" i="17"/>
  <c r="L136" i="17"/>
  <c r="M331" i="17"/>
  <c r="M136" i="17"/>
  <c r="N331" i="17"/>
  <c r="N136" i="17"/>
  <c r="Q331" i="17"/>
  <c r="Q136" i="17"/>
  <c r="G221" i="17"/>
  <c r="H221" i="17"/>
  <c r="I221" i="17"/>
  <c r="J221" i="17"/>
  <c r="K221" i="17"/>
  <c r="L221" i="17"/>
  <c r="M221" i="17"/>
  <c r="N221" i="17"/>
  <c r="Q221" i="17"/>
  <c r="H88" i="17"/>
  <c r="I88" i="17"/>
  <c r="K88" i="17"/>
  <c r="L88" i="17"/>
  <c r="M88" i="17"/>
  <c r="N88" i="17"/>
  <c r="Q88" i="17"/>
  <c r="H101" i="17"/>
  <c r="H89" i="17"/>
  <c r="I101" i="17"/>
  <c r="I89" i="17"/>
  <c r="K101" i="17"/>
  <c r="K89" i="17"/>
  <c r="L101" i="17"/>
  <c r="L89" i="17"/>
  <c r="M101" i="17"/>
  <c r="M89" i="17"/>
  <c r="N101" i="17"/>
  <c r="N89" i="17"/>
  <c r="Q101" i="17"/>
  <c r="Q89" i="17"/>
  <c r="G261" i="17"/>
  <c r="H261" i="17"/>
  <c r="I261" i="17"/>
  <c r="J261" i="17"/>
  <c r="K261" i="17"/>
  <c r="L261" i="17"/>
  <c r="M261" i="17"/>
  <c r="N261" i="17"/>
  <c r="Q261" i="17"/>
  <c r="G286" i="17"/>
  <c r="H286" i="17"/>
  <c r="I286" i="17"/>
  <c r="J286" i="17"/>
  <c r="K286" i="17"/>
  <c r="L286" i="17"/>
  <c r="M286" i="17"/>
  <c r="N286" i="17"/>
  <c r="Q286" i="17"/>
  <c r="G279" i="17"/>
  <c r="H279" i="17"/>
  <c r="I279" i="17"/>
  <c r="J279" i="17"/>
  <c r="K279" i="17"/>
  <c r="L279" i="17"/>
  <c r="M279" i="17"/>
  <c r="N279" i="17"/>
  <c r="Q279" i="17"/>
  <c r="G296" i="17"/>
  <c r="H296" i="17"/>
  <c r="I296" i="17"/>
  <c r="J296" i="17"/>
  <c r="K296" i="17"/>
  <c r="L296" i="17"/>
  <c r="M296" i="17"/>
  <c r="N296" i="17"/>
  <c r="Q296" i="17"/>
  <c r="K343" i="17"/>
  <c r="L343" i="17"/>
  <c r="M343" i="17"/>
  <c r="N343" i="17"/>
  <c r="Q343" i="17"/>
  <c r="G132" i="17"/>
  <c r="G152" i="17"/>
  <c r="H335" i="17"/>
  <c r="H132" i="17"/>
  <c r="H152" i="17"/>
  <c r="I335" i="17"/>
  <c r="I132" i="17"/>
  <c r="I152" i="17"/>
  <c r="J132" i="17"/>
  <c r="J152" i="17"/>
  <c r="K335" i="17"/>
  <c r="K132" i="17"/>
  <c r="K152" i="17"/>
  <c r="L335" i="17"/>
  <c r="L132" i="17"/>
  <c r="L152" i="17"/>
  <c r="M335" i="17"/>
  <c r="M132" i="17"/>
  <c r="M152" i="17"/>
  <c r="N335" i="17"/>
  <c r="N132" i="17"/>
  <c r="N152" i="17"/>
  <c r="Q335" i="17"/>
  <c r="Q132" i="17"/>
  <c r="Q152" i="17"/>
  <c r="G227" i="17"/>
  <c r="H227" i="17"/>
  <c r="I227" i="17"/>
  <c r="J227" i="17"/>
  <c r="K227" i="17"/>
  <c r="L227" i="17"/>
  <c r="M227" i="17"/>
  <c r="N227" i="17"/>
  <c r="Q227" i="17"/>
  <c r="G228" i="17"/>
  <c r="H228" i="17"/>
  <c r="I228" i="17"/>
  <c r="J228" i="17"/>
  <c r="K228" i="17"/>
  <c r="L228" i="17"/>
  <c r="M228" i="17"/>
  <c r="N228" i="17"/>
  <c r="Q228" i="17"/>
  <c r="G182" i="17"/>
  <c r="H182" i="17"/>
  <c r="I182" i="17"/>
  <c r="J182" i="17"/>
  <c r="K182" i="17"/>
  <c r="L182" i="17"/>
  <c r="M182" i="17"/>
  <c r="N182" i="17"/>
  <c r="Q182" i="17"/>
  <c r="G183" i="17"/>
  <c r="H183" i="17"/>
  <c r="I183" i="17"/>
  <c r="J183" i="17"/>
  <c r="K183" i="17"/>
  <c r="L183" i="17"/>
  <c r="M183" i="17"/>
  <c r="N183" i="17"/>
  <c r="Q183" i="17"/>
  <c r="G207" i="17"/>
  <c r="H207" i="17"/>
  <c r="I207" i="17"/>
  <c r="J207" i="17"/>
  <c r="K207" i="17"/>
  <c r="L207" i="17"/>
  <c r="M207" i="17"/>
  <c r="N207" i="17"/>
  <c r="Q207" i="17"/>
  <c r="G269" i="17"/>
  <c r="H269" i="17"/>
  <c r="I269" i="17"/>
  <c r="J269" i="17"/>
  <c r="K269" i="17"/>
  <c r="L269" i="17"/>
  <c r="M269" i="17"/>
  <c r="N269" i="17"/>
  <c r="Q269" i="17"/>
  <c r="G242" i="17"/>
  <c r="H242" i="17"/>
  <c r="I242" i="17"/>
  <c r="J242" i="17"/>
  <c r="K242" i="17"/>
  <c r="L242" i="17"/>
  <c r="M242" i="17"/>
  <c r="N242" i="17"/>
  <c r="Q242" i="17"/>
  <c r="H91" i="17"/>
  <c r="I91" i="17"/>
  <c r="K91" i="17"/>
  <c r="L91" i="17"/>
  <c r="M91" i="17"/>
  <c r="N91" i="17"/>
  <c r="Q91" i="17"/>
  <c r="G234" i="17"/>
  <c r="H234" i="17"/>
  <c r="I234" i="17"/>
  <c r="J234" i="17"/>
  <c r="K234" i="17"/>
  <c r="L234" i="17"/>
  <c r="M234" i="17"/>
  <c r="N234" i="17"/>
  <c r="Q234" i="17"/>
  <c r="G278" i="17"/>
  <c r="H278" i="17"/>
  <c r="I278" i="17"/>
  <c r="J278" i="17"/>
  <c r="K278" i="17"/>
  <c r="L278" i="17"/>
  <c r="M278" i="17"/>
  <c r="N278" i="17"/>
  <c r="Q278" i="17"/>
  <c r="G293" i="17"/>
  <c r="H293" i="17"/>
  <c r="I293" i="17"/>
  <c r="J293" i="17"/>
  <c r="K293" i="17"/>
  <c r="L293" i="17"/>
  <c r="M293" i="17"/>
  <c r="N293" i="17"/>
  <c r="Q293" i="17"/>
  <c r="H92" i="17"/>
  <c r="H80" i="17"/>
  <c r="I92" i="17"/>
  <c r="I80" i="17"/>
  <c r="K92" i="17"/>
  <c r="K80" i="17"/>
  <c r="L92" i="17"/>
  <c r="L80" i="17"/>
  <c r="M92" i="17"/>
  <c r="M80" i="17"/>
  <c r="N92" i="17"/>
  <c r="N80" i="17"/>
  <c r="Q92" i="17"/>
  <c r="Q80" i="17"/>
  <c r="G237" i="17"/>
  <c r="H237" i="17"/>
  <c r="I237" i="17"/>
  <c r="J237" i="17"/>
  <c r="K237" i="17"/>
  <c r="L237" i="17"/>
  <c r="M237" i="17"/>
  <c r="N237" i="17"/>
  <c r="Q237" i="17"/>
  <c r="H356" i="17"/>
  <c r="H79" i="17"/>
  <c r="H348" i="17"/>
  <c r="I356" i="17"/>
  <c r="I79" i="17"/>
  <c r="I348" i="17"/>
  <c r="K356" i="17"/>
  <c r="K79" i="17"/>
  <c r="K348" i="17"/>
  <c r="P356" i="17"/>
  <c r="L356" i="17"/>
  <c r="L79" i="17"/>
  <c r="L348" i="17"/>
  <c r="M356" i="17"/>
  <c r="M79" i="17"/>
  <c r="M348" i="17"/>
  <c r="N356" i="17"/>
  <c r="N79" i="17"/>
  <c r="N348" i="17"/>
  <c r="Q356" i="17"/>
  <c r="Q79" i="17"/>
  <c r="Q348" i="17"/>
  <c r="G315" i="17"/>
  <c r="H315" i="17"/>
  <c r="I315" i="17"/>
  <c r="J315" i="17"/>
  <c r="K315" i="17"/>
  <c r="L315" i="17"/>
  <c r="M315" i="17"/>
  <c r="N315" i="17"/>
  <c r="Q315" i="17"/>
  <c r="G248" i="17"/>
  <c r="H248" i="17"/>
  <c r="I248" i="17"/>
  <c r="J248" i="17"/>
  <c r="K248" i="17"/>
  <c r="L248" i="17"/>
  <c r="M248" i="17"/>
  <c r="N248" i="17"/>
  <c r="Q248" i="17"/>
  <c r="G239" i="17"/>
  <c r="H239" i="17"/>
  <c r="I239" i="17"/>
  <c r="J239" i="17"/>
  <c r="K239" i="17"/>
  <c r="L239" i="17"/>
  <c r="M239" i="17"/>
  <c r="N239" i="17"/>
  <c r="Q239" i="17"/>
  <c r="G240" i="17"/>
  <c r="H240" i="17"/>
  <c r="I240" i="17"/>
  <c r="J240" i="17"/>
  <c r="K240" i="17"/>
  <c r="L240" i="17"/>
  <c r="M240" i="17"/>
  <c r="N240" i="17"/>
  <c r="Q240" i="17"/>
  <c r="G274" i="17"/>
  <c r="H274" i="17"/>
  <c r="I274" i="17"/>
  <c r="J274" i="17"/>
  <c r="K274" i="17"/>
  <c r="L274" i="17"/>
  <c r="M274" i="17"/>
  <c r="N274" i="17"/>
  <c r="Q274" i="17"/>
  <c r="G150" i="17"/>
  <c r="H150" i="17"/>
  <c r="H81" i="17"/>
  <c r="H77" i="17"/>
  <c r="I150" i="17"/>
  <c r="I81" i="17"/>
  <c r="I77" i="17"/>
  <c r="J150" i="17"/>
  <c r="K150" i="17"/>
  <c r="K81" i="17"/>
  <c r="K77" i="17"/>
  <c r="L150" i="17"/>
  <c r="L81" i="17"/>
  <c r="L77" i="17"/>
  <c r="M150" i="17"/>
  <c r="M81" i="17"/>
  <c r="M77" i="17"/>
  <c r="N150" i="17"/>
  <c r="N81" i="17"/>
  <c r="N77" i="17"/>
  <c r="Q150" i="17"/>
  <c r="Q81" i="17"/>
  <c r="Q77" i="17"/>
  <c r="G266" i="17"/>
  <c r="H266" i="17"/>
  <c r="I266" i="17"/>
  <c r="J266" i="17"/>
  <c r="K266" i="17"/>
  <c r="L266" i="17"/>
  <c r="M266" i="17"/>
  <c r="N266" i="17"/>
  <c r="Q266" i="17"/>
  <c r="H332" i="17"/>
  <c r="H82" i="17"/>
  <c r="H60" i="17"/>
  <c r="I332" i="17"/>
  <c r="I82" i="17"/>
  <c r="I60" i="17"/>
  <c r="K332" i="17"/>
  <c r="K82" i="17"/>
  <c r="K60" i="17"/>
  <c r="L332" i="17"/>
  <c r="L82" i="17"/>
  <c r="L60" i="17"/>
  <c r="M332" i="17"/>
  <c r="M82" i="17"/>
  <c r="M60" i="17"/>
  <c r="N332" i="17"/>
  <c r="N82" i="17"/>
  <c r="N60" i="17"/>
  <c r="Q332" i="17"/>
  <c r="Q82" i="17"/>
  <c r="Q60" i="17"/>
  <c r="H83" i="17"/>
  <c r="H85" i="17"/>
  <c r="I83" i="17"/>
  <c r="I85" i="17"/>
  <c r="K83" i="17"/>
  <c r="K85" i="17"/>
  <c r="L83" i="17"/>
  <c r="L85" i="17"/>
  <c r="M83" i="17"/>
  <c r="M85" i="17"/>
  <c r="N83" i="17"/>
  <c r="N85" i="17"/>
  <c r="Q83" i="17"/>
  <c r="Q85" i="17"/>
  <c r="G262" i="17"/>
  <c r="H262" i="17"/>
  <c r="I262" i="17"/>
  <c r="J262" i="17"/>
  <c r="K262" i="17"/>
  <c r="L262" i="17"/>
  <c r="M262" i="17"/>
  <c r="N262" i="17"/>
  <c r="Q262" i="17"/>
  <c r="G260" i="17"/>
  <c r="H260" i="17"/>
  <c r="I260" i="17"/>
  <c r="J260" i="17"/>
  <c r="K260" i="17"/>
  <c r="L260" i="17"/>
  <c r="M260" i="17"/>
  <c r="N260" i="17"/>
  <c r="Q260" i="17"/>
  <c r="G245" i="17"/>
  <c r="H245" i="17"/>
  <c r="I245" i="17"/>
  <c r="J245" i="17"/>
  <c r="K245" i="17"/>
  <c r="L245" i="17"/>
  <c r="M245" i="17"/>
  <c r="N245" i="17"/>
  <c r="Q245" i="17"/>
  <c r="G313" i="17"/>
  <c r="H313" i="17"/>
  <c r="I313" i="17"/>
  <c r="J313" i="17"/>
  <c r="K313" i="17"/>
  <c r="L313" i="17"/>
  <c r="M313" i="17"/>
  <c r="N313" i="17"/>
  <c r="Q313" i="17"/>
  <c r="H84" i="17"/>
  <c r="I84" i="17"/>
  <c r="K84" i="17"/>
  <c r="L84" i="17"/>
  <c r="M84" i="17"/>
  <c r="N84" i="17"/>
  <c r="Q84" i="17"/>
  <c r="H61" i="17"/>
  <c r="I61" i="17"/>
  <c r="K61" i="17"/>
  <c r="L61" i="17"/>
  <c r="M61" i="17"/>
  <c r="N61" i="17"/>
  <c r="Q61" i="17"/>
  <c r="G312" i="17"/>
  <c r="H312" i="17"/>
  <c r="I312" i="17"/>
  <c r="J312" i="17"/>
  <c r="K312" i="17"/>
  <c r="L312" i="17"/>
  <c r="M312" i="17"/>
  <c r="N312" i="17"/>
  <c r="Q312" i="17"/>
  <c r="G345" i="17"/>
  <c r="G86" i="17"/>
  <c r="H345" i="17"/>
  <c r="H86" i="17"/>
  <c r="H327" i="17"/>
  <c r="I345" i="17"/>
  <c r="I86" i="17"/>
  <c r="I327" i="17"/>
  <c r="J345" i="17"/>
  <c r="J86" i="17"/>
  <c r="K345" i="17"/>
  <c r="K86" i="17"/>
  <c r="K327" i="17"/>
  <c r="L345" i="17"/>
  <c r="L86" i="17"/>
  <c r="L327" i="17"/>
  <c r="M345" i="17"/>
  <c r="M86" i="17"/>
  <c r="M327" i="17"/>
  <c r="N345" i="17"/>
  <c r="N86" i="17"/>
  <c r="N327" i="17"/>
  <c r="Q345" i="17"/>
  <c r="Q86" i="17"/>
  <c r="Q327" i="17"/>
  <c r="G232" i="17"/>
  <c r="H232" i="17"/>
  <c r="I232" i="17"/>
  <c r="J232" i="17"/>
  <c r="K232" i="17"/>
  <c r="L232" i="17"/>
  <c r="M232" i="17"/>
  <c r="N232" i="17"/>
  <c r="Q232" i="17"/>
  <c r="G249" i="17"/>
  <c r="H249" i="17"/>
  <c r="I249" i="17"/>
  <c r="J249" i="17"/>
  <c r="K249" i="17"/>
  <c r="L249" i="17"/>
  <c r="M249" i="17"/>
  <c r="N249" i="17"/>
  <c r="Q249" i="17"/>
  <c r="G301" i="17"/>
  <c r="H301" i="17"/>
  <c r="I301" i="17"/>
  <c r="J301" i="17"/>
  <c r="K301" i="17"/>
  <c r="L301" i="17"/>
  <c r="M301" i="17"/>
  <c r="N301" i="17"/>
  <c r="Q301" i="17"/>
  <c r="G281" i="17"/>
  <c r="H281" i="17"/>
  <c r="I281" i="17"/>
  <c r="J281" i="17"/>
  <c r="K281" i="17"/>
  <c r="L281" i="17"/>
  <c r="M281" i="17"/>
  <c r="N281" i="17"/>
  <c r="Q281" i="17"/>
  <c r="G311" i="17"/>
  <c r="H311" i="17"/>
  <c r="I311" i="17"/>
  <c r="J311" i="17"/>
  <c r="K311" i="17"/>
  <c r="L311" i="17"/>
  <c r="M311" i="17"/>
  <c r="N311" i="17"/>
  <c r="Q311" i="17"/>
  <c r="G295" i="17"/>
  <c r="H295" i="17"/>
  <c r="I295" i="17"/>
  <c r="J295" i="17"/>
  <c r="K295" i="17"/>
  <c r="L295" i="17"/>
  <c r="M295" i="17"/>
  <c r="N295" i="17"/>
  <c r="Q295" i="17"/>
  <c r="G250" i="17"/>
  <c r="H250" i="17"/>
  <c r="I250" i="17"/>
  <c r="J250" i="17"/>
  <c r="K250" i="17"/>
  <c r="L250" i="17"/>
  <c r="M250" i="17"/>
  <c r="N250" i="17"/>
  <c r="Q250" i="17"/>
  <c r="G308" i="17"/>
  <c r="H308" i="17"/>
  <c r="H337" i="17"/>
  <c r="I308" i="17"/>
  <c r="I337" i="17"/>
  <c r="J308" i="17"/>
  <c r="K308" i="17"/>
  <c r="K337" i="17"/>
  <c r="L308" i="17"/>
  <c r="L337" i="17"/>
  <c r="M308" i="17"/>
  <c r="M337" i="17"/>
  <c r="N308" i="17"/>
  <c r="N337" i="17"/>
  <c r="Q308" i="17"/>
  <c r="Q337" i="17"/>
  <c r="G255" i="17"/>
  <c r="H255" i="17"/>
  <c r="I255" i="17"/>
  <c r="J255" i="17"/>
  <c r="K255" i="17"/>
  <c r="L255" i="17"/>
  <c r="M255" i="17"/>
  <c r="N255" i="17"/>
  <c r="Q255" i="17"/>
  <c r="G353" i="17"/>
  <c r="G325" i="17"/>
  <c r="H118" i="17"/>
  <c r="H353" i="17"/>
  <c r="H325" i="17"/>
  <c r="I118" i="17"/>
  <c r="I353" i="17"/>
  <c r="I325" i="17"/>
  <c r="J353" i="17"/>
  <c r="J325" i="17"/>
  <c r="K118" i="17"/>
  <c r="K353" i="17"/>
  <c r="K325" i="17"/>
  <c r="L118" i="17"/>
  <c r="L353" i="17"/>
  <c r="L325" i="17"/>
  <c r="M118" i="17"/>
  <c r="M353" i="17"/>
  <c r="M325" i="17"/>
  <c r="N118" i="17"/>
  <c r="N353" i="17"/>
  <c r="N325" i="17"/>
  <c r="Q118" i="17"/>
  <c r="Q353" i="17"/>
  <c r="Q325" i="17"/>
  <c r="H344" i="17"/>
  <c r="H330" i="17"/>
  <c r="H67" i="17"/>
  <c r="I344" i="17"/>
  <c r="I330" i="17"/>
  <c r="I67" i="17"/>
  <c r="K344" i="17"/>
  <c r="K330" i="17"/>
  <c r="K67" i="17"/>
  <c r="L344" i="17"/>
  <c r="L330" i="17"/>
  <c r="L67" i="17"/>
  <c r="M344" i="17"/>
  <c r="M330" i="17"/>
  <c r="M67" i="17"/>
  <c r="N344" i="17"/>
  <c r="N330" i="17"/>
  <c r="N67" i="17"/>
  <c r="Q344" i="17"/>
  <c r="Q330" i="17"/>
  <c r="Q67" i="17"/>
  <c r="G276" i="17"/>
  <c r="H276" i="17"/>
  <c r="I276" i="17"/>
  <c r="J276" i="17"/>
  <c r="K276" i="17"/>
  <c r="L276" i="17"/>
  <c r="M276" i="17"/>
  <c r="N276" i="17"/>
  <c r="Q276" i="17"/>
  <c r="G305" i="17"/>
  <c r="H305" i="17"/>
  <c r="I305" i="17"/>
  <c r="J305" i="17"/>
  <c r="K305" i="17"/>
  <c r="L305" i="17"/>
  <c r="M305" i="17"/>
  <c r="N305" i="17"/>
  <c r="Q305" i="17"/>
  <c r="G304" i="17"/>
  <c r="H304" i="17"/>
  <c r="I304" i="17"/>
  <c r="J304" i="17"/>
  <c r="K304" i="17"/>
  <c r="L304" i="17"/>
  <c r="M304" i="17"/>
  <c r="N304" i="17"/>
  <c r="Q304" i="17"/>
  <c r="G128" i="17"/>
  <c r="H354" i="17"/>
  <c r="H128" i="17"/>
  <c r="I354" i="17"/>
  <c r="I128" i="17"/>
  <c r="J128" i="17"/>
  <c r="K354" i="17"/>
  <c r="K128" i="17"/>
  <c r="L354" i="17"/>
  <c r="L128" i="17"/>
  <c r="M354" i="17"/>
  <c r="M128" i="17"/>
  <c r="N354" i="17"/>
  <c r="N128" i="17"/>
  <c r="Q354" i="17"/>
  <c r="Q128" i="17"/>
  <c r="G264" i="17"/>
  <c r="H264" i="17"/>
  <c r="I264" i="17"/>
  <c r="J264" i="17"/>
  <c r="K264" i="17"/>
  <c r="L264" i="17"/>
  <c r="M264" i="17"/>
  <c r="N264" i="17"/>
  <c r="Q264" i="17"/>
  <c r="G299" i="17"/>
  <c r="H299" i="17"/>
  <c r="I299" i="17"/>
  <c r="J299" i="17"/>
  <c r="K299" i="17"/>
  <c r="L299" i="17"/>
  <c r="M299" i="17"/>
  <c r="N299" i="17"/>
  <c r="Q299" i="17"/>
  <c r="K358" i="17"/>
  <c r="L358" i="17"/>
  <c r="M358" i="17"/>
  <c r="N358" i="17"/>
  <c r="Q358" i="17"/>
  <c r="G220" i="17"/>
  <c r="H220" i="17"/>
  <c r="I220" i="17"/>
  <c r="J220" i="17"/>
  <c r="K220" i="17"/>
  <c r="L220" i="17"/>
  <c r="M220" i="17"/>
  <c r="N220" i="17"/>
  <c r="Q220" i="17"/>
  <c r="G270" i="17"/>
  <c r="H270" i="17"/>
  <c r="I270" i="17"/>
  <c r="J270" i="17"/>
  <c r="K270" i="17"/>
  <c r="L270" i="17"/>
  <c r="M270" i="17"/>
  <c r="N270" i="17"/>
  <c r="Q270" i="17"/>
  <c r="G241" i="17"/>
  <c r="H241" i="17"/>
  <c r="I241" i="17"/>
  <c r="J241" i="17"/>
  <c r="K241" i="17"/>
  <c r="L241" i="17"/>
  <c r="M241" i="17"/>
  <c r="N241" i="17"/>
  <c r="Q241" i="17"/>
  <c r="G310" i="17"/>
  <c r="H363" i="17"/>
  <c r="H310" i="17"/>
  <c r="H114" i="17"/>
  <c r="I363" i="17"/>
  <c r="I310" i="17"/>
  <c r="I114" i="17"/>
  <c r="J310" i="17"/>
  <c r="K363" i="17"/>
  <c r="K310" i="17"/>
  <c r="K114" i="17"/>
  <c r="L363" i="17"/>
  <c r="L310" i="17"/>
  <c r="L114" i="17"/>
  <c r="M363" i="17"/>
  <c r="M310" i="17"/>
  <c r="M114" i="17"/>
  <c r="N363" i="17"/>
  <c r="N310" i="17"/>
  <c r="N114" i="17"/>
  <c r="Q363" i="17"/>
  <c r="Q310" i="17"/>
  <c r="Q114" i="17"/>
  <c r="G253" i="17"/>
  <c r="H253" i="17"/>
  <c r="I253" i="17"/>
  <c r="J253" i="17"/>
  <c r="K253" i="17"/>
  <c r="L253" i="17"/>
  <c r="M253" i="17"/>
  <c r="N253" i="17"/>
  <c r="Q253" i="17"/>
  <c r="G292" i="17"/>
  <c r="H292" i="17"/>
  <c r="I292" i="17"/>
  <c r="J292" i="17"/>
  <c r="K292" i="17"/>
  <c r="L292" i="17"/>
  <c r="M292" i="17"/>
  <c r="N292" i="17"/>
  <c r="Q292" i="17"/>
  <c r="G258" i="17"/>
  <c r="H258" i="17"/>
  <c r="I258" i="17"/>
  <c r="J258" i="17"/>
  <c r="K258" i="17"/>
  <c r="L258" i="17"/>
  <c r="M258" i="17"/>
  <c r="N258" i="17"/>
  <c r="Q258" i="17"/>
  <c r="K359" i="17"/>
  <c r="L359" i="17"/>
  <c r="M359" i="17"/>
  <c r="N359" i="17"/>
  <c r="Q359" i="17"/>
  <c r="G297" i="17"/>
  <c r="H297" i="17"/>
  <c r="I297" i="17"/>
  <c r="J297" i="17"/>
  <c r="K297" i="17"/>
  <c r="L297" i="17"/>
  <c r="M297" i="17"/>
  <c r="N297" i="17"/>
  <c r="Q297" i="17"/>
  <c r="G272" i="17"/>
  <c r="H272" i="17"/>
  <c r="I272" i="17"/>
  <c r="J272" i="17"/>
  <c r="K272" i="17"/>
  <c r="L272" i="17"/>
  <c r="M272" i="17"/>
  <c r="N272" i="17"/>
  <c r="Q272" i="17"/>
  <c r="G238" i="17"/>
  <c r="H238" i="17"/>
  <c r="I238" i="17"/>
  <c r="J238" i="17"/>
  <c r="K238" i="17"/>
  <c r="L238" i="17"/>
  <c r="M238" i="17"/>
  <c r="N238" i="17"/>
  <c r="Q238" i="17"/>
  <c r="G303" i="17"/>
  <c r="H303" i="17"/>
  <c r="I303" i="17"/>
  <c r="J303" i="17"/>
  <c r="K303" i="17"/>
  <c r="L303" i="17"/>
  <c r="M303" i="17"/>
  <c r="N303" i="17"/>
  <c r="Q303" i="17"/>
  <c r="G233" i="17"/>
  <c r="H233" i="17"/>
  <c r="I233" i="17"/>
  <c r="J233" i="17"/>
  <c r="K233" i="17"/>
  <c r="L233" i="17"/>
  <c r="M233" i="17"/>
  <c r="N233" i="17"/>
  <c r="Q233" i="17"/>
  <c r="G302" i="17"/>
  <c r="H302" i="17"/>
  <c r="I302" i="17"/>
  <c r="J302" i="17"/>
  <c r="K302" i="17"/>
  <c r="L302" i="17"/>
  <c r="M302" i="17"/>
  <c r="N302" i="17"/>
  <c r="Q302" i="17"/>
  <c r="G275" i="17"/>
  <c r="H275" i="17"/>
  <c r="I275" i="17"/>
  <c r="J275" i="17"/>
  <c r="K275" i="17"/>
  <c r="L275" i="17"/>
  <c r="M275" i="17"/>
  <c r="N275" i="17"/>
  <c r="Q275" i="17"/>
  <c r="G149" i="17"/>
  <c r="H149" i="17"/>
  <c r="H74" i="17"/>
  <c r="H111" i="17"/>
  <c r="I149" i="17"/>
  <c r="I74" i="17"/>
  <c r="I111" i="17"/>
  <c r="J149" i="17"/>
  <c r="K149" i="17"/>
  <c r="K74" i="17"/>
  <c r="K111" i="17"/>
  <c r="L149" i="17"/>
  <c r="L74" i="17"/>
  <c r="L111" i="17"/>
  <c r="M149" i="17"/>
  <c r="M74" i="17"/>
  <c r="M111" i="17"/>
  <c r="N149" i="17"/>
  <c r="N74" i="17"/>
  <c r="N111" i="17"/>
  <c r="Q149" i="17"/>
  <c r="Q74" i="17"/>
  <c r="Q111" i="17"/>
  <c r="G138" i="17"/>
  <c r="H138" i="17"/>
  <c r="I138" i="17"/>
  <c r="J138" i="17"/>
  <c r="K138" i="17"/>
  <c r="L138" i="17"/>
  <c r="M138" i="17"/>
  <c r="N138" i="17"/>
  <c r="Q138" i="17"/>
  <c r="G251" i="17"/>
  <c r="H251" i="17"/>
  <c r="I251" i="17"/>
  <c r="J251" i="17"/>
  <c r="K251" i="17"/>
  <c r="L251" i="17"/>
  <c r="M251" i="17"/>
  <c r="N251" i="17"/>
  <c r="Q251" i="17"/>
  <c r="G277" i="17"/>
  <c r="H277" i="17"/>
  <c r="I277" i="17"/>
  <c r="J277" i="17"/>
  <c r="K277" i="17"/>
  <c r="L277" i="17"/>
  <c r="M277" i="17"/>
  <c r="N277" i="17"/>
  <c r="Q277" i="17"/>
  <c r="G226" i="17"/>
  <c r="H226" i="17"/>
  <c r="I226" i="17"/>
  <c r="J226" i="17"/>
  <c r="K226" i="17"/>
  <c r="P226" i="17"/>
  <c r="L226" i="17"/>
  <c r="M226" i="17"/>
  <c r="N226" i="17"/>
  <c r="Q226" i="17"/>
  <c r="G139" i="17"/>
  <c r="H139" i="17"/>
  <c r="H329" i="17"/>
  <c r="H70" i="17"/>
  <c r="H368" i="17"/>
  <c r="I139" i="17"/>
  <c r="I329" i="17"/>
  <c r="I70" i="17"/>
  <c r="I368" i="17"/>
  <c r="J139" i="17"/>
  <c r="K139" i="17"/>
  <c r="K329" i="17"/>
  <c r="K70" i="17"/>
  <c r="K368" i="17"/>
  <c r="L139" i="17"/>
  <c r="L329" i="17"/>
  <c r="L70" i="17"/>
  <c r="L368" i="17"/>
  <c r="M139" i="17"/>
  <c r="M329" i="17"/>
  <c r="M70" i="17"/>
  <c r="M368" i="17"/>
  <c r="N139" i="17"/>
  <c r="N329" i="17"/>
  <c r="N70" i="17"/>
  <c r="N368" i="17"/>
  <c r="Q139" i="17"/>
  <c r="Q329" i="17"/>
  <c r="Q70" i="17"/>
  <c r="Q368" i="17"/>
  <c r="G267" i="17"/>
  <c r="H267" i="17"/>
  <c r="I267" i="17"/>
  <c r="J267" i="17"/>
  <c r="K267" i="17"/>
  <c r="L267" i="17"/>
  <c r="M267" i="17"/>
  <c r="N267" i="17"/>
  <c r="Q267" i="17"/>
  <c r="G280" i="17"/>
  <c r="H280" i="17"/>
  <c r="I280" i="17"/>
  <c r="J280" i="17"/>
  <c r="K280" i="17"/>
  <c r="L280" i="17"/>
  <c r="M280" i="17"/>
  <c r="N280" i="17"/>
  <c r="Q280" i="17"/>
  <c r="G236" i="17"/>
  <c r="H236" i="17"/>
  <c r="I236" i="17"/>
  <c r="J236" i="17"/>
  <c r="K236" i="17"/>
  <c r="L236" i="17"/>
  <c r="M236" i="17"/>
  <c r="N236" i="17"/>
  <c r="Q236" i="17"/>
  <c r="H340" i="17"/>
  <c r="H352" i="17"/>
  <c r="I340" i="17"/>
  <c r="I352" i="17"/>
  <c r="K340" i="17"/>
  <c r="K352" i="17"/>
  <c r="L340" i="17"/>
  <c r="L352" i="17"/>
  <c r="M340" i="17"/>
  <c r="M352" i="17"/>
  <c r="N340" i="17"/>
  <c r="N352" i="17"/>
  <c r="Q340" i="17"/>
  <c r="Q352" i="17"/>
  <c r="G282" i="17"/>
  <c r="H282" i="17"/>
  <c r="I282" i="17"/>
  <c r="J282" i="17"/>
  <c r="K282" i="17"/>
  <c r="L282" i="17"/>
  <c r="M282" i="17"/>
  <c r="N282" i="17"/>
  <c r="Q282" i="17"/>
  <c r="G283" i="17"/>
  <c r="H283" i="17"/>
  <c r="I283" i="17"/>
  <c r="J283" i="17"/>
  <c r="K283" i="17"/>
  <c r="L283" i="17"/>
  <c r="M283" i="17"/>
  <c r="N283" i="17"/>
  <c r="Q283" i="17"/>
  <c r="G284" i="17"/>
  <c r="H284" i="17"/>
  <c r="I284" i="17"/>
  <c r="J284" i="17"/>
  <c r="K284" i="17"/>
  <c r="L284" i="17"/>
  <c r="M284" i="17"/>
  <c r="N284" i="17"/>
  <c r="Q284" i="17"/>
  <c r="G285" i="17"/>
  <c r="H285" i="17"/>
  <c r="I285" i="17"/>
  <c r="J285" i="17"/>
  <c r="K285" i="17"/>
  <c r="L285" i="17"/>
  <c r="M285" i="17"/>
  <c r="N285" i="17"/>
  <c r="Q285" i="17"/>
  <c r="G124" i="17"/>
  <c r="H322" i="17"/>
  <c r="H124" i="17"/>
  <c r="I322" i="17"/>
  <c r="I124" i="17"/>
  <c r="J124" i="17"/>
  <c r="K322" i="17"/>
  <c r="K124" i="17"/>
  <c r="L322" i="17"/>
  <c r="L124" i="17"/>
  <c r="M322" i="17"/>
  <c r="M124" i="17"/>
  <c r="N322" i="17"/>
  <c r="N124" i="17"/>
  <c r="Q322" i="17"/>
  <c r="Q124" i="17"/>
  <c r="G195" i="17"/>
  <c r="H195" i="17"/>
  <c r="I195" i="17"/>
  <c r="J195" i="17"/>
  <c r="K195" i="17"/>
  <c r="L195" i="17"/>
  <c r="M195" i="17"/>
  <c r="N195" i="17"/>
  <c r="Q195" i="17"/>
  <c r="G287" i="17"/>
  <c r="H287" i="17"/>
  <c r="I287" i="17"/>
  <c r="J287" i="17"/>
  <c r="K287" i="17"/>
  <c r="L287" i="17"/>
  <c r="M287" i="17"/>
  <c r="N287" i="17"/>
  <c r="Q287" i="17"/>
  <c r="G288" i="17"/>
  <c r="H288" i="17"/>
  <c r="I288" i="17"/>
  <c r="J288" i="17"/>
  <c r="K288" i="17"/>
  <c r="L288" i="17"/>
  <c r="M288" i="17"/>
  <c r="N288" i="17"/>
  <c r="Q288" i="17"/>
  <c r="G289" i="17"/>
  <c r="H289" i="17"/>
  <c r="I289" i="17"/>
  <c r="J289" i="17"/>
  <c r="K289" i="17"/>
  <c r="L289" i="17"/>
  <c r="M289" i="17"/>
  <c r="N289" i="17"/>
  <c r="Q289" i="17"/>
  <c r="G290" i="17"/>
  <c r="H290" i="17"/>
  <c r="I290" i="17"/>
  <c r="J290" i="17"/>
  <c r="K290" i="17"/>
  <c r="L290" i="17"/>
  <c r="M290" i="17"/>
  <c r="N290" i="17"/>
  <c r="Q290" i="17"/>
  <c r="G291" i="17"/>
  <c r="H291" i="17"/>
  <c r="I291" i="17"/>
  <c r="J291" i="17"/>
  <c r="K291" i="17"/>
  <c r="L291" i="17"/>
  <c r="M291" i="17"/>
  <c r="N291" i="17"/>
  <c r="Q291" i="17"/>
  <c r="G263" i="17"/>
  <c r="H263" i="17"/>
  <c r="I263" i="17"/>
  <c r="J263" i="17"/>
  <c r="K263" i="17"/>
  <c r="L263" i="17"/>
  <c r="M263" i="17"/>
  <c r="N263" i="17"/>
  <c r="Q263" i="17"/>
  <c r="G265" i="17"/>
  <c r="H265" i="17"/>
  <c r="I265" i="17"/>
  <c r="J265" i="17"/>
  <c r="K265" i="17"/>
  <c r="L265" i="17"/>
  <c r="M265" i="17"/>
  <c r="N265" i="17"/>
  <c r="Q265" i="17"/>
  <c r="G115" i="17"/>
  <c r="H339" i="17"/>
  <c r="H115" i="17"/>
  <c r="I339" i="17"/>
  <c r="I115" i="17"/>
  <c r="J115" i="17"/>
  <c r="K339" i="17"/>
  <c r="K115" i="17"/>
  <c r="L339" i="17"/>
  <c r="L115" i="17"/>
  <c r="M339" i="17"/>
  <c r="M115" i="17"/>
  <c r="N339" i="17"/>
  <c r="N115" i="17"/>
  <c r="Q339" i="17"/>
  <c r="Q115" i="17"/>
  <c r="H347" i="17"/>
  <c r="H78" i="17"/>
  <c r="I347" i="17"/>
  <c r="I78" i="17"/>
  <c r="K347" i="17"/>
  <c r="K78" i="17"/>
  <c r="L347" i="17"/>
  <c r="L78" i="17"/>
  <c r="M347" i="17"/>
  <c r="M78" i="17"/>
  <c r="N347" i="17"/>
  <c r="N78" i="17"/>
  <c r="Q347" i="17"/>
  <c r="Q78" i="17"/>
  <c r="G156" i="17"/>
  <c r="G69" i="17"/>
  <c r="H349" i="17"/>
  <c r="H156" i="17"/>
  <c r="H69" i="17"/>
  <c r="I349" i="17"/>
  <c r="I156" i="17"/>
  <c r="I69" i="17"/>
  <c r="J156" i="17"/>
  <c r="J69" i="17"/>
  <c r="K349" i="17"/>
  <c r="K156" i="17"/>
  <c r="K69" i="17"/>
  <c r="L349" i="17"/>
  <c r="L156" i="17"/>
  <c r="L69" i="17"/>
  <c r="M349" i="17"/>
  <c r="M156" i="17"/>
  <c r="M69" i="17"/>
  <c r="N349" i="17"/>
  <c r="N156" i="17"/>
  <c r="N69" i="17"/>
  <c r="Q349" i="17"/>
  <c r="Q156" i="17"/>
  <c r="Q69" i="17"/>
  <c r="G259" i="17"/>
  <c r="H259" i="17"/>
  <c r="I259" i="17"/>
  <c r="J259" i="17"/>
  <c r="K259" i="17"/>
  <c r="L259" i="17"/>
  <c r="M259" i="17"/>
  <c r="N259" i="17"/>
  <c r="Q259" i="17"/>
  <c r="G298" i="17"/>
  <c r="H298" i="17"/>
  <c r="I298" i="17"/>
  <c r="J298" i="17"/>
  <c r="K298" i="17"/>
  <c r="L298" i="17"/>
  <c r="M298" i="17"/>
  <c r="N298" i="17"/>
  <c r="Q298" i="17"/>
  <c r="H362" i="17"/>
  <c r="I362" i="17"/>
  <c r="K362" i="17"/>
  <c r="L362" i="17"/>
  <c r="M362" i="17"/>
  <c r="N362" i="17"/>
  <c r="Q362" i="17"/>
  <c r="G294" i="17"/>
  <c r="H294" i="17"/>
  <c r="I294" i="17"/>
  <c r="J294" i="17"/>
  <c r="K294" i="17"/>
  <c r="L294" i="17"/>
  <c r="M294" i="17"/>
  <c r="N294" i="17"/>
  <c r="Q294" i="17"/>
  <c r="G273" i="17"/>
  <c r="H273" i="17"/>
  <c r="I273" i="17"/>
  <c r="J273" i="17"/>
  <c r="K273" i="17"/>
  <c r="L273" i="17"/>
  <c r="M273" i="17"/>
  <c r="N273" i="17"/>
  <c r="Q273" i="17"/>
  <c r="G317" i="17"/>
  <c r="H317" i="17"/>
  <c r="I317" i="17"/>
  <c r="J317" i="17"/>
  <c r="K317" i="17"/>
  <c r="L317" i="17"/>
  <c r="M317" i="17"/>
  <c r="N317" i="17"/>
  <c r="Q317" i="17"/>
  <c r="G318" i="17"/>
  <c r="H318" i="17"/>
  <c r="I318" i="17"/>
  <c r="J318" i="17"/>
  <c r="K318" i="17"/>
  <c r="L318" i="17"/>
  <c r="M318" i="17"/>
  <c r="N318" i="17"/>
  <c r="Q318" i="17"/>
  <c r="G230" i="17"/>
  <c r="H230" i="17"/>
  <c r="I230" i="17"/>
  <c r="J230" i="17"/>
  <c r="K230" i="17"/>
  <c r="L230" i="17"/>
  <c r="M230" i="17"/>
  <c r="N230" i="17"/>
  <c r="Q230" i="17"/>
  <c r="G107" i="17"/>
  <c r="H68" i="17"/>
  <c r="H107" i="17"/>
  <c r="I68" i="17"/>
  <c r="I107" i="17"/>
  <c r="J107" i="17"/>
  <c r="K68" i="17"/>
  <c r="K107" i="17"/>
  <c r="L68" i="17"/>
  <c r="L107" i="17"/>
  <c r="M68" i="17"/>
  <c r="M107" i="17"/>
  <c r="N68" i="17"/>
  <c r="N107" i="17"/>
  <c r="Q68" i="17"/>
  <c r="Q107" i="17"/>
  <c r="G341" i="17"/>
  <c r="H341" i="17"/>
  <c r="I341" i="17"/>
  <c r="J341" i="17"/>
  <c r="K341" i="17"/>
  <c r="L341" i="17"/>
  <c r="M341" i="17"/>
  <c r="N341" i="17"/>
  <c r="Q341" i="17"/>
  <c r="G346" i="17"/>
  <c r="H346" i="17"/>
  <c r="I346" i="17"/>
  <c r="J346" i="17"/>
  <c r="K346" i="17"/>
  <c r="L346" i="17"/>
  <c r="M346" i="17"/>
  <c r="N346" i="17"/>
  <c r="Q346" i="17"/>
  <c r="G314" i="17"/>
  <c r="G365" i="17"/>
  <c r="H314" i="17"/>
  <c r="H365" i="17"/>
  <c r="H62" i="17"/>
  <c r="I314" i="17"/>
  <c r="I365" i="17"/>
  <c r="I62" i="17"/>
  <c r="J314" i="17"/>
  <c r="J365" i="17"/>
  <c r="K314" i="17"/>
  <c r="K365" i="17"/>
  <c r="K62" i="17"/>
  <c r="L314" i="17"/>
  <c r="L365" i="17"/>
  <c r="L62" i="17"/>
  <c r="M314" i="17"/>
  <c r="M365" i="17"/>
  <c r="M62" i="17"/>
  <c r="N314" i="17"/>
  <c r="N365" i="17"/>
  <c r="N62" i="17"/>
  <c r="Q314" i="17"/>
  <c r="Q365" i="17"/>
  <c r="Q62" i="17"/>
  <c r="G316" i="17"/>
  <c r="H71" i="17"/>
  <c r="H316" i="17"/>
  <c r="I71" i="17"/>
  <c r="I316" i="17"/>
  <c r="J316" i="17"/>
  <c r="K71" i="17"/>
  <c r="K316" i="17"/>
  <c r="L71" i="17"/>
  <c r="L316" i="17"/>
  <c r="M71" i="17"/>
  <c r="M316" i="17"/>
  <c r="N71" i="17"/>
  <c r="N316" i="17"/>
  <c r="Q71" i="17"/>
  <c r="Q316" i="17"/>
  <c r="H360" i="17"/>
  <c r="I360" i="17"/>
  <c r="K360" i="17"/>
  <c r="L360" i="17"/>
  <c r="M360" i="17"/>
  <c r="N360" i="17"/>
  <c r="Q360" i="17"/>
  <c r="G131" i="17"/>
  <c r="G306" i="17"/>
  <c r="H131" i="17"/>
  <c r="H306" i="17"/>
  <c r="I131" i="17"/>
  <c r="I306" i="17"/>
  <c r="J131" i="17"/>
  <c r="J306" i="17"/>
  <c r="K131" i="17"/>
  <c r="K306" i="17"/>
  <c r="L131" i="17"/>
  <c r="L306" i="17"/>
  <c r="M131" i="17"/>
  <c r="M306" i="17"/>
  <c r="N131" i="17"/>
  <c r="N306" i="17"/>
  <c r="Q306" i="17"/>
  <c r="M51" i="25"/>
  <c r="M60" i="25"/>
  <c r="M4" i="25"/>
  <c r="M24" i="25"/>
  <c r="G63" i="17"/>
  <c r="H63" i="17"/>
  <c r="I63" i="17"/>
  <c r="J63" i="17"/>
  <c r="K63" i="17"/>
  <c r="L63" i="17"/>
  <c r="M300" i="25"/>
  <c r="M63" i="17"/>
  <c r="N63" i="17"/>
  <c r="Q63" i="17"/>
  <c r="M35" i="25"/>
  <c r="G65" i="17"/>
  <c r="G140" i="17"/>
  <c r="H65" i="17"/>
  <c r="H140" i="17"/>
  <c r="I65" i="17"/>
  <c r="I140" i="17"/>
  <c r="J65" i="17"/>
  <c r="J140" i="17"/>
  <c r="K65" i="17"/>
  <c r="K140" i="17"/>
  <c r="L65" i="17"/>
  <c r="L140" i="17"/>
  <c r="M308" i="25"/>
  <c r="M65" i="17"/>
  <c r="M140" i="17"/>
  <c r="N65" i="17"/>
  <c r="N140" i="17"/>
  <c r="Q65" i="17"/>
  <c r="Q140" i="17"/>
  <c r="M309" i="25"/>
  <c r="M310" i="25"/>
  <c r="M311" i="25"/>
  <c r="M312" i="25"/>
  <c r="M313" i="25"/>
  <c r="M314" i="25"/>
  <c r="M315" i="25"/>
  <c r="G164" i="17"/>
  <c r="H164" i="17"/>
  <c r="I164" i="17"/>
  <c r="J164" i="17"/>
  <c r="K164" i="17"/>
  <c r="L164" i="17"/>
  <c r="M164" i="17"/>
  <c r="N164" i="17"/>
  <c r="Q164" i="17"/>
  <c r="G146" i="17"/>
  <c r="H146" i="17"/>
  <c r="I146" i="17"/>
  <c r="J146" i="17"/>
  <c r="K146" i="17"/>
  <c r="L146" i="17"/>
  <c r="M146" i="17"/>
  <c r="N146" i="17"/>
  <c r="Q146" i="17"/>
  <c r="H357" i="17"/>
  <c r="I357" i="17"/>
  <c r="K357" i="17"/>
  <c r="L357" i="17"/>
  <c r="M357" i="17"/>
  <c r="N357" i="17"/>
  <c r="Q357" i="17"/>
  <c r="G144" i="17"/>
  <c r="H144" i="17"/>
  <c r="I144" i="17"/>
  <c r="J144" i="17"/>
  <c r="K144" i="17"/>
  <c r="L144" i="17"/>
  <c r="M144" i="17"/>
  <c r="N144" i="17"/>
  <c r="Q144" i="17"/>
  <c r="G367" i="17"/>
  <c r="H367" i="17"/>
  <c r="I367" i="17"/>
  <c r="J367" i="17"/>
  <c r="K367" i="17"/>
  <c r="L367" i="17"/>
  <c r="M367" i="17"/>
  <c r="N367" i="17"/>
  <c r="Q367" i="17"/>
  <c r="G159" i="17"/>
  <c r="H121" i="17"/>
  <c r="H355" i="17"/>
  <c r="H159" i="17"/>
  <c r="I121" i="17"/>
  <c r="I355" i="17"/>
  <c r="I159" i="17"/>
  <c r="J159" i="17"/>
  <c r="K121" i="17"/>
  <c r="K355" i="17"/>
  <c r="K159" i="17"/>
  <c r="L121" i="17"/>
  <c r="L355" i="17"/>
  <c r="L159" i="17"/>
  <c r="M121" i="17"/>
  <c r="M355" i="17"/>
  <c r="M159" i="17"/>
  <c r="N121" i="17"/>
  <c r="N355" i="17"/>
  <c r="N159" i="17"/>
  <c r="Q121" i="17"/>
  <c r="Q355" i="17"/>
  <c r="Q159" i="17"/>
  <c r="G135" i="17"/>
  <c r="H135" i="17"/>
  <c r="I135" i="17"/>
  <c r="J135" i="17"/>
  <c r="K135" i="17"/>
  <c r="L135" i="17"/>
  <c r="M135" i="17"/>
  <c r="N135" i="17"/>
  <c r="Q135" i="17"/>
  <c r="H350" i="17"/>
  <c r="I350" i="17"/>
  <c r="K350" i="17"/>
  <c r="L350" i="17"/>
  <c r="M350" i="17"/>
  <c r="N350" i="17"/>
  <c r="Q350" i="17"/>
  <c r="H120" i="17"/>
  <c r="I120" i="17"/>
  <c r="K120" i="17"/>
  <c r="L120" i="17"/>
  <c r="M120" i="17"/>
  <c r="N120" i="17"/>
  <c r="Q120" i="17"/>
  <c r="G154" i="17"/>
  <c r="H110" i="17"/>
  <c r="H154" i="17"/>
  <c r="I110" i="17"/>
  <c r="I154" i="17"/>
  <c r="J154" i="17"/>
  <c r="K110" i="17"/>
  <c r="K154" i="17"/>
  <c r="L110" i="17"/>
  <c r="L154" i="17"/>
  <c r="M110" i="17"/>
  <c r="M154" i="17"/>
  <c r="N110" i="17"/>
  <c r="N154" i="17"/>
  <c r="Q110" i="17"/>
  <c r="Q154" i="17"/>
  <c r="G137" i="17"/>
  <c r="H137" i="17"/>
  <c r="H321" i="17"/>
  <c r="I137" i="17"/>
  <c r="I321" i="17"/>
  <c r="J137" i="17"/>
  <c r="K137" i="17"/>
  <c r="K321" i="17"/>
  <c r="L137" i="17"/>
  <c r="L321" i="17"/>
  <c r="M137" i="17"/>
  <c r="M321" i="17"/>
  <c r="N137" i="17"/>
  <c r="N321" i="17"/>
  <c r="Q137" i="17"/>
  <c r="Q321" i="17"/>
  <c r="G155" i="17"/>
  <c r="H155" i="17"/>
  <c r="I155" i="17"/>
  <c r="J155" i="17"/>
  <c r="K155" i="17"/>
  <c r="L155" i="17"/>
  <c r="M155" i="17"/>
  <c r="N155" i="17"/>
  <c r="Q155" i="17"/>
  <c r="G157" i="17"/>
  <c r="H157" i="17"/>
  <c r="I157" i="17"/>
  <c r="J157" i="17"/>
  <c r="K157" i="17"/>
  <c r="L157" i="17"/>
  <c r="M157" i="17"/>
  <c r="N157" i="17"/>
  <c r="Q157" i="17"/>
  <c r="G160" i="17"/>
  <c r="H160" i="17"/>
  <c r="I160" i="17"/>
  <c r="J160" i="17"/>
  <c r="K160" i="17"/>
  <c r="L160" i="17"/>
  <c r="M160" i="17"/>
  <c r="N160" i="17"/>
  <c r="Q160" i="17"/>
  <c r="G161" i="17"/>
  <c r="H161" i="17"/>
  <c r="I161" i="17"/>
  <c r="J161" i="17"/>
  <c r="K161" i="17"/>
  <c r="L161" i="17"/>
  <c r="M161" i="17"/>
  <c r="N161" i="17"/>
  <c r="Q161" i="17"/>
  <c r="H105" i="17"/>
  <c r="I105" i="17"/>
  <c r="K105" i="17"/>
  <c r="L105" i="17"/>
  <c r="M105" i="17"/>
  <c r="N105" i="17"/>
  <c r="Q105" i="17"/>
  <c r="G162" i="17"/>
  <c r="H162" i="17"/>
  <c r="I162" i="17"/>
  <c r="J162" i="17"/>
  <c r="K162" i="17"/>
  <c r="L162" i="17"/>
  <c r="M162" i="17"/>
  <c r="N162" i="17"/>
  <c r="Q162" i="17"/>
  <c r="H333" i="17"/>
  <c r="I333" i="17"/>
  <c r="K333" i="17"/>
  <c r="L333" i="17"/>
  <c r="M333" i="17"/>
  <c r="N333" i="17"/>
  <c r="Q333" i="17"/>
  <c r="G143" i="17"/>
  <c r="H143" i="17"/>
  <c r="I143" i="17"/>
  <c r="J143" i="17"/>
  <c r="K143" i="17"/>
  <c r="L143" i="17"/>
  <c r="M143" i="17"/>
  <c r="N143" i="17"/>
  <c r="Q143" i="17"/>
  <c r="H334" i="17"/>
  <c r="I334" i="17"/>
  <c r="K334" i="17"/>
  <c r="L334" i="17"/>
  <c r="M334" i="17"/>
  <c r="N334" i="17"/>
  <c r="Q334" i="17"/>
  <c r="G163" i="17"/>
  <c r="H163" i="17"/>
  <c r="I163" i="17"/>
  <c r="J163" i="17"/>
  <c r="K163" i="17"/>
  <c r="L163" i="17"/>
  <c r="M163" i="17"/>
  <c r="N163" i="17"/>
  <c r="Q163" i="17"/>
  <c r="G151" i="17"/>
  <c r="H151" i="17"/>
  <c r="I151" i="17"/>
  <c r="J151" i="17"/>
  <c r="K151" i="17"/>
  <c r="L151" i="17"/>
  <c r="M151" i="17"/>
  <c r="N151" i="17"/>
  <c r="Q151" i="17"/>
  <c r="H119" i="17"/>
  <c r="I119" i="17"/>
  <c r="K119" i="17"/>
  <c r="L119" i="17"/>
  <c r="M119" i="17"/>
  <c r="N119" i="17"/>
  <c r="Q119" i="17"/>
  <c r="H96" i="17"/>
  <c r="I96" i="17"/>
  <c r="K96" i="17"/>
  <c r="L96" i="17"/>
  <c r="M96" i="17"/>
  <c r="N96" i="17"/>
  <c r="Q96" i="17"/>
  <c r="G179" i="17"/>
  <c r="H179" i="17"/>
  <c r="I179" i="17"/>
  <c r="J179" i="17"/>
  <c r="K179" i="17"/>
  <c r="L179" i="17"/>
  <c r="M179" i="17"/>
  <c r="N179" i="17"/>
  <c r="Q179" i="17"/>
  <c r="H320" i="17"/>
  <c r="I320" i="17"/>
  <c r="K320" i="17"/>
  <c r="L320" i="17"/>
  <c r="M320" i="17"/>
  <c r="N320" i="17"/>
  <c r="Q320" i="17"/>
  <c r="H109" i="17"/>
  <c r="I109" i="17"/>
  <c r="K109" i="17"/>
  <c r="L109" i="17"/>
  <c r="M109" i="17"/>
  <c r="N109" i="17"/>
  <c r="Q109" i="17"/>
  <c r="G212" i="17"/>
  <c r="H212" i="17"/>
  <c r="I212" i="17"/>
  <c r="J212" i="17"/>
  <c r="K212" i="17"/>
  <c r="L212" i="17"/>
  <c r="M212" i="17"/>
  <c r="N212" i="17"/>
  <c r="Q212" i="17"/>
  <c r="G216" i="17"/>
  <c r="H216" i="17"/>
  <c r="I216" i="17"/>
  <c r="J216" i="17"/>
  <c r="K216" i="17"/>
  <c r="L216" i="17"/>
  <c r="M216" i="17"/>
  <c r="N216" i="17"/>
  <c r="Q216" i="17"/>
  <c r="G214" i="17"/>
  <c r="H214" i="17"/>
  <c r="I214" i="17"/>
  <c r="J214" i="17"/>
  <c r="K214" i="17"/>
  <c r="L214" i="17"/>
  <c r="M214" i="17"/>
  <c r="N214" i="17"/>
  <c r="Q214" i="17"/>
  <c r="H116" i="17"/>
  <c r="I116" i="17"/>
  <c r="K116" i="17"/>
  <c r="L116" i="17"/>
  <c r="M116" i="17"/>
  <c r="N116" i="17"/>
  <c r="Q116" i="17"/>
  <c r="G168" i="17"/>
  <c r="H168" i="17"/>
  <c r="I168" i="17"/>
  <c r="J168" i="17"/>
  <c r="K168" i="17"/>
  <c r="L168" i="17"/>
  <c r="M168" i="17"/>
  <c r="N168" i="17"/>
  <c r="Q168" i="17"/>
  <c r="H102" i="17"/>
  <c r="I102" i="17"/>
  <c r="K102" i="17"/>
  <c r="L102" i="17"/>
  <c r="M102" i="17"/>
  <c r="N102" i="17"/>
  <c r="Q102" i="17"/>
  <c r="G176" i="17"/>
  <c r="H176" i="17"/>
  <c r="I176" i="17"/>
  <c r="J176" i="17"/>
  <c r="K176" i="17"/>
  <c r="L176" i="17"/>
  <c r="M176" i="17"/>
  <c r="N176" i="17"/>
  <c r="Q176" i="17"/>
  <c r="G204" i="17"/>
  <c r="H204" i="17"/>
  <c r="I204" i="17"/>
  <c r="J204" i="17"/>
  <c r="K204" i="17"/>
  <c r="L204" i="17"/>
  <c r="M204" i="17"/>
  <c r="N204" i="17"/>
  <c r="Q204" i="17"/>
  <c r="H113" i="17"/>
  <c r="I113" i="17"/>
  <c r="K113" i="17"/>
  <c r="L113" i="17"/>
  <c r="M113" i="17"/>
  <c r="N113" i="17"/>
  <c r="Q113" i="17"/>
  <c r="G180" i="17"/>
  <c r="H180" i="17"/>
  <c r="I180" i="17"/>
  <c r="J180" i="17"/>
  <c r="K180" i="17"/>
  <c r="L180" i="17"/>
  <c r="M180" i="17"/>
  <c r="N180" i="17"/>
  <c r="Q180" i="17"/>
  <c r="G209" i="17"/>
  <c r="H209" i="17"/>
  <c r="I209" i="17"/>
  <c r="J209" i="17"/>
  <c r="K209" i="17"/>
  <c r="L209" i="17"/>
  <c r="M209" i="17"/>
  <c r="N209" i="17"/>
  <c r="Q209" i="17"/>
  <c r="G189" i="17"/>
  <c r="H189" i="17"/>
  <c r="I189" i="17"/>
  <c r="J189" i="17"/>
  <c r="K189" i="17"/>
  <c r="L189" i="17"/>
  <c r="M189" i="17"/>
  <c r="N189" i="17"/>
  <c r="Q189" i="17"/>
  <c r="G174" i="17"/>
  <c r="H174" i="17"/>
  <c r="I174" i="17"/>
  <c r="J174" i="17"/>
  <c r="K174" i="17"/>
  <c r="L174" i="17"/>
  <c r="M174" i="17"/>
  <c r="N174" i="17"/>
  <c r="Q174" i="17"/>
  <c r="G106" i="17"/>
  <c r="H106" i="17"/>
  <c r="I106" i="17"/>
  <c r="J106" i="17"/>
  <c r="K106" i="17"/>
  <c r="L106" i="17"/>
  <c r="M106" i="17"/>
  <c r="N106" i="17"/>
  <c r="Q106" i="17"/>
  <c r="G224" i="17"/>
  <c r="H224" i="17"/>
  <c r="I224" i="17"/>
  <c r="J224" i="17"/>
  <c r="K224" i="17"/>
  <c r="L224" i="17"/>
  <c r="M224" i="17"/>
  <c r="N224" i="17"/>
  <c r="Q224" i="17"/>
  <c r="G191" i="17"/>
  <c r="H191" i="17"/>
  <c r="I191" i="17"/>
  <c r="J191" i="17"/>
  <c r="K191" i="17"/>
  <c r="L191" i="17"/>
  <c r="M191" i="17"/>
  <c r="N191" i="17"/>
  <c r="Q191" i="17"/>
  <c r="G177" i="17"/>
  <c r="H177" i="17"/>
  <c r="I177" i="17"/>
  <c r="J177" i="17"/>
  <c r="K177" i="17"/>
  <c r="L177" i="17"/>
  <c r="M177" i="17"/>
  <c r="N177" i="17"/>
  <c r="Q177" i="17"/>
  <c r="G178" i="17"/>
  <c r="H178" i="17"/>
  <c r="I178" i="17"/>
  <c r="J178" i="17"/>
  <c r="K178" i="17"/>
  <c r="L178" i="17"/>
  <c r="M178" i="17"/>
  <c r="N178" i="17"/>
  <c r="Q178" i="17"/>
  <c r="G211" i="17"/>
  <c r="H211" i="17"/>
  <c r="I211" i="17"/>
  <c r="J211" i="17"/>
  <c r="K211" i="17"/>
  <c r="L211" i="17"/>
  <c r="M211" i="17"/>
  <c r="N211" i="17"/>
  <c r="Q211" i="17"/>
  <c r="G223" i="17"/>
  <c r="H223" i="17"/>
  <c r="I223" i="17"/>
  <c r="J223" i="17"/>
  <c r="K223" i="17"/>
  <c r="L223" i="17"/>
  <c r="M223" i="17"/>
  <c r="N223" i="17"/>
  <c r="Q223" i="17"/>
  <c r="G181" i="17"/>
  <c r="H181" i="17"/>
  <c r="I181" i="17"/>
  <c r="J181" i="17"/>
  <c r="K181" i="17"/>
  <c r="L181" i="17"/>
  <c r="M181" i="17"/>
  <c r="N181" i="17"/>
  <c r="Q181" i="17"/>
  <c r="G222" i="17"/>
  <c r="H222" i="17"/>
  <c r="I222" i="17"/>
  <c r="J222" i="17"/>
  <c r="K222" i="17"/>
  <c r="L222" i="17"/>
  <c r="M222" i="17"/>
  <c r="N222" i="17"/>
  <c r="Q222" i="17"/>
  <c r="G243" i="17"/>
  <c r="H243" i="17"/>
  <c r="I243" i="17"/>
  <c r="J243" i="17"/>
  <c r="K243" i="17"/>
  <c r="L243" i="17"/>
  <c r="M243" i="17"/>
  <c r="N243" i="17"/>
  <c r="Q243" i="17"/>
  <c r="G184" i="17"/>
  <c r="H184" i="17"/>
  <c r="I184" i="17"/>
  <c r="J184" i="17"/>
  <c r="K184" i="17"/>
  <c r="L184" i="17"/>
  <c r="M184" i="17"/>
  <c r="N184" i="17"/>
  <c r="Q184" i="17"/>
  <c r="G185" i="17"/>
  <c r="H185" i="17"/>
  <c r="I185" i="17"/>
  <c r="J185" i="17"/>
  <c r="K185" i="17"/>
  <c r="L185" i="17"/>
  <c r="M185" i="17"/>
  <c r="N185" i="17"/>
  <c r="Q185" i="17"/>
  <c r="G186" i="17"/>
  <c r="H186" i="17"/>
  <c r="I186" i="17"/>
  <c r="J186" i="17"/>
  <c r="K186" i="17"/>
  <c r="L186" i="17"/>
  <c r="M186" i="17"/>
  <c r="N186" i="17"/>
  <c r="Q186" i="17"/>
  <c r="G225" i="17"/>
  <c r="H225" i="17"/>
  <c r="I225" i="17"/>
  <c r="J225" i="17"/>
  <c r="K225" i="17"/>
  <c r="L225" i="17"/>
  <c r="M225" i="17"/>
  <c r="N225" i="17"/>
  <c r="Q225" i="17"/>
  <c r="G188" i="17"/>
  <c r="H188" i="17"/>
  <c r="I188" i="17"/>
  <c r="J188" i="17"/>
  <c r="K188" i="17"/>
  <c r="L188" i="17"/>
  <c r="M188" i="17"/>
  <c r="N188" i="17"/>
  <c r="Q188" i="17"/>
  <c r="G203" i="17"/>
  <c r="H203" i="17"/>
  <c r="I203" i="17"/>
  <c r="J203" i="17"/>
  <c r="K203" i="17"/>
  <c r="L203" i="17"/>
  <c r="M203" i="17"/>
  <c r="N203" i="17"/>
  <c r="Q203" i="17"/>
  <c r="G190" i="17"/>
  <c r="H190" i="17"/>
  <c r="I190" i="17"/>
  <c r="J190" i="17"/>
  <c r="K190" i="17"/>
  <c r="L190" i="17"/>
  <c r="M190" i="17"/>
  <c r="N190" i="17"/>
  <c r="Q190" i="17"/>
  <c r="G252" i="17"/>
  <c r="H252" i="17"/>
  <c r="I252" i="17"/>
  <c r="J252" i="17"/>
  <c r="K252" i="17"/>
  <c r="L252" i="17"/>
  <c r="M252" i="17"/>
  <c r="N252" i="17"/>
  <c r="Q252" i="17"/>
  <c r="G192" i="17"/>
  <c r="H192" i="17"/>
  <c r="I192" i="17"/>
  <c r="J192" i="17"/>
  <c r="K192" i="17"/>
  <c r="L192" i="17"/>
  <c r="M192" i="17"/>
  <c r="N192" i="17"/>
  <c r="Q192" i="17"/>
  <c r="G193" i="17"/>
  <c r="H193" i="17"/>
  <c r="I193" i="17"/>
  <c r="J193" i="17"/>
  <c r="K193" i="17"/>
  <c r="L193" i="17"/>
  <c r="M193" i="17"/>
  <c r="N193" i="17"/>
  <c r="Q193" i="17"/>
  <c r="G254" i="17"/>
  <c r="H254" i="17"/>
  <c r="I254" i="17"/>
  <c r="J254" i="17"/>
  <c r="K254" i="17"/>
  <c r="L254" i="17"/>
  <c r="M254" i="17"/>
  <c r="N254" i="17"/>
  <c r="Q254" i="17"/>
  <c r="G256" i="17"/>
  <c r="H256" i="17"/>
  <c r="I256" i="17"/>
  <c r="J256" i="17"/>
  <c r="K256" i="17"/>
  <c r="L256" i="17"/>
  <c r="M256" i="17"/>
  <c r="N256" i="17"/>
  <c r="Q256" i="17"/>
  <c r="G196" i="17"/>
  <c r="H196" i="17"/>
  <c r="I196" i="17"/>
  <c r="J196" i="17"/>
  <c r="K196" i="17"/>
  <c r="L196" i="17"/>
  <c r="M196" i="17"/>
  <c r="N196" i="17"/>
  <c r="Q196" i="17"/>
  <c r="G197" i="17"/>
  <c r="H197" i="17"/>
  <c r="I197" i="17"/>
  <c r="J197" i="17"/>
  <c r="K197" i="17"/>
  <c r="L197" i="17"/>
  <c r="M197" i="17"/>
  <c r="N197" i="17"/>
  <c r="Q197" i="17"/>
  <c r="G198" i="17"/>
  <c r="H198" i="17"/>
  <c r="I198" i="17"/>
  <c r="J198" i="17"/>
  <c r="K198" i="17"/>
  <c r="L198" i="17"/>
  <c r="M198" i="17"/>
  <c r="N198" i="17"/>
  <c r="Q198" i="17"/>
  <c r="G199" i="17"/>
  <c r="H199" i="17"/>
  <c r="I199" i="17"/>
  <c r="J199" i="17"/>
  <c r="K199" i="17"/>
  <c r="L199" i="17"/>
  <c r="M199" i="17"/>
  <c r="N199" i="17"/>
  <c r="Q199" i="17"/>
  <c r="G200" i="17"/>
  <c r="H200" i="17"/>
  <c r="I200" i="17"/>
  <c r="J200" i="17"/>
  <c r="K200" i="17"/>
  <c r="L200" i="17"/>
  <c r="M200" i="17"/>
  <c r="N200" i="17"/>
  <c r="Q200" i="17"/>
  <c r="G201" i="17"/>
  <c r="H201" i="17"/>
  <c r="I201" i="17"/>
  <c r="J201" i="17"/>
  <c r="K201" i="17"/>
  <c r="L201" i="17"/>
  <c r="M201" i="17"/>
  <c r="N201" i="17"/>
  <c r="Q201" i="17"/>
  <c r="G231" i="17"/>
  <c r="H231" i="17"/>
  <c r="I231" i="17"/>
  <c r="J231" i="17"/>
  <c r="K231" i="17"/>
  <c r="L231" i="17"/>
  <c r="M231" i="17"/>
  <c r="N231" i="17"/>
  <c r="Q231" i="17"/>
  <c r="G170" i="17"/>
  <c r="H170" i="17"/>
  <c r="I170" i="17"/>
  <c r="J170" i="17"/>
  <c r="K170" i="17"/>
  <c r="L170" i="17"/>
  <c r="M170" i="17"/>
  <c r="N170" i="17"/>
  <c r="Q170" i="17"/>
  <c r="G169" i="17"/>
  <c r="H169" i="17"/>
  <c r="I169" i="17"/>
  <c r="J169" i="17"/>
  <c r="K169" i="17"/>
  <c r="L169" i="17"/>
  <c r="M169" i="17"/>
  <c r="N169" i="17"/>
  <c r="Q169" i="17"/>
  <c r="G167" i="17"/>
  <c r="H167" i="17"/>
  <c r="I167" i="17"/>
  <c r="J167" i="17"/>
  <c r="K167" i="17"/>
  <c r="L167" i="17"/>
  <c r="M167" i="17"/>
  <c r="N167" i="17"/>
  <c r="Q167" i="17"/>
  <c r="G166" i="17"/>
  <c r="H166" i="17"/>
  <c r="I166" i="17"/>
  <c r="J166" i="17"/>
  <c r="K166" i="17"/>
  <c r="L166" i="17"/>
  <c r="M166" i="17"/>
  <c r="N166" i="17"/>
  <c r="Q166" i="17"/>
  <c r="G165" i="17"/>
  <c r="H165" i="17"/>
  <c r="I165" i="17"/>
  <c r="J165" i="17"/>
  <c r="K165" i="17"/>
  <c r="L165" i="17"/>
  <c r="M165" i="17"/>
  <c r="N165" i="17"/>
  <c r="Q165" i="17"/>
  <c r="G175" i="17"/>
  <c r="H175" i="17"/>
  <c r="I175" i="17"/>
  <c r="J175" i="17"/>
  <c r="K175" i="17"/>
  <c r="L175" i="17"/>
  <c r="M175" i="17"/>
  <c r="N175" i="17"/>
  <c r="Q175" i="17"/>
  <c r="G173" i="17"/>
  <c r="H173" i="17"/>
  <c r="I173" i="17"/>
  <c r="J173" i="17"/>
  <c r="K173" i="17"/>
  <c r="L173" i="17"/>
  <c r="M173" i="17"/>
  <c r="N173" i="17"/>
  <c r="Q173" i="17"/>
  <c r="G172" i="17"/>
  <c r="H172" i="17"/>
  <c r="I172" i="17"/>
  <c r="J172" i="17"/>
  <c r="K172" i="17"/>
  <c r="L172" i="17"/>
  <c r="M172" i="17"/>
  <c r="N172" i="17"/>
  <c r="Q172" i="17"/>
  <c r="G171" i="17"/>
  <c r="H171" i="17"/>
  <c r="I171" i="17"/>
  <c r="J171" i="17"/>
  <c r="K171" i="17"/>
  <c r="L171" i="17"/>
  <c r="M171" i="17"/>
  <c r="N171" i="17"/>
  <c r="Q171" i="17"/>
  <c r="G126" i="25"/>
  <c r="H126" i="25"/>
  <c r="I126" i="25"/>
  <c r="J126" i="25"/>
  <c r="K126" i="25"/>
  <c r="L126" i="25"/>
  <c r="M126" i="25"/>
  <c r="G116" i="25"/>
  <c r="H116" i="25"/>
  <c r="I116" i="25"/>
  <c r="J116" i="25"/>
  <c r="K116" i="25"/>
  <c r="L116" i="25"/>
  <c r="M116" i="25"/>
  <c r="G122" i="25"/>
  <c r="H122" i="25"/>
  <c r="I122" i="25"/>
  <c r="J122" i="25"/>
  <c r="K122" i="25"/>
  <c r="L122" i="25"/>
  <c r="M122" i="25"/>
  <c r="G162" i="25"/>
  <c r="H162" i="25"/>
  <c r="I162" i="25"/>
  <c r="J162" i="25"/>
  <c r="K162" i="25"/>
  <c r="L162" i="25"/>
  <c r="M162" i="25"/>
  <c r="G120" i="25"/>
  <c r="H120" i="25"/>
  <c r="I120" i="25"/>
  <c r="J120" i="25"/>
  <c r="K120" i="25"/>
  <c r="L120" i="25"/>
  <c r="M120" i="25"/>
  <c r="G147" i="25"/>
  <c r="H147" i="25"/>
  <c r="I147" i="25"/>
  <c r="J147" i="25"/>
  <c r="K147" i="25"/>
  <c r="L147" i="25"/>
  <c r="M147" i="25"/>
  <c r="H127" i="25"/>
  <c r="K127" i="25"/>
  <c r="M127" i="25"/>
  <c r="G140" i="25"/>
  <c r="H140" i="25"/>
  <c r="I140" i="25"/>
  <c r="J140" i="25"/>
  <c r="K140" i="25"/>
  <c r="L140" i="25"/>
  <c r="M140" i="25"/>
  <c r="G165" i="25"/>
  <c r="H165" i="25"/>
  <c r="I165" i="25"/>
  <c r="J165" i="25"/>
  <c r="K165" i="25"/>
  <c r="L165" i="25"/>
  <c r="M165" i="25"/>
  <c r="G125" i="25"/>
  <c r="H125" i="25"/>
  <c r="I125" i="25"/>
  <c r="J125" i="25"/>
  <c r="K125" i="25"/>
  <c r="L125" i="25"/>
  <c r="M125" i="25"/>
  <c r="G157" i="25"/>
  <c r="H157" i="25"/>
  <c r="I157" i="25"/>
  <c r="J157" i="25"/>
  <c r="K157" i="25"/>
  <c r="L157" i="25"/>
  <c r="M157" i="25"/>
  <c r="G182" i="25"/>
  <c r="H182" i="25"/>
  <c r="I182" i="25"/>
  <c r="J182" i="25"/>
  <c r="K182" i="25"/>
  <c r="L182" i="25"/>
  <c r="M182" i="25"/>
  <c r="G72" i="25"/>
  <c r="H72" i="25"/>
  <c r="I72" i="25"/>
  <c r="J72" i="25"/>
  <c r="K72" i="25"/>
  <c r="L72" i="25"/>
  <c r="M72" i="25"/>
  <c r="G153" i="25"/>
  <c r="H153" i="25"/>
  <c r="I153" i="25"/>
  <c r="J153" i="25"/>
  <c r="K153" i="25"/>
  <c r="L153" i="25"/>
  <c r="M153" i="25"/>
  <c r="G143" i="25"/>
  <c r="H143" i="25"/>
  <c r="I143" i="25"/>
  <c r="J143" i="25"/>
  <c r="K143" i="25"/>
  <c r="L143" i="25"/>
  <c r="M143" i="25"/>
  <c r="G138" i="25"/>
  <c r="H138" i="25"/>
  <c r="I138" i="25"/>
  <c r="J138" i="25"/>
  <c r="K138" i="25"/>
  <c r="L138" i="25"/>
  <c r="M138" i="25"/>
  <c r="G249" i="25"/>
  <c r="H249" i="25"/>
  <c r="I249" i="25"/>
  <c r="J249" i="25"/>
  <c r="K249" i="25"/>
  <c r="L249" i="25"/>
  <c r="M249" i="25"/>
  <c r="G195" i="25"/>
  <c r="H195" i="25"/>
  <c r="I195" i="25"/>
  <c r="J195" i="25"/>
  <c r="K195" i="25"/>
  <c r="L195" i="25"/>
  <c r="M195" i="25"/>
  <c r="G130" i="25"/>
  <c r="H130" i="25"/>
  <c r="I130" i="25"/>
  <c r="J130" i="25"/>
  <c r="K130" i="25"/>
  <c r="L130" i="25"/>
  <c r="M130" i="25"/>
  <c r="G203" i="25"/>
  <c r="H203" i="25"/>
  <c r="I203" i="25"/>
  <c r="J203" i="25"/>
  <c r="K203" i="25"/>
  <c r="L203" i="25"/>
  <c r="M203" i="25"/>
  <c r="G163" i="25"/>
  <c r="H163" i="25"/>
  <c r="I163" i="25"/>
  <c r="J163" i="25"/>
  <c r="K163" i="25"/>
  <c r="L163" i="25"/>
  <c r="M163" i="25"/>
  <c r="G179" i="25"/>
  <c r="H179" i="25"/>
  <c r="I179" i="25"/>
  <c r="J179" i="25"/>
  <c r="K179" i="25"/>
  <c r="L179" i="25"/>
  <c r="M179" i="25"/>
  <c r="G154" i="25"/>
  <c r="H154" i="25"/>
  <c r="I154" i="25"/>
  <c r="J154" i="25"/>
  <c r="K154" i="25"/>
  <c r="L154" i="25"/>
  <c r="M154" i="25"/>
  <c r="G139" i="25"/>
  <c r="H139" i="25"/>
  <c r="I139" i="25"/>
  <c r="J139" i="25"/>
  <c r="K139" i="25"/>
  <c r="L139" i="25"/>
  <c r="M139" i="25"/>
  <c r="G283" i="25"/>
  <c r="H283" i="25"/>
  <c r="I283" i="25"/>
  <c r="J283" i="25"/>
  <c r="K283" i="25"/>
  <c r="L283" i="25"/>
  <c r="M283" i="25"/>
  <c r="G197" i="25"/>
  <c r="H197" i="25"/>
  <c r="I197" i="25"/>
  <c r="J197" i="25"/>
  <c r="K197" i="25"/>
  <c r="L197" i="25"/>
  <c r="M197" i="25"/>
  <c r="G239" i="25"/>
  <c r="H239" i="25"/>
  <c r="I239" i="25"/>
  <c r="J239" i="25"/>
  <c r="K239" i="25"/>
  <c r="L239" i="25"/>
  <c r="M239" i="25"/>
  <c r="G175" i="25"/>
  <c r="H175" i="25"/>
  <c r="I175" i="25"/>
  <c r="J175" i="25"/>
  <c r="K175" i="25"/>
  <c r="L175" i="25"/>
  <c r="M175" i="25"/>
  <c r="G186" i="25"/>
  <c r="H186" i="25"/>
  <c r="I186" i="25"/>
  <c r="J186" i="25"/>
  <c r="K186" i="25"/>
  <c r="L186" i="25"/>
  <c r="M186" i="25"/>
  <c r="G141" i="25"/>
  <c r="H141" i="25"/>
  <c r="I141" i="25"/>
  <c r="J141" i="25"/>
  <c r="K141" i="25"/>
  <c r="L141" i="25"/>
  <c r="M141" i="25"/>
  <c r="G204" i="25"/>
  <c r="H204" i="25"/>
  <c r="I204" i="25"/>
  <c r="J204" i="25"/>
  <c r="K204" i="25"/>
  <c r="L204" i="25"/>
  <c r="M204" i="25"/>
  <c r="G149" i="25"/>
  <c r="H149" i="25"/>
  <c r="I149" i="25"/>
  <c r="J149" i="25"/>
  <c r="K149" i="25"/>
  <c r="L149" i="25"/>
  <c r="M149" i="25"/>
  <c r="G160" i="25"/>
  <c r="H160" i="25"/>
  <c r="I160" i="25"/>
  <c r="J160" i="25"/>
  <c r="K160" i="25"/>
  <c r="L160" i="25"/>
  <c r="M160" i="25"/>
  <c r="H301" i="25"/>
  <c r="I301" i="25"/>
  <c r="J301" i="25"/>
  <c r="K301" i="25"/>
  <c r="L301" i="25"/>
  <c r="M301" i="25"/>
  <c r="G180" i="25"/>
  <c r="H180" i="25"/>
  <c r="I180" i="25"/>
  <c r="J180" i="25"/>
  <c r="K180" i="25"/>
  <c r="L180" i="25"/>
  <c r="M180" i="25"/>
  <c r="G274" i="25"/>
  <c r="H274" i="25"/>
  <c r="I274" i="25"/>
  <c r="J274" i="25"/>
  <c r="K274" i="25"/>
  <c r="L274" i="25"/>
  <c r="M274" i="25"/>
  <c r="G172" i="25"/>
  <c r="H172" i="25"/>
  <c r="I172" i="25"/>
  <c r="J172" i="25"/>
  <c r="K172" i="25"/>
  <c r="L172" i="25"/>
  <c r="M172" i="25"/>
  <c r="G166" i="25"/>
  <c r="H166" i="25"/>
  <c r="I166" i="25"/>
  <c r="J166" i="25"/>
  <c r="K166" i="25"/>
  <c r="L166" i="25"/>
  <c r="M166" i="25"/>
  <c r="G158" i="25"/>
  <c r="H158" i="25"/>
  <c r="I158" i="25"/>
  <c r="J158" i="25"/>
  <c r="K158" i="25"/>
  <c r="L158" i="25"/>
  <c r="M158" i="25"/>
  <c r="G151" i="25"/>
  <c r="H151" i="25"/>
  <c r="I151" i="25"/>
  <c r="J151" i="25"/>
  <c r="K151" i="25"/>
  <c r="L151" i="25"/>
  <c r="M151" i="25"/>
  <c r="H194" i="25"/>
  <c r="J194" i="25"/>
  <c r="K194" i="25"/>
  <c r="L194" i="25"/>
  <c r="M194" i="25"/>
  <c r="G191" i="25"/>
  <c r="H191" i="25"/>
  <c r="I191" i="25"/>
  <c r="J191" i="25"/>
  <c r="K191" i="25"/>
  <c r="L191" i="25"/>
  <c r="M191" i="25"/>
  <c r="G164" i="25"/>
  <c r="H164" i="25"/>
  <c r="I164" i="25"/>
  <c r="J164" i="25"/>
  <c r="K164" i="25"/>
  <c r="L164" i="25"/>
  <c r="M164" i="25"/>
  <c r="G223" i="25"/>
  <c r="H223" i="25"/>
  <c r="I223" i="25"/>
  <c r="J223" i="25"/>
  <c r="K223" i="25"/>
  <c r="L223" i="25"/>
  <c r="M223" i="25"/>
  <c r="G63" i="25"/>
  <c r="H63" i="25"/>
  <c r="I63" i="25"/>
  <c r="J63" i="25"/>
  <c r="K63" i="25"/>
  <c r="L63" i="25"/>
  <c r="M63" i="25"/>
  <c r="G152" i="25"/>
  <c r="H152" i="25"/>
  <c r="I152" i="25"/>
  <c r="J152" i="25"/>
  <c r="K152" i="25"/>
  <c r="L152" i="25"/>
  <c r="M152" i="25"/>
  <c r="G161" i="25"/>
  <c r="H161" i="25"/>
  <c r="I161" i="25"/>
  <c r="J161" i="25"/>
  <c r="K161" i="25"/>
  <c r="L161" i="25"/>
  <c r="M161" i="25"/>
  <c r="G184" i="25"/>
  <c r="H184" i="25"/>
  <c r="I184" i="25"/>
  <c r="J184" i="25"/>
  <c r="K184" i="25"/>
  <c r="L184" i="25"/>
  <c r="M184" i="25"/>
  <c r="G177" i="25"/>
  <c r="H177" i="25"/>
  <c r="I177" i="25"/>
  <c r="J177" i="25"/>
  <c r="K177" i="25"/>
  <c r="L177" i="25"/>
  <c r="M177" i="25"/>
  <c r="G33" i="25"/>
  <c r="H33" i="25"/>
  <c r="I33" i="25"/>
  <c r="J33" i="25"/>
  <c r="K33" i="25"/>
  <c r="L33" i="25"/>
  <c r="M33" i="25"/>
  <c r="G254" i="25"/>
  <c r="H254" i="25"/>
  <c r="I254" i="25"/>
  <c r="J254" i="25"/>
  <c r="K254" i="25"/>
  <c r="L254" i="25"/>
  <c r="M254" i="25"/>
  <c r="G159" i="25"/>
  <c r="H159" i="25"/>
  <c r="I159" i="25"/>
  <c r="J159" i="25"/>
  <c r="K159" i="25"/>
  <c r="L159" i="25"/>
  <c r="M159" i="25"/>
  <c r="G66" i="25"/>
  <c r="H66" i="25"/>
  <c r="I66" i="25"/>
  <c r="J66" i="25"/>
  <c r="K66" i="25"/>
  <c r="L66" i="25"/>
  <c r="M66" i="25"/>
  <c r="H193" i="25"/>
  <c r="J193" i="25"/>
  <c r="K193" i="25"/>
  <c r="L193" i="25"/>
  <c r="M193" i="25"/>
  <c r="G168" i="25"/>
  <c r="H168" i="25"/>
  <c r="I168" i="25"/>
  <c r="J168" i="25"/>
  <c r="K168" i="25"/>
  <c r="L168" i="25"/>
  <c r="M168" i="25"/>
  <c r="G185" i="25"/>
  <c r="H185" i="25"/>
  <c r="I185" i="25"/>
  <c r="J185" i="25"/>
  <c r="K185" i="25"/>
  <c r="L185" i="25"/>
  <c r="M185" i="25"/>
  <c r="G171" i="25"/>
  <c r="H171" i="25"/>
  <c r="I171" i="25"/>
  <c r="J171" i="25"/>
  <c r="K171" i="25"/>
  <c r="L171" i="25"/>
  <c r="M171" i="25"/>
  <c r="G263" i="25"/>
  <c r="H263" i="25"/>
  <c r="I263" i="25"/>
  <c r="J263" i="25"/>
  <c r="K263" i="25"/>
  <c r="L263" i="25"/>
  <c r="M263" i="25"/>
  <c r="G174" i="25"/>
  <c r="H174" i="25"/>
  <c r="I174" i="25"/>
  <c r="J174" i="25"/>
  <c r="K174" i="25"/>
  <c r="L174" i="25"/>
  <c r="M174" i="25"/>
  <c r="G189" i="25"/>
  <c r="H189" i="25"/>
  <c r="I189" i="25"/>
  <c r="J189" i="25"/>
  <c r="K189" i="25"/>
  <c r="L189" i="25"/>
  <c r="M189" i="25"/>
  <c r="G176" i="25"/>
  <c r="H176" i="25"/>
  <c r="I176" i="25"/>
  <c r="J176" i="25"/>
  <c r="K176" i="25"/>
  <c r="L176" i="25"/>
  <c r="M176" i="25"/>
  <c r="G46" i="25"/>
  <c r="H46" i="25"/>
  <c r="I46" i="25"/>
  <c r="J46" i="25"/>
  <c r="K46" i="25"/>
  <c r="L46" i="25"/>
  <c r="M46" i="25"/>
  <c r="G248" i="25"/>
  <c r="H248" i="25"/>
  <c r="I248" i="25"/>
  <c r="J248" i="25"/>
  <c r="K248" i="25"/>
  <c r="L248" i="25"/>
  <c r="M248" i="25"/>
  <c r="G264" i="25"/>
  <c r="H264" i="25"/>
  <c r="I264" i="25"/>
  <c r="J264" i="25"/>
  <c r="K264" i="25"/>
  <c r="L264" i="25"/>
  <c r="M264" i="25"/>
  <c r="G299" i="25"/>
  <c r="H299" i="25"/>
  <c r="I299" i="25"/>
  <c r="J299" i="25"/>
  <c r="K299" i="25"/>
  <c r="L299" i="25"/>
  <c r="M299" i="25"/>
  <c r="G169" i="25"/>
  <c r="H169" i="25"/>
  <c r="I169" i="25"/>
  <c r="J169" i="25"/>
  <c r="K169" i="25"/>
  <c r="L169" i="25"/>
  <c r="M169" i="25"/>
  <c r="G222" i="25"/>
  <c r="H222" i="25"/>
  <c r="I222" i="25"/>
  <c r="J222" i="25"/>
  <c r="K222" i="25"/>
  <c r="L222" i="25"/>
  <c r="M222" i="25"/>
  <c r="G173" i="25"/>
  <c r="H173" i="25"/>
  <c r="I173" i="25"/>
  <c r="J173" i="25"/>
  <c r="K173" i="25"/>
  <c r="L173" i="25"/>
  <c r="M173" i="25"/>
  <c r="G234" i="25"/>
  <c r="H234" i="25"/>
  <c r="I234" i="25"/>
  <c r="J234" i="25"/>
  <c r="K234" i="25"/>
  <c r="L234" i="25"/>
  <c r="M234" i="25"/>
  <c r="G227" i="25"/>
  <c r="H227" i="25"/>
  <c r="I227" i="25"/>
  <c r="J227" i="25"/>
  <c r="K227" i="25"/>
  <c r="L227" i="25"/>
  <c r="M227" i="25"/>
  <c r="G178" i="25"/>
  <c r="H178" i="25"/>
  <c r="I178" i="25"/>
  <c r="J178" i="25"/>
  <c r="K178" i="25"/>
  <c r="L178" i="25"/>
  <c r="M178" i="25"/>
  <c r="G181" i="25"/>
  <c r="H181" i="25"/>
  <c r="I181" i="25"/>
  <c r="J181" i="25"/>
  <c r="K181" i="25"/>
  <c r="L181" i="25"/>
  <c r="M181" i="25"/>
  <c r="G29" i="25"/>
  <c r="H29" i="25"/>
  <c r="I29" i="25"/>
  <c r="J29" i="25"/>
  <c r="K29" i="25"/>
  <c r="L29" i="25"/>
  <c r="M29" i="25"/>
  <c r="H13" i="25"/>
  <c r="I13" i="25"/>
  <c r="K13" i="25"/>
  <c r="L13" i="25"/>
  <c r="M13" i="25"/>
  <c r="G307" i="25"/>
  <c r="H307" i="25"/>
  <c r="I307" i="25"/>
  <c r="J307" i="25"/>
  <c r="K307" i="25"/>
  <c r="L307" i="25"/>
  <c r="M307" i="25"/>
  <c r="H192" i="25"/>
  <c r="J192" i="25"/>
  <c r="K192" i="25"/>
  <c r="L192" i="25"/>
  <c r="M192" i="25"/>
  <c r="G188" i="25"/>
  <c r="H188" i="25"/>
  <c r="I188" i="25"/>
  <c r="J188" i="25"/>
  <c r="K188" i="25"/>
  <c r="L188" i="25"/>
  <c r="M188" i="25"/>
  <c r="G242" i="25"/>
  <c r="H242" i="25"/>
  <c r="I242" i="25"/>
  <c r="J242" i="25"/>
  <c r="K242" i="25"/>
  <c r="L242" i="25"/>
  <c r="M242" i="25"/>
  <c r="G303" i="25"/>
  <c r="H303" i="25"/>
  <c r="I303" i="25"/>
  <c r="J303" i="25"/>
  <c r="K303" i="25"/>
  <c r="L303" i="25"/>
  <c r="M303" i="25"/>
  <c r="G52" i="25"/>
  <c r="H52" i="25"/>
  <c r="I52" i="25"/>
  <c r="J52" i="25"/>
  <c r="K52" i="25"/>
  <c r="L52" i="25"/>
  <c r="M52" i="25"/>
  <c r="G199" i="25"/>
  <c r="H199" i="25"/>
  <c r="I199" i="25"/>
  <c r="J199" i="25"/>
  <c r="K199" i="25"/>
  <c r="L199" i="25"/>
  <c r="M199" i="25"/>
  <c r="G224" i="25"/>
  <c r="H224" i="25"/>
  <c r="I224" i="25"/>
  <c r="J224" i="25"/>
  <c r="K224" i="25"/>
  <c r="L224" i="25"/>
  <c r="M224" i="25"/>
  <c r="G255" i="25"/>
  <c r="H255" i="25"/>
  <c r="I255" i="25"/>
  <c r="J255" i="25"/>
  <c r="K255" i="25"/>
  <c r="L255" i="25"/>
  <c r="M255" i="25"/>
  <c r="G206" i="25"/>
  <c r="H206" i="25"/>
  <c r="I206" i="25"/>
  <c r="J206" i="25"/>
  <c r="K206" i="25"/>
  <c r="L206" i="25"/>
  <c r="M206" i="25"/>
  <c r="G244" i="25"/>
  <c r="H244" i="25"/>
  <c r="I244" i="25"/>
  <c r="J244" i="25"/>
  <c r="K244" i="25"/>
  <c r="L244" i="25"/>
  <c r="M244" i="25"/>
  <c r="G271" i="25"/>
  <c r="H271" i="25"/>
  <c r="I271" i="25"/>
  <c r="J271" i="25"/>
  <c r="K271" i="25"/>
  <c r="L271" i="25"/>
  <c r="M271" i="25"/>
  <c r="G207" i="25"/>
  <c r="H207" i="25"/>
  <c r="I207" i="25"/>
  <c r="J207" i="25"/>
  <c r="K207" i="25"/>
  <c r="L207" i="25"/>
  <c r="M207" i="25"/>
  <c r="G6" i="25"/>
  <c r="H6" i="25"/>
  <c r="I6" i="25"/>
  <c r="J6" i="25"/>
  <c r="K6" i="25"/>
  <c r="L6" i="25"/>
  <c r="M6" i="25"/>
  <c r="G187" i="25"/>
  <c r="H187" i="25"/>
  <c r="I187" i="25"/>
  <c r="J187" i="25"/>
  <c r="K187" i="25"/>
  <c r="L187" i="25"/>
  <c r="M187" i="25"/>
  <c r="G238" i="25"/>
  <c r="H238" i="25"/>
  <c r="I238" i="25"/>
  <c r="J238" i="25"/>
  <c r="K238" i="25"/>
  <c r="L238" i="25"/>
  <c r="M238" i="25"/>
  <c r="G217" i="25"/>
  <c r="H217" i="25"/>
  <c r="I217" i="25"/>
  <c r="J217" i="25"/>
  <c r="K217" i="25"/>
  <c r="L217" i="25"/>
  <c r="M217" i="25"/>
  <c r="G71" i="25"/>
  <c r="H71" i="25"/>
  <c r="I71" i="25"/>
  <c r="J71" i="25"/>
  <c r="K71" i="25"/>
  <c r="L71" i="25"/>
  <c r="M71" i="25"/>
  <c r="G48" i="25"/>
  <c r="H48" i="25"/>
  <c r="I48" i="25"/>
  <c r="J48" i="25"/>
  <c r="K48" i="25"/>
  <c r="L48" i="25"/>
  <c r="M48" i="25"/>
  <c r="G215" i="25"/>
  <c r="H215" i="25"/>
  <c r="I215" i="25"/>
  <c r="J215" i="25"/>
  <c r="K215" i="25"/>
  <c r="L215" i="25"/>
  <c r="M215" i="25"/>
  <c r="G190" i="25"/>
  <c r="H190" i="25"/>
  <c r="I190" i="25"/>
  <c r="J190" i="25"/>
  <c r="K190" i="25"/>
  <c r="L190" i="25"/>
  <c r="M190" i="25"/>
  <c r="G213" i="25"/>
  <c r="H213" i="25"/>
  <c r="I213" i="25"/>
  <c r="J213" i="25"/>
  <c r="K213" i="25"/>
  <c r="L213" i="25"/>
  <c r="M213" i="25"/>
  <c r="G202" i="25"/>
  <c r="H202" i="25"/>
  <c r="I202" i="25"/>
  <c r="J202" i="25"/>
  <c r="K202" i="25"/>
  <c r="L202" i="25"/>
  <c r="M202" i="25"/>
  <c r="G62" i="25"/>
  <c r="H62" i="25"/>
  <c r="I62" i="25"/>
  <c r="J62" i="25"/>
  <c r="K62" i="25"/>
  <c r="L62" i="25"/>
  <c r="M62" i="25"/>
  <c r="G196" i="25"/>
  <c r="H196" i="25"/>
  <c r="I196" i="25"/>
  <c r="J196" i="25"/>
  <c r="K196" i="25"/>
  <c r="L196" i="25"/>
  <c r="M196" i="25"/>
  <c r="G201" i="25"/>
  <c r="H201" i="25"/>
  <c r="I201" i="25"/>
  <c r="J201" i="25"/>
  <c r="K201" i="25"/>
  <c r="L201" i="25"/>
  <c r="M201" i="25"/>
  <c r="G198" i="25"/>
  <c r="H198" i="25"/>
  <c r="I198" i="25"/>
  <c r="J198" i="25"/>
  <c r="K198" i="25"/>
  <c r="L198" i="25"/>
  <c r="M198" i="25"/>
  <c r="G232" i="25"/>
  <c r="H232" i="25"/>
  <c r="I232" i="25"/>
  <c r="J232" i="25"/>
  <c r="K232" i="25"/>
  <c r="L232" i="25"/>
  <c r="M232" i="25"/>
  <c r="G69" i="25"/>
  <c r="H69" i="25"/>
  <c r="I69" i="25"/>
  <c r="J69" i="25"/>
  <c r="K69" i="25"/>
  <c r="L69" i="25"/>
  <c r="M69" i="25"/>
  <c r="G231" i="25"/>
  <c r="H231" i="25"/>
  <c r="I231" i="25"/>
  <c r="J231" i="25"/>
  <c r="K231" i="25"/>
  <c r="L231" i="25"/>
  <c r="M231" i="25"/>
  <c r="G200" i="25"/>
  <c r="H200" i="25"/>
  <c r="I200" i="25"/>
  <c r="J200" i="25"/>
  <c r="K200" i="25"/>
  <c r="L200" i="25"/>
  <c r="M200" i="25"/>
  <c r="G229" i="25"/>
  <c r="H229" i="25"/>
  <c r="I229" i="25"/>
  <c r="J229" i="25"/>
  <c r="K229" i="25"/>
  <c r="L229" i="25"/>
  <c r="M229" i="25"/>
  <c r="G208" i="25"/>
  <c r="H208" i="25"/>
  <c r="I208" i="25"/>
  <c r="J208" i="25"/>
  <c r="K208" i="25"/>
  <c r="L208" i="25"/>
  <c r="M208" i="25"/>
  <c r="G228" i="25"/>
  <c r="H228" i="25"/>
  <c r="I228" i="25"/>
  <c r="J228" i="25"/>
  <c r="K228" i="25"/>
  <c r="L228" i="25"/>
  <c r="M228" i="25"/>
  <c r="G38" i="25"/>
  <c r="H38" i="25"/>
  <c r="I38" i="25"/>
  <c r="J38" i="25"/>
  <c r="K38" i="25"/>
  <c r="L38" i="25"/>
  <c r="M38" i="25"/>
  <c r="G28" i="25"/>
  <c r="H28" i="25"/>
  <c r="I28" i="25"/>
  <c r="J28" i="25"/>
  <c r="K28" i="25"/>
  <c r="L28" i="25"/>
  <c r="M28" i="25"/>
  <c r="G304" i="25"/>
  <c r="H304" i="25"/>
  <c r="I304" i="25"/>
  <c r="J304" i="25"/>
  <c r="K304" i="25"/>
  <c r="L304" i="25"/>
  <c r="M304" i="25"/>
  <c r="G209" i="25"/>
  <c r="H209" i="25"/>
  <c r="I209" i="25"/>
  <c r="J209" i="25"/>
  <c r="K209" i="25"/>
  <c r="L209" i="25"/>
  <c r="M209" i="25"/>
  <c r="G218" i="25"/>
  <c r="H218" i="25"/>
  <c r="I218" i="25"/>
  <c r="J218" i="25"/>
  <c r="K218" i="25"/>
  <c r="L218" i="25"/>
  <c r="M218" i="25"/>
  <c r="G21" i="25"/>
  <c r="H21" i="25"/>
  <c r="I21" i="25"/>
  <c r="J21" i="25"/>
  <c r="K21" i="25"/>
  <c r="L21" i="25"/>
  <c r="M21" i="25"/>
  <c r="G5" i="25"/>
  <c r="H5" i="25"/>
  <c r="I5" i="25"/>
  <c r="J5" i="25"/>
  <c r="K5" i="25"/>
  <c r="L5" i="25"/>
  <c r="M5" i="25"/>
  <c r="G30" i="25"/>
  <c r="H30" i="25"/>
  <c r="I30" i="25"/>
  <c r="J30" i="25"/>
  <c r="K30" i="25"/>
  <c r="L30" i="25"/>
  <c r="M30" i="25"/>
  <c r="G210" i="25"/>
  <c r="H210" i="25"/>
  <c r="I210" i="25"/>
  <c r="J210" i="25"/>
  <c r="K210" i="25"/>
  <c r="L210" i="25"/>
  <c r="M210" i="25"/>
  <c r="G220" i="25"/>
  <c r="H220" i="25"/>
  <c r="I220" i="25"/>
  <c r="J220" i="25"/>
  <c r="K220" i="25"/>
  <c r="L220" i="25"/>
  <c r="M220" i="25"/>
  <c r="G214" i="25"/>
  <c r="H214" i="25"/>
  <c r="I214" i="25"/>
  <c r="J214" i="25"/>
  <c r="K214" i="25"/>
  <c r="L214" i="25"/>
  <c r="M214" i="25"/>
  <c r="G216" i="25"/>
  <c r="H216" i="25"/>
  <c r="I216" i="25"/>
  <c r="J216" i="25"/>
  <c r="K216" i="25"/>
  <c r="L216" i="25"/>
  <c r="M216" i="25"/>
  <c r="G41" i="25"/>
  <c r="H41" i="25"/>
  <c r="I41" i="25"/>
  <c r="J41" i="25"/>
  <c r="K41" i="25"/>
  <c r="L41" i="25"/>
  <c r="M41" i="25"/>
  <c r="G31" i="25"/>
  <c r="H31" i="25"/>
  <c r="I31" i="25"/>
  <c r="J31" i="25"/>
  <c r="K31" i="25"/>
  <c r="L31" i="25"/>
  <c r="M31" i="25"/>
  <c r="G53" i="25"/>
  <c r="H53" i="25"/>
  <c r="I53" i="25"/>
  <c r="K53" i="25"/>
  <c r="L53" i="25"/>
  <c r="M53" i="25"/>
  <c r="G74" i="25"/>
  <c r="H74" i="25"/>
  <c r="I74" i="25"/>
  <c r="J74" i="25"/>
  <c r="K74" i="25"/>
  <c r="L74" i="25"/>
  <c r="M74" i="25"/>
  <c r="G65" i="25"/>
  <c r="H65" i="25"/>
  <c r="I65" i="25"/>
  <c r="J65" i="25"/>
  <c r="K65" i="25"/>
  <c r="L65" i="25"/>
  <c r="M65" i="25"/>
  <c r="G212" i="25"/>
  <c r="H212" i="25"/>
  <c r="I212" i="25"/>
  <c r="J212" i="25"/>
  <c r="K212" i="25"/>
  <c r="L212" i="25"/>
  <c r="M212" i="25"/>
  <c r="G237" i="25"/>
  <c r="H237" i="25"/>
  <c r="I237" i="25"/>
  <c r="J237" i="25"/>
  <c r="K237" i="25"/>
  <c r="L237" i="25"/>
  <c r="M237" i="25"/>
  <c r="G221" i="25"/>
  <c r="H221" i="25"/>
  <c r="I221" i="25"/>
  <c r="J221" i="25"/>
  <c r="K221" i="25"/>
  <c r="L221" i="25"/>
  <c r="M221" i="25"/>
  <c r="G205" i="25"/>
  <c r="H205" i="25"/>
  <c r="I205" i="25"/>
  <c r="J205" i="25"/>
  <c r="K205" i="25"/>
  <c r="L205" i="25"/>
  <c r="M205" i="25"/>
  <c r="G211" i="25"/>
  <c r="H211" i="25"/>
  <c r="I211" i="25"/>
  <c r="J211" i="25"/>
  <c r="K211" i="25"/>
  <c r="L211" i="25"/>
  <c r="M211" i="25"/>
  <c r="G295" i="25"/>
  <c r="H295" i="25"/>
  <c r="I295" i="25"/>
  <c r="J295" i="25"/>
  <c r="K295" i="25"/>
  <c r="L295" i="25"/>
  <c r="M295" i="25"/>
  <c r="G219" i="25"/>
  <c r="H219" i="25"/>
  <c r="I219" i="25"/>
  <c r="J219" i="25"/>
  <c r="K219" i="25"/>
  <c r="L219" i="25"/>
  <c r="M219" i="25"/>
  <c r="G253" i="25"/>
  <c r="H253" i="25"/>
  <c r="I253" i="25"/>
  <c r="J253" i="25"/>
  <c r="K253" i="25"/>
  <c r="L253" i="25"/>
  <c r="M253" i="25"/>
  <c r="G226" i="25"/>
  <c r="H226" i="25"/>
  <c r="I226" i="25"/>
  <c r="J226" i="25"/>
  <c r="K226" i="25"/>
  <c r="L226" i="25"/>
  <c r="M226" i="25"/>
  <c r="G47" i="25"/>
  <c r="H47" i="25"/>
  <c r="I47" i="25"/>
  <c r="J47" i="25"/>
  <c r="K47" i="25"/>
  <c r="L47" i="25"/>
  <c r="M47" i="25"/>
  <c r="G23" i="25"/>
  <c r="H23" i="25"/>
  <c r="I23" i="25"/>
  <c r="J23" i="25"/>
  <c r="K23" i="25"/>
  <c r="L23" i="25"/>
  <c r="M23" i="25"/>
  <c r="G305" i="25"/>
  <c r="H305" i="25"/>
  <c r="I305" i="25"/>
  <c r="J305" i="25"/>
  <c r="K305" i="25"/>
  <c r="L305" i="25"/>
  <c r="M305" i="25"/>
  <c r="G59" i="25"/>
  <c r="H59" i="25"/>
  <c r="I59" i="25"/>
  <c r="J59" i="25"/>
  <c r="K59" i="25"/>
  <c r="L59" i="25"/>
  <c r="M59" i="25"/>
  <c r="G225" i="25"/>
  <c r="H225" i="25"/>
  <c r="I225" i="25"/>
  <c r="J225" i="25"/>
  <c r="K225" i="25"/>
  <c r="L225" i="25"/>
  <c r="M225" i="25"/>
  <c r="G50" i="25"/>
  <c r="H50" i="25"/>
  <c r="I50" i="25"/>
  <c r="J50" i="25"/>
  <c r="K50" i="25"/>
  <c r="L50" i="25"/>
  <c r="M50" i="25"/>
  <c r="G34" i="25"/>
  <c r="H34" i="25"/>
  <c r="I34" i="25"/>
  <c r="J34" i="25"/>
  <c r="K34" i="25"/>
  <c r="L34" i="25"/>
  <c r="M34" i="25"/>
  <c r="G240" i="25"/>
  <c r="H240" i="25"/>
  <c r="I240" i="25"/>
  <c r="J240" i="25"/>
  <c r="K240" i="25"/>
  <c r="L240" i="25"/>
  <c r="M240" i="25"/>
  <c r="G230" i="25"/>
  <c r="H230" i="25"/>
  <c r="I230" i="25"/>
  <c r="J230" i="25"/>
  <c r="K230" i="25"/>
  <c r="L230" i="25"/>
  <c r="M230" i="25"/>
  <c r="G14" i="25"/>
  <c r="H14" i="25"/>
  <c r="I14" i="25"/>
  <c r="J14" i="25"/>
  <c r="K14" i="25"/>
  <c r="L14" i="25"/>
  <c r="M14" i="25"/>
  <c r="G7" i="25"/>
  <c r="H7" i="25"/>
  <c r="I7" i="25"/>
  <c r="J7" i="25"/>
  <c r="K7" i="25"/>
  <c r="L7" i="25"/>
  <c r="M7" i="25"/>
  <c r="G73" i="25"/>
  <c r="H73" i="25"/>
  <c r="I73" i="25"/>
  <c r="J73" i="25"/>
  <c r="K73" i="25"/>
  <c r="L73" i="25"/>
  <c r="M73" i="25"/>
  <c r="H57" i="25"/>
  <c r="I57" i="25"/>
  <c r="K57" i="25"/>
  <c r="L57" i="25"/>
  <c r="M57" i="25"/>
  <c r="G261" i="25"/>
  <c r="H261" i="25"/>
  <c r="I261" i="25"/>
  <c r="J261" i="25"/>
  <c r="K261" i="25"/>
  <c r="L261" i="25"/>
  <c r="M261" i="25"/>
  <c r="G233" i="25"/>
  <c r="H233" i="25"/>
  <c r="I233" i="25"/>
  <c r="J233" i="25"/>
  <c r="K233" i="25"/>
  <c r="L233" i="25"/>
  <c r="M233" i="25"/>
  <c r="G20" i="25"/>
  <c r="H20" i="25"/>
  <c r="I20" i="25"/>
  <c r="J20" i="25"/>
  <c r="K20" i="25"/>
  <c r="L20" i="25"/>
  <c r="M20" i="25"/>
  <c r="G54" i="25"/>
  <c r="H54" i="25"/>
  <c r="I54" i="25"/>
  <c r="J54" i="25"/>
  <c r="K54" i="25"/>
  <c r="L54" i="25"/>
  <c r="M54" i="25"/>
  <c r="G306" i="25"/>
  <c r="H306" i="25"/>
  <c r="I306" i="25"/>
  <c r="J306" i="25"/>
  <c r="K306" i="25"/>
  <c r="L306" i="25"/>
  <c r="M306" i="25"/>
  <c r="G235" i="25"/>
  <c r="H235" i="25"/>
  <c r="I235" i="25"/>
  <c r="J235" i="25"/>
  <c r="K235" i="25"/>
  <c r="L235" i="25"/>
  <c r="M235" i="25"/>
  <c r="G32" i="25"/>
  <c r="H32" i="25"/>
  <c r="I32" i="25"/>
  <c r="J32" i="25"/>
  <c r="K32" i="25"/>
  <c r="L32" i="25"/>
  <c r="M32" i="25"/>
  <c r="G236" i="25"/>
  <c r="H236" i="25"/>
  <c r="I236" i="25"/>
  <c r="J236" i="25"/>
  <c r="K236" i="25"/>
  <c r="L236" i="25"/>
  <c r="M236" i="25"/>
  <c r="G67" i="25"/>
  <c r="H67" i="25"/>
  <c r="I67" i="25"/>
  <c r="J67" i="25"/>
  <c r="K67" i="25"/>
  <c r="L67" i="25"/>
  <c r="M67" i="25"/>
  <c r="G296" i="25"/>
  <c r="H296" i="25"/>
  <c r="I296" i="25"/>
  <c r="J296" i="25"/>
  <c r="K296" i="25"/>
  <c r="L296" i="25"/>
  <c r="M296" i="25"/>
  <c r="G55" i="25"/>
  <c r="H55" i="25"/>
  <c r="I55" i="25"/>
  <c r="J55" i="25"/>
  <c r="K55" i="25"/>
  <c r="L55" i="25"/>
  <c r="M55" i="25"/>
  <c r="G281" i="25"/>
  <c r="H281" i="25"/>
  <c r="I281" i="25"/>
  <c r="J281" i="25"/>
  <c r="K281" i="25"/>
  <c r="L281" i="25"/>
  <c r="M281" i="25"/>
  <c r="G277" i="25"/>
  <c r="H277" i="25"/>
  <c r="I277" i="25"/>
  <c r="J277" i="25"/>
  <c r="K277" i="25"/>
  <c r="L277" i="25"/>
  <c r="M277" i="25"/>
  <c r="G245" i="25"/>
  <c r="H245" i="25"/>
  <c r="I245" i="25"/>
  <c r="J245" i="25"/>
  <c r="K245" i="25"/>
  <c r="L245" i="25"/>
  <c r="M245" i="25"/>
  <c r="G294" i="25"/>
  <c r="H294" i="25"/>
  <c r="I294" i="25"/>
  <c r="J294" i="25"/>
  <c r="K294" i="25"/>
  <c r="L294" i="25"/>
  <c r="M294" i="25"/>
  <c r="G12" i="25"/>
  <c r="H12" i="25"/>
  <c r="I12" i="25"/>
  <c r="J12" i="25"/>
  <c r="K12" i="25"/>
  <c r="L12" i="25"/>
  <c r="M12" i="25"/>
  <c r="G37" i="25"/>
  <c r="H37" i="25"/>
  <c r="I37" i="25"/>
  <c r="J37" i="25"/>
  <c r="K37" i="25"/>
  <c r="L37" i="25"/>
  <c r="M37" i="25"/>
  <c r="G246" i="25"/>
  <c r="H246" i="25"/>
  <c r="I246" i="25"/>
  <c r="J246" i="25"/>
  <c r="K246" i="25"/>
  <c r="L246" i="25"/>
  <c r="M246" i="25"/>
  <c r="G39" i="25"/>
  <c r="H39" i="25"/>
  <c r="I39" i="25"/>
  <c r="J39" i="25"/>
  <c r="K39" i="25"/>
  <c r="L39" i="25"/>
  <c r="M39" i="25"/>
  <c r="G11" i="25"/>
  <c r="H11" i="25"/>
  <c r="I11" i="25"/>
  <c r="J11" i="25"/>
  <c r="K11" i="25"/>
  <c r="L11" i="25"/>
  <c r="M11" i="25"/>
  <c r="H260" i="25"/>
  <c r="I260" i="25"/>
  <c r="K260" i="25"/>
  <c r="L260" i="25"/>
  <c r="M260" i="25"/>
  <c r="G290" i="25"/>
  <c r="H290" i="25"/>
  <c r="I290" i="25"/>
  <c r="J290" i="25"/>
  <c r="K290" i="25"/>
  <c r="L290" i="25"/>
  <c r="M290" i="25"/>
  <c r="G286" i="25"/>
  <c r="H286" i="25"/>
  <c r="I286" i="25"/>
  <c r="J286" i="25"/>
  <c r="K286" i="25"/>
  <c r="L286" i="25"/>
  <c r="M286" i="25"/>
  <c r="G243" i="25"/>
  <c r="H243" i="25"/>
  <c r="I243" i="25"/>
  <c r="J243" i="25"/>
  <c r="K243" i="25"/>
  <c r="L243" i="25"/>
  <c r="M243" i="25"/>
  <c r="G293" i="25"/>
  <c r="H293" i="25"/>
  <c r="I293" i="25"/>
  <c r="J293" i="25"/>
  <c r="K293" i="25"/>
  <c r="L293" i="25"/>
  <c r="M293" i="25"/>
  <c r="G26" i="25"/>
  <c r="H26" i="25"/>
  <c r="I26" i="25"/>
  <c r="J26" i="25"/>
  <c r="K26" i="25"/>
  <c r="L26" i="25"/>
  <c r="M26" i="25"/>
  <c r="M9" i="25"/>
  <c r="M61" i="25"/>
  <c r="M302" i="25"/>
  <c r="M279" i="25"/>
  <c r="M291" i="25"/>
  <c r="M268" i="25"/>
  <c r="M247" i="25"/>
  <c r="M257" i="25"/>
  <c r="M8" i="25"/>
  <c r="M3" i="25"/>
  <c r="M275" i="25"/>
  <c r="M250" i="25"/>
  <c r="M68" i="25"/>
  <c r="M297" i="25"/>
  <c r="M252" i="25"/>
  <c r="M241" i="25"/>
  <c r="M258" i="25"/>
  <c r="M287" i="25"/>
  <c r="M25" i="25"/>
  <c r="M256" i="25"/>
  <c r="M19" i="25"/>
  <c r="M278" i="25"/>
  <c r="M269" i="25"/>
  <c r="M262" i="25"/>
  <c r="M45" i="25"/>
  <c r="M40" i="25"/>
  <c r="M49" i="25"/>
  <c r="M284" i="25"/>
  <c r="M251" i="25"/>
  <c r="M289" i="25"/>
  <c r="M298" i="25"/>
  <c r="M43" i="25"/>
  <c r="M288" i="25"/>
  <c r="M280" i="25"/>
  <c r="M16" i="25"/>
  <c r="M58" i="25"/>
  <c r="M27" i="25"/>
  <c r="M22" i="25"/>
  <c r="M70" i="25"/>
  <c r="M42" i="25"/>
  <c r="M265" i="25"/>
  <c r="M17" i="25"/>
  <c r="M15" i="25"/>
  <c r="M270" i="25"/>
  <c r="M64" i="25"/>
  <c r="M267" i="25"/>
  <c r="M266" i="25"/>
  <c r="M272" i="25"/>
  <c r="M44" i="25"/>
  <c r="M276" i="25"/>
  <c r="M56" i="25"/>
  <c r="M75" i="25"/>
  <c r="M36" i="25"/>
  <c r="M292" i="25"/>
  <c r="M2" i="25"/>
  <c r="M282" i="25"/>
  <c r="G136" i="25"/>
  <c r="H136" i="25"/>
  <c r="G148" i="25"/>
  <c r="H148" i="25"/>
  <c r="G110" i="25"/>
  <c r="H110" i="25"/>
  <c r="G144" i="25"/>
  <c r="H144" i="25"/>
  <c r="G106" i="25"/>
  <c r="H106" i="25"/>
  <c r="G104" i="25"/>
  <c r="H104" i="25"/>
  <c r="G121" i="25"/>
  <c r="H121" i="25"/>
  <c r="G101" i="25"/>
  <c r="H101" i="25"/>
  <c r="G119" i="25"/>
  <c r="H119" i="25"/>
  <c r="G109" i="25"/>
  <c r="H109" i="25"/>
  <c r="G134" i="25"/>
  <c r="H134" i="25"/>
  <c r="G111" i="25"/>
  <c r="H111" i="25"/>
  <c r="G273" i="25"/>
  <c r="H273" i="25"/>
  <c r="G137" i="25"/>
  <c r="H137" i="25"/>
  <c r="G285" i="25"/>
  <c r="H285" i="25"/>
  <c r="H259" i="25"/>
  <c r="G123" i="25"/>
  <c r="H123" i="25"/>
  <c r="G129" i="25"/>
  <c r="H129" i="25"/>
  <c r="G155" i="25"/>
  <c r="H155" i="25"/>
  <c r="G107" i="25"/>
  <c r="H107" i="25"/>
  <c r="G112" i="25"/>
  <c r="H112" i="25"/>
  <c r="G100" i="25"/>
  <c r="H100" i="25"/>
  <c r="G114" i="25"/>
  <c r="H114" i="25"/>
  <c r="G113" i="25"/>
  <c r="H113" i="25"/>
  <c r="G150" i="25"/>
  <c r="H150" i="25"/>
  <c r="G132" i="25"/>
  <c r="H132" i="25"/>
  <c r="G135" i="25"/>
  <c r="H135" i="25"/>
  <c r="G146" i="25"/>
  <c r="H146" i="25"/>
  <c r="H128" i="25"/>
  <c r="G183" i="25"/>
  <c r="H183" i="25"/>
  <c r="G124" i="25"/>
  <c r="H124" i="25"/>
  <c r="G142" i="25"/>
  <c r="H142" i="25"/>
  <c r="G108" i="25"/>
  <c r="H108" i="25"/>
  <c r="G98" i="25"/>
  <c r="H98" i="25"/>
  <c r="G103" i="25"/>
  <c r="H103" i="25"/>
  <c r="G156" i="25"/>
  <c r="H156" i="25"/>
  <c r="G118" i="25"/>
  <c r="H118" i="25"/>
  <c r="G97" i="25"/>
  <c r="H97" i="25"/>
  <c r="G18" i="25"/>
  <c r="H18" i="25"/>
  <c r="G105" i="25"/>
  <c r="H105" i="25"/>
  <c r="G10" i="25"/>
  <c r="H10" i="25"/>
  <c r="G117" i="25"/>
  <c r="H117" i="25"/>
  <c r="G131" i="25"/>
  <c r="H131" i="25"/>
  <c r="G167" i="25"/>
  <c r="H167" i="25"/>
  <c r="G170" i="25"/>
  <c r="H170" i="25"/>
  <c r="G145" i="25"/>
  <c r="H145" i="25"/>
  <c r="G115" i="25"/>
  <c r="H115" i="25"/>
  <c r="G102" i="25"/>
  <c r="H102" i="25"/>
  <c r="I145" i="25"/>
  <c r="J145" i="25"/>
  <c r="K145" i="25"/>
  <c r="L145" i="25"/>
  <c r="M145" i="25"/>
  <c r="G99" i="25"/>
  <c r="H99" i="25"/>
  <c r="I99" i="25"/>
  <c r="J99" i="25"/>
  <c r="K99" i="25"/>
  <c r="L99" i="25"/>
  <c r="M99" i="25"/>
  <c r="I115" i="25"/>
  <c r="J115" i="25"/>
  <c r="K115" i="25"/>
  <c r="L115" i="25"/>
  <c r="M115" i="25"/>
  <c r="I102" i="25"/>
  <c r="J102" i="25"/>
  <c r="K102" i="25"/>
  <c r="L102" i="25"/>
  <c r="M102" i="25"/>
  <c r="G133" i="25"/>
  <c r="H133" i="25"/>
  <c r="I133" i="25"/>
  <c r="J133" i="25"/>
  <c r="K133" i="25"/>
  <c r="L133" i="25"/>
  <c r="M133" i="25"/>
  <c r="I136" i="25"/>
  <c r="J136" i="25"/>
  <c r="K136" i="25"/>
  <c r="L136" i="25"/>
  <c r="M136" i="25"/>
  <c r="W2" i="25"/>
  <c r="G147" i="17"/>
  <c r="J147" i="17"/>
  <c r="G300" i="17"/>
  <c r="J300" i="17"/>
  <c r="G145" i="17"/>
  <c r="J145" i="17"/>
  <c r="G56" i="17"/>
  <c r="J56" i="17"/>
  <c r="J98" i="25"/>
  <c r="J108" i="25"/>
  <c r="J142" i="25"/>
  <c r="J124" i="25"/>
  <c r="J183" i="25"/>
  <c r="J146" i="25"/>
  <c r="J135" i="25"/>
  <c r="G95" i="25"/>
  <c r="J95" i="25"/>
  <c r="J132" i="25"/>
  <c r="J150" i="25"/>
  <c r="J113" i="25"/>
  <c r="J114" i="25"/>
  <c r="J100" i="25"/>
  <c r="J112" i="25"/>
  <c r="J107" i="25"/>
  <c r="J155" i="25"/>
  <c r="J129" i="25"/>
  <c r="J123" i="25"/>
  <c r="G93" i="25"/>
  <c r="J93" i="25"/>
  <c r="J285" i="25"/>
  <c r="J137" i="25"/>
  <c r="G90" i="25"/>
  <c r="J90" i="25"/>
  <c r="J273" i="25"/>
  <c r="G92" i="25"/>
  <c r="J92" i="25"/>
  <c r="J111" i="25"/>
  <c r="J134" i="25"/>
  <c r="J109" i="25"/>
  <c r="G91" i="25"/>
  <c r="J91" i="25"/>
  <c r="J119" i="25"/>
  <c r="G86" i="25"/>
  <c r="J86" i="25"/>
  <c r="G87" i="25"/>
  <c r="J87" i="25"/>
  <c r="G83" i="25"/>
  <c r="J83" i="25"/>
  <c r="G84" i="25"/>
  <c r="J84" i="25"/>
  <c r="G81" i="25"/>
  <c r="J81" i="25"/>
  <c r="J101" i="25"/>
  <c r="J121" i="25"/>
  <c r="J104" i="25"/>
  <c r="J106" i="25"/>
  <c r="G78" i="25"/>
  <c r="J78" i="25"/>
  <c r="J144" i="25"/>
  <c r="G89" i="25"/>
  <c r="J89" i="25"/>
  <c r="G80" i="25"/>
  <c r="J80" i="25"/>
  <c r="J110" i="25"/>
  <c r="G85" i="25"/>
  <c r="J85" i="25"/>
  <c r="G79" i="25"/>
  <c r="J79" i="25"/>
  <c r="G82" i="25"/>
  <c r="J82" i="25"/>
  <c r="G77" i="25"/>
  <c r="J77" i="25"/>
  <c r="J148" i="25"/>
  <c r="G76" i="25"/>
  <c r="J76" i="25"/>
  <c r="G88" i="25"/>
  <c r="J88" i="25"/>
  <c r="J156" i="25"/>
  <c r="J118" i="25"/>
  <c r="J97" i="25"/>
  <c r="J18" i="25"/>
  <c r="G94" i="25"/>
  <c r="J94" i="25"/>
  <c r="G96" i="25"/>
  <c r="J96" i="25"/>
  <c r="J105" i="25"/>
  <c r="J10" i="25"/>
  <c r="J117" i="25"/>
  <c r="J131" i="25"/>
  <c r="J167" i="25"/>
  <c r="J170" i="25"/>
  <c r="J103" i="25"/>
  <c r="K98" i="25"/>
  <c r="K108" i="25"/>
  <c r="K142" i="25"/>
  <c r="K124" i="25"/>
  <c r="K183" i="25"/>
  <c r="K128" i="25"/>
  <c r="K146" i="25"/>
  <c r="K135" i="25"/>
  <c r="K95" i="25"/>
  <c r="K132" i="25"/>
  <c r="K150" i="25"/>
  <c r="K113" i="25"/>
  <c r="K114" i="25"/>
  <c r="K100" i="25"/>
  <c r="K112" i="25"/>
  <c r="K107" i="25"/>
  <c r="K155" i="25"/>
  <c r="K129" i="25"/>
  <c r="K123" i="25"/>
  <c r="K93" i="25"/>
  <c r="K259" i="25"/>
  <c r="K285" i="25"/>
  <c r="K137" i="25"/>
  <c r="K90" i="25"/>
  <c r="K273" i="25"/>
  <c r="I170" i="25"/>
  <c r="M170" i="25"/>
  <c r="L170" i="25"/>
  <c r="K170" i="25"/>
  <c r="I167" i="25"/>
  <c r="M167" i="25"/>
  <c r="L167" i="25"/>
  <c r="K167" i="25"/>
  <c r="I131" i="25"/>
  <c r="M131" i="25"/>
  <c r="L131" i="25"/>
  <c r="K131" i="25"/>
  <c r="I117" i="25"/>
  <c r="M117" i="25"/>
  <c r="L117" i="25"/>
  <c r="K117" i="25"/>
  <c r="I10" i="25"/>
  <c r="M10" i="25"/>
  <c r="L10" i="25"/>
  <c r="K10" i="25"/>
  <c r="I105" i="25"/>
  <c r="M105" i="25"/>
  <c r="L105" i="25"/>
  <c r="K105" i="25"/>
  <c r="I96" i="25"/>
  <c r="M96" i="25"/>
  <c r="L96" i="25"/>
  <c r="K96" i="25"/>
  <c r="H96" i="25"/>
  <c r="I94" i="25"/>
  <c r="M94" i="25"/>
  <c r="L94" i="25"/>
  <c r="K94" i="25"/>
  <c r="H94" i="25"/>
  <c r="I18" i="25"/>
  <c r="M18" i="25"/>
  <c r="L18" i="25"/>
  <c r="K18" i="25"/>
  <c r="I97" i="25"/>
  <c r="M97" i="25"/>
  <c r="L97" i="25"/>
  <c r="K97" i="25"/>
  <c r="I118" i="25"/>
  <c r="M118" i="25"/>
  <c r="L118" i="25"/>
  <c r="K118" i="25"/>
  <c r="I156" i="25"/>
  <c r="M156" i="25"/>
  <c r="L156" i="25"/>
  <c r="K156" i="25"/>
  <c r="I88" i="25"/>
  <c r="M88" i="25"/>
  <c r="L88" i="25"/>
  <c r="K88" i="25"/>
  <c r="H88" i="25"/>
  <c r="I76" i="25"/>
  <c r="M76" i="25"/>
  <c r="L76" i="25"/>
  <c r="K76" i="25"/>
  <c r="H76" i="25"/>
  <c r="I148" i="25"/>
  <c r="M148" i="25"/>
  <c r="L148" i="25"/>
  <c r="K148" i="25"/>
  <c r="I77" i="25"/>
  <c r="M77" i="25"/>
  <c r="L77" i="25"/>
  <c r="K77" i="25"/>
  <c r="H77" i="25"/>
  <c r="I82" i="25"/>
  <c r="M82" i="25"/>
  <c r="L82" i="25"/>
  <c r="K82" i="25"/>
  <c r="H82" i="25"/>
  <c r="I79" i="25"/>
  <c r="M79" i="25"/>
  <c r="L79" i="25"/>
  <c r="K79" i="25"/>
  <c r="H79" i="25"/>
  <c r="I85" i="25"/>
  <c r="M85" i="25"/>
  <c r="L85" i="25"/>
  <c r="K85" i="25"/>
  <c r="H85" i="25"/>
  <c r="I110" i="25"/>
  <c r="M110" i="25"/>
  <c r="L110" i="25"/>
  <c r="K110" i="25"/>
  <c r="I80" i="25"/>
  <c r="M80" i="25"/>
  <c r="L80" i="25"/>
  <c r="K80" i="25"/>
  <c r="H80" i="25"/>
  <c r="I89" i="25"/>
  <c r="M89" i="25"/>
  <c r="L89" i="25"/>
  <c r="K89" i="25"/>
  <c r="H89" i="25"/>
  <c r="I144" i="25"/>
  <c r="M144" i="25"/>
  <c r="L144" i="25"/>
  <c r="K144" i="25"/>
  <c r="I78" i="25"/>
  <c r="M78" i="25"/>
  <c r="L78" i="25"/>
  <c r="K78" i="25"/>
  <c r="H78" i="25"/>
  <c r="I106" i="25"/>
  <c r="M106" i="25"/>
  <c r="L106" i="25"/>
  <c r="K106" i="25"/>
  <c r="I104" i="25"/>
  <c r="M104" i="25"/>
  <c r="L104" i="25"/>
  <c r="K104" i="25"/>
  <c r="I121" i="25"/>
  <c r="M121" i="25"/>
  <c r="L121" i="25"/>
  <c r="K121" i="25"/>
  <c r="I101" i="25"/>
  <c r="M101" i="25"/>
  <c r="L101" i="25"/>
  <c r="K101" i="25"/>
  <c r="I81" i="25"/>
  <c r="M81" i="25"/>
  <c r="L81" i="25"/>
  <c r="K81" i="25"/>
  <c r="H81" i="25"/>
  <c r="I84" i="25"/>
  <c r="M84" i="25"/>
  <c r="L84" i="25"/>
  <c r="K84" i="25"/>
  <c r="H84" i="25"/>
  <c r="I83" i="25"/>
  <c r="M83" i="25"/>
  <c r="L83" i="25"/>
  <c r="K83" i="25"/>
  <c r="H83" i="25"/>
  <c r="I87" i="25"/>
  <c r="M87" i="25"/>
  <c r="L87" i="25"/>
  <c r="K87" i="25"/>
  <c r="H87" i="25"/>
  <c r="I86" i="25"/>
  <c r="M86" i="25"/>
  <c r="L86" i="25"/>
  <c r="K86" i="25"/>
  <c r="H86" i="25"/>
  <c r="I119" i="25"/>
  <c r="M119" i="25"/>
  <c r="L119" i="25"/>
  <c r="K119" i="25"/>
  <c r="I91" i="25"/>
  <c r="M91" i="25"/>
  <c r="L91" i="25"/>
  <c r="K91" i="25"/>
  <c r="H91" i="25"/>
  <c r="I109" i="25"/>
  <c r="M109" i="25"/>
  <c r="L109" i="25"/>
  <c r="K109" i="25"/>
  <c r="I134" i="25"/>
  <c r="M134" i="25"/>
  <c r="L134" i="25"/>
  <c r="K134" i="25"/>
  <c r="I111" i="25"/>
  <c r="M111" i="25"/>
  <c r="L111" i="25"/>
  <c r="K111" i="25"/>
  <c r="I92" i="25"/>
  <c r="M92" i="25"/>
  <c r="L92" i="25"/>
  <c r="K92" i="25"/>
  <c r="H92" i="25"/>
  <c r="I273" i="25"/>
  <c r="M273" i="25"/>
  <c r="L273" i="25"/>
  <c r="I90" i="25"/>
  <c r="M90" i="25"/>
  <c r="L90" i="25"/>
  <c r="H90" i="25"/>
  <c r="I137" i="25"/>
  <c r="M137" i="25"/>
  <c r="L137" i="25"/>
  <c r="I285" i="25"/>
  <c r="M285" i="25"/>
  <c r="L285" i="25"/>
  <c r="I259" i="25"/>
  <c r="M259" i="25"/>
  <c r="L259" i="25"/>
  <c r="I93" i="25"/>
  <c r="M93" i="25"/>
  <c r="L93" i="25"/>
  <c r="H93" i="25"/>
  <c r="I123" i="25"/>
  <c r="M123" i="25"/>
  <c r="L123" i="25"/>
  <c r="I129" i="25"/>
  <c r="M129" i="25"/>
  <c r="L129" i="25"/>
  <c r="I155" i="25"/>
  <c r="M155" i="25"/>
  <c r="L155" i="25"/>
  <c r="I107" i="25"/>
  <c r="M107" i="25"/>
  <c r="L107" i="25"/>
  <c r="I112" i="25"/>
  <c r="M112" i="25"/>
  <c r="L112" i="25"/>
  <c r="I100" i="25"/>
  <c r="M100" i="25"/>
  <c r="L100" i="25"/>
  <c r="I114" i="25"/>
  <c r="M114" i="25"/>
  <c r="L114" i="25"/>
  <c r="I113" i="25"/>
  <c r="M113" i="25"/>
  <c r="L113" i="25"/>
  <c r="I150" i="25"/>
  <c r="M150" i="25"/>
  <c r="L150" i="25"/>
  <c r="I132" i="25"/>
  <c r="M132" i="25"/>
  <c r="L132" i="25"/>
  <c r="I95" i="25"/>
  <c r="M95" i="25"/>
  <c r="L95" i="25"/>
  <c r="H95" i="25"/>
  <c r="I135" i="25"/>
  <c r="M135" i="25"/>
  <c r="L135" i="25"/>
  <c r="I146" i="25"/>
  <c r="M146" i="25"/>
  <c r="L146" i="25"/>
  <c r="M128" i="25"/>
  <c r="I183" i="25"/>
  <c r="M183" i="25"/>
  <c r="L183" i="25"/>
  <c r="I124" i="25"/>
  <c r="M124" i="25"/>
  <c r="L124" i="25"/>
  <c r="I142" i="25"/>
  <c r="M142" i="25"/>
  <c r="L142" i="25"/>
  <c r="I108" i="25"/>
  <c r="M108" i="25"/>
  <c r="L108" i="25"/>
  <c r="I98" i="25"/>
  <c r="M98" i="25"/>
  <c r="L98" i="25"/>
  <c r="I103" i="25"/>
  <c r="M103" i="25"/>
  <c r="L103" i="25"/>
  <c r="K103" i="25"/>
  <c r="Q55" i="17"/>
  <c r="Q56" i="17"/>
  <c r="Q145" i="17"/>
  <c r="Q57" i="17"/>
  <c r="Q300" i="17"/>
  <c r="Q147" i="17"/>
  <c r="Q59" i="17"/>
  <c r="Q58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22" i="17"/>
  <c r="Q23" i="17"/>
  <c r="Q24" i="17"/>
  <c r="Q25" i="17"/>
  <c r="Q26" i="17"/>
  <c r="Q27" i="17"/>
  <c r="Q28" i="17"/>
  <c r="Q29" i="17"/>
  <c r="Q30" i="17"/>
  <c r="Q12" i="17"/>
  <c r="Q13" i="17"/>
  <c r="Q14" i="17"/>
  <c r="Q15" i="17"/>
  <c r="Q16" i="17"/>
  <c r="Q17" i="17"/>
  <c r="Q18" i="17"/>
  <c r="Q19" i="17"/>
  <c r="Q20" i="17"/>
  <c r="Q21" i="17"/>
  <c r="Q2" i="17"/>
  <c r="Q3" i="17"/>
  <c r="Q4" i="17"/>
  <c r="Q5" i="17"/>
  <c r="Q6" i="17"/>
  <c r="Q8" i="17"/>
  <c r="Q10" i="17"/>
  <c r="Q11" i="17"/>
  <c r="I55" i="17"/>
  <c r="L55" i="17"/>
  <c r="I56" i="17"/>
  <c r="L56" i="17"/>
  <c r="I145" i="17"/>
  <c r="L145" i="17"/>
  <c r="I57" i="17"/>
  <c r="L57" i="17"/>
  <c r="I300" i="17"/>
  <c r="L300" i="17"/>
  <c r="I147" i="17"/>
  <c r="L147" i="17"/>
  <c r="I59" i="17"/>
  <c r="L59" i="17"/>
  <c r="I58" i="17"/>
  <c r="L58" i="17"/>
  <c r="I43" i="17"/>
  <c r="L43" i="17"/>
  <c r="I44" i="17"/>
  <c r="L44" i="17"/>
  <c r="I45" i="17"/>
  <c r="L45" i="17"/>
  <c r="I46" i="17"/>
  <c r="L46" i="17"/>
  <c r="I47" i="17"/>
  <c r="L47" i="17"/>
  <c r="I48" i="17"/>
  <c r="L48" i="17"/>
  <c r="I49" i="17"/>
  <c r="L49" i="17"/>
  <c r="I50" i="17"/>
  <c r="L50" i="17"/>
  <c r="I51" i="17"/>
  <c r="L51" i="17"/>
  <c r="I52" i="17"/>
  <c r="L52" i="17"/>
  <c r="I53" i="17"/>
  <c r="L53" i="17"/>
  <c r="I54" i="17"/>
  <c r="L54" i="17"/>
  <c r="I31" i="17"/>
  <c r="L31" i="17"/>
  <c r="I32" i="17"/>
  <c r="L32" i="17"/>
  <c r="I33" i="17"/>
  <c r="L33" i="17"/>
  <c r="I34" i="17"/>
  <c r="L34" i="17"/>
  <c r="I35" i="17"/>
  <c r="L35" i="17"/>
  <c r="I36" i="17"/>
  <c r="L36" i="17"/>
  <c r="I37" i="17"/>
  <c r="L37" i="17"/>
  <c r="I38" i="17"/>
  <c r="L38" i="17"/>
  <c r="I39" i="17"/>
  <c r="L39" i="17"/>
  <c r="I40" i="17"/>
  <c r="L40" i="17"/>
  <c r="I41" i="17"/>
  <c r="L41" i="17"/>
  <c r="I42" i="17"/>
  <c r="L42" i="17"/>
  <c r="I22" i="17"/>
  <c r="L22" i="17"/>
  <c r="I23" i="17"/>
  <c r="L23" i="17"/>
  <c r="I24" i="17"/>
  <c r="L24" i="17"/>
  <c r="I25" i="17"/>
  <c r="L25" i="17"/>
  <c r="I26" i="17"/>
  <c r="L26" i="17"/>
  <c r="I27" i="17"/>
  <c r="L27" i="17"/>
  <c r="I28" i="17"/>
  <c r="L28" i="17"/>
  <c r="I29" i="17"/>
  <c r="L29" i="17"/>
  <c r="I30" i="17"/>
  <c r="L30" i="17"/>
  <c r="I12" i="17"/>
  <c r="L12" i="17"/>
  <c r="I13" i="17"/>
  <c r="L13" i="17"/>
  <c r="I14" i="17"/>
  <c r="L14" i="17"/>
  <c r="I15" i="17"/>
  <c r="L15" i="17"/>
  <c r="I16" i="17"/>
  <c r="L16" i="17"/>
  <c r="I17" i="17"/>
  <c r="L17" i="17"/>
  <c r="I18" i="17"/>
  <c r="L18" i="17"/>
  <c r="I19" i="17"/>
  <c r="L19" i="17"/>
  <c r="I20" i="17"/>
  <c r="L20" i="17"/>
  <c r="I21" i="17"/>
  <c r="L21" i="17"/>
  <c r="I2" i="17"/>
  <c r="L2" i="17"/>
  <c r="I3" i="17"/>
  <c r="L3" i="17"/>
  <c r="I4" i="17"/>
  <c r="L4" i="17"/>
  <c r="I5" i="17"/>
  <c r="L5" i="17"/>
  <c r="I6" i="17"/>
  <c r="L6" i="17"/>
  <c r="I8" i="17"/>
  <c r="L8" i="17"/>
  <c r="I10" i="17"/>
  <c r="L10" i="17"/>
  <c r="I11" i="17"/>
  <c r="L11" i="17"/>
  <c r="N55" i="17"/>
  <c r="N56" i="17"/>
  <c r="N145" i="17"/>
  <c r="N57" i="17"/>
  <c r="N300" i="17"/>
  <c r="N147" i="17"/>
  <c r="N59" i="17"/>
  <c r="N58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22" i="17"/>
  <c r="N23" i="17"/>
  <c r="N24" i="17"/>
  <c r="N25" i="17"/>
  <c r="N26" i="17"/>
  <c r="N27" i="17"/>
  <c r="N28" i="17"/>
  <c r="N29" i="17"/>
  <c r="N30" i="17"/>
  <c r="N12" i="17"/>
  <c r="N13" i="17"/>
  <c r="N14" i="17"/>
  <c r="N15" i="17"/>
  <c r="N16" i="17"/>
  <c r="N17" i="17"/>
  <c r="N18" i="17"/>
  <c r="N19" i="17"/>
  <c r="N20" i="17"/>
  <c r="N21" i="17"/>
  <c r="N2" i="17"/>
  <c r="N3" i="17"/>
  <c r="N4" i="17"/>
  <c r="N5" i="17"/>
  <c r="N6" i="17"/>
  <c r="N8" i="17"/>
  <c r="N10" i="17"/>
  <c r="N11" i="17"/>
  <c r="H55" i="17"/>
  <c r="K55" i="17"/>
  <c r="M55" i="17"/>
  <c r="H56" i="17"/>
  <c r="K56" i="17"/>
  <c r="M56" i="17"/>
  <c r="H145" i="17"/>
  <c r="K145" i="17"/>
  <c r="M145" i="17"/>
  <c r="H57" i="17"/>
  <c r="K57" i="17"/>
  <c r="M57" i="17"/>
  <c r="H300" i="17"/>
  <c r="K300" i="17"/>
  <c r="M300" i="17"/>
  <c r="H147" i="17"/>
  <c r="K147" i="17"/>
  <c r="M147" i="17"/>
  <c r="H59" i="17"/>
  <c r="K59" i="17"/>
  <c r="M59" i="17"/>
  <c r="H58" i="17"/>
  <c r="K58" i="17"/>
  <c r="M58" i="17"/>
  <c r="H43" i="17"/>
  <c r="K43" i="17"/>
  <c r="M43" i="17"/>
  <c r="H44" i="17"/>
  <c r="K44" i="17"/>
  <c r="M44" i="17"/>
  <c r="H45" i="17"/>
  <c r="K45" i="17"/>
  <c r="M45" i="17"/>
  <c r="H46" i="17"/>
  <c r="K46" i="17"/>
  <c r="M46" i="17"/>
  <c r="H47" i="17"/>
  <c r="K47" i="17"/>
  <c r="M47" i="17"/>
  <c r="H48" i="17"/>
  <c r="K48" i="17"/>
  <c r="M48" i="17"/>
  <c r="H49" i="17"/>
  <c r="K49" i="17"/>
  <c r="M49" i="17"/>
  <c r="H50" i="17"/>
  <c r="K50" i="17"/>
  <c r="M50" i="17"/>
  <c r="H51" i="17"/>
  <c r="K51" i="17"/>
  <c r="M51" i="17"/>
  <c r="H52" i="17"/>
  <c r="K52" i="17"/>
  <c r="M52" i="17"/>
  <c r="H53" i="17"/>
  <c r="K53" i="17"/>
  <c r="M53" i="17"/>
  <c r="H54" i="17"/>
  <c r="K54" i="17"/>
  <c r="M54" i="17"/>
  <c r="H31" i="17"/>
  <c r="K31" i="17"/>
  <c r="M31" i="17"/>
  <c r="H32" i="17"/>
  <c r="K32" i="17"/>
  <c r="M32" i="17"/>
  <c r="H33" i="17"/>
  <c r="K33" i="17"/>
  <c r="M33" i="17"/>
  <c r="H34" i="17"/>
  <c r="K34" i="17"/>
  <c r="M34" i="17"/>
  <c r="H35" i="17"/>
  <c r="K35" i="17"/>
  <c r="M35" i="17"/>
  <c r="H36" i="17"/>
  <c r="K36" i="17"/>
  <c r="M36" i="17"/>
  <c r="H37" i="17"/>
  <c r="K37" i="17"/>
  <c r="M37" i="17"/>
  <c r="H38" i="17"/>
  <c r="K38" i="17"/>
  <c r="M38" i="17"/>
  <c r="H39" i="17"/>
  <c r="K39" i="17"/>
  <c r="M39" i="17"/>
  <c r="H40" i="17"/>
  <c r="K40" i="17"/>
  <c r="M40" i="17"/>
  <c r="H41" i="17"/>
  <c r="K41" i="17"/>
  <c r="M41" i="17"/>
  <c r="H42" i="17"/>
  <c r="K42" i="17"/>
  <c r="M42" i="17"/>
  <c r="H22" i="17"/>
  <c r="K22" i="17"/>
  <c r="M22" i="17"/>
  <c r="H23" i="17"/>
  <c r="K23" i="17"/>
  <c r="M23" i="17"/>
  <c r="H24" i="17"/>
  <c r="K24" i="17"/>
  <c r="M24" i="17"/>
  <c r="H25" i="17"/>
  <c r="K25" i="17"/>
  <c r="M25" i="17"/>
  <c r="H26" i="17"/>
  <c r="K26" i="17"/>
  <c r="M26" i="17"/>
  <c r="H27" i="17"/>
  <c r="K27" i="17"/>
  <c r="M27" i="17"/>
  <c r="H28" i="17"/>
  <c r="K28" i="17"/>
  <c r="M28" i="17"/>
  <c r="H29" i="17"/>
  <c r="K29" i="17"/>
  <c r="M29" i="17"/>
  <c r="H30" i="17"/>
  <c r="K30" i="17"/>
  <c r="M30" i="17"/>
  <c r="H12" i="17"/>
  <c r="K12" i="17"/>
  <c r="M12" i="17"/>
  <c r="H13" i="17"/>
  <c r="K13" i="17"/>
  <c r="M13" i="17"/>
  <c r="H14" i="17"/>
  <c r="K14" i="17"/>
  <c r="M14" i="17"/>
  <c r="H15" i="17"/>
  <c r="K15" i="17"/>
  <c r="M15" i="17"/>
  <c r="H16" i="17"/>
  <c r="K16" i="17"/>
  <c r="M16" i="17"/>
  <c r="H17" i="17"/>
  <c r="K17" i="17"/>
  <c r="M17" i="17"/>
  <c r="H18" i="17"/>
  <c r="K18" i="17"/>
  <c r="M18" i="17"/>
  <c r="H19" i="17"/>
  <c r="K19" i="17"/>
  <c r="M19" i="17"/>
  <c r="H20" i="17"/>
  <c r="K20" i="17"/>
  <c r="M20" i="17"/>
  <c r="H21" i="17"/>
  <c r="K21" i="17"/>
  <c r="M21" i="17"/>
  <c r="H2" i="17"/>
  <c r="K2" i="17"/>
  <c r="M2" i="17"/>
  <c r="H3" i="17"/>
  <c r="K3" i="17"/>
  <c r="M3" i="17"/>
  <c r="H4" i="17"/>
  <c r="K4" i="17"/>
  <c r="M4" i="17"/>
  <c r="H5" i="17"/>
  <c r="K5" i="17"/>
  <c r="M5" i="17"/>
  <c r="H6" i="17"/>
  <c r="K6" i="17"/>
  <c r="M6" i="17"/>
  <c r="H8" i="17"/>
  <c r="K8" i="17"/>
  <c r="M8" i="17"/>
  <c r="H10" i="17"/>
  <c r="K10" i="17"/>
  <c r="M10" i="17"/>
  <c r="H11" i="17"/>
  <c r="K11" i="17"/>
  <c r="M11" i="17"/>
  <c r="B3" i="1"/>
  <c r="B4" i="1"/>
  <c r="B5" i="1"/>
  <c r="B6" i="1"/>
  <c r="B41" i="1"/>
  <c r="B8" i="1"/>
  <c r="B9" i="1"/>
  <c r="B19" i="1"/>
  <c r="B10" i="1"/>
  <c r="B14" i="1"/>
  <c r="B7" i="1"/>
  <c r="B12" i="1"/>
  <c r="B13" i="1"/>
  <c r="B36" i="1"/>
  <c r="B29" i="1"/>
  <c r="B17" i="1"/>
  <c r="B21" i="1"/>
  <c r="B23" i="1"/>
  <c r="B37" i="1"/>
  <c r="B11" i="1"/>
  <c r="B18" i="1"/>
  <c r="B15" i="1"/>
  <c r="B16" i="1"/>
  <c r="B28" i="1"/>
  <c r="B26" i="1"/>
  <c r="B25" i="1"/>
  <c r="B47" i="1"/>
  <c r="B30" i="1"/>
  <c r="B135" i="1"/>
  <c r="B31" i="1"/>
  <c r="B20" i="1"/>
  <c r="B32" i="1"/>
  <c r="B42" i="1"/>
  <c r="B52" i="1"/>
  <c r="B24" i="1"/>
  <c r="B35" i="1"/>
  <c r="B33" i="1"/>
  <c r="B49" i="1"/>
  <c r="B89" i="1"/>
  <c r="B102" i="1"/>
  <c r="B40" i="1"/>
  <c r="B48" i="1"/>
  <c r="B38" i="1"/>
  <c r="B39" i="1"/>
  <c r="B27" i="1"/>
  <c r="B59" i="1"/>
  <c r="B44" i="1"/>
  <c r="B58" i="1"/>
  <c r="B34" i="1"/>
  <c r="B22" i="1"/>
  <c r="B46" i="1"/>
  <c r="B50" i="1"/>
  <c r="B63" i="1"/>
  <c r="B71" i="1"/>
  <c r="B65" i="1"/>
  <c r="B45" i="1"/>
  <c r="B82" i="1"/>
  <c r="B61" i="1"/>
  <c r="B55" i="1"/>
  <c r="B87" i="1"/>
  <c r="B60" i="1"/>
  <c r="B112" i="1"/>
  <c r="B43" i="1"/>
  <c r="B69" i="1"/>
  <c r="B80" i="1"/>
  <c r="B79" i="1"/>
  <c r="B57" i="1"/>
  <c r="B84" i="1"/>
  <c r="B74" i="1"/>
  <c r="B54" i="1"/>
  <c r="B73" i="1"/>
  <c r="B67" i="1"/>
  <c r="B70" i="1"/>
  <c r="B86" i="1"/>
  <c r="B72" i="1"/>
  <c r="B62" i="1"/>
  <c r="B68" i="1"/>
  <c r="B64" i="1"/>
  <c r="B53" i="1"/>
  <c r="B76" i="1"/>
  <c r="B93" i="1"/>
  <c r="B56" i="1"/>
  <c r="B77" i="1"/>
  <c r="B66" i="1"/>
  <c r="B110" i="1"/>
  <c r="B96" i="1"/>
  <c r="B97" i="1"/>
  <c r="B75" i="1"/>
  <c r="B51" i="1"/>
  <c r="B90" i="1"/>
  <c r="B98" i="1"/>
  <c r="B92" i="1"/>
  <c r="B88" i="1"/>
  <c r="B115" i="1"/>
  <c r="B94" i="1"/>
  <c r="B107" i="1"/>
  <c r="B105" i="1"/>
  <c r="B78" i="1"/>
  <c r="B83" i="1"/>
  <c r="B103" i="1"/>
  <c r="B116" i="1"/>
  <c r="B123" i="1"/>
  <c r="B108" i="1"/>
  <c r="B85" i="1"/>
  <c r="B100" i="1"/>
  <c r="B101" i="1"/>
  <c r="B109" i="1"/>
  <c r="B104" i="1"/>
  <c r="B99" i="1"/>
  <c r="B91" i="1"/>
  <c r="B81" i="1"/>
  <c r="B114" i="1"/>
  <c r="B95" i="1"/>
  <c r="B136" i="1"/>
  <c r="B111" i="1"/>
  <c r="B113" i="1"/>
  <c r="B117" i="1"/>
  <c r="B106" i="1"/>
  <c r="B120" i="1"/>
  <c r="B121" i="1"/>
  <c r="B118" i="1"/>
  <c r="B126" i="1"/>
  <c r="B125" i="1"/>
  <c r="B124" i="1"/>
  <c r="B119" i="1"/>
  <c r="B127" i="1"/>
  <c r="B128" i="1"/>
  <c r="B129" i="1"/>
  <c r="B130" i="1"/>
  <c r="B134" i="1"/>
  <c r="B131" i="1"/>
  <c r="B132" i="1"/>
  <c r="B133" i="1"/>
  <c r="B137" i="1"/>
  <c r="B138" i="1"/>
  <c r="B139" i="1"/>
  <c r="B140" i="1"/>
  <c r="B122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2" i="1"/>
  <c r="T2" i="17"/>
  <c r="S2" i="17"/>
  <c r="J154" i="10"/>
  <c r="K154" i="10"/>
  <c r="L154" i="10"/>
  <c r="J155" i="10"/>
  <c r="K155" i="10"/>
  <c r="L155" i="10"/>
  <c r="J156" i="10"/>
  <c r="K156" i="10"/>
  <c r="L156" i="10"/>
  <c r="J157" i="10"/>
  <c r="K157" i="10"/>
  <c r="L157" i="10"/>
  <c r="J158" i="10"/>
  <c r="K158" i="10"/>
  <c r="L158" i="10"/>
  <c r="J159" i="10"/>
  <c r="K159" i="10"/>
  <c r="L159" i="10"/>
  <c r="J160" i="10"/>
  <c r="K160" i="10"/>
  <c r="L160" i="10"/>
  <c r="J161" i="10"/>
  <c r="K161" i="10"/>
  <c r="L161" i="10"/>
  <c r="J162" i="10"/>
  <c r="K162" i="10"/>
  <c r="L162" i="10"/>
  <c r="J163" i="10"/>
  <c r="K163" i="10"/>
  <c r="L163" i="10"/>
  <c r="J164" i="10"/>
  <c r="K164" i="10"/>
  <c r="L164" i="10"/>
  <c r="J165" i="10"/>
  <c r="K165" i="10"/>
  <c r="L165" i="10"/>
  <c r="J166" i="10"/>
  <c r="K166" i="10"/>
  <c r="L166" i="10"/>
  <c r="J167" i="10"/>
  <c r="K167" i="10"/>
  <c r="L167" i="10"/>
  <c r="J168" i="10"/>
  <c r="K168" i="10"/>
  <c r="L168" i="10"/>
  <c r="J169" i="10"/>
  <c r="K169" i="10"/>
  <c r="L169" i="10"/>
  <c r="J170" i="10"/>
  <c r="K170" i="10"/>
  <c r="L170" i="10"/>
  <c r="J171" i="10"/>
  <c r="K171" i="10"/>
  <c r="L171" i="10"/>
  <c r="J172" i="10"/>
  <c r="K172" i="10"/>
  <c r="L172" i="10"/>
  <c r="J173" i="10"/>
  <c r="K173" i="10"/>
  <c r="L173" i="10"/>
  <c r="J174" i="10"/>
  <c r="K174" i="10"/>
  <c r="L174" i="10"/>
  <c r="C2" i="1"/>
  <c r="E2" i="1"/>
  <c r="E3" i="1"/>
  <c r="E137" i="1"/>
  <c r="F137" i="1"/>
  <c r="E70" i="1"/>
  <c r="E156" i="1"/>
  <c r="E124" i="1"/>
  <c r="F3" i="1"/>
  <c r="F2" i="1"/>
  <c r="F156" i="1"/>
  <c r="E55" i="1"/>
  <c r="E138" i="1"/>
  <c r="F138" i="1"/>
  <c r="G158" i="1"/>
  <c r="E158" i="1"/>
  <c r="E90" i="1"/>
  <c r="E116" i="1"/>
  <c r="E34" i="1"/>
  <c r="I158" i="1"/>
  <c r="C154" i="1"/>
  <c r="E154" i="1"/>
  <c r="E149" i="1"/>
  <c r="E37" i="1"/>
  <c r="E132" i="1"/>
  <c r="D322" i="6"/>
  <c r="C322" i="6"/>
  <c r="B322" i="6"/>
  <c r="A322" i="6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3" i="8"/>
  <c r="E78" i="1"/>
  <c r="E61" i="1"/>
  <c r="E153" i="1"/>
  <c r="F153" i="1"/>
  <c r="E114" i="1"/>
  <c r="E5" i="1"/>
  <c r="E100" i="1"/>
  <c r="E31" i="1"/>
  <c r="E87" i="1"/>
  <c r="E95" i="1"/>
  <c r="E107" i="1"/>
  <c r="E147" i="1"/>
  <c r="F147" i="1"/>
  <c r="E142" i="1"/>
  <c r="F142" i="1"/>
  <c r="E155" i="1"/>
  <c r="F155" i="1"/>
  <c r="E146" i="1"/>
  <c r="F146" i="1"/>
  <c r="E160" i="1"/>
  <c r="F160" i="1"/>
  <c r="E159" i="1"/>
  <c r="F159" i="1"/>
  <c r="E144" i="1"/>
  <c r="F144" i="1"/>
  <c r="E148" i="1"/>
  <c r="F148" i="1"/>
  <c r="E152" i="1"/>
  <c r="F152" i="1"/>
  <c r="E143" i="1"/>
  <c r="F143" i="1"/>
  <c r="E141" i="1"/>
  <c r="F141" i="1"/>
  <c r="E145" i="1"/>
  <c r="F145" i="1"/>
  <c r="E150" i="1"/>
  <c r="F150" i="1"/>
  <c r="E157" i="1"/>
  <c r="F157" i="1"/>
  <c r="E139" i="1"/>
  <c r="F139" i="1"/>
  <c r="E105" i="1"/>
  <c r="E131" i="1"/>
  <c r="E133" i="1"/>
  <c r="E130" i="1"/>
  <c r="E103" i="1"/>
  <c r="E121" i="1"/>
  <c r="E102" i="1"/>
  <c r="E128" i="1"/>
  <c r="E134" i="1"/>
  <c r="E83" i="1"/>
  <c r="E129" i="1"/>
  <c r="E122" i="1"/>
  <c r="E120" i="1"/>
  <c r="E113" i="1"/>
  <c r="E106" i="1"/>
  <c r="E109" i="1"/>
  <c r="E81" i="1"/>
  <c r="E99" i="1"/>
  <c r="E91" i="1"/>
  <c r="E108" i="1"/>
  <c r="E117" i="1"/>
  <c r="E111" i="1"/>
  <c r="E119" i="1"/>
  <c r="E127" i="1"/>
  <c r="E126" i="1"/>
  <c r="E7" i="1"/>
  <c r="E125" i="1"/>
  <c r="E118" i="1"/>
  <c r="E123" i="1"/>
  <c r="E59" i="1"/>
  <c r="E88" i="1"/>
  <c r="E151" i="1"/>
  <c r="E69" i="1"/>
  <c r="E94" i="1"/>
  <c r="E97" i="1"/>
  <c r="E68" i="1"/>
  <c r="E76" i="1"/>
  <c r="E85" i="1"/>
  <c r="E101" i="1"/>
  <c r="E115" i="1"/>
  <c r="E75" i="1"/>
  <c r="E52" i="1"/>
  <c r="E38" i="1"/>
  <c r="E136" i="1"/>
  <c r="E64" i="1"/>
  <c r="E77" i="1"/>
  <c r="E86" i="1"/>
  <c r="E63" i="1"/>
  <c r="E135" i="1"/>
  <c r="E84" i="1"/>
  <c r="E14" i="1"/>
  <c r="E110" i="1"/>
  <c r="E73" i="1"/>
  <c r="E26" i="1"/>
  <c r="E53" i="1"/>
  <c r="E51" i="1"/>
  <c r="E62" i="1"/>
  <c r="E140" i="1"/>
  <c r="E104" i="1"/>
  <c r="E65" i="1"/>
  <c r="E79" i="1"/>
  <c r="E80" i="1"/>
  <c r="E93" i="1"/>
  <c r="E96" i="1"/>
  <c r="E112" i="1"/>
  <c r="E44" i="1"/>
  <c r="E89" i="1"/>
  <c r="E40" i="1"/>
  <c r="E56" i="1"/>
  <c r="E41" i="1"/>
  <c r="E54" i="1"/>
  <c r="E66" i="1"/>
  <c r="E67" i="1"/>
  <c r="E74" i="1"/>
  <c r="E48" i="1"/>
  <c r="E60" i="1"/>
  <c r="E71" i="1"/>
  <c r="E82" i="1"/>
  <c r="E98" i="1"/>
  <c r="E39" i="1"/>
  <c r="E32" i="1"/>
  <c r="E57" i="1"/>
  <c r="E50" i="1"/>
  <c r="E35" i="1"/>
  <c r="E33" i="1"/>
  <c r="E46" i="1"/>
  <c r="E27" i="1"/>
  <c r="E18" i="1"/>
  <c r="E24" i="1"/>
  <c r="E11" i="1"/>
  <c r="E43" i="1"/>
  <c r="E72" i="1"/>
  <c r="E20" i="1"/>
  <c r="E9" i="1"/>
  <c r="E8" i="1"/>
  <c r="E42" i="1"/>
  <c r="E10" i="1"/>
  <c r="E58" i="1"/>
  <c r="E45" i="1"/>
  <c r="E23" i="1"/>
  <c r="E13" i="1"/>
  <c r="E12" i="1"/>
  <c r="E28" i="1"/>
  <c r="E21" i="1"/>
  <c r="E17" i="1"/>
  <c r="E25" i="1"/>
  <c r="E30" i="1"/>
  <c r="E6" i="1"/>
  <c r="E15" i="1"/>
  <c r="E36" i="1"/>
  <c r="E92" i="1"/>
  <c r="E16" i="1"/>
  <c r="E47" i="1"/>
  <c r="E22" i="1"/>
  <c r="E19" i="1"/>
  <c r="E49" i="1"/>
  <c r="E29" i="1"/>
  <c r="E4" i="1"/>
  <c r="D7" i="6"/>
  <c r="C3" i="6"/>
  <c r="D321" i="6"/>
  <c r="D317" i="6"/>
  <c r="D312" i="6"/>
  <c r="D308" i="6"/>
  <c r="C304" i="6"/>
  <c r="C294" i="6"/>
  <c r="D289" i="6"/>
  <c r="C286" i="6"/>
  <c r="D281" i="6"/>
  <c r="C281" i="6"/>
  <c r="D276" i="6"/>
  <c r="D272" i="6"/>
  <c r="D268" i="6"/>
  <c r="D264" i="6"/>
  <c r="C260" i="6"/>
  <c r="C256" i="6"/>
  <c r="C252" i="6"/>
  <c r="D247" i="6"/>
  <c r="D243" i="6"/>
  <c r="D239" i="6"/>
  <c r="D235" i="6"/>
  <c r="C231" i="6"/>
  <c r="C226" i="6"/>
  <c r="D222" i="6"/>
  <c r="C222" i="6"/>
  <c r="C218" i="6"/>
  <c r="C214" i="6"/>
  <c r="C210" i="6"/>
  <c r="D205" i="6"/>
  <c r="C201" i="6"/>
  <c r="D196" i="6"/>
  <c r="C193" i="6"/>
  <c r="C189" i="6"/>
  <c r="C185" i="6"/>
  <c r="D180" i="6"/>
  <c r="D176" i="6"/>
  <c r="C176" i="6"/>
  <c r="C171" i="6"/>
  <c r="C167" i="6"/>
  <c r="C162" i="6"/>
  <c r="C158" i="6"/>
  <c r="D153" i="6"/>
  <c r="D149" i="6"/>
  <c r="C149" i="6"/>
  <c r="D144" i="6"/>
  <c r="C144" i="6"/>
  <c r="D139" i="6"/>
  <c r="D136" i="6"/>
  <c r="D132" i="6"/>
  <c r="D128" i="6"/>
  <c r="D124" i="6"/>
  <c r="D119" i="6"/>
  <c r="D115" i="6"/>
  <c r="C115" i="6"/>
  <c r="C111" i="6"/>
  <c r="D106" i="6"/>
  <c r="D102" i="6"/>
  <c r="D98" i="6"/>
  <c r="D94" i="6"/>
  <c r="D90" i="6"/>
  <c r="D86" i="6"/>
  <c r="C82" i="6"/>
  <c r="D77" i="6"/>
  <c r="D73" i="6"/>
  <c r="C73" i="6"/>
  <c r="D68" i="6"/>
  <c r="C68" i="6"/>
  <c r="D63" i="6"/>
  <c r="D59" i="6"/>
  <c r="D55" i="6"/>
  <c r="C51" i="6"/>
  <c r="D46" i="6"/>
  <c r="D42" i="6"/>
  <c r="D37" i="6"/>
  <c r="C32" i="6"/>
  <c r="C28" i="6"/>
  <c r="D23" i="6"/>
  <c r="D19" i="6"/>
  <c r="C19" i="6"/>
  <c r="C15" i="6"/>
  <c r="C7" i="6"/>
  <c r="C321" i="6"/>
  <c r="C317" i="6"/>
  <c r="C312" i="6"/>
  <c r="C308" i="6"/>
  <c r="D303" i="6"/>
  <c r="C303" i="6"/>
  <c r="D299" i="6"/>
  <c r="C299" i="6"/>
  <c r="C289" i="6"/>
  <c r="D285" i="6"/>
  <c r="D280" i="6"/>
  <c r="C280" i="6"/>
  <c r="C276" i="6"/>
  <c r="C272" i="6"/>
  <c r="C268" i="6"/>
  <c r="C264" i="6"/>
  <c r="D259" i="6"/>
  <c r="D255" i="6"/>
  <c r="D251" i="6"/>
  <c r="C247" i="6"/>
  <c r="C243" i="6"/>
  <c r="C239" i="6"/>
  <c r="C235" i="6"/>
  <c r="D230" i="6"/>
  <c r="C230" i="6"/>
  <c r="D225" i="6"/>
  <c r="D221" i="6"/>
  <c r="D217" i="6"/>
  <c r="D213" i="6"/>
  <c r="D209" i="6"/>
  <c r="C205" i="6"/>
  <c r="D200" i="6"/>
  <c r="C196" i="6"/>
  <c r="D192" i="6"/>
  <c r="D188" i="6"/>
  <c r="D184" i="6"/>
  <c r="C180" i="6"/>
  <c r="D175" i="6"/>
  <c r="D170" i="6"/>
  <c r="D166" i="6"/>
  <c r="C166" i="6"/>
  <c r="B166" i="6"/>
  <c r="A166" i="6"/>
  <c r="C153" i="6"/>
  <c r="D148" i="6"/>
  <c r="D143" i="6"/>
  <c r="C139" i="6"/>
  <c r="C136" i="6"/>
  <c r="C132" i="6"/>
  <c r="C128" i="6"/>
  <c r="C124" i="6"/>
  <c r="C119" i="6"/>
  <c r="D114" i="6"/>
  <c r="D110" i="6"/>
  <c r="C106" i="6"/>
  <c r="C102" i="6"/>
  <c r="C98" i="6"/>
  <c r="C94" i="6"/>
  <c r="C90" i="6"/>
  <c r="C86" i="6"/>
  <c r="D81" i="6"/>
  <c r="C77" i="6"/>
  <c r="D72" i="6"/>
  <c r="C72" i="6"/>
  <c r="D67" i="6"/>
  <c r="C63" i="6"/>
  <c r="C59" i="6"/>
  <c r="C55" i="6"/>
  <c r="D50" i="6"/>
  <c r="C46" i="6"/>
  <c r="C42" i="6"/>
  <c r="C37" i="6"/>
  <c r="D31" i="6"/>
  <c r="D27" i="6"/>
  <c r="C23" i="6"/>
  <c r="D18" i="6"/>
  <c r="D14" i="6"/>
  <c r="D10" i="6"/>
  <c r="D6" i="6"/>
  <c r="D320" i="6"/>
  <c r="D316" i="6"/>
  <c r="D311" i="6"/>
  <c r="D307" i="6"/>
  <c r="D302" i="6"/>
  <c r="D298" i="6"/>
  <c r="C298" i="6"/>
  <c r="D293" i="6"/>
  <c r="C293" i="6"/>
  <c r="D288" i="6"/>
  <c r="C285" i="6"/>
  <c r="D279" i="6"/>
  <c r="D275" i="6"/>
  <c r="D271" i="6"/>
  <c r="D267" i="6"/>
  <c r="D263" i="6"/>
  <c r="C259" i="6"/>
  <c r="C255" i="6"/>
  <c r="C251" i="6"/>
  <c r="D242" i="6"/>
  <c r="D238" i="6"/>
  <c r="D234" i="6"/>
  <c r="C234" i="6"/>
  <c r="D229" i="6"/>
  <c r="C229" i="6"/>
  <c r="C225" i="6"/>
  <c r="C221" i="6"/>
  <c r="C217" i="6"/>
  <c r="C213" i="6"/>
  <c r="C209" i="6"/>
  <c r="D204" i="6"/>
  <c r="C204" i="6"/>
  <c r="C200" i="6"/>
  <c r="C192" i="6"/>
  <c r="C188" i="6"/>
  <c r="C184" i="6"/>
  <c r="D179" i="6"/>
  <c r="C175" i="6"/>
  <c r="C170" i="6"/>
  <c r="D161" i="6"/>
  <c r="C161" i="6"/>
  <c r="D157" i="6"/>
  <c r="C157" i="6"/>
  <c r="D152" i="6"/>
  <c r="C148" i="6"/>
  <c r="C143" i="6"/>
  <c r="D135" i="6"/>
  <c r="D131" i="6"/>
  <c r="D127" i="6"/>
  <c r="D123" i="6"/>
  <c r="C123" i="6"/>
  <c r="D118" i="6"/>
  <c r="C114" i="6"/>
  <c r="C110" i="6"/>
  <c r="D105" i="6"/>
  <c r="D101" i="6"/>
  <c r="D97" i="6"/>
  <c r="D93" i="6"/>
  <c r="D89" i="6"/>
  <c r="D85" i="6"/>
  <c r="C81" i="6"/>
  <c r="D76" i="6"/>
  <c r="D71" i="6"/>
  <c r="C67" i="6"/>
  <c r="D62" i="6"/>
  <c r="D58" i="6"/>
  <c r="D54" i="6"/>
  <c r="C50" i="6"/>
  <c r="D45" i="6"/>
  <c r="D41" i="6"/>
  <c r="D36" i="6"/>
  <c r="C31" i="6"/>
  <c r="C27" i="6"/>
  <c r="D22" i="6"/>
  <c r="C18" i="6"/>
  <c r="C14" i="6"/>
  <c r="C10" i="6"/>
  <c r="C6" i="6"/>
  <c r="C320" i="6"/>
  <c r="C316" i="6"/>
  <c r="C311" i="6"/>
  <c r="C307" i="6"/>
  <c r="C302" i="6"/>
  <c r="D297" i="6"/>
  <c r="C297" i="6"/>
  <c r="D292" i="6"/>
  <c r="C288" i="6"/>
  <c r="D284" i="6"/>
  <c r="C279" i="6"/>
  <c r="C275" i="6"/>
  <c r="C271" i="6"/>
  <c r="C267" i="6"/>
  <c r="C263" i="6"/>
  <c r="D258" i="6"/>
  <c r="D254" i="6"/>
  <c r="D250" i="6"/>
  <c r="D246" i="6"/>
  <c r="C242" i="6"/>
  <c r="C238" i="6"/>
  <c r="D233" i="6"/>
  <c r="D228" i="6"/>
  <c r="D220" i="6"/>
  <c r="D216" i="6"/>
  <c r="D212" i="6"/>
  <c r="D203" i="6"/>
  <c r="D199" i="6"/>
  <c r="C199" i="6"/>
  <c r="D195" i="6"/>
  <c r="D191" i="6"/>
  <c r="D187" i="6"/>
  <c r="D183" i="6"/>
  <c r="C183" i="6"/>
  <c r="B183" i="6"/>
  <c r="A183" i="6"/>
  <c r="C179" i="6"/>
  <c r="D174" i="6"/>
  <c r="C174" i="6"/>
  <c r="D169" i="6"/>
  <c r="D165" i="6"/>
  <c r="C165" i="6"/>
  <c r="B165" i="6"/>
  <c r="A165" i="6"/>
  <c r="D160" i="6"/>
  <c r="D156" i="6"/>
  <c r="C152" i="6"/>
  <c r="B152" i="6"/>
  <c r="A152" i="6"/>
  <c r="D147" i="6"/>
  <c r="D142" i="6"/>
  <c r="D138" i="6"/>
  <c r="C135" i="6"/>
  <c r="C131" i="6"/>
  <c r="C127" i="6"/>
  <c r="D122" i="6"/>
  <c r="C122" i="6"/>
  <c r="B122" i="6"/>
  <c r="A122" i="6"/>
  <c r="C118" i="6"/>
  <c r="D113" i="6"/>
  <c r="D109" i="6"/>
  <c r="C109" i="6"/>
  <c r="B109" i="6"/>
  <c r="A109" i="6"/>
  <c r="C105" i="6"/>
  <c r="C101" i="6"/>
  <c r="B101" i="6"/>
  <c r="A101" i="6"/>
  <c r="G101" i="1"/>
  <c r="I101" i="1"/>
  <c r="C97" i="6"/>
  <c r="C93" i="6"/>
  <c r="C89" i="6"/>
  <c r="B89" i="6"/>
  <c r="A89" i="6"/>
  <c r="C85" i="6"/>
  <c r="B85" i="6"/>
  <c r="A85" i="6"/>
  <c r="G82" i="1"/>
  <c r="D80" i="6"/>
  <c r="C76" i="6"/>
  <c r="C71" i="6"/>
  <c r="B71" i="6"/>
  <c r="A71" i="6"/>
  <c r="G122" i="1"/>
  <c r="D66" i="6"/>
  <c r="C62" i="6"/>
  <c r="B62" i="6"/>
  <c r="A62" i="6"/>
  <c r="G40" i="1"/>
  <c r="C58" i="6"/>
  <c r="C54" i="6"/>
  <c r="B54" i="6"/>
  <c r="A54" i="6"/>
  <c r="G95" i="1"/>
  <c r="I95" i="1"/>
  <c r="D49" i="6"/>
  <c r="C49" i="6"/>
  <c r="B49" i="6"/>
  <c r="A49" i="6"/>
  <c r="C45" i="6"/>
  <c r="B45" i="6"/>
  <c r="A45" i="6"/>
  <c r="G17" i="1"/>
  <c r="C41" i="6"/>
  <c r="B41" i="6"/>
  <c r="A41" i="6"/>
  <c r="C36" i="6"/>
  <c r="D30" i="6"/>
  <c r="D26" i="6"/>
  <c r="C22" i="6"/>
  <c r="D17" i="6"/>
  <c r="D13" i="6"/>
  <c r="D9" i="6"/>
  <c r="D5" i="6"/>
  <c r="C5" i="6"/>
  <c r="B5" i="6"/>
  <c r="A5" i="6"/>
  <c r="D319" i="6"/>
  <c r="D315" i="6"/>
  <c r="D310" i="6"/>
  <c r="D306" i="6"/>
  <c r="D301" i="6"/>
  <c r="D296" i="6"/>
  <c r="C292" i="6"/>
  <c r="C284" i="6"/>
  <c r="D278" i="6"/>
  <c r="D274" i="6"/>
  <c r="D270" i="6"/>
  <c r="D266" i="6"/>
  <c r="D262" i="6"/>
  <c r="C258" i="6"/>
  <c r="C254" i="6"/>
  <c r="B254" i="6"/>
  <c r="A254" i="6"/>
  <c r="C250" i="6"/>
  <c r="B250" i="6"/>
  <c r="A250" i="6"/>
  <c r="G58" i="1"/>
  <c r="I58" i="1"/>
  <c r="C246" i="6"/>
  <c r="B246" i="6"/>
  <c r="A246" i="6"/>
  <c r="D241" i="6"/>
  <c r="D237" i="6"/>
  <c r="C233" i="6"/>
  <c r="C228" i="6"/>
  <c r="B228" i="6"/>
  <c r="A228" i="6"/>
  <c r="D224" i="6"/>
  <c r="C220" i="6"/>
  <c r="C216" i="6"/>
  <c r="B216" i="6"/>
  <c r="A216" i="6"/>
  <c r="G153" i="1"/>
  <c r="I153" i="1"/>
  <c r="C212" i="6"/>
  <c r="B212" i="6"/>
  <c r="A212" i="6"/>
  <c r="D208" i="6"/>
  <c r="C208" i="6"/>
  <c r="C203" i="6"/>
  <c r="D198" i="6"/>
  <c r="C195" i="6"/>
  <c r="B195" i="6"/>
  <c r="A195" i="6"/>
  <c r="C191" i="6"/>
  <c r="C187" i="6"/>
  <c r="D182" i="6"/>
  <c r="D178" i="6"/>
  <c r="D173" i="6"/>
  <c r="C173" i="6"/>
  <c r="C169" i="6"/>
  <c r="D164" i="6"/>
  <c r="C160" i="6"/>
  <c r="B160" i="6"/>
  <c r="A160" i="6"/>
  <c r="C156" i="6"/>
  <c r="B156" i="6"/>
  <c r="A156" i="6"/>
  <c r="D151" i="6"/>
  <c r="C147" i="6"/>
  <c r="C142" i="6"/>
  <c r="C138" i="6"/>
  <c r="D134" i="6"/>
  <c r="D130" i="6"/>
  <c r="D126" i="6"/>
  <c r="D121" i="6"/>
  <c r="D117" i="6"/>
  <c r="C113" i="6"/>
  <c r="B113" i="6"/>
  <c r="A113" i="6"/>
  <c r="G103" i="1"/>
  <c r="D108" i="6"/>
  <c r="D104" i="6"/>
  <c r="D100" i="6"/>
  <c r="D96" i="6"/>
  <c r="D92" i="6"/>
  <c r="D88" i="6"/>
  <c r="D84" i="6"/>
  <c r="C80" i="6"/>
  <c r="D75" i="6"/>
  <c r="D70" i="6"/>
  <c r="C66" i="6"/>
  <c r="D61" i="6"/>
  <c r="D57" i="6"/>
  <c r="D53" i="6"/>
  <c r="D48" i="6"/>
  <c r="D44" i="6"/>
  <c r="D40" i="6"/>
  <c r="C40" i="6"/>
  <c r="B40" i="6"/>
  <c r="A40" i="6"/>
  <c r="D35" i="6"/>
  <c r="C35" i="6"/>
  <c r="B35" i="6"/>
  <c r="A35" i="6"/>
  <c r="C30" i="6"/>
  <c r="B30" i="6"/>
  <c r="A30" i="6"/>
  <c r="C26" i="6"/>
  <c r="D21" i="6"/>
  <c r="C17" i="6"/>
  <c r="B17" i="6"/>
  <c r="A17" i="6"/>
  <c r="C13" i="6"/>
  <c r="C9" i="6"/>
  <c r="B9" i="6"/>
  <c r="A9" i="6"/>
  <c r="D4" i="6"/>
  <c r="B13" i="6"/>
  <c r="A13" i="6"/>
  <c r="B37" i="6"/>
  <c r="A37" i="6"/>
  <c r="B77" i="6"/>
  <c r="A77" i="6"/>
  <c r="B93" i="6"/>
  <c r="A93" i="6"/>
  <c r="G35" i="1"/>
  <c r="B117" i="6"/>
  <c r="A117" i="6"/>
  <c r="G66" i="1"/>
  <c r="B133" i="6"/>
  <c r="A133" i="6"/>
  <c r="B141" i="6"/>
  <c r="A141" i="6"/>
  <c r="B149" i="6"/>
  <c r="A149" i="6"/>
  <c r="G146" i="1"/>
  <c r="B157" i="6"/>
  <c r="A157" i="6"/>
  <c r="B173" i="6"/>
  <c r="A173" i="6"/>
  <c r="G113" i="1"/>
  <c r="B181" i="6"/>
  <c r="A181" i="6"/>
  <c r="B189" i="6"/>
  <c r="A189" i="6"/>
  <c r="G74" i="1"/>
  <c r="B205" i="6"/>
  <c r="A205" i="6"/>
  <c r="B213" i="6"/>
  <c r="A213" i="6"/>
  <c r="B221" i="6"/>
  <c r="A221" i="6"/>
  <c r="B229" i="6"/>
  <c r="A229" i="6"/>
  <c r="B253" i="6"/>
  <c r="A253" i="6"/>
  <c r="B269" i="6"/>
  <c r="A269" i="6"/>
  <c r="B285" i="6"/>
  <c r="A285" i="6"/>
  <c r="B293" i="6"/>
  <c r="A293" i="6"/>
  <c r="B301" i="6"/>
  <c r="A301" i="6"/>
  <c r="B317" i="6"/>
  <c r="A317" i="6"/>
  <c r="B11" i="6"/>
  <c r="A11" i="6"/>
  <c r="G37" i="1"/>
  <c r="I37" i="1"/>
  <c r="B48" i="6"/>
  <c r="A48" i="6"/>
  <c r="B57" i="6"/>
  <c r="A57" i="6"/>
  <c r="B66" i="6"/>
  <c r="A66" i="6"/>
  <c r="B94" i="6"/>
  <c r="A94" i="6"/>
  <c r="B103" i="6"/>
  <c r="A103" i="6"/>
  <c r="B139" i="6"/>
  <c r="A139" i="6"/>
  <c r="G36" i="1"/>
  <c r="B148" i="6"/>
  <c r="A148" i="6"/>
  <c r="G145" i="1"/>
  <c r="B158" i="6"/>
  <c r="A158" i="6"/>
  <c r="G25" i="1"/>
  <c r="B167" i="6"/>
  <c r="A167" i="6"/>
  <c r="G131" i="1"/>
  <c r="B176" i="6"/>
  <c r="A176" i="6"/>
  <c r="B185" i="6"/>
  <c r="A185" i="6"/>
  <c r="B194" i="6"/>
  <c r="A194" i="6"/>
  <c r="B203" i="6"/>
  <c r="A203" i="6"/>
  <c r="G120" i="1"/>
  <c r="B222" i="6"/>
  <c r="A222" i="6"/>
  <c r="B231" i="6"/>
  <c r="A231" i="6"/>
  <c r="B240" i="6"/>
  <c r="A240" i="6"/>
  <c r="B258" i="6"/>
  <c r="A258" i="6"/>
  <c r="G11" i="1"/>
  <c r="B267" i="6"/>
  <c r="A267" i="6"/>
  <c r="B276" i="6"/>
  <c r="A276" i="6"/>
  <c r="B286" i="6"/>
  <c r="A286" i="6"/>
  <c r="B304" i="6"/>
  <c r="A304" i="6"/>
  <c r="B7" i="6"/>
  <c r="A7" i="6"/>
  <c r="B80" i="6"/>
  <c r="A80" i="6"/>
  <c r="G16" i="1"/>
  <c r="B98" i="6"/>
  <c r="A98" i="6"/>
  <c r="B126" i="6"/>
  <c r="A126" i="6"/>
  <c r="G143" i="1"/>
  <c r="B135" i="6"/>
  <c r="A135" i="6"/>
  <c r="B144" i="6"/>
  <c r="A144" i="6"/>
  <c r="B153" i="6"/>
  <c r="A153" i="6"/>
  <c r="B162" i="6"/>
  <c r="A162" i="6"/>
  <c r="G6" i="1"/>
  <c r="B171" i="6"/>
  <c r="A171" i="6"/>
  <c r="B180" i="6"/>
  <c r="A180" i="6"/>
  <c r="B190" i="6"/>
  <c r="A190" i="6"/>
  <c r="B199" i="6"/>
  <c r="A199" i="6"/>
  <c r="B208" i="6"/>
  <c r="A208" i="6"/>
  <c r="B217" i="6"/>
  <c r="A217" i="6"/>
  <c r="G100" i="1"/>
  <c r="B226" i="6"/>
  <c r="A226" i="6"/>
  <c r="B235" i="6"/>
  <c r="A235" i="6"/>
  <c r="B263" i="6"/>
  <c r="A263" i="6"/>
  <c r="B272" i="6"/>
  <c r="A272" i="6"/>
  <c r="B281" i="6"/>
  <c r="A281" i="6"/>
  <c r="B299" i="6"/>
  <c r="A299" i="6"/>
  <c r="B308" i="6"/>
  <c r="A308" i="6"/>
  <c r="B26" i="6"/>
  <c r="A26" i="6"/>
  <c r="B63" i="6"/>
  <c r="A63" i="6"/>
  <c r="B81" i="6"/>
  <c r="A81" i="6"/>
  <c r="G41" i="1"/>
  <c r="B99" i="6"/>
  <c r="A99" i="6"/>
  <c r="B118" i="6"/>
  <c r="A118" i="6"/>
  <c r="B136" i="6"/>
  <c r="A136" i="6"/>
  <c r="B154" i="6"/>
  <c r="A154" i="6"/>
  <c r="B191" i="6"/>
  <c r="A191" i="6"/>
  <c r="B209" i="6"/>
  <c r="A209" i="6"/>
  <c r="G24" i="1"/>
  <c r="B264" i="6"/>
  <c r="A264" i="6"/>
  <c r="B300" i="6"/>
  <c r="A300" i="6"/>
  <c r="G94" i="1"/>
  <c r="B27" i="6"/>
  <c r="A27" i="6"/>
  <c r="B46" i="6"/>
  <c r="A46" i="6"/>
  <c r="B64" i="6"/>
  <c r="A64" i="6"/>
  <c r="G33" i="1"/>
  <c r="B91" i="6"/>
  <c r="A91" i="6"/>
  <c r="B110" i="6"/>
  <c r="A110" i="6"/>
  <c r="B201" i="6"/>
  <c r="A201" i="6"/>
  <c r="B256" i="6"/>
  <c r="A256" i="6"/>
  <c r="B283" i="6"/>
  <c r="A283" i="6"/>
  <c r="B311" i="6"/>
  <c r="A311" i="6"/>
  <c r="B28" i="6"/>
  <c r="A28" i="6"/>
  <c r="B56" i="6"/>
  <c r="A56" i="6"/>
  <c r="B72" i="6"/>
  <c r="A72" i="6"/>
  <c r="B90" i="6"/>
  <c r="A90" i="6"/>
  <c r="B127" i="6"/>
  <c r="A127" i="6"/>
  <c r="B200" i="6"/>
  <c r="A200" i="6"/>
  <c r="B218" i="6"/>
  <c r="A218" i="6"/>
  <c r="B255" i="6"/>
  <c r="A255" i="6"/>
  <c r="G47" i="1"/>
  <c r="B291" i="6"/>
  <c r="A291" i="6"/>
  <c r="G160" i="1"/>
  <c r="B310" i="6"/>
  <c r="A310" i="6"/>
  <c r="G10" i="1"/>
  <c r="B36" i="6"/>
  <c r="A36" i="6"/>
  <c r="G7" i="1"/>
  <c r="B55" i="6"/>
  <c r="A55" i="6"/>
  <c r="B73" i="6"/>
  <c r="A73" i="6"/>
  <c r="B100" i="6"/>
  <c r="A100" i="6"/>
  <c r="B119" i="6"/>
  <c r="A119" i="6"/>
  <c r="G54" i="1"/>
  <c r="B146" i="6"/>
  <c r="A146" i="6"/>
  <c r="G38" i="1"/>
  <c r="B174" i="6"/>
  <c r="A174" i="6"/>
  <c r="B192" i="6"/>
  <c r="A192" i="6"/>
  <c r="B247" i="6"/>
  <c r="A247" i="6"/>
  <c r="G110" i="1"/>
  <c r="I110" i="1"/>
  <c r="B274" i="6"/>
  <c r="A274" i="6"/>
  <c r="G157" i="1"/>
  <c r="B302" i="6"/>
  <c r="A302" i="6"/>
  <c r="G111" i="1"/>
  <c r="B19" i="6"/>
  <c r="A19" i="6"/>
  <c r="B47" i="6"/>
  <c r="A47" i="6"/>
  <c r="G65" i="1"/>
  <c r="B18" i="6"/>
  <c r="A18" i="6"/>
  <c r="B82" i="6"/>
  <c r="A82" i="6"/>
  <c r="B128" i="6"/>
  <c r="A128" i="6"/>
  <c r="B210" i="6"/>
  <c r="A210" i="6"/>
  <c r="B238" i="6"/>
  <c r="A238" i="6"/>
  <c r="B292" i="6"/>
  <c r="A292" i="6"/>
  <c r="B320" i="6"/>
  <c r="A320" i="6"/>
  <c r="B10" i="6"/>
  <c r="A10" i="6"/>
  <c r="B38" i="6"/>
  <c r="A38" i="6"/>
  <c r="G71" i="1"/>
  <c r="B14" i="6"/>
  <c r="A14" i="6"/>
  <c r="B60" i="6"/>
  <c r="A60" i="6"/>
  <c r="B97" i="6"/>
  <c r="A97" i="6"/>
  <c r="G46" i="1"/>
  <c r="B115" i="6"/>
  <c r="A115" i="6"/>
  <c r="B134" i="6"/>
  <c r="A134" i="6"/>
  <c r="G9" i="1"/>
  <c r="B170" i="6"/>
  <c r="A170" i="6"/>
  <c r="B188" i="6"/>
  <c r="A188" i="6"/>
  <c r="B207" i="6"/>
  <c r="A207" i="6"/>
  <c r="G14" i="1"/>
  <c r="B225" i="6"/>
  <c r="A225" i="6"/>
  <c r="G48" i="1"/>
  <c r="B243" i="6"/>
  <c r="A243" i="6"/>
  <c r="B262" i="6"/>
  <c r="A262" i="6"/>
  <c r="G12" i="1"/>
  <c r="B280" i="6"/>
  <c r="A280" i="6"/>
  <c r="B298" i="6"/>
  <c r="A298" i="6"/>
  <c r="B316" i="6"/>
  <c r="A316" i="6"/>
  <c r="G49" i="1"/>
  <c r="B67" i="6"/>
  <c r="A67" i="6"/>
  <c r="G114" i="1"/>
  <c r="I114" i="1"/>
  <c r="B86" i="6"/>
  <c r="A86" i="6"/>
  <c r="G141" i="1"/>
  <c r="B307" i="6"/>
  <c r="A307" i="6"/>
  <c r="B15" i="6"/>
  <c r="A15" i="6"/>
  <c r="B65" i="6"/>
  <c r="A65" i="6"/>
  <c r="G136" i="1"/>
  <c r="I136" i="1"/>
  <c r="B102" i="6"/>
  <c r="A102" i="6"/>
  <c r="G119" i="1"/>
  <c r="B138" i="6"/>
  <c r="A138" i="6"/>
  <c r="B175" i="6"/>
  <c r="A175" i="6"/>
  <c r="B193" i="6"/>
  <c r="A193" i="6"/>
  <c r="G87" i="1"/>
  <c r="I87" i="1"/>
  <c r="B230" i="6"/>
  <c r="A230" i="6"/>
  <c r="B248" i="6"/>
  <c r="A248" i="6"/>
  <c r="B266" i="6"/>
  <c r="A266" i="6"/>
  <c r="G155" i="1"/>
  <c r="B284" i="6"/>
  <c r="A284" i="6"/>
  <c r="B303" i="6"/>
  <c r="A303" i="6"/>
  <c r="B321" i="6"/>
  <c r="A321" i="6"/>
  <c r="G64" i="1"/>
  <c r="B42" i="6"/>
  <c r="A42" i="6"/>
  <c r="G89" i="1"/>
  <c r="B104" i="6"/>
  <c r="A104" i="6"/>
  <c r="B140" i="6"/>
  <c r="A140" i="6"/>
  <c r="G106" i="1"/>
  <c r="B177" i="6"/>
  <c r="A177" i="6"/>
  <c r="G148" i="1"/>
  <c r="B214" i="6"/>
  <c r="A214" i="6"/>
  <c r="G152" i="1"/>
  <c r="B268" i="6"/>
  <c r="A268" i="6"/>
  <c r="G52" i="1"/>
  <c r="B70" i="6"/>
  <c r="A70" i="6"/>
  <c r="G62" i="1"/>
  <c r="B161" i="6"/>
  <c r="A161" i="6"/>
  <c r="B22" i="6"/>
  <c r="A22" i="6"/>
  <c r="B2" i="6"/>
  <c r="A2" i="6"/>
  <c r="B23" i="6"/>
  <c r="A23" i="6"/>
  <c r="B105" i="6"/>
  <c r="A105" i="6"/>
  <c r="G59" i="1"/>
  <c r="B196" i="6"/>
  <c r="A196" i="6"/>
  <c r="G135" i="1"/>
  <c r="B24" i="6"/>
  <c r="A24" i="6"/>
  <c r="B179" i="6"/>
  <c r="A179" i="6"/>
  <c r="B271" i="6"/>
  <c r="A271" i="6"/>
  <c r="B289" i="6"/>
  <c r="A289" i="6"/>
  <c r="B4" i="6"/>
  <c r="A4" i="6"/>
  <c r="B31" i="6"/>
  <c r="A31" i="6"/>
  <c r="G56" i="1"/>
  <c r="B51" i="6"/>
  <c r="A51" i="6"/>
  <c r="B92" i="6"/>
  <c r="A92" i="6"/>
  <c r="B111" i="6"/>
  <c r="A111" i="6"/>
  <c r="B147" i="6"/>
  <c r="A147" i="6"/>
  <c r="G117" i="1"/>
  <c r="B184" i="6"/>
  <c r="A184" i="6"/>
  <c r="B202" i="6"/>
  <c r="A202" i="6"/>
  <c r="B220" i="6"/>
  <c r="A220" i="6"/>
  <c r="G97" i="1"/>
  <c r="B239" i="6"/>
  <c r="A239" i="6"/>
  <c r="G63" i="1"/>
  <c r="B257" i="6"/>
  <c r="A257" i="6"/>
  <c r="B275" i="6"/>
  <c r="A275" i="6"/>
  <c r="B294" i="6"/>
  <c r="A294" i="6"/>
  <c r="G45" i="1"/>
  <c r="B312" i="6"/>
  <c r="A312" i="6"/>
  <c r="G75" i="1"/>
  <c r="B59" i="6"/>
  <c r="A59" i="6"/>
  <c r="G127" i="1"/>
  <c r="B132" i="6"/>
  <c r="A132" i="6"/>
  <c r="G18" i="1"/>
  <c r="B187" i="6"/>
  <c r="A187" i="6"/>
  <c r="G85" i="1"/>
  <c r="B242" i="6"/>
  <c r="A242" i="6"/>
  <c r="B297" i="6"/>
  <c r="A297" i="6"/>
  <c r="B68" i="6"/>
  <c r="A68" i="6"/>
  <c r="B233" i="6"/>
  <c r="A233" i="6"/>
  <c r="G2" i="1"/>
  <c r="B50" i="6"/>
  <c r="A50" i="6"/>
  <c r="G139" i="1"/>
  <c r="B124" i="6"/>
  <c r="A124" i="6"/>
  <c r="G15" i="1"/>
  <c r="B6" i="6"/>
  <c r="A6" i="6"/>
  <c r="B32" i="6"/>
  <c r="A32" i="6"/>
  <c r="B58" i="6"/>
  <c r="A58" i="6"/>
  <c r="B76" i="6"/>
  <c r="A76" i="6"/>
  <c r="B131" i="6"/>
  <c r="A131" i="6"/>
  <c r="B168" i="6"/>
  <c r="A168" i="6"/>
  <c r="B186" i="6"/>
  <c r="A186" i="6"/>
  <c r="B204" i="6"/>
  <c r="A204" i="6"/>
  <c r="G151" i="1"/>
  <c r="I151" i="1"/>
  <c r="B223" i="6"/>
  <c r="A223" i="6"/>
  <c r="B259" i="6"/>
  <c r="A259" i="6"/>
  <c r="B78" i="6"/>
  <c r="A78" i="6"/>
  <c r="B260" i="6"/>
  <c r="A260" i="6"/>
  <c r="G26" i="1"/>
  <c r="B87" i="6"/>
  <c r="A87" i="6"/>
  <c r="B142" i="6"/>
  <c r="A142" i="6"/>
  <c r="G126" i="1"/>
  <c r="B288" i="6"/>
  <c r="A288" i="6"/>
  <c r="G159" i="1"/>
  <c r="B3" i="6"/>
  <c r="A3" i="6"/>
  <c r="G43" i="1"/>
  <c r="B106" i="6"/>
  <c r="A106" i="6"/>
  <c r="B198" i="6"/>
  <c r="A198" i="6"/>
  <c r="G68" i="1"/>
  <c r="B252" i="6"/>
  <c r="A252" i="6"/>
  <c r="G44" i="1"/>
  <c r="B12" i="6"/>
  <c r="A12" i="6"/>
  <c r="G20" i="1"/>
  <c r="B114" i="6"/>
  <c r="A114" i="6"/>
  <c r="B169" i="6"/>
  <c r="A169" i="6"/>
  <c r="G121" i="1"/>
  <c r="B279" i="6"/>
  <c r="A279" i="6"/>
  <c r="B123" i="6"/>
  <c r="A123" i="6"/>
  <c r="G61" i="1"/>
  <c r="I61" i="1"/>
  <c r="B178" i="6"/>
  <c r="A178" i="6"/>
  <c r="B251" i="6"/>
  <c r="A251" i="6"/>
  <c r="G39" i="1"/>
  <c r="B143" i="6"/>
  <c r="A143" i="6"/>
  <c r="G32" i="1"/>
  <c r="B234" i="6"/>
  <c r="A234" i="6"/>
  <c r="G130" i="1"/>
  <c r="I130" i="1"/>
  <c r="D2" i="6"/>
  <c r="C319" i="6"/>
  <c r="B319" i="6"/>
  <c r="A319" i="6"/>
  <c r="C315" i="6"/>
  <c r="B315" i="6"/>
  <c r="A315" i="6"/>
  <c r="C310" i="6"/>
  <c r="C306" i="6"/>
  <c r="B306" i="6"/>
  <c r="A306" i="6"/>
  <c r="C301" i="6"/>
  <c r="C296" i="6"/>
  <c r="B296" i="6"/>
  <c r="A296" i="6"/>
  <c r="G107" i="1"/>
  <c r="D291" i="6"/>
  <c r="D287" i="6"/>
  <c r="D283" i="6"/>
  <c r="C278" i="6"/>
  <c r="B278" i="6"/>
  <c r="A278" i="6"/>
  <c r="C274" i="6"/>
  <c r="C270" i="6"/>
  <c r="B270" i="6"/>
  <c r="A270" i="6"/>
  <c r="C266" i="6"/>
  <c r="C262" i="6"/>
  <c r="D257" i="6"/>
  <c r="D253" i="6"/>
  <c r="D249" i="6"/>
  <c r="C249" i="6"/>
  <c r="B249" i="6"/>
  <c r="A249" i="6"/>
  <c r="D245" i="6"/>
  <c r="C241" i="6"/>
  <c r="B241" i="6"/>
  <c r="A241" i="6"/>
  <c r="G50" i="1"/>
  <c r="C237" i="6"/>
  <c r="B237" i="6"/>
  <c r="A237" i="6"/>
  <c r="D227" i="6"/>
  <c r="C224" i="6"/>
  <c r="B224" i="6"/>
  <c r="A224" i="6"/>
  <c r="D219" i="6"/>
  <c r="D215" i="6"/>
  <c r="D211" i="6"/>
  <c r="D207" i="6"/>
  <c r="C207" i="6"/>
  <c r="D202" i="6"/>
  <c r="C198" i="6"/>
  <c r="D194" i="6"/>
  <c r="D190" i="6"/>
  <c r="D186" i="6"/>
  <c r="C182" i="6"/>
  <c r="B182" i="6"/>
  <c r="A182" i="6"/>
  <c r="C178" i="6"/>
  <c r="D172" i="6"/>
  <c r="D168" i="6"/>
  <c r="C164" i="6"/>
  <c r="B164" i="6"/>
  <c r="A164" i="6"/>
  <c r="D159" i="6"/>
  <c r="D155" i="6"/>
  <c r="C155" i="6"/>
  <c r="B155" i="6"/>
  <c r="A155" i="6"/>
  <c r="C151" i="6"/>
  <c r="B151" i="6"/>
  <c r="A151" i="6"/>
  <c r="D146" i="6"/>
  <c r="D137" i="6"/>
  <c r="C134" i="6"/>
  <c r="C130" i="6"/>
  <c r="B130" i="6"/>
  <c r="A130" i="6"/>
  <c r="C126" i="6"/>
  <c r="C121" i="6"/>
  <c r="B121" i="6"/>
  <c r="A121" i="6"/>
  <c r="C117" i="6"/>
  <c r="D112" i="6"/>
  <c r="C108" i="6"/>
  <c r="B108" i="6"/>
  <c r="A108" i="6"/>
  <c r="C104" i="6"/>
  <c r="C100" i="6"/>
  <c r="C96" i="6"/>
  <c r="B96" i="6"/>
  <c r="A96" i="6"/>
  <c r="C92" i="6"/>
  <c r="C88" i="6"/>
  <c r="B88" i="6"/>
  <c r="A88" i="6"/>
  <c r="C84" i="6"/>
  <c r="B84" i="6"/>
  <c r="A84" i="6"/>
  <c r="D79" i="6"/>
  <c r="C79" i="6"/>
  <c r="B79" i="6"/>
  <c r="A79" i="6"/>
  <c r="C75" i="6"/>
  <c r="B75" i="6"/>
  <c r="A75" i="6"/>
  <c r="C70" i="6"/>
  <c r="D65" i="6"/>
  <c r="C65" i="6"/>
  <c r="C61" i="6"/>
  <c r="B61" i="6"/>
  <c r="A61" i="6"/>
  <c r="C57" i="6"/>
  <c r="C53" i="6"/>
  <c r="B53" i="6"/>
  <c r="A53" i="6"/>
  <c r="C48" i="6"/>
  <c r="C44" i="6"/>
  <c r="B44" i="6"/>
  <c r="A44" i="6"/>
  <c r="D39" i="6"/>
  <c r="C39" i="6"/>
  <c r="B39" i="6"/>
  <c r="A39" i="6"/>
  <c r="G78" i="1"/>
  <c r="D34" i="6"/>
  <c r="C34" i="6"/>
  <c r="B34" i="6"/>
  <c r="A34" i="6"/>
  <c r="D29" i="6"/>
  <c r="D25" i="6"/>
  <c r="C25" i="6"/>
  <c r="B25" i="6"/>
  <c r="A25" i="6"/>
  <c r="C21" i="6"/>
  <c r="B21" i="6"/>
  <c r="A21" i="6"/>
  <c r="D16" i="6"/>
  <c r="D12" i="6"/>
  <c r="D8" i="6"/>
  <c r="C4" i="6"/>
  <c r="C2" i="6"/>
  <c r="D318" i="6"/>
  <c r="D314" i="6"/>
  <c r="C314" i="6"/>
  <c r="B314" i="6"/>
  <c r="A314" i="6"/>
  <c r="D309" i="6"/>
  <c r="D305" i="6"/>
  <c r="C305" i="6"/>
  <c r="B305" i="6"/>
  <c r="A305" i="6"/>
  <c r="G3" i="1"/>
  <c r="D300" i="6"/>
  <c r="D295" i="6"/>
  <c r="C295" i="6"/>
  <c r="B295" i="6"/>
  <c r="A295" i="6"/>
  <c r="C291" i="6"/>
  <c r="C287" i="6"/>
  <c r="C283" i="6"/>
  <c r="D277" i="6"/>
  <c r="D273" i="6"/>
  <c r="D269" i="6"/>
  <c r="D265" i="6"/>
  <c r="D261" i="6"/>
  <c r="C261" i="6"/>
  <c r="B261" i="6"/>
  <c r="A261" i="6"/>
  <c r="C257" i="6"/>
  <c r="C253" i="6"/>
  <c r="D248" i="6"/>
  <c r="C245" i="6"/>
  <c r="B245" i="6"/>
  <c r="A245" i="6"/>
  <c r="D240" i="6"/>
  <c r="D236" i="6"/>
  <c r="D232" i="6"/>
  <c r="C232" i="6"/>
  <c r="B232" i="6"/>
  <c r="A232" i="6"/>
  <c r="C227" i="6"/>
  <c r="B227" i="6"/>
  <c r="A227" i="6"/>
  <c r="D223" i="6"/>
  <c r="C219" i="6"/>
  <c r="B219" i="6"/>
  <c r="A219" i="6"/>
  <c r="C215" i="6"/>
  <c r="B215" i="6"/>
  <c r="A215" i="6"/>
  <c r="C211" i="6"/>
  <c r="B211" i="6"/>
  <c r="A211" i="6"/>
  <c r="D206" i="6"/>
  <c r="C202" i="6"/>
  <c r="D197" i="6"/>
  <c r="C194" i="6"/>
  <c r="C190" i="6"/>
  <c r="C186" i="6"/>
  <c r="D181" i="6"/>
  <c r="D177" i="6"/>
  <c r="C172" i="6"/>
  <c r="B172" i="6"/>
  <c r="A172" i="6"/>
  <c r="C168" i="6"/>
  <c r="D163" i="6"/>
  <c r="C163" i="6"/>
  <c r="B163" i="6"/>
  <c r="A163" i="6"/>
  <c r="C159" i="6"/>
  <c r="B159" i="6"/>
  <c r="A159" i="6"/>
  <c r="D154" i="6"/>
  <c r="D150" i="6"/>
  <c r="C146" i="6"/>
  <c r="D141" i="6"/>
  <c r="C141" i="6"/>
  <c r="C137" i="6"/>
  <c r="B137" i="6"/>
  <c r="A137" i="6"/>
  <c r="G29" i="1"/>
  <c r="D133" i="6"/>
  <c r="D129" i="6"/>
  <c r="D125" i="6"/>
  <c r="D120" i="6"/>
  <c r="D116" i="6"/>
  <c r="C116" i="6"/>
  <c r="B116" i="6"/>
  <c r="A116" i="6"/>
  <c r="C112" i="6"/>
  <c r="B112" i="6"/>
  <c r="A112" i="6"/>
  <c r="G88" i="1"/>
  <c r="D107" i="6"/>
  <c r="D103" i="6"/>
  <c r="D99" i="6"/>
  <c r="D95" i="6"/>
  <c r="D91" i="6"/>
  <c r="D87" i="6"/>
  <c r="D83" i="6"/>
  <c r="C83" i="6"/>
  <c r="B83" i="6"/>
  <c r="A83" i="6"/>
  <c r="G112" i="1"/>
  <c r="I112" i="1"/>
  <c r="D78" i="6"/>
  <c r="D74" i="6"/>
  <c r="D69" i="6"/>
  <c r="C69" i="6"/>
  <c r="B69" i="6"/>
  <c r="A69" i="6"/>
  <c r="D64" i="6"/>
  <c r="D60" i="6"/>
  <c r="D56" i="6"/>
  <c r="D52" i="6"/>
  <c r="C52" i="6"/>
  <c r="B52" i="6"/>
  <c r="A52" i="6"/>
  <c r="D47" i="6"/>
  <c r="D43" i="6"/>
  <c r="D38" i="6"/>
  <c r="D33" i="6"/>
  <c r="C33" i="6"/>
  <c r="B33" i="6"/>
  <c r="A33" i="6"/>
  <c r="G133" i="1"/>
  <c r="C29" i="6"/>
  <c r="B29" i="6"/>
  <c r="A29" i="6"/>
  <c r="G28" i="1"/>
  <c r="D24" i="6"/>
  <c r="D20" i="6"/>
  <c r="C20" i="6"/>
  <c r="B20" i="6"/>
  <c r="A20" i="6"/>
  <c r="C16" i="6"/>
  <c r="B16" i="6"/>
  <c r="A16" i="6"/>
  <c r="C12" i="6"/>
  <c r="C8" i="6"/>
  <c r="B8" i="6"/>
  <c r="A8" i="6"/>
  <c r="G30" i="1"/>
  <c r="D3" i="6"/>
  <c r="C318" i="6"/>
  <c r="D313" i="6"/>
  <c r="C313" i="6"/>
  <c r="B313" i="6"/>
  <c r="A313" i="6"/>
  <c r="C309" i="6"/>
  <c r="B309" i="6"/>
  <c r="A309" i="6"/>
  <c r="D304" i="6"/>
  <c r="C300" i="6"/>
  <c r="D294" i="6"/>
  <c r="D290" i="6"/>
  <c r="C290" i="6"/>
  <c r="B290" i="6"/>
  <c r="A290" i="6"/>
  <c r="D286" i="6"/>
  <c r="D282" i="6"/>
  <c r="C282" i="6"/>
  <c r="B282" i="6"/>
  <c r="A282" i="6"/>
  <c r="C277" i="6"/>
  <c r="B277" i="6"/>
  <c r="A277" i="6"/>
  <c r="C273" i="6"/>
  <c r="B273" i="6"/>
  <c r="A273" i="6"/>
  <c r="C269" i="6"/>
  <c r="C265" i="6"/>
  <c r="B265" i="6"/>
  <c r="A265" i="6"/>
  <c r="D260" i="6"/>
  <c r="D256" i="6"/>
  <c r="D252" i="6"/>
  <c r="C248" i="6"/>
  <c r="D244" i="6"/>
  <c r="C244" i="6"/>
  <c r="B244" i="6"/>
  <c r="A244" i="6"/>
  <c r="C240" i="6"/>
  <c r="C236" i="6"/>
  <c r="B236" i="6"/>
  <c r="A236" i="6"/>
  <c r="D231" i="6"/>
  <c r="D226" i="6"/>
  <c r="C223" i="6"/>
  <c r="D218" i="6"/>
  <c r="D214" i="6"/>
  <c r="D210" i="6"/>
  <c r="C206" i="6"/>
  <c r="B206" i="6"/>
  <c r="A206" i="6"/>
  <c r="D201" i="6"/>
  <c r="C197" i="6"/>
  <c r="B197" i="6"/>
  <c r="A197" i="6"/>
  <c r="G93" i="1"/>
  <c r="D193" i="6"/>
  <c r="D189" i="6"/>
  <c r="D185" i="6"/>
  <c r="C181" i="6"/>
  <c r="C177" i="6"/>
  <c r="D171" i="6"/>
  <c r="D167" i="6"/>
  <c r="D162" i="6"/>
  <c r="D158" i="6"/>
  <c r="C154" i="6"/>
  <c r="C150" i="6"/>
  <c r="B150" i="6"/>
  <c r="A150" i="6"/>
  <c r="D145" i="6"/>
  <c r="C145" i="6"/>
  <c r="B145" i="6"/>
  <c r="A145" i="6"/>
  <c r="D140" i="6"/>
  <c r="C140" i="6"/>
  <c r="C133" i="6"/>
  <c r="C129" i="6"/>
  <c r="B129" i="6"/>
  <c r="A129" i="6"/>
  <c r="C125" i="6"/>
  <c r="B125" i="6"/>
  <c r="A125" i="6"/>
  <c r="C120" i="6"/>
  <c r="B120" i="6"/>
  <c r="A120" i="6"/>
  <c r="G142" i="1"/>
  <c r="D111" i="6"/>
  <c r="C107" i="6"/>
  <c r="B107" i="6"/>
  <c r="A107" i="6"/>
  <c r="C103" i="6"/>
  <c r="C99" i="6"/>
  <c r="C95" i="6"/>
  <c r="B95" i="6"/>
  <c r="A95" i="6"/>
  <c r="C91" i="6"/>
  <c r="C87" i="6"/>
  <c r="D82" i="6"/>
  <c r="C78" i="6"/>
  <c r="C74" i="6"/>
  <c r="B74" i="6"/>
  <c r="A74" i="6"/>
  <c r="C64" i="6"/>
  <c r="C60" i="6"/>
  <c r="C56" i="6"/>
  <c r="D51" i="6"/>
  <c r="C47" i="6"/>
  <c r="C43" i="6"/>
  <c r="B43" i="6"/>
  <c r="A43" i="6"/>
  <c r="C38" i="6"/>
  <c r="D32" i="6"/>
  <c r="D28" i="6"/>
  <c r="C24" i="6"/>
  <c r="D15" i="6"/>
  <c r="D11" i="6"/>
  <c r="C11" i="6"/>
  <c r="F70" i="1"/>
  <c r="F124" i="1"/>
  <c r="F90" i="1"/>
  <c r="F55" i="1"/>
  <c r="H41" i="1"/>
  <c r="H94" i="1"/>
  <c r="J37" i="1"/>
  <c r="G73" i="1"/>
  <c r="G99" i="1"/>
  <c r="G8" i="1"/>
  <c r="G144" i="1"/>
  <c r="G80" i="1"/>
  <c r="G96" i="1"/>
  <c r="G81" i="1"/>
  <c r="G105" i="1"/>
  <c r="G57" i="1"/>
  <c r="G92" i="1"/>
  <c r="G51" i="1"/>
  <c r="G104" i="1"/>
  <c r="G42" i="1"/>
  <c r="G118" i="1"/>
  <c r="G13" i="1"/>
  <c r="I13" i="1"/>
  <c r="G67" i="1"/>
  <c r="I67" i="1"/>
  <c r="G76" i="1"/>
  <c r="G79" i="1"/>
  <c r="G150" i="1"/>
  <c r="G123" i="1"/>
  <c r="G69" i="1"/>
  <c r="G23" i="1"/>
  <c r="I23" i="1"/>
  <c r="G72" i="1"/>
  <c r="I72" i="1"/>
  <c r="G102" i="1"/>
  <c r="G31" i="1"/>
  <c r="I31" i="1"/>
  <c r="G5" i="1"/>
  <c r="G109" i="1"/>
  <c r="G77" i="1"/>
  <c r="G115" i="1"/>
  <c r="G4" i="1"/>
  <c r="G19" i="1"/>
  <c r="G128" i="1"/>
  <c r="G91" i="1"/>
  <c r="G22" i="1"/>
  <c r="I22" i="1"/>
  <c r="H25" i="1"/>
  <c r="H6" i="1"/>
  <c r="I2" i="1"/>
  <c r="J2" i="1"/>
  <c r="H2" i="1"/>
  <c r="I3" i="1"/>
  <c r="J3" i="1"/>
  <c r="H3" i="1"/>
  <c r="H16" i="1"/>
  <c r="H47" i="1"/>
  <c r="H36" i="1"/>
  <c r="H144" i="1"/>
  <c r="H20" i="1"/>
  <c r="H43" i="1"/>
  <c r="H44" i="1"/>
  <c r="H141" i="1"/>
  <c r="H159" i="1"/>
  <c r="H146" i="1"/>
  <c r="H65" i="1"/>
  <c r="H75" i="1"/>
  <c r="G70" i="1"/>
  <c r="I70" i="1"/>
  <c r="J70" i="1"/>
  <c r="G86" i="1"/>
  <c r="H86" i="1"/>
  <c r="G90" i="1"/>
  <c r="I90" i="1"/>
  <c r="J90" i="1"/>
  <c r="G34" i="1"/>
  <c r="I34" i="1"/>
  <c r="J34" i="1"/>
  <c r="G147" i="1"/>
  <c r="H147" i="1"/>
  <c r="G129" i="1"/>
  <c r="H129" i="1"/>
  <c r="G138" i="1"/>
  <c r="I138" i="1"/>
  <c r="J138" i="1"/>
  <c r="G108" i="1"/>
  <c r="I108" i="1"/>
  <c r="J108" i="1"/>
  <c r="G53" i="1"/>
  <c r="H53" i="1"/>
  <c r="G149" i="1"/>
  <c r="I149" i="1"/>
  <c r="J149" i="1"/>
  <c r="G21" i="1"/>
  <c r="H21" i="1"/>
  <c r="B318" i="6"/>
  <c r="A318" i="6"/>
  <c r="G60" i="1"/>
  <c r="H60" i="1"/>
  <c r="G55" i="1"/>
  <c r="I55" i="1"/>
  <c r="J55" i="1"/>
  <c r="G124" i="1"/>
  <c r="I124" i="1"/>
  <c r="J124" i="1"/>
  <c r="G84" i="1"/>
  <c r="H84" i="1"/>
  <c r="G27" i="1"/>
  <c r="H27" i="1"/>
  <c r="G132" i="1"/>
  <c r="I132" i="1"/>
  <c r="J132" i="1"/>
  <c r="G83" i="1"/>
  <c r="I83" i="1"/>
  <c r="J83" i="1"/>
  <c r="G137" i="1"/>
  <c r="G140" i="1"/>
  <c r="I140" i="1"/>
  <c r="J140" i="1"/>
  <c r="G134" i="1"/>
  <c r="H134" i="1"/>
  <c r="G156" i="1"/>
  <c r="I156" i="1"/>
  <c r="J156" i="1"/>
  <c r="G116" i="1"/>
  <c r="I116" i="1"/>
  <c r="J116" i="1"/>
  <c r="G154" i="1"/>
  <c r="I154" i="1"/>
  <c r="J154" i="1"/>
  <c r="B287" i="6"/>
  <c r="A287" i="6"/>
  <c r="G98" i="1"/>
  <c r="H40" i="1"/>
  <c r="H38" i="1"/>
  <c r="H28" i="1"/>
  <c r="H114" i="1"/>
  <c r="H8" i="1"/>
  <c r="H11" i="1"/>
  <c r="J136" i="1"/>
  <c r="H158" i="1"/>
  <c r="F158" i="1"/>
  <c r="J158" i="1"/>
  <c r="H118" i="1"/>
  <c r="H51" i="1"/>
  <c r="H93" i="1"/>
  <c r="H56" i="1"/>
  <c r="H9" i="1"/>
  <c r="H67" i="1"/>
  <c r="H73" i="1"/>
  <c r="H80" i="1"/>
  <c r="J22" i="1"/>
  <c r="J95" i="1"/>
  <c r="J58" i="1"/>
  <c r="J72" i="1"/>
  <c r="J110" i="1"/>
  <c r="J114" i="1"/>
  <c r="J101" i="1"/>
  <c r="J151" i="1"/>
  <c r="J23" i="1"/>
  <c r="J153" i="1"/>
  <c r="J61" i="1"/>
  <c r="J130" i="1"/>
  <c r="J67" i="1"/>
  <c r="J31" i="1"/>
  <c r="J13" i="1"/>
  <c r="J87" i="1"/>
  <c r="J112" i="1"/>
  <c r="F116" i="1"/>
  <c r="F34" i="1"/>
  <c r="H42" i="1"/>
  <c r="H74" i="1"/>
  <c r="H23" i="1"/>
  <c r="H62" i="1"/>
  <c r="H61" i="1"/>
  <c r="H63" i="1"/>
  <c r="H139" i="1"/>
  <c r="H69" i="1"/>
  <c r="H57" i="1"/>
  <c r="H153" i="1"/>
  <c r="H31" i="1"/>
  <c r="H39" i="1"/>
  <c r="H131" i="1"/>
  <c r="H19" i="1"/>
  <c r="H79" i="1"/>
  <c r="H37" i="1"/>
  <c r="F37" i="1"/>
  <c r="F149" i="1"/>
  <c r="F132" i="1"/>
  <c r="F154" i="1"/>
  <c r="H142" i="1"/>
  <c r="H97" i="1"/>
  <c r="H150" i="1"/>
  <c r="H152" i="1"/>
  <c r="H89" i="1"/>
  <c r="H17" i="1"/>
  <c r="H145" i="1"/>
  <c r="H160" i="1"/>
  <c r="H32" i="1"/>
  <c r="H155" i="1"/>
  <c r="H148" i="1"/>
  <c r="H143" i="1"/>
  <c r="H157" i="1"/>
  <c r="H46" i="1"/>
  <c r="H101" i="1"/>
  <c r="F129" i="1"/>
  <c r="F45" i="1"/>
  <c r="H45" i="1"/>
  <c r="F59" i="1"/>
  <c r="H59" i="1"/>
  <c r="F10" i="1"/>
  <c r="H10" i="1"/>
  <c r="F151" i="1"/>
  <c r="H151" i="1"/>
  <c r="F92" i="1"/>
  <c r="H92" i="1"/>
  <c r="F77" i="1"/>
  <c r="H77" i="1"/>
  <c r="F130" i="1"/>
  <c r="H130" i="1"/>
  <c r="F117" i="1"/>
  <c r="H117" i="1"/>
  <c r="F27" i="1"/>
  <c r="F126" i="1"/>
  <c r="H126" i="1"/>
  <c r="F109" i="1"/>
  <c r="H109" i="1"/>
  <c r="F18" i="1"/>
  <c r="H18" i="1"/>
  <c r="F78" i="1"/>
  <c r="H78" i="1"/>
  <c r="F12" i="1"/>
  <c r="H12" i="1"/>
  <c r="F85" i="1"/>
  <c r="H85" i="1"/>
  <c r="F29" i="1"/>
  <c r="H29" i="1"/>
  <c r="F136" i="1"/>
  <c r="H136" i="1"/>
  <c r="F66" i="1"/>
  <c r="H66" i="1"/>
  <c r="F99" i="1"/>
  <c r="H99" i="1"/>
  <c r="F127" i="1"/>
  <c r="H127" i="1"/>
  <c r="F102" i="1"/>
  <c r="H102" i="1"/>
  <c r="F71" i="1"/>
  <c r="H71" i="1"/>
  <c r="F24" i="1"/>
  <c r="H24" i="1"/>
  <c r="F87" i="1"/>
  <c r="H87" i="1"/>
  <c r="F133" i="1"/>
  <c r="H133" i="1"/>
  <c r="F54" i="1"/>
  <c r="H54" i="1"/>
  <c r="F128" i="1"/>
  <c r="H128" i="1"/>
  <c r="F113" i="1"/>
  <c r="H113" i="1"/>
  <c r="F33" i="1"/>
  <c r="H33" i="1"/>
  <c r="F105" i="1"/>
  <c r="H105" i="1"/>
  <c r="F100" i="1"/>
  <c r="H100" i="1"/>
  <c r="F121" i="1"/>
  <c r="H121" i="1"/>
  <c r="F48" i="1"/>
  <c r="H48" i="1"/>
  <c r="F108" i="1"/>
  <c r="F110" i="1"/>
  <c r="H110" i="1"/>
  <c r="F119" i="1"/>
  <c r="H119" i="1"/>
  <c r="F134" i="1"/>
  <c r="F104" i="1"/>
  <c r="H104" i="1"/>
  <c r="F107" i="1"/>
  <c r="H107" i="1"/>
  <c r="F106" i="1"/>
  <c r="H106" i="1"/>
  <c r="F81" i="1"/>
  <c r="H81" i="1"/>
  <c r="F35" i="1"/>
  <c r="H35" i="1"/>
  <c r="F88" i="1"/>
  <c r="H88" i="1"/>
  <c r="F22" i="1"/>
  <c r="H22" i="1"/>
  <c r="F21" i="1"/>
  <c r="F125" i="1"/>
  <c r="F49" i="1"/>
  <c r="H49" i="1"/>
  <c r="F52" i="1"/>
  <c r="H52" i="1"/>
  <c r="F50" i="1"/>
  <c r="H50" i="1"/>
  <c r="F91" i="1"/>
  <c r="H91" i="1"/>
  <c r="F15" i="1"/>
  <c r="H15" i="1"/>
  <c r="F135" i="1"/>
  <c r="H135" i="1"/>
  <c r="F112" i="1"/>
  <c r="H112" i="1"/>
  <c r="F103" i="1"/>
  <c r="H103" i="1"/>
  <c r="F111" i="1"/>
  <c r="H111" i="1"/>
  <c r="F140" i="1"/>
  <c r="F96" i="1"/>
  <c r="H96" i="1"/>
  <c r="F14" i="1"/>
  <c r="H14" i="1"/>
  <c r="F4" i="1"/>
  <c r="H4" i="1"/>
  <c r="F30" i="1"/>
  <c r="H30" i="1"/>
  <c r="F64" i="1"/>
  <c r="H64" i="1"/>
  <c r="F58" i="1"/>
  <c r="H58" i="1"/>
  <c r="F76" i="1"/>
  <c r="H76" i="1"/>
  <c r="F82" i="1"/>
  <c r="H82" i="1"/>
  <c r="F95" i="1"/>
  <c r="H95" i="1"/>
  <c r="F72" i="1"/>
  <c r="H72" i="1"/>
  <c r="F68" i="1"/>
  <c r="H68" i="1"/>
  <c r="F5" i="1"/>
  <c r="H5" i="1"/>
  <c r="F83" i="1"/>
  <c r="F123" i="1"/>
  <c r="H123" i="1"/>
  <c r="F13" i="1"/>
  <c r="H13" i="1"/>
  <c r="F115" i="1"/>
  <c r="H115" i="1"/>
  <c r="F122" i="1"/>
  <c r="H122" i="1"/>
  <c r="F26" i="1"/>
  <c r="H26" i="1"/>
  <c r="F120" i="1"/>
  <c r="H120" i="1"/>
  <c r="F7" i="1"/>
  <c r="H7" i="1"/>
  <c r="G125" i="1"/>
  <c r="H125" i="1"/>
  <c r="I80" i="1"/>
  <c r="J80" i="1"/>
  <c r="I85" i="1"/>
  <c r="J85" i="1"/>
  <c r="I66" i="1"/>
  <c r="J66" i="1"/>
  <c r="I119" i="1"/>
  <c r="J119" i="1"/>
  <c r="I36" i="1"/>
  <c r="J36" i="1"/>
  <c r="I48" i="1"/>
  <c r="J48" i="1"/>
  <c r="I19" i="1"/>
  <c r="J19" i="1"/>
  <c r="I135" i="1"/>
  <c r="J135" i="1"/>
  <c r="I68" i="1"/>
  <c r="J68" i="1"/>
  <c r="I81" i="1"/>
  <c r="J81" i="1"/>
  <c r="I76" i="1"/>
  <c r="J76" i="1"/>
  <c r="I77" i="1"/>
  <c r="J77" i="1"/>
  <c r="I5" i="1"/>
  <c r="J5" i="1"/>
  <c r="I41" i="1"/>
  <c r="J41" i="1"/>
  <c r="I126" i="1"/>
  <c r="J126" i="1"/>
  <c r="I46" i="1"/>
  <c r="J46" i="1"/>
  <c r="I118" i="1"/>
  <c r="J118" i="1"/>
  <c r="I49" i="1"/>
  <c r="J49" i="1"/>
  <c r="I9" i="1"/>
  <c r="J9" i="1"/>
  <c r="I44" i="1"/>
  <c r="J44" i="1"/>
  <c r="I97" i="1"/>
  <c r="J97" i="1"/>
  <c r="I142" i="1"/>
  <c r="J142" i="1"/>
  <c r="I40" i="1"/>
  <c r="J40" i="1"/>
  <c r="I56" i="1"/>
  <c r="J56" i="1"/>
  <c r="I69" i="1"/>
  <c r="J69" i="1"/>
  <c r="I115" i="1"/>
  <c r="J115" i="1"/>
  <c r="I104" i="1"/>
  <c r="J104" i="1"/>
  <c r="I57" i="1"/>
  <c r="J57" i="1"/>
  <c r="I100" i="1"/>
  <c r="J100" i="1"/>
  <c r="I20" i="1"/>
  <c r="J20" i="1"/>
  <c r="I24" i="1"/>
  <c r="J24" i="1"/>
  <c r="I17" i="1"/>
  <c r="J17" i="1"/>
  <c r="I30" i="1"/>
  <c r="J30" i="1"/>
  <c r="I102" i="1"/>
  <c r="J102" i="1"/>
  <c r="I12" i="1"/>
  <c r="J12" i="1"/>
  <c r="I32" i="1"/>
  <c r="J32" i="1"/>
  <c r="I52" i="1"/>
  <c r="J52" i="1"/>
  <c r="I7" i="1"/>
  <c r="J7" i="1"/>
  <c r="I146" i="1"/>
  <c r="J146" i="1"/>
  <c r="I29" i="1"/>
  <c r="J29" i="1"/>
  <c r="F53" i="1"/>
  <c r="F61" i="1"/>
  <c r="F114" i="1"/>
  <c r="F60" i="1"/>
  <c r="F65" i="1"/>
  <c r="F17" i="1"/>
  <c r="F38" i="1"/>
  <c r="F51" i="1"/>
  <c r="F36" i="1"/>
  <c r="F86" i="1"/>
  <c r="F80" i="1"/>
  <c r="F42" i="1"/>
  <c r="F97" i="1"/>
  <c r="F79" i="1"/>
  <c r="F31" i="1"/>
  <c r="F11" i="1"/>
  <c r="F63" i="1"/>
  <c r="F43" i="1"/>
  <c r="F6" i="1"/>
  <c r="F41" i="1"/>
  <c r="F98" i="1"/>
  <c r="F25" i="1"/>
  <c r="F75" i="1"/>
  <c r="F46" i="1"/>
  <c r="F23" i="1"/>
  <c r="F101" i="1"/>
  <c r="F32" i="1"/>
  <c r="F20" i="1"/>
  <c r="F56" i="1"/>
  <c r="F9" i="1"/>
  <c r="F94" i="1"/>
  <c r="F40" i="1"/>
  <c r="F8" i="1"/>
  <c r="F93" i="1"/>
  <c r="F39" i="1"/>
  <c r="F19" i="1"/>
  <c r="F84" i="1"/>
  <c r="F67" i="1"/>
  <c r="F73" i="1"/>
  <c r="F89" i="1"/>
  <c r="F69" i="1"/>
  <c r="F74" i="1"/>
  <c r="F16" i="1"/>
  <c r="F44" i="1"/>
  <c r="F47" i="1"/>
  <c r="F28" i="1"/>
  <c r="F62" i="1"/>
  <c r="F118" i="1"/>
  <c r="F57" i="1"/>
  <c r="F131" i="1"/>
  <c r="I27" i="1"/>
  <c r="J27" i="1"/>
  <c r="I147" i="1"/>
  <c r="J147" i="1"/>
  <c r="H70" i="1"/>
  <c r="H124" i="1"/>
  <c r="H90" i="1"/>
  <c r="H34" i="1"/>
  <c r="H138" i="1"/>
  <c r="H132" i="1"/>
  <c r="H154" i="1"/>
  <c r="H140" i="1"/>
  <c r="H149" i="1"/>
  <c r="H83" i="1"/>
  <c r="H108" i="1"/>
  <c r="H98" i="1"/>
  <c r="I98" i="1"/>
  <c r="J98" i="1"/>
  <c r="H156" i="1"/>
  <c r="H116" i="1"/>
  <c r="H137" i="1"/>
  <c r="I137" i="1"/>
  <c r="J137" i="1"/>
  <c r="H55" i="1"/>
  <c r="I79" i="1"/>
  <c r="J79" i="1"/>
  <c r="I60" i="1"/>
  <c r="J60" i="1"/>
  <c r="I4" i="1"/>
  <c r="J4" i="1"/>
  <c r="I84" i="1"/>
  <c r="J84" i="1"/>
  <c r="I45" i="1"/>
  <c r="J45" i="1"/>
  <c r="I120" i="1"/>
  <c r="J120" i="1"/>
  <c r="I74" i="1"/>
  <c r="J74" i="1"/>
  <c r="I47" i="1"/>
  <c r="J47" i="1"/>
  <c r="I96" i="1"/>
  <c r="J96" i="1"/>
  <c r="I106" i="1"/>
  <c r="J106" i="1"/>
  <c r="I43" i="1"/>
  <c r="J43" i="1"/>
  <c r="I150" i="1"/>
  <c r="J150" i="1"/>
  <c r="I86" i="1"/>
  <c r="J86" i="1"/>
  <c r="I15" i="1"/>
  <c r="J15" i="1"/>
  <c r="I54" i="1"/>
  <c r="J54" i="1"/>
  <c r="I39" i="1"/>
  <c r="J39" i="1"/>
  <c r="I148" i="1"/>
  <c r="J148" i="1"/>
  <c r="I134" i="1"/>
  <c r="J134" i="1"/>
  <c r="I155" i="1"/>
  <c r="J155" i="1"/>
  <c r="I92" i="1"/>
  <c r="J92" i="1"/>
  <c r="I159" i="1"/>
  <c r="J159" i="1"/>
  <c r="I99" i="1"/>
  <c r="J99" i="1"/>
  <c r="I128" i="1"/>
  <c r="J128" i="1"/>
  <c r="I157" i="1"/>
  <c r="J157" i="1"/>
  <c r="I152" i="1"/>
  <c r="J152" i="1"/>
  <c r="I25" i="1"/>
  <c r="J25" i="1"/>
  <c r="I88" i="1"/>
  <c r="J88" i="1"/>
  <c r="I91" i="1"/>
  <c r="J91" i="1"/>
  <c r="I93" i="1"/>
  <c r="J93" i="1"/>
  <c r="I144" i="1"/>
  <c r="J144" i="1"/>
  <c r="I129" i="1"/>
  <c r="J129" i="1"/>
  <c r="I122" i="1"/>
  <c r="J122" i="1"/>
  <c r="I62" i="1"/>
  <c r="J62" i="1"/>
  <c r="I21" i="1"/>
  <c r="J21" i="1"/>
  <c r="I51" i="1"/>
  <c r="J51" i="1"/>
  <c r="I145" i="1"/>
  <c r="J145" i="1"/>
  <c r="I78" i="1"/>
  <c r="J78" i="1"/>
  <c r="I121" i="1"/>
  <c r="J121" i="1"/>
  <c r="I65" i="1"/>
  <c r="J65" i="1"/>
  <c r="I105" i="1"/>
  <c r="J105" i="1"/>
  <c r="I6" i="1"/>
  <c r="J6" i="1"/>
  <c r="I33" i="1"/>
  <c r="J33" i="1"/>
  <c r="I38" i="1"/>
  <c r="J38" i="1"/>
  <c r="I73" i="1"/>
  <c r="J73" i="1"/>
  <c r="I53" i="1"/>
  <c r="J53" i="1"/>
  <c r="I89" i="1"/>
  <c r="J89" i="1"/>
  <c r="I10" i="1"/>
  <c r="J10" i="1"/>
  <c r="I42" i="1"/>
  <c r="J42" i="1"/>
  <c r="I82" i="1"/>
  <c r="J82" i="1"/>
  <c r="I26" i="1"/>
  <c r="J26" i="1"/>
  <c r="I35" i="1"/>
  <c r="J35" i="1"/>
  <c r="I107" i="1"/>
  <c r="J107" i="1"/>
  <c r="I59" i="1"/>
  <c r="J59" i="1"/>
  <c r="I94" i="1"/>
  <c r="J94" i="1"/>
  <c r="I28" i="1"/>
  <c r="J28" i="1"/>
  <c r="I8" i="1"/>
  <c r="J8" i="1"/>
  <c r="I103" i="1"/>
  <c r="J103" i="1"/>
  <c r="I141" i="1"/>
  <c r="J141" i="1"/>
  <c r="I131" i="1"/>
  <c r="J131" i="1"/>
  <c r="I139" i="1"/>
  <c r="J139" i="1"/>
  <c r="I111" i="1"/>
  <c r="J111" i="1"/>
  <c r="I127" i="1"/>
  <c r="J127" i="1"/>
  <c r="I63" i="1"/>
  <c r="J63" i="1"/>
  <c r="I64" i="1"/>
  <c r="J64" i="1"/>
  <c r="I11" i="1"/>
  <c r="J11" i="1"/>
  <c r="I125" i="1"/>
  <c r="J125" i="1"/>
  <c r="I71" i="1"/>
  <c r="J71" i="1"/>
  <c r="I50" i="1"/>
  <c r="J50" i="1"/>
  <c r="I16" i="1"/>
  <c r="J16" i="1"/>
  <c r="I117" i="1"/>
  <c r="J117" i="1"/>
  <c r="I143" i="1"/>
  <c r="J143" i="1"/>
  <c r="I160" i="1"/>
  <c r="J160" i="1"/>
  <c r="I75" i="1"/>
  <c r="J75" i="1"/>
  <c r="I109" i="1"/>
  <c r="J109" i="1"/>
  <c r="I14" i="1"/>
  <c r="J14" i="1"/>
  <c r="I18" i="1"/>
  <c r="J18" i="1"/>
  <c r="I133" i="1"/>
  <c r="J133" i="1"/>
  <c r="I123" i="1"/>
  <c r="J123" i="1"/>
  <c r="I113" i="1"/>
  <c r="J113" i="1"/>
  <c r="U128" i="10"/>
  <c r="AP9" i="10"/>
  <c r="AP12" i="10"/>
  <c r="AP14" i="10"/>
  <c r="T17" i="10" a="1"/>
  <c r="T17" i="10"/>
  <c r="P17" i="10"/>
  <c r="U17" i="10"/>
  <c r="AP10" i="10"/>
  <c r="AP13" i="10"/>
  <c r="AP15" i="10"/>
  <c r="T24" i="10" a="1"/>
  <c r="T24" i="10"/>
  <c r="P24" i="10"/>
  <c r="U24" i="10"/>
  <c r="T13" i="10" a="1"/>
  <c r="T13" i="10"/>
  <c r="P13" i="10"/>
  <c r="U13" i="10"/>
  <c r="T25" i="10" a="1"/>
  <c r="T25" i="10"/>
  <c r="P25" i="10"/>
  <c r="U25" i="10"/>
  <c r="T20" i="10" a="1"/>
  <c r="T20" i="10"/>
  <c r="P20" i="10"/>
  <c r="U20" i="10"/>
  <c r="AP16" i="10"/>
  <c r="T29" i="10" a="1"/>
  <c r="T29" i="10"/>
  <c r="P29" i="10"/>
  <c r="U29" i="10"/>
  <c r="AP17" i="10"/>
  <c r="T37" i="10" a="1"/>
  <c r="T37" i="10"/>
  <c r="P37" i="10"/>
  <c r="U37" i="10"/>
  <c r="AP18" i="10"/>
  <c r="T49" i="10" a="1"/>
  <c r="T49" i="10"/>
  <c r="P49" i="10"/>
  <c r="U49" i="10"/>
  <c r="T81" i="10" a="1"/>
  <c r="T81" i="10"/>
  <c r="P81" i="10"/>
  <c r="U81" i="10"/>
  <c r="T116" i="10" a="1"/>
  <c r="T116" i="10"/>
  <c r="P116" i="10"/>
  <c r="U116" i="10"/>
  <c r="R13" i="10"/>
  <c r="R17" i="10"/>
  <c r="R29" i="10"/>
  <c r="R24" i="10"/>
  <c r="R20" i="10"/>
  <c r="R49" i="10"/>
  <c r="R25" i="10"/>
  <c r="T10" i="10" a="1"/>
  <c r="T10" i="10"/>
  <c r="P10" i="10"/>
  <c r="R10" i="10"/>
  <c r="R37" i="10"/>
  <c r="R81" i="10"/>
  <c r="R116" i="10"/>
  <c r="Q13" i="10"/>
  <c r="Q17" i="10"/>
  <c r="Q29" i="10"/>
  <c r="Q24" i="10"/>
  <c r="Q20" i="10"/>
  <c r="Q49" i="10"/>
  <c r="Q25" i="10"/>
  <c r="Q10" i="10"/>
  <c r="Q37" i="10"/>
  <c r="Q81" i="10"/>
  <c r="U10" i="10"/>
  <c r="AR27" i="10"/>
  <c r="Q116" i="10"/>
  <c r="AK2" i="10" l="1"/>
  <c r="AA2" i="10" s="1" a="1"/>
  <c r="AA2" i="10" s="1"/>
  <c r="W2" i="10" s="1"/>
  <c r="AJ3" i="10"/>
  <c r="AJ4" i="10" l="1"/>
  <c r="AK3" i="10"/>
  <c r="AA3" i="10" s="1" a="1"/>
  <c r="AA3" i="10" s="1"/>
  <c r="W3" i="10" s="1"/>
  <c r="AB2" i="10"/>
  <c r="X2" i="10"/>
  <c r="Y2" i="10"/>
  <c r="AJ5" i="10" l="1"/>
  <c r="AK4" i="10"/>
  <c r="AA4" i="10" s="1" a="1"/>
  <c r="AA4" i="10" s="1"/>
  <c r="W4" i="10" s="1"/>
  <c r="X3" i="10"/>
  <c r="Y3" i="10"/>
  <c r="AB3" i="10"/>
  <c r="Y4" i="10" l="1"/>
  <c r="X4" i="10"/>
  <c r="AB4" i="10"/>
  <c r="AJ6" i="10"/>
  <c r="AK5" i="10"/>
  <c r="AA5" i="10" s="1" a="1"/>
  <c r="AA5" i="10" s="1"/>
  <c r="W5" i="10" s="1"/>
  <c r="AB5" i="10" l="1"/>
  <c r="Y5" i="10"/>
  <c r="X5" i="10"/>
  <c r="AK6" i="10"/>
  <c r="AA6" i="10" s="1" a="1"/>
  <c r="AA6" i="10" s="1"/>
  <c r="W6" i="10" s="1"/>
  <c r="AJ7" i="10"/>
  <c r="AB6" i="10" l="1"/>
  <c r="Y6" i="10"/>
  <c r="X6" i="10"/>
  <c r="AK7" i="10"/>
  <c r="AA7" i="10" s="1" a="1"/>
  <c r="AA7" i="10" s="1"/>
  <c r="W7" i="10" s="1"/>
  <c r="AJ8" i="10"/>
  <c r="AK8" i="10" l="1"/>
  <c r="AA8" i="10" s="1" a="1"/>
  <c r="AA8" i="10" s="1"/>
  <c r="W8" i="10" s="1"/>
  <c r="AJ9" i="10"/>
  <c r="AB7" i="10"/>
  <c r="X7" i="10"/>
  <c r="Y7" i="10"/>
  <c r="AK9" i="10" l="1"/>
  <c r="AA10" i="10" s="1" a="1"/>
  <c r="AA10" i="10" s="1"/>
  <c r="W10" i="10" s="1"/>
  <c r="AJ10" i="10"/>
  <c r="Y8" i="10"/>
  <c r="AB8" i="10"/>
  <c r="X8" i="10"/>
  <c r="AJ11" i="10" l="1"/>
  <c r="AK10" i="10"/>
  <c r="AA12" i="10" s="1" a="1"/>
  <c r="AA12" i="10" s="1"/>
  <c r="W12" i="10" s="1"/>
  <c r="Y10" i="10"/>
  <c r="X10" i="10"/>
  <c r="AB10" i="10"/>
  <c r="Y12" i="10" l="1"/>
  <c r="X12" i="10"/>
  <c r="AB12" i="10"/>
  <c r="AK11" i="10"/>
  <c r="AA13" i="10" s="1" a="1"/>
  <c r="AA13" i="10" s="1"/>
  <c r="W13" i="10" s="1"/>
  <c r="AJ12" i="10"/>
  <c r="AB13" i="10" l="1"/>
  <c r="Y13" i="10"/>
  <c r="X13" i="10"/>
  <c r="AK12" i="10"/>
  <c r="AA15" i="10" s="1" a="1"/>
  <c r="AA15" i="10" s="1"/>
  <c r="W15" i="10" s="1"/>
  <c r="AJ13" i="10"/>
  <c r="AK13" i="10" l="1"/>
  <c r="AA17" i="10" s="1" a="1"/>
  <c r="AA17" i="10" s="1"/>
  <c r="W17" i="10" s="1"/>
  <c r="AJ14" i="10"/>
  <c r="Y15" i="10"/>
  <c r="AB15" i="10"/>
  <c r="X15" i="10"/>
  <c r="AK14" i="10" l="1"/>
  <c r="AA20" i="10" s="1" a="1"/>
  <c r="AA20" i="10" s="1"/>
  <c r="W20" i="10" s="1"/>
  <c r="AJ15" i="10"/>
  <c r="X17" i="10"/>
  <c r="AB17" i="10"/>
  <c r="Y17" i="10"/>
  <c r="AK15" i="10" l="1"/>
  <c r="AA24" i="10" s="1" a="1"/>
  <c r="AA24" i="10" s="1"/>
  <c r="W24" i="10" s="1"/>
  <c r="AJ16" i="10"/>
  <c r="AB20" i="10"/>
  <c r="X20" i="10"/>
  <c r="Y20" i="10"/>
  <c r="AB24" i="10" l="1"/>
  <c r="Y24" i="10"/>
  <c r="X24" i="10"/>
  <c r="AK16" i="10"/>
  <c r="AA29" i="10" s="1" a="1"/>
  <c r="AA29" i="10" s="1"/>
  <c r="W29" i="10" s="1"/>
  <c r="AJ17" i="10"/>
  <c r="Y29" i="10" l="1"/>
  <c r="AB29" i="10"/>
  <c r="X29" i="10"/>
  <c r="AJ18" i="10"/>
  <c r="AK17" i="10"/>
  <c r="AA37" i="10" s="1" a="1"/>
  <c r="AA37" i="10" s="1"/>
  <c r="W37" i="10" s="1"/>
  <c r="AJ19" i="10" l="1"/>
  <c r="AK18" i="10"/>
  <c r="AA46" i="10" s="1" a="1"/>
  <c r="AA46" i="10" s="1"/>
  <c r="W46" i="10" s="1"/>
  <c r="AB37" i="10"/>
  <c r="Y37" i="10"/>
  <c r="X37" i="10"/>
  <c r="Y46" i="10" l="1"/>
  <c r="X46" i="10"/>
  <c r="AB46" i="10"/>
  <c r="AK19" i="10"/>
  <c r="AA116" i="10" s="1" a="1"/>
  <c r="AA116" i="10" s="1"/>
  <c r="W116" i="10" s="1"/>
  <c r="AJ20" i="10"/>
  <c r="AK20" i="10" s="1"/>
  <c r="AA122" i="10" s="1" a="1"/>
  <c r="AA122" i="10" s="1"/>
  <c r="W122" i="10" s="1"/>
  <c r="AB116" i="10" l="1"/>
  <c r="X116" i="10"/>
  <c r="Y116" i="10"/>
  <c r="Y122" i="10"/>
  <c r="X122" i="10"/>
  <c r="AB122" i="10"/>
  <c r="AM27" i="10" l="1"/>
  <c r="AM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tc={729C89B8-4F0A-6F4C-8A4C-40C2B6A22244}</author>
    <author>tc={336FA262-020F-AA43-9B94-7DD5EE7BD58D}</author>
    <author>tc={98939A32-EEDF-1B4D-BC63-1CB8CC3EFBAB}</author>
    <author>tc={575A32C5-500A-9241-926C-0D0C22468985}</author>
  </authors>
  <commentList>
    <comment ref="I16" authorId="0" shapeId="0" xr:uid="{729C89B8-4F0A-6F4C-8A4C-40C2B6A2224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3.2 tarek
2.6 hefnawi</t>
        </r>
      </text>
    </comment>
    <comment ref="I36" authorId="1" shapeId="0" xr:uid="{336FA262-020F-AA43-9B94-7DD5EE7BD58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2.2 tarek
1.75 nashi
Reply:
    tarek 2.8
tarek 2.2
nashi 1.75</t>
        </r>
      </text>
    </comment>
    <comment ref="I39" authorId="2" shapeId="0" xr:uid="{98939A32-EEDF-1B4D-BC63-1CB8CC3EFBA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2.3 tarek
1.85 nashi</t>
        </r>
      </text>
    </comment>
    <comment ref="I76" authorId="3" shapeId="0" xr:uid="{575A32C5-500A-9241-926C-0D0C2246898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16 nashi
16 hefnawi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tc={44EBAAD3-3E54-ED43-BE04-7B6649EE2885}</author>
  </authors>
  <commentList>
    <comment ref="A50" authorId="0" shapeId="0" xr:uid="{44EBAAD3-3E54-ED43-BE04-7B6649EE288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started using max as a buy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<sst xmlns="http://schemas.openxmlformats.org/spreadsheetml/2006/main" count="34787" uniqueCount="1281">
  <si>
    <t>Share</t>
  </si>
  <si>
    <t>price</t>
  </si>
  <si>
    <t>revenue</t>
  </si>
  <si>
    <t>total shares</t>
  </si>
  <si>
    <t>ربحية السهم</t>
  </si>
  <si>
    <t>P/E</t>
  </si>
  <si>
    <t>NDRL</t>
  </si>
  <si>
    <t>FAIT</t>
  </si>
  <si>
    <t>الدولار</t>
  </si>
  <si>
    <t>FERC</t>
  </si>
  <si>
    <t>UTOP</t>
  </si>
  <si>
    <t>CANA</t>
  </si>
  <si>
    <t>GDWA</t>
  </si>
  <si>
    <t>POUL</t>
  </si>
  <si>
    <t>DEIN</t>
  </si>
  <si>
    <t>LCSW</t>
  </si>
  <si>
    <t>FNAR</t>
  </si>
  <si>
    <t>EMFD</t>
  </si>
  <si>
    <t>ICFC</t>
  </si>
  <si>
    <t>ACGC</t>
  </si>
  <si>
    <t>HDBK</t>
  </si>
  <si>
    <t>ATLC</t>
  </si>
  <si>
    <t>ICLE</t>
  </si>
  <si>
    <t>AMIA</t>
  </si>
  <si>
    <t>QNBA</t>
  </si>
  <si>
    <t>SAUD</t>
  </si>
  <si>
    <t>CICH</t>
  </si>
  <si>
    <t>SUGR</t>
  </si>
  <si>
    <t>ORHD</t>
  </si>
  <si>
    <t>UEGC</t>
  </si>
  <si>
    <t>IFAP</t>
  </si>
  <si>
    <t>SEIG</t>
  </si>
  <si>
    <t>EXPA</t>
  </si>
  <si>
    <t>ADIB</t>
  </si>
  <si>
    <t>ATQA</t>
  </si>
  <si>
    <t>PRDC</t>
  </si>
  <si>
    <t>MICH</t>
  </si>
  <si>
    <t>ETEL</t>
  </si>
  <si>
    <t>CEFM</t>
  </si>
  <si>
    <t>EEII</t>
  </si>
  <si>
    <t>CIEB</t>
  </si>
  <si>
    <t>ECAP</t>
  </si>
  <si>
    <t>OCPH</t>
  </si>
  <si>
    <t>PHDC</t>
  </si>
  <si>
    <t>GBCO</t>
  </si>
  <si>
    <t>ORWE</t>
  </si>
  <si>
    <t>SMFR</t>
  </si>
  <si>
    <t>DTPP</t>
  </si>
  <si>
    <t>ARCC</t>
  </si>
  <si>
    <t>WCDF</t>
  </si>
  <si>
    <t>MPRC</t>
  </si>
  <si>
    <t>KZPC</t>
  </si>
  <si>
    <t>RACC</t>
  </si>
  <si>
    <t>TRTO</t>
  </si>
  <si>
    <t>ELEC</t>
  </si>
  <si>
    <t>ELKA</t>
  </si>
  <si>
    <t>DGTZ</t>
  </si>
  <si>
    <t>AMOC</t>
  </si>
  <si>
    <t>CERA</t>
  </si>
  <si>
    <t>ARVA</t>
  </si>
  <si>
    <t>PHAR</t>
  </si>
  <si>
    <t>DOMT</t>
  </si>
  <si>
    <t>EFIC</t>
  </si>
  <si>
    <t>MBSC</t>
  </si>
  <si>
    <t>ADPC</t>
  </si>
  <si>
    <t>NHPS</t>
  </si>
  <si>
    <t>AXPH</t>
  </si>
  <si>
    <t>MFSC</t>
  </si>
  <si>
    <t>CNFN</t>
  </si>
  <si>
    <t>COMI</t>
  </si>
  <si>
    <t>SKPC</t>
  </si>
  <si>
    <t>PHTV</t>
  </si>
  <si>
    <t>PRMH</t>
  </si>
  <si>
    <t>ETRS</t>
  </si>
  <si>
    <t>OLFI</t>
  </si>
  <si>
    <t>MHOT</t>
  </si>
  <si>
    <t>UEFM</t>
  </si>
  <si>
    <t>MBEN</t>
  </si>
  <si>
    <t>OBRI</t>
  </si>
  <si>
    <t>NINH</t>
  </si>
  <si>
    <t>OCDI</t>
  </si>
  <si>
    <t>ZMID</t>
  </si>
  <si>
    <t>CILB</t>
  </si>
  <si>
    <t>GGCC</t>
  </si>
  <si>
    <t>REAC</t>
  </si>
  <si>
    <t>UNIT</t>
  </si>
  <si>
    <t>ISPH</t>
  </si>
  <si>
    <t>EFID</t>
  </si>
  <si>
    <t>KWIN</t>
  </si>
  <si>
    <t>RAYA</t>
  </si>
  <si>
    <t>MCQE</t>
  </si>
  <si>
    <t>MOIN</t>
  </si>
  <si>
    <t>TANM</t>
  </si>
  <si>
    <t>AMER</t>
  </si>
  <si>
    <t>MFPC</t>
  </si>
  <si>
    <t>EHDR</t>
  </si>
  <si>
    <t>EGAS</t>
  </si>
  <si>
    <t>EBSC</t>
  </si>
  <si>
    <t>TAQA</t>
  </si>
  <si>
    <t>INFI</t>
  </si>
  <si>
    <t>ARAB</t>
  </si>
  <si>
    <t>FWRY</t>
  </si>
  <si>
    <t>CCRS</t>
  </si>
  <si>
    <t>EFIH</t>
  </si>
  <si>
    <t>TMGH</t>
  </si>
  <si>
    <t>GIHD</t>
  </si>
  <si>
    <t>BIOC</t>
  </si>
  <si>
    <t>DAPH</t>
  </si>
  <si>
    <t>NCCW</t>
  </si>
  <si>
    <t>RKAZ</t>
  </si>
  <si>
    <t>KRDI</t>
  </si>
  <si>
    <t>FTNS</t>
  </si>
  <si>
    <t>INEG</t>
  </si>
  <si>
    <t>MEPA</t>
  </si>
  <si>
    <t>COPR</t>
  </si>
  <si>
    <t>ACAMD</t>
  </si>
  <si>
    <t>NAHO</t>
  </si>
  <si>
    <t>MKIT</t>
  </si>
  <si>
    <t>ALUM</t>
  </si>
  <si>
    <t>AMES</t>
  </si>
  <si>
    <t>IEEC</t>
  </si>
  <si>
    <t>EIUD</t>
  </si>
  <si>
    <t>NEDA</t>
  </si>
  <si>
    <t>ANFI</t>
  </si>
  <si>
    <t>IDRE</t>
  </si>
  <si>
    <t>MAAL</t>
  </si>
  <si>
    <t>BIGP</t>
  </si>
  <si>
    <t>RUBX</t>
  </si>
  <si>
    <t>MENA</t>
  </si>
  <si>
    <t>GMCI</t>
  </si>
  <si>
    <t>EALR</t>
  </si>
  <si>
    <t>EOSB</t>
  </si>
  <si>
    <t>MISR</t>
  </si>
  <si>
    <t>ISMA</t>
  </si>
  <si>
    <t>EPCO</t>
  </si>
  <si>
    <t>SNFC</t>
  </si>
  <si>
    <t>SPHT</t>
  </si>
  <si>
    <t>GOCO</t>
  </si>
  <si>
    <t>RAKT</t>
  </si>
  <si>
    <t>ELNA</t>
  </si>
  <si>
    <t>GRCA</t>
  </si>
  <si>
    <t>Link</t>
  </si>
  <si>
    <t>ابوقير للاسمدة</t>
  </si>
  <si>
    <t>ABUK</t>
  </si>
  <si>
    <t>AFDI</t>
  </si>
  <si>
    <t>AFMC</t>
  </si>
  <si>
    <t>أطلس</t>
  </si>
  <si>
    <t>AIFI</t>
  </si>
  <si>
    <t>AIH</t>
  </si>
  <si>
    <t>اجواء</t>
  </si>
  <si>
    <t>AJWA</t>
  </si>
  <si>
    <t>ALCN</t>
  </si>
  <si>
    <t>الالومنيوم العربية</t>
  </si>
  <si>
    <t>عامر جروب</t>
  </si>
  <si>
    <t>أموك</t>
  </si>
  <si>
    <t>المؤشر</t>
  </si>
  <si>
    <t>AMPI</t>
  </si>
  <si>
    <t>APSW</t>
  </si>
  <si>
    <t>العربية للأسمنت</t>
  </si>
  <si>
    <t>AREH</t>
  </si>
  <si>
    <t>العربية للمحابس</t>
  </si>
  <si>
    <t>اسيك للتعدين</t>
  </si>
  <si>
    <t>ASCM</t>
  </si>
  <si>
    <t>ASPI</t>
  </si>
  <si>
    <t>ايه تي ليس</t>
  </si>
  <si>
    <t>عتاقة</t>
  </si>
  <si>
    <t>الاسكندرية للادوية</t>
  </si>
  <si>
    <t>بي إنفستمنتس القابضة</t>
  </si>
  <si>
    <t>BINV</t>
  </si>
  <si>
    <t>جلاكسو سميثكلاين</t>
  </si>
  <si>
    <t>BTFH</t>
  </si>
  <si>
    <t>بنك قناة السويس</t>
  </si>
  <si>
    <t>CCAP</t>
  </si>
  <si>
    <t>ريماس</t>
  </si>
  <si>
    <t>كريدي أجريكول</t>
  </si>
  <si>
    <t>CIRA</t>
  </si>
  <si>
    <t>CLHO</t>
  </si>
  <si>
    <t>البنك التجاري الدولي</t>
  </si>
  <si>
    <t>COSG</t>
  </si>
  <si>
    <t>القاهرة للادوية</t>
  </si>
  <si>
    <t>CPCI</t>
  </si>
  <si>
    <t>CSAG</t>
  </si>
  <si>
    <t>DCRC</t>
  </si>
  <si>
    <t>دومتي</t>
  </si>
  <si>
    <t>دايس</t>
  </si>
  <si>
    <t>DSCW</t>
  </si>
  <si>
    <t>ايسترن كومباني</t>
  </si>
  <si>
    <t>EAST</t>
  </si>
  <si>
    <t>الجوهرة</t>
  </si>
  <si>
    <t>ليفت سلاب مصر</t>
  </si>
  <si>
    <t>EDBM</t>
  </si>
  <si>
    <t>مطاحن شرق الدلتا</t>
  </si>
  <si>
    <t>EDFM</t>
  </si>
  <si>
    <t>ايديتا</t>
  </si>
  <si>
    <t>مصر للالومنيوم</t>
  </si>
  <si>
    <t>EGAL</t>
  </si>
  <si>
    <t>غاز مصر</t>
  </si>
  <si>
    <t>كيما</t>
  </si>
  <si>
    <t>EGCH</t>
  </si>
  <si>
    <t>EGTS</t>
  </si>
  <si>
    <t>المصريين للاسكان</t>
  </si>
  <si>
    <t>المصريين للاستثمار</t>
  </si>
  <si>
    <t>EKHOA</t>
  </si>
  <si>
    <t>القاهرة للاسكان</t>
  </si>
  <si>
    <t>الشمس للاسكان</t>
  </si>
  <si>
    <t>ELSH</t>
  </si>
  <si>
    <t>الوادي العالمية</t>
  </si>
  <si>
    <t>ELWA</t>
  </si>
  <si>
    <t>إعمار مصر</t>
  </si>
  <si>
    <t>ايكون</t>
  </si>
  <si>
    <t>ENGC</t>
  </si>
  <si>
    <t>حديد عز</t>
  </si>
  <si>
    <t>ESRS</t>
  </si>
  <si>
    <t>المصرية للاتصالات</t>
  </si>
  <si>
    <t>الأولى للاستثمار</t>
  </si>
  <si>
    <t>FIRE</t>
  </si>
  <si>
    <t>فوري</t>
  </si>
  <si>
    <t>GSSC</t>
  </si>
  <si>
    <t>جولدن تكس</t>
  </si>
  <si>
    <t>GTWL</t>
  </si>
  <si>
    <t>مصر الجديدة للاسكان</t>
  </si>
  <si>
    <t>HELI</t>
  </si>
  <si>
    <t>إي اف جي القابضة</t>
  </si>
  <si>
    <t>HRHO</t>
  </si>
  <si>
    <t>الدولية للأسمدة</t>
  </si>
  <si>
    <t>ICID</t>
  </si>
  <si>
    <t>ICMI</t>
  </si>
  <si>
    <t>فوديكو</t>
  </si>
  <si>
    <t>ISMQ</t>
  </si>
  <si>
    <t>ابن سينا فارما</t>
  </si>
  <si>
    <t>جهينة</t>
  </si>
  <si>
    <t>JUFO</t>
  </si>
  <si>
    <t>كابو</t>
  </si>
  <si>
    <t>KABO</t>
  </si>
  <si>
    <t>مرسيليا</t>
  </si>
  <si>
    <t>MASR</t>
  </si>
  <si>
    <t>MCRO</t>
  </si>
  <si>
    <t>العبوات الطبية</t>
  </si>
  <si>
    <t>موبكو</t>
  </si>
  <si>
    <t>مصر للفنادق</t>
  </si>
  <si>
    <t>مطاحن شمال القاهرة</t>
  </si>
  <si>
    <t>MILS</t>
  </si>
  <si>
    <t>مينا فارم للأدوية</t>
  </si>
  <si>
    <t>MIPH</t>
  </si>
  <si>
    <t>MOED</t>
  </si>
  <si>
    <t>MOIL</t>
  </si>
  <si>
    <t>ممفيس للادوية</t>
  </si>
  <si>
    <t>MPCI</t>
  </si>
  <si>
    <t>المنصورة للدواجن</t>
  </si>
  <si>
    <t>MPCO</t>
  </si>
  <si>
    <t>MTIE</t>
  </si>
  <si>
    <t>النعيم القابضة</t>
  </si>
  <si>
    <t>نيوداب</t>
  </si>
  <si>
    <t>النيل للادوية</t>
  </si>
  <si>
    <t>NIPH</t>
  </si>
  <si>
    <t>سوديك</t>
  </si>
  <si>
    <t>ODIN</t>
  </si>
  <si>
    <t>OFH</t>
  </si>
  <si>
    <t>OIH</t>
  </si>
  <si>
    <t>ORAS</t>
  </si>
  <si>
    <t>اوراسكوم للتنمية مصر</t>
  </si>
  <si>
    <t>النساجون الشرقيون</t>
  </si>
  <si>
    <t>بالم هيلز</t>
  </si>
  <si>
    <t>القاهرة للدواجن</t>
  </si>
  <si>
    <t>شينى</t>
  </si>
  <si>
    <t>PRCL</t>
  </si>
  <si>
    <t>برايم القابضة</t>
  </si>
  <si>
    <t>راكتا</t>
  </si>
  <si>
    <t>راية</t>
  </si>
  <si>
    <t>ريكاب</t>
  </si>
  <si>
    <t>RMDA</t>
  </si>
  <si>
    <t>الرواد</t>
  </si>
  <si>
    <t>ROTO</t>
  </si>
  <si>
    <t>اليكو</t>
  </si>
  <si>
    <t>RREI</t>
  </si>
  <si>
    <t>رمكو</t>
  </si>
  <si>
    <t>RTVC</t>
  </si>
  <si>
    <t>بنك البركة</t>
  </si>
  <si>
    <t>اسمنت سيناء</t>
  </si>
  <si>
    <t>SCEM</t>
  </si>
  <si>
    <t>SCTS</t>
  </si>
  <si>
    <t>شارم دريمز</t>
  </si>
  <si>
    <t>SDTI</t>
  </si>
  <si>
    <t>ايجيفرت</t>
  </si>
  <si>
    <t>سبينالكس</t>
  </si>
  <si>
    <t>SPIN</t>
  </si>
  <si>
    <t>سبيد ميديكال</t>
  </si>
  <si>
    <t>SPMD</t>
  </si>
  <si>
    <t>الدلتا للسكر</t>
  </si>
  <si>
    <t>SVCE</t>
  </si>
  <si>
    <t>SWDY</t>
  </si>
  <si>
    <t>تعليم لخدمات الإدارة</t>
  </si>
  <si>
    <t>TALM</t>
  </si>
  <si>
    <t>طاقة عربية</t>
  </si>
  <si>
    <t>طلعت مصطفى</t>
  </si>
  <si>
    <t>UASG</t>
  </si>
  <si>
    <t>المتحدة للاسكان</t>
  </si>
  <si>
    <t>WKOL</t>
  </si>
  <si>
    <t>الزيوت المستخلصة</t>
  </si>
  <si>
    <t>ZEOT</t>
  </si>
  <si>
    <t>زهراء المعادي</t>
  </si>
  <si>
    <t>https://www.mubasher.info/countries/eg/stock-prices</t>
  </si>
  <si>
    <t>السهم</t>
  </si>
  <si>
    <t>آخر سعر</t>
  </si>
  <si>
    <t>نسبة التغير</t>
  </si>
  <si>
    <t>التغير</t>
  </si>
  <si>
    <t>القيمة</t>
  </si>
  <si>
    <t>الكمية</t>
  </si>
  <si>
    <t>سعر الفتح</t>
  </si>
  <si>
    <t>أعلى سعر</t>
  </si>
  <si>
    <t>أقل سعر</t>
  </si>
  <si>
    <t>لكح جروب</t>
  </si>
  <si>
    <t>بيراميزا</t>
  </si>
  <si>
    <t>إم تي أي</t>
  </si>
  <si>
    <t>اي فاينانس</t>
  </si>
  <si>
    <t>كونتكت المالية القاب</t>
  </si>
  <si>
    <t>اسمنت طرة</t>
  </si>
  <si>
    <t>وثائق إستثمار صندوق</t>
  </si>
  <si>
    <t>القاهرة الوطنية للاس</t>
  </si>
  <si>
    <t>` 0.05</t>
  </si>
  <si>
    <t>سوهاج الوطنية</t>
  </si>
  <si>
    <t>ديجيتايز للاستثمار و</t>
  </si>
  <si>
    <t>التعمير والاستشارات</t>
  </si>
  <si>
    <t>مطاحن وسط وغرب الدلت</t>
  </si>
  <si>
    <t>ثمار</t>
  </si>
  <si>
    <t>مرسى مرسى علم</t>
  </si>
  <si>
    <t>جي بي كورب</t>
  </si>
  <si>
    <t>وادي كوم امبو</t>
  </si>
  <si>
    <t>عبور لاند للصناعات ا</t>
  </si>
  <si>
    <t>عبر المحيطات للسياحة</t>
  </si>
  <si>
    <t>` 0.00</t>
  </si>
  <si>
    <t>بنك قطر الوطني الاهل</t>
  </si>
  <si>
    <t>الدولية للمحاصيل الز</t>
  </si>
  <si>
    <t>فتنس برايم للاندية ا</t>
  </si>
  <si>
    <t>القاهرة للإستثمار وا</t>
  </si>
  <si>
    <t>الشرقية الوطنية للام</t>
  </si>
  <si>
    <t>` 0.01</t>
  </si>
  <si>
    <t>المطورون العرب القاب</t>
  </si>
  <si>
    <t>كوبر للاستثمار التجا</t>
  </si>
  <si>
    <t>ماريدايف</t>
  </si>
  <si>
    <t>العامة لاستصلاح الأر</t>
  </si>
  <si>
    <t>يونيراب</t>
  </si>
  <si>
    <t>المركز الطبي الجديد</t>
  </si>
  <si>
    <t>سبأ</t>
  </si>
  <si>
    <t>ماكرو جروب للمستحضرا</t>
  </si>
  <si>
    <t>انكوليس</t>
  </si>
  <si>
    <t>المهندس للتأمين</t>
  </si>
  <si>
    <t>العامة للصوامع والتخ</t>
  </si>
  <si>
    <t>الاسكندرية الوطنية ل</t>
  </si>
  <si>
    <t>اصول إى إس بى للوساط</t>
  </si>
  <si>
    <t>الإسكندرية للأسمنت</t>
  </si>
  <si>
    <t>الوطني</t>
  </si>
  <si>
    <t>جراند انفستمنت القاب</t>
  </si>
  <si>
    <t>العرفة القابضة</t>
  </si>
  <si>
    <t>الاهلي للتنمية والاس</t>
  </si>
  <si>
    <t>لوتس للتنمية والاستث</t>
  </si>
  <si>
    <t>بي اي دي – البدر للا</t>
  </si>
  <si>
    <t>العالمية للاستثمار و</t>
  </si>
  <si>
    <t>البنك المصري الخليجي</t>
  </si>
  <si>
    <t>مستشفى النزهه الدولي</t>
  </si>
  <si>
    <t>العز الدخيلة للصلب</t>
  </si>
  <si>
    <t>العربية المتحدة للشح</t>
  </si>
  <si>
    <t>اكتوبر فارما</t>
  </si>
  <si>
    <t>الوطنية للاسكان</t>
  </si>
  <si>
    <t>مصر للزيوت والصابون</t>
  </si>
  <si>
    <t>مطاحن مصر العليا</t>
  </si>
  <si>
    <t>الاهرام للطباعة والت</t>
  </si>
  <si>
    <t>مصر جنوب افريقيا للا</t>
  </si>
  <si>
    <t>الجيزة العامة للمقاو</t>
  </si>
  <si>
    <t>إجيبكو</t>
  </si>
  <si>
    <t>الاسماعيلية مصر للدو</t>
  </si>
  <si>
    <t>` -0.04</t>
  </si>
  <si>
    <t>ايكمي</t>
  </si>
  <si>
    <t>جدوى للتنمية الصناعي</t>
  </si>
  <si>
    <t>` -0.02</t>
  </si>
  <si>
    <t>جلوبال تيلكوم</t>
  </si>
  <si>
    <t>الاسماعيلية الجديدة</t>
  </si>
  <si>
    <t>أدكو</t>
  </si>
  <si>
    <t>مصر للاسواق الحرة</t>
  </si>
  <si>
    <t>مستشفى كليوباترا</t>
  </si>
  <si>
    <t>بنك التعمير والإسكان</t>
  </si>
  <si>
    <t>بنك فيصل الإسلامي ال</t>
  </si>
  <si>
    <t>بى اى جى للتجارة وال</t>
  </si>
  <si>
    <t>البنك المصري لتنمية</t>
  </si>
  <si>
    <t>آراب ديري-باندا</t>
  </si>
  <si>
    <t>المجموعة المصرية الع</t>
  </si>
  <si>
    <t>دلتا للإنشاء والتعمي</t>
  </si>
  <si>
    <t>ايبيكو</t>
  </si>
  <si>
    <t>راميدا</t>
  </si>
  <si>
    <t>` -0.03</t>
  </si>
  <si>
    <t>المصرية لنظم التعليم</t>
  </si>
  <si>
    <t>نهر الخير للتنمية وا</t>
  </si>
  <si>
    <t>القابضة المصرية الكو</t>
  </si>
  <si>
    <t>اسباير كابيتال</t>
  </si>
  <si>
    <t>قناة السويس لتوطين ا</t>
  </si>
  <si>
    <t>أراب للتنمية و الاست</t>
  </si>
  <si>
    <t>يونيباك</t>
  </si>
  <si>
    <t>مينا للاستثمار السيا</t>
  </si>
  <si>
    <t>سي اي كابيتال القابض</t>
  </si>
  <si>
    <t>الصعيد العامة للمقاو</t>
  </si>
  <si>
    <t>مصر لصناعة الكيماويا</t>
  </si>
  <si>
    <t>المشروعات الصناعية و</t>
  </si>
  <si>
    <t>مصر للأسمنت - قنا</t>
  </si>
  <si>
    <t>المالية والصناعية ال</t>
  </si>
  <si>
    <t>الكابلات الكهربائية</t>
  </si>
  <si>
    <t>العبوات الدوائية الم</t>
  </si>
  <si>
    <t>النصر للأعمال المدني</t>
  </si>
  <si>
    <t>إيجيترانس</t>
  </si>
  <si>
    <t>المجموعة المتكاملة ل</t>
  </si>
  <si>
    <t>مطاحن جنوب القاهرة و</t>
  </si>
  <si>
    <t>سيدى كرير للبتروكيما</t>
  </si>
  <si>
    <t>أودن للاستثمارات الم</t>
  </si>
  <si>
    <t>الاسكندرية لتداول ال</t>
  </si>
  <si>
    <t>النصر لتصنيع الحاصلا</t>
  </si>
  <si>
    <t>اوراسكوم المالية الق</t>
  </si>
  <si>
    <t>العبور للاستثمار الع</t>
  </si>
  <si>
    <t>القاهرة للزيوت والصا</t>
  </si>
  <si>
    <t>القلعة القابضة</t>
  </si>
  <si>
    <t>مدينة الانتاج الاعلا</t>
  </si>
  <si>
    <t>كفر الزيات للمبيدات</t>
  </si>
  <si>
    <t>العربية للصناعات اله</t>
  </si>
  <si>
    <t>بلتون القابضة</t>
  </si>
  <si>
    <t>المصرية للمنتجعات ال</t>
  </si>
  <si>
    <t>مصرف أبو ظبي الإسلام</t>
  </si>
  <si>
    <t>الشركة العربية لإدار</t>
  </si>
  <si>
    <t>بايونيرز بروبرتيز لل</t>
  </si>
  <si>
    <t>تنمية للاستثمار العق</t>
  </si>
  <si>
    <t>الحديد والصلب للمناج</t>
  </si>
  <si>
    <t>الغربية الاسلامية لل</t>
  </si>
  <si>
    <t>النيل لحليج الاقطان</t>
  </si>
  <si>
    <t>مدينة مصر</t>
  </si>
  <si>
    <t>ارابيا انفستمنتس هول</t>
  </si>
  <si>
    <t>نايل سات</t>
  </si>
  <si>
    <t>أوراسكوم للاستثمار ا</t>
  </si>
  <si>
    <t>الملتقى العربي للاست</t>
  </si>
  <si>
    <t>ايه كابيتال القابضة</t>
  </si>
  <si>
    <t>العربية لحليج الأقطا</t>
  </si>
  <si>
    <t>روبكس</t>
  </si>
  <si>
    <t>جولدن كوست</t>
  </si>
  <si>
    <t>الخليجية الكندية للا</t>
  </si>
  <si>
    <t>جى إم سى</t>
  </si>
  <si>
    <t>مطاحن ومخابز الإسكند</t>
  </si>
  <si>
    <t>أوراسكوم كونستراكشون</t>
  </si>
  <si>
    <t>جنوب الوادي للاسمنت</t>
  </si>
  <si>
    <t>القناة للتوكيلات الم</t>
  </si>
  <si>
    <t>مطاحن مصر الوسطى</t>
  </si>
  <si>
    <t>ليسيكو</t>
  </si>
  <si>
    <t>السويدي اليكتريك</t>
  </si>
  <si>
    <t>راية لخدمات مراكز ال</t>
  </si>
  <si>
    <t>دلتا للطباعة والتغلي</t>
  </si>
  <si>
    <t>السعودية المصرية للا</t>
  </si>
  <si>
    <t>اكرو مصر</t>
  </si>
  <si>
    <t>العربية لاستصلاح الا</t>
  </si>
  <si>
    <t>ركاز القابضة</t>
  </si>
  <si>
    <t>الفنار للمقاولات</t>
  </si>
  <si>
    <t>إم بي</t>
  </si>
  <si>
    <t>انتجريتيد دياجنوستكس</t>
  </si>
  <si>
    <t>القاهرة للخدمات التع</t>
  </si>
  <si>
    <t>مصر بنى سويف للأسمنت</t>
  </si>
  <si>
    <t>صندوق المصريين للاست</t>
  </si>
  <si>
    <t>symbol</t>
  </si>
  <si>
    <t>HCFI</t>
  </si>
  <si>
    <t>TORA</t>
  </si>
  <si>
    <t>SNFI</t>
  </si>
  <si>
    <t>EASB</t>
  </si>
  <si>
    <t>MMAT</t>
  </si>
  <si>
    <t>COBR</t>
  </si>
  <si>
    <t>AALR</t>
  </si>
  <si>
    <t>SIPC</t>
  </si>
  <si>
    <t>ICLe</t>
  </si>
  <si>
    <t>ALEX</t>
  </si>
  <si>
    <t>NBKE</t>
  </si>
  <si>
    <t>AIVC</t>
  </si>
  <si>
    <t>LUTS</t>
  </si>
  <si>
    <t>BIDI</t>
  </si>
  <si>
    <t>EGBE</t>
  </si>
  <si>
    <t>IRAX</t>
  </si>
  <si>
    <t>MOSC</t>
  </si>
  <si>
    <t>EPPK</t>
  </si>
  <si>
    <t>ESAC</t>
  </si>
  <si>
    <t>GTHE</t>
  </si>
  <si>
    <t>ADCI</t>
  </si>
  <si>
    <t>EKHO</t>
  </si>
  <si>
    <t>ADRI</t>
  </si>
  <si>
    <t>UNIV</t>
  </si>
  <si>
    <t>SCFM</t>
  </si>
  <si>
    <t>EGSA</t>
  </si>
  <si>
    <t>ACAP</t>
  </si>
  <si>
    <t>NCGC</t>
  </si>
  <si>
    <t>ACRO</t>
  </si>
  <si>
    <t>IDHC</t>
  </si>
  <si>
    <t>CAED</t>
  </si>
  <si>
    <t>EGREF</t>
  </si>
  <si>
    <t>APPC</t>
  </si>
  <si>
    <t>سيتي للتحاليل الطبية</t>
  </si>
  <si>
    <t>يوتوبيا</t>
  </si>
  <si>
    <t>الصخور العربية للصنا</t>
  </si>
  <si>
    <t>فرتيكا</t>
  </si>
  <si>
    <t>الاتحاد الصيدلى</t>
  </si>
  <si>
    <t>MEGM</t>
  </si>
  <si>
    <t>لينك</t>
  </si>
  <si>
    <t>الشركة</t>
  </si>
  <si>
    <t>أرباح للسهم الواحد</t>
  </si>
  <si>
    <t>القيمة الدفترية</t>
  </si>
  <si>
    <t>مضاعف الربحية</t>
  </si>
  <si>
    <t>مضاعف القيمة الدفترية</t>
  </si>
  <si>
    <t>بنك الشركة المصرفية العربية الدولية</t>
  </si>
  <si>
    <t>-</t>
  </si>
  <si>
    <t>*الحديد والصلب للمناجم والمحاجر</t>
  </si>
  <si>
    <t>*العامة للصوامع والتخزين</t>
  </si>
  <si>
    <t>*مطاحن شمال القاهرة</t>
  </si>
  <si>
    <t>*الاسكندرية للادوية</t>
  </si>
  <si>
    <t>*أدكو</t>
  </si>
  <si>
    <t>الاسماعيلية الجديدة للتطوير</t>
  </si>
  <si>
    <t>*مطاحن شرق الدلتا</t>
  </si>
  <si>
    <t>مصرف أبو ظبي الإسلامي</t>
  </si>
  <si>
    <t>القاهرة الوطنية للاستثمار والاوراق المالية</t>
  </si>
  <si>
    <t>*ممفيس للادوية</t>
  </si>
  <si>
    <t>*شينى</t>
  </si>
  <si>
    <t>*النصر لتصنيع الحاصلات الزراعية</t>
  </si>
  <si>
    <t>*الزيوت المستخلصة</t>
  </si>
  <si>
    <t>*أموك</t>
  </si>
  <si>
    <t>بى اى جى للتجارة والاستثمار</t>
  </si>
  <si>
    <t>تنمية للاستثمار العقارى</t>
  </si>
  <si>
    <t>اصول إى إس بى للوساطة في الاوراق المالية</t>
  </si>
  <si>
    <t>التعمير والاستشارات الهندسية</t>
  </si>
  <si>
    <t>الجيزة العامة للمقاولات</t>
  </si>
  <si>
    <t>الحفر الوطنية</t>
  </si>
  <si>
    <t>بنك فيصل الإسلامي المصري</t>
  </si>
  <si>
    <t>*المهندس للتأمين</t>
  </si>
  <si>
    <t>*مصر للاسواق الحرة</t>
  </si>
  <si>
    <t>الملتقى العربي للاستثمارات</t>
  </si>
  <si>
    <t>ايجى ستون</t>
  </si>
  <si>
    <t>البنك المصري لتنمية الصادرات</t>
  </si>
  <si>
    <t>مدينة الانتاج الاعلامى</t>
  </si>
  <si>
    <t>*مطاحن مصر العليا</t>
  </si>
  <si>
    <t>المركز الطبي الجديد - الإسكندرية</t>
  </si>
  <si>
    <t>الخليجية الكندية للاستثمار العقاري العربي</t>
  </si>
  <si>
    <t>العروبة للسمسرة فى الأوراق المالية</t>
  </si>
  <si>
    <t>*القاهرة للخدمات التعليمية</t>
  </si>
  <si>
    <t>سيدى كرير للبتروكيماويات - سيدبك</t>
  </si>
  <si>
    <t>*مطاحن وسط وغرب الدلتا</t>
  </si>
  <si>
    <t>*أودن للاستثمارات المالية</t>
  </si>
  <si>
    <t>*مطاحن جنوب القاهرة والجيزة</t>
  </si>
  <si>
    <t>السعودية المصرية للاستثمار والتمويل</t>
  </si>
  <si>
    <t>*قناة السويس لتوطين التكنولوجيا</t>
  </si>
  <si>
    <t>*تعليم لخدمات الإدارة</t>
  </si>
  <si>
    <t>الشمس بيراميدز</t>
  </si>
  <si>
    <t>بنك قطر الوطني الاهلي</t>
  </si>
  <si>
    <t>*مطاحن ومخابز الإسكندرية</t>
  </si>
  <si>
    <t>*الدلتا للتأمين</t>
  </si>
  <si>
    <t>الشرقية الوطنية للامن الغذائي</t>
  </si>
  <si>
    <t>*مطاحن مصر الوسطى</t>
  </si>
  <si>
    <t>*ابوقير للاسمدة</t>
  </si>
  <si>
    <t>*مصر للالومنيوم</t>
  </si>
  <si>
    <t>مينا للاستثمار السياحي</t>
  </si>
  <si>
    <t>كوبر للاستثمار التجاري والتطوير العقاري</t>
  </si>
  <si>
    <t>*جراند انفستمنت القابضة للاستثمارات المالية</t>
  </si>
  <si>
    <t>*العربية لاستصلاح الاراضي</t>
  </si>
  <si>
    <t>*راكتا</t>
  </si>
  <si>
    <t>كونتكت المالية القابضة</t>
  </si>
  <si>
    <t>المصرية الكويتية للاستثمار والتجارة</t>
  </si>
  <si>
    <t>*العامة لاستصلاح الأراضي</t>
  </si>
  <si>
    <t>المشروعات الصناعية والهندسية</t>
  </si>
  <si>
    <t>المطورون العرب القابضة</t>
  </si>
  <si>
    <t>بايونيرز بروبرتيز للتنمية العمرانية</t>
  </si>
  <si>
    <t>ديجيتايز للاستثمار والتقنية</t>
  </si>
  <si>
    <t>الصعيد العامة للمقاولات</t>
  </si>
  <si>
    <t>كفر الزيات للمبيدات والكيماويات</t>
  </si>
  <si>
    <t>*القاهرة للإستثمار والتنمية العقارية</t>
  </si>
  <si>
    <t>نهر الخير للتنمية والأستثمار الزراعى والخدمات البيئية</t>
  </si>
  <si>
    <t>الكابلات الكهربائية المصرية</t>
  </si>
  <si>
    <t>المالية والصناعية المصرية</t>
  </si>
  <si>
    <t>دلتا للطباعة والتغليف</t>
  </si>
  <si>
    <t>القابضة المصرية الكويتية</t>
  </si>
  <si>
    <t>العربية للصناعات الهندسية</t>
  </si>
  <si>
    <t>*القناة للتوكيلات الملاحية</t>
  </si>
  <si>
    <t>*مصر للفنادق</t>
  </si>
  <si>
    <t>فتنس برايم للاندية الصحية</t>
  </si>
  <si>
    <t>*النيل للادوية</t>
  </si>
  <si>
    <t>فيركيم</t>
  </si>
  <si>
    <t>*سبينالكس</t>
  </si>
  <si>
    <t>عبور لاند للصناعات الغذائية</t>
  </si>
  <si>
    <t>النصر للأعمال المدنية</t>
  </si>
  <si>
    <t>الغربية الاسلامية للتنمية العمرانية</t>
  </si>
  <si>
    <t>المجموعة المتكاملة للاعمال الهندسية</t>
  </si>
  <si>
    <t>*وادي كوم امبو</t>
  </si>
  <si>
    <t>الاسماعيلية مصر للدواجن</t>
  </si>
  <si>
    <t>*الاسكندرية لتداول الحاويات</t>
  </si>
  <si>
    <t>*مصر لصناعة الكيماويات</t>
  </si>
  <si>
    <t xml:space="preserve">https://www.mubasher.info/analysis-tools/financial-ratios/EGX </t>
  </si>
  <si>
    <t>NAIM</t>
  </si>
  <si>
    <t>UNIP</t>
  </si>
  <si>
    <t>انترناشيونال بزنيس ك</t>
  </si>
  <si>
    <t>SAIB</t>
  </si>
  <si>
    <t>FAIR VALUE</t>
  </si>
  <si>
    <t>FAIR comapre</t>
  </si>
  <si>
    <t>الرابع 2023</t>
  </si>
  <si>
    <t>أراب للتنمية و الاستثمار العقاري</t>
  </si>
  <si>
    <t>أوراسكوم للاستثمار القابضة</t>
  </si>
  <si>
    <t>الاهرام للطباعة والتغليف</t>
  </si>
  <si>
    <t>الاهلي للتنمية والاستثمار</t>
  </si>
  <si>
    <t>*الدولية للمحاصيل الزراعية</t>
  </si>
  <si>
    <t>الشرق الأوسط لصناعة الزجاج</t>
  </si>
  <si>
    <t>الصخور العربية للصناعات البلاستيكية</t>
  </si>
  <si>
    <t>العبور للاستثمار العقارى</t>
  </si>
  <si>
    <t>*العربية المتحدة للشحن والتفريغ</t>
  </si>
  <si>
    <t>*العربية لحليج الأقطان</t>
  </si>
  <si>
    <t>*العرفة القابضة</t>
  </si>
  <si>
    <t>*القاهرة للادوية</t>
  </si>
  <si>
    <t>المصرية للمنتجعات السياحية</t>
  </si>
  <si>
    <t>*المصرية لنظم التعليم الحديثة</t>
  </si>
  <si>
    <t>*ايسترن كومباني</t>
  </si>
  <si>
    <t>ثقة لإدارة الأعمال والتنمية</t>
  </si>
  <si>
    <t>جولدن بيراميدز بلازا</t>
  </si>
  <si>
    <t>راية لخدمات مراكز الاتصالات</t>
  </si>
  <si>
    <t>سي اي كابيتال القابضة</t>
  </si>
  <si>
    <t>*كابو</t>
  </si>
  <si>
    <t>*كيما</t>
  </si>
  <si>
    <t>لوتس للتنمية والاستثمار الزراعي</t>
  </si>
  <si>
    <t>الثالث 2023</t>
  </si>
  <si>
    <t>الثانى 2023</t>
  </si>
  <si>
    <t>ارابيا انفستمنتس هولدنج</t>
  </si>
  <si>
    <t>الاسكندرية الوطنية للاستثمارات المالية</t>
  </si>
  <si>
    <t>الشركة العربية لإدارة وتطوير الأصول</t>
  </si>
  <si>
    <t>العالمية للاستثمار والتنمية</t>
  </si>
  <si>
    <t>القاهرة للزيوت والصابون</t>
  </si>
  <si>
    <t>المجموعة المصرية العقارية</t>
  </si>
  <si>
    <t>انترناشيونال بزنيس كوربوريشن</t>
  </si>
  <si>
    <t>جدوى للتنمية الصناعية</t>
  </si>
  <si>
    <t>دلتا للإنشاء والتعمير</t>
  </si>
  <si>
    <t>فاروتك</t>
  </si>
  <si>
    <t>ماكرو جروب للمستحضرات الطبية - ماكرو كابيتال</t>
  </si>
  <si>
    <t>KAPO</t>
  </si>
  <si>
    <t>ARPI</t>
  </si>
  <si>
    <t>GPPL</t>
  </si>
  <si>
    <t>VERT</t>
  </si>
  <si>
    <t>TRST</t>
  </si>
  <si>
    <t>UPMS</t>
  </si>
  <si>
    <t>IBCT</t>
  </si>
  <si>
    <t>PTCC</t>
  </si>
  <si>
    <t>ربع 2 -23</t>
  </si>
  <si>
    <t>ربع 3 -23</t>
  </si>
  <si>
    <t>باكين</t>
  </si>
  <si>
    <t>` 0.23</t>
  </si>
  <si>
    <t>الحديد والصلب المصري</t>
  </si>
  <si>
    <t>المصرية الكويتية للا</t>
  </si>
  <si>
    <t>SIBC</t>
  </si>
  <si>
    <t>ربع 4 -23</t>
  </si>
  <si>
    <t>العروبة للسمسرة فى ا</t>
  </si>
  <si>
    <t>` 0.44</t>
  </si>
  <si>
    <t>` 0.13</t>
  </si>
  <si>
    <t>يونيفرت</t>
  </si>
  <si>
    <t>نيست</t>
  </si>
  <si>
    <t>نايل سيتي للاستثمار</t>
  </si>
  <si>
    <t>كونكريت فاشون</t>
  </si>
  <si>
    <t>فودافون</t>
  </si>
  <si>
    <t>` 17.97</t>
  </si>
  <si>
    <t>سيمو</t>
  </si>
  <si>
    <t>سامكريت مصر</t>
  </si>
  <si>
    <t>رواد مصر</t>
  </si>
  <si>
    <t>ديفكو2</t>
  </si>
  <si>
    <t>دمياط لتداول الحاويا</t>
  </si>
  <si>
    <t>جينيال تورز</t>
  </si>
  <si>
    <t>ثقة لإدارة الأعمال و</t>
  </si>
  <si>
    <t>ثروة للتوريق</t>
  </si>
  <si>
    <t>بورسعيد لتداول الحاو</t>
  </si>
  <si>
    <t>بنك الشركة المصرفية</t>
  </si>
  <si>
    <t>بنك أبوظبى التجاري م</t>
  </si>
  <si>
    <t>اورنج</t>
  </si>
  <si>
    <t>المصرية للمشروعات ال</t>
  </si>
  <si>
    <t>المصرية لصناعة النشا</t>
  </si>
  <si>
    <t>القومية للاسمنت</t>
  </si>
  <si>
    <t>الشروق الحديثة للطبا</t>
  </si>
  <si>
    <t>الشرق الأوسط لصناعة</t>
  </si>
  <si>
    <t>السويس للاكياس</t>
  </si>
  <si>
    <t>السويس للاسمنت</t>
  </si>
  <si>
    <t>الدلتا للتأمين</t>
  </si>
  <si>
    <t>الخليج للاستثمارات ا</t>
  </si>
  <si>
    <t>التعمير للتوريق</t>
  </si>
  <si>
    <t>` 68.92</t>
  </si>
  <si>
    <t>` 68.08</t>
  </si>
  <si>
    <t>` 67.35</t>
  </si>
  <si>
    <t>` 66.50</t>
  </si>
  <si>
    <t>اسيوط الاسلامية للتج</t>
  </si>
  <si>
    <t>NOAF</t>
  </si>
  <si>
    <t>NCIN</t>
  </si>
  <si>
    <t>CFGH</t>
  </si>
  <si>
    <t>VODE</t>
  </si>
  <si>
    <t>SIMO</t>
  </si>
  <si>
    <t>SMCS</t>
  </si>
  <si>
    <t>DIFC</t>
  </si>
  <si>
    <t>DCCC</t>
  </si>
  <si>
    <t>GETO</t>
  </si>
  <si>
    <t>POCO</t>
  </si>
  <si>
    <t>UNBE</t>
  </si>
  <si>
    <t>PACH</t>
  </si>
  <si>
    <t>OREG</t>
  </si>
  <si>
    <t>EITP</t>
  </si>
  <si>
    <t>ESGI</t>
  </si>
  <si>
    <t>NCEM</t>
  </si>
  <si>
    <t>SMPP</t>
  </si>
  <si>
    <t>SBAG</t>
  </si>
  <si>
    <t>SUCE</t>
  </si>
  <si>
    <t>AGIN</t>
  </si>
  <si>
    <t>IRON</t>
  </si>
  <si>
    <t>AITG</t>
  </si>
  <si>
    <t>جيتكس للاستثمارات ال</t>
  </si>
  <si>
    <t>curr</t>
  </si>
  <si>
    <t>سي أي بي</t>
  </si>
  <si>
    <t>RMTV</t>
  </si>
  <si>
    <t>بنك قطر الوطني</t>
  </si>
  <si>
    <t>GTEX</t>
  </si>
  <si>
    <t>آخر تحديث</t>
  </si>
  <si>
    <t>بنك أبو ظبي التجاري</t>
  </si>
  <si>
    <t>اورانج</t>
  </si>
  <si>
    <t>UNFO</t>
  </si>
  <si>
    <t>name</t>
  </si>
  <si>
    <t>go</t>
  </si>
  <si>
    <t>ratio</t>
  </si>
  <si>
    <t>أكت فاينانشال</t>
  </si>
  <si>
    <t>السويس للأكياس</t>
  </si>
  <si>
    <t>وزارة المالية</t>
  </si>
  <si>
    <t>fund</t>
  </si>
  <si>
    <t>techn</t>
  </si>
  <si>
    <t>amer</t>
  </si>
  <si>
    <t>esrs</t>
  </si>
  <si>
    <t>taqa</t>
  </si>
  <si>
    <t>ifap</t>
  </si>
  <si>
    <t>ekhoa</t>
  </si>
  <si>
    <t>efid</t>
  </si>
  <si>
    <t>phdc</t>
  </si>
  <si>
    <t>saud</t>
  </si>
  <si>
    <t>lcsw</t>
  </si>
  <si>
    <t>ecap</t>
  </si>
  <si>
    <t>buy</t>
  </si>
  <si>
    <t>ACTF</t>
  </si>
  <si>
    <t>i1</t>
  </si>
  <si>
    <t>i2</t>
  </si>
  <si>
    <t>i3</t>
  </si>
  <si>
    <t>score</t>
  </si>
  <si>
    <t>ccap</t>
  </si>
  <si>
    <t>heli</t>
  </si>
  <si>
    <t>rmda</t>
  </si>
  <si>
    <t>sugr</t>
  </si>
  <si>
    <t>btfh</t>
  </si>
  <si>
    <t>raya</t>
  </si>
  <si>
    <t>tmgh</t>
  </si>
  <si>
    <t>mtie</t>
  </si>
  <si>
    <t>mfpc</t>
  </si>
  <si>
    <t>kabo</t>
  </si>
  <si>
    <t>alcn</t>
  </si>
  <si>
    <t>atqa</t>
  </si>
  <si>
    <t>` -0.01</t>
  </si>
  <si>
    <t>` -0.00</t>
  </si>
  <si>
    <t>` -0.47</t>
  </si>
  <si>
    <t>` -0.20</t>
  </si>
  <si>
    <t>` 14.00</t>
  </si>
  <si>
    <t>المجموعة المالية للت</t>
  </si>
  <si>
    <t>سيرا للتعليم</t>
  </si>
  <si>
    <t>afdi</t>
  </si>
  <si>
    <t>zmid</t>
  </si>
  <si>
    <t>etrs</t>
  </si>
  <si>
    <t>emfd</t>
  </si>
  <si>
    <t>orwe</t>
  </si>
  <si>
    <t>egas</t>
  </si>
  <si>
    <t>skpc</t>
  </si>
  <si>
    <t>egch</t>
  </si>
  <si>
    <t>eeii</t>
  </si>
  <si>
    <t>aih</t>
  </si>
  <si>
    <t>masr</t>
  </si>
  <si>
    <t>dscw</t>
  </si>
  <si>
    <t>egal</t>
  </si>
  <si>
    <t>odin</t>
  </si>
  <si>
    <t>QNBE</t>
  </si>
  <si>
    <t>fair</t>
  </si>
  <si>
    <t>isph</t>
  </si>
  <si>
    <t>mprc</t>
  </si>
  <si>
    <t>mcro</t>
  </si>
  <si>
    <t>ascm</t>
  </si>
  <si>
    <t>orhd</t>
  </si>
  <si>
    <t>etel</t>
  </si>
  <si>
    <t>efih</t>
  </si>
  <si>
    <t>adib</t>
  </si>
  <si>
    <t>hrho</t>
  </si>
  <si>
    <t>swdy</t>
  </si>
  <si>
    <t>comi</t>
  </si>
  <si>
    <t>gbco</t>
  </si>
  <si>
    <t>fwry</t>
  </si>
  <si>
    <t>svce</t>
  </si>
  <si>
    <t>elsh</t>
  </si>
  <si>
    <t>arab</t>
  </si>
  <si>
    <t>acgc</t>
  </si>
  <si>
    <t>icid</t>
  </si>
  <si>
    <t>cieb</t>
  </si>
  <si>
    <t>hdbk</t>
  </si>
  <si>
    <t>ftns</t>
  </si>
  <si>
    <t>sahm</t>
  </si>
  <si>
    <t>target</t>
  </si>
  <si>
    <t>loss</t>
  </si>
  <si>
    <t>current</t>
  </si>
  <si>
    <t>up</t>
  </si>
  <si>
    <t>down</t>
  </si>
  <si>
    <t>near</t>
  </si>
  <si>
    <t>result</t>
  </si>
  <si>
    <t>done scenario</t>
  </si>
  <si>
    <t>num</t>
  </si>
  <si>
    <t>csag</t>
  </si>
  <si>
    <t>binv</t>
  </si>
  <si>
    <t>done num</t>
  </si>
  <si>
    <t>cosg</t>
  </si>
  <si>
    <t>nccw</t>
  </si>
  <si>
    <t>egts</t>
  </si>
  <si>
    <t>spmd</t>
  </si>
  <si>
    <t>icfc</t>
  </si>
  <si>
    <t>elka</t>
  </si>
  <si>
    <t>jufo</t>
  </si>
  <si>
    <t>prdc</t>
  </si>
  <si>
    <t>ajwa</t>
  </si>
  <si>
    <t>neda</t>
  </si>
  <si>
    <t>krdi</t>
  </si>
  <si>
    <t>mcqe</t>
  </si>
  <si>
    <t>alum</t>
  </si>
  <si>
    <t>engc</t>
  </si>
  <si>
    <t>qnba</t>
  </si>
  <si>
    <t>oras</t>
  </si>
  <si>
    <t>amoc</t>
  </si>
  <si>
    <t>before end of</t>
  </si>
  <si>
    <t>` -0.90</t>
  </si>
  <si>
    <t>sdti</t>
  </si>
  <si>
    <t>prcl</t>
  </si>
  <si>
    <t>racc</t>
  </si>
  <si>
    <t>arcc</t>
  </si>
  <si>
    <t>gdwa</t>
  </si>
  <si>
    <t>adpc</t>
  </si>
  <si>
    <t>cera</t>
  </si>
  <si>
    <t>count active</t>
  </si>
  <si>
    <t>mich</t>
  </si>
  <si>
    <t>kzpc</t>
  </si>
  <si>
    <t>snfc</t>
  </si>
  <si>
    <t>oih</t>
  </si>
  <si>
    <t>atlc</t>
  </si>
  <si>
    <t>range</t>
  </si>
  <si>
    <t>بريميم هيلثكير جروب</t>
  </si>
  <si>
    <t>PHGC</t>
  </si>
  <si>
    <t>amia</t>
  </si>
  <si>
    <t>ggcc</t>
  </si>
  <si>
    <t>olfi</t>
  </si>
  <si>
    <t>bioc</t>
  </si>
  <si>
    <t>poul</t>
  </si>
  <si>
    <t>eiud</t>
  </si>
  <si>
    <t>ofh</t>
  </si>
  <si>
    <t>unip</t>
  </si>
  <si>
    <t>uegc</t>
  </si>
  <si>
    <t>cira</t>
  </si>
  <si>
    <t>mena</t>
  </si>
  <si>
    <t>expa</t>
  </si>
  <si>
    <t>phar</t>
  </si>
  <si>
    <t>rrei</t>
  </si>
  <si>
    <t>infi</t>
  </si>
  <si>
    <t>ismq</t>
  </si>
  <si>
    <t>مصر </t>
  </si>
  <si>
    <t>أسعار الأسهم</t>
  </si>
  <si>
    <t>تداولات آخر جلسةأسعار كل الأسهم</t>
  </si>
  <si>
    <t>` -0.28</t>
  </si>
  <si>
    <t>اتفاقية الاستخدام</t>
  </si>
  <si>
    <t> </t>
  </si>
  <si>
    <t>إخلاء المسؤولية</t>
  </si>
  <si>
    <t>من نحن</t>
  </si>
  <si>
    <t>اتصل بنا</t>
  </si>
  <si>
    <t>أعلن معنا</t>
  </si>
  <si>
    <t>موقع ديسيفا</t>
  </si>
  <si>
    <t>خدمات المواقع</t>
  </si>
  <si>
    <t>وظائف</t>
  </si>
  <si>
    <t>ديسيفا</t>
  </si>
  <si>
    <t>سياسة الخصوصية</t>
  </si>
  <si>
    <t>جميع البيانات متأخرة 15 دقيقة أثناء الجلسة</t>
  </si>
  <si>
    <t>acap</t>
  </si>
  <si>
    <t>clho</t>
  </si>
  <si>
    <t>هايدلبرج ماتريالز -ا</t>
  </si>
  <si>
    <t>moed</t>
  </si>
  <si>
    <t>copr</t>
  </si>
  <si>
    <t>mpci</t>
  </si>
  <si>
    <t>gihd</t>
  </si>
  <si>
    <t>acro</t>
  </si>
  <si>
    <t>ocdi</t>
  </si>
  <si>
    <t>scem</t>
  </si>
  <si>
    <t>afmc</t>
  </si>
  <si>
    <t>epco</t>
  </si>
  <si>
    <t>spin</t>
  </si>
  <si>
    <t>isma</t>
  </si>
  <si>
    <t>ieec</t>
  </si>
  <si>
    <t>rubx</t>
  </si>
  <si>
    <t>ehdr</t>
  </si>
  <si>
    <t>cana</t>
  </si>
  <si>
    <t>zeot</t>
  </si>
  <si>
    <t>egbe</t>
  </si>
  <si>
    <t>tanm</t>
  </si>
  <si>
    <t>المصرف المتحد</t>
  </si>
  <si>
    <t>UBEE</t>
  </si>
  <si>
    <t>sipc</t>
  </si>
  <si>
    <t>obri</t>
  </si>
  <si>
    <t>mbeg</t>
  </si>
  <si>
    <t>MBEG</t>
  </si>
  <si>
    <t>domt</t>
  </si>
  <si>
    <t>scts</t>
  </si>
  <si>
    <t>mepa</t>
  </si>
  <si>
    <t>arva</t>
  </si>
  <si>
    <t>qu</t>
  </si>
  <si>
    <t>pr</t>
  </si>
  <si>
    <t>cost</t>
  </si>
  <si>
    <t>abuk</t>
  </si>
  <si>
    <t>pr 18/12</t>
  </si>
  <si>
    <t>change 18/12</t>
  </si>
  <si>
    <t>cost 18/12</t>
  </si>
  <si>
    <t>pr 19/12</t>
  </si>
  <si>
    <t>change 19/12</t>
  </si>
  <si>
    <t>cost 19/12</t>
  </si>
  <si>
    <t>pr 22/12</t>
  </si>
  <si>
    <t>change 22/12</t>
  </si>
  <si>
    <t>cost 22/12</t>
  </si>
  <si>
    <t>adri</t>
  </si>
  <si>
    <t>mpco</t>
  </si>
  <si>
    <t>actf</t>
  </si>
  <si>
    <t>pr 23/12</t>
  </si>
  <si>
    <t>change 23/12</t>
  </si>
  <si>
    <t>cost 23/12</t>
  </si>
  <si>
    <t>pr 24/12</t>
  </si>
  <si>
    <t>change 24/12</t>
  </si>
  <si>
    <t>cost 24/12</t>
  </si>
  <si>
    <t>pr 25/12</t>
  </si>
  <si>
    <t>change 25/12</t>
  </si>
  <si>
    <t>cost 25/12</t>
  </si>
  <si>
    <t>eppk</t>
  </si>
  <si>
    <t>هيبكو للاستثمارات ال</t>
  </si>
  <si>
    <t>` -0.07</t>
  </si>
  <si>
    <t>pr 2/1</t>
  </si>
  <si>
    <t>change 2/1</t>
  </si>
  <si>
    <t>cost 2/1</t>
  </si>
  <si>
    <t>pr 5/1</t>
  </si>
  <si>
    <t>change 5/1</t>
  </si>
  <si>
    <t>cost 5/1</t>
  </si>
  <si>
    <t>pr 8/1</t>
  </si>
  <si>
    <t>change 8/1</t>
  </si>
  <si>
    <t>cost 8/1</t>
  </si>
  <si>
    <t>pr 9/1</t>
  </si>
  <si>
    <t>change 9/1</t>
  </si>
  <si>
    <t>cost 9/1</t>
  </si>
  <si>
    <t>pr 12/1</t>
  </si>
  <si>
    <t>change 12/1</t>
  </si>
  <si>
    <t>cost 12/1</t>
  </si>
  <si>
    <t>pr 13/1</t>
  </si>
  <si>
    <t>change 13/1</t>
  </si>
  <si>
    <t>cost 13/1</t>
  </si>
  <si>
    <t>pr 26/12</t>
  </si>
  <si>
    <t>change 26/12</t>
  </si>
  <si>
    <t>cost 26/12</t>
  </si>
  <si>
    <t>` 0.02</t>
  </si>
  <si>
    <t>pr 15/1</t>
  </si>
  <si>
    <t>change 15/1</t>
  </si>
  <si>
    <t>cost 15/1</t>
  </si>
  <si>
    <t>pr 19/1</t>
  </si>
  <si>
    <t>change 19/1</t>
  </si>
  <si>
    <t>cost 19/1</t>
  </si>
  <si>
    <t>pr 20/1</t>
  </si>
  <si>
    <t>change 20/1</t>
  </si>
  <si>
    <t>cost 20/1</t>
  </si>
  <si>
    <t>pr 27/1</t>
  </si>
  <si>
    <t>change 27/1</t>
  </si>
  <si>
    <t>cost 27/1</t>
  </si>
  <si>
    <t>pr 3/2</t>
  </si>
  <si>
    <t>change 3/2</t>
  </si>
  <si>
    <t>cost 3/2</t>
  </si>
  <si>
    <t>جو جرين للاستثمار ال</t>
  </si>
  <si>
    <t>GGRN</t>
  </si>
  <si>
    <t>HBCO</t>
  </si>
  <si>
    <t>pr 9/2</t>
  </si>
  <si>
    <t>change 9/2</t>
  </si>
  <si>
    <t>cost 9/2</t>
  </si>
  <si>
    <t>pr 11/2</t>
  </si>
  <si>
    <t>change 11/2</t>
  </si>
  <si>
    <t>cost 11/2</t>
  </si>
  <si>
    <t>cefm</t>
  </si>
  <si>
    <t>wkol</t>
  </si>
  <si>
    <t>qnbe</t>
  </si>
  <si>
    <t>mbsc</t>
  </si>
  <si>
    <t>acamd</t>
  </si>
  <si>
    <t>edbm</t>
  </si>
  <si>
    <t>cnfn</t>
  </si>
  <si>
    <t>luts</t>
  </si>
  <si>
    <t>done date</t>
  </si>
  <si>
    <t>pr 12/2</t>
  </si>
  <si>
    <t>change 12/2</t>
  </si>
  <si>
    <t>cost 12/2</t>
  </si>
  <si>
    <t>duration</t>
  </si>
  <si>
    <t>بيتومود</t>
  </si>
  <si>
    <t>count</t>
  </si>
  <si>
    <t>recomendation average</t>
  </si>
  <si>
    <t>recommendations count</t>
  </si>
  <si>
    <t>average duration</t>
  </si>
  <si>
    <t>year result</t>
  </si>
  <si>
    <t>pr 16/2</t>
  </si>
  <si>
    <t>change 16/2</t>
  </si>
  <si>
    <t>cost 16/2</t>
  </si>
  <si>
    <t>egaby</t>
  </si>
  <si>
    <t>ba2y</t>
  </si>
  <si>
    <t>ebsc</t>
  </si>
  <si>
    <t>phgc</t>
  </si>
  <si>
    <t>aifi</t>
  </si>
  <si>
    <t>pr 17/2</t>
  </si>
  <si>
    <t>change 17/2</t>
  </si>
  <si>
    <t>cost 17/2</t>
  </si>
  <si>
    <t>profits</t>
  </si>
  <si>
    <t>pr 18/2</t>
  </si>
  <si>
    <t>change 18/2</t>
  </si>
  <si>
    <t>cost 18/2</t>
  </si>
  <si>
    <t>pr 19/2</t>
  </si>
  <si>
    <t>change 19/2</t>
  </si>
  <si>
    <t>cost 19/2</t>
  </si>
  <si>
    <t>pr 20/2</t>
  </si>
  <si>
    <t>change 20/2</t>
  </si>
  <si>
    <t>cost 20/2</t>
  </si>
  <si>
    <t>pr 23/2</t>
  </si>
  <si>
    <t>change 23/2</t>
  </si>
  <si>
    <t>cost 23/2</t>
  </si>
  <si>
    <t>` 273.89</t>
  </si>
  <si>
    <t>` 213.46</t>
  </si>
  <si>
    <t>` 2.00</t>
  </si>
  <si>
    <t>` 7.42</t>
  </si>
  <si>
    <t>` 7.95</t>
  </si>
  <si>
    <t>` 0.95</t>
  </si>
  <si>
    <t>` -9.09</t>
  </si>
  <si>
    <t>` -63.78</t>
  </si>
  <si>
    <t>` -902.14</t>
  </si>
  <si>
    <t>` 1.56</t>
  </si>
  <si>
    <t>كابيتال للتوريق</t>
  </si>
  <si>
    <t>` 1.95</t>
  </si>
  <si>
    <t>الرحاب للتوريق</t>
  </si>
  <si>
    <t>` 1.01</t>
  </si>
  <si>
    <t>pr 24/2</t>
  </si>
  <si>
    <t>change 24/2</t>
  </si>
  <si>
    <t>cost 24/2</t>
  </si>
  <si>
    <t>pr 25/2</t>
  </si>
  <si>
    <t>change 25/2</t>
  </si>
  <si>
    <t>cost 25/2</t>
  </si>
  <si>
    <t>` 0.34</t>
  </si>
  <si>
    <t>` -3.51</t>
  </si>
  <si>
    <t>` -0.08</t>
  </si>
  <si>
    <t>pr 26/2</t>
  </si>
  <si>
    <t>change 26/2</t>
  </si>
  <si>
    <t>cost 26/2</t>
  </si>
  <si>
    <t>pr 2/3</t>
  </si>
  <si>
    <t>change 2/3</t>
  </si>
  <si>
    <t>cost 2/3</t>
  </si>
  <si>
    <t>pr 4/3</t>
  </si>
  <si>
    <t>change 4/3</t>
  </si>
  <si>
    <t>cost 4/3</t>
  </si>
  <si>
    <t>pr 6/3</t>
  </si>
  <si>
    <t>change 6/3</t>
  </si>
  <si>
    <t>cost 6/3</t>
  </si>
  <si>
    <t>elec</t>
  </si>
  <si>
    <t>pr 10/3</t>
  </si>
  <si>
    <t>change 10/3</t>
  </si>
  <si>
    <t>cost 10/3</t>
  </si>
  <si>
    <t>cost 16/3</t>
  </si>
  <si>
    <t>change 16/3</t>
  </si>
  <si>
    <t>pr 16/3</t>
  </si>
  <si>
    <t>pr 17/3</t>
  </si>
  <si>
    <t>change 17/3</t>
  </si>
  <si>
    <t>cost 17/3</t>
  </si>
  <si>
    <t>niph</t>
  </si>
  <si>
    <t>` -21.47</t>
  </si>
  <si>
    <t>pr 26/3</t>
  </si>
  <si>
    <t>change 26/3</t>
  </si>
  <si>
    <t>cost 26/3</t>
  </si>
  <si>
    <t>كريستمارك للمقاولات</t>
  </si>
  <si>
    <t>` 1.21</t>
  </si>
  <si>
    <t>pr 7/4</t>
  </si>
  <si>
    <t>change 7/4</t>
  </si>
  <si>
    <t>cost 7/4</t>
  </si>
  <si>
    <t>pr 10/4</t>
  </si>
  <si>
    <t>change 10/4</t>
  </si>
  <si>
    <t>cost 10/4</t>
  </si>
  <si>
    <t>` 0.93</t>
  </si>
  <si>
    <t>` 48.90</t>
  </si>
  <si>
    <t>` 28.67</t>
  </si>
  <si>
    <t>` 1.03</t>
  </si>
  <si>
    <t>` -0.76</t>
  </si>
  <si>
    <t>` -3.50</t>
  </si>
  <si>
    <t>` -31.11</t>
  </si>
  <si>
    <t>pr 4/5</t>
  </si>
  <si>
    <t>change 4/5</t>
  </si>
  <si>
    <t>cost 4/5</t>
  </si>
  <si>
    <t>performance</t>
  </si>
  <si>
    <t>rank</t>
  </si>
  <si>
    <t>today</t>
  </si>
  <si>
    <t>توزيعات</t>
  </si>
  <si>
    <t>الرحاب للأوراق المال</t>
  </si>
  <si>
    <t>` 15.71</t>
  </si>
  <si>
    <t>` 5.13</t>
  </si>
  <si>
    <t>` 4.97</t>
  </si>
  <si>
    <t>pr 18/5</t>
  </si>
  <si>
    <t>change 18/5</t>
  </si>
  <si>
    <t>cost 18/5</t>
  </si>
  <si>
    <t>` 14.55</t>
  </si>
  <si>
    <t>` 0.67</t>
  </si>
  <si>
    <t>` -1.82</t>
  </si>
  <si>
    <t>` -24.98</t>
  </si>
  <si>
    <t>` -122.43</t>
  </si>
  <si>
    <t>pr 22/5</t>
  </si>
  <si>
    <t>change 22/5</t>
  </si>
  <si>
    <t>cost 22/5</t>
  </si>
  <si>
    <t>pr 27/5</t>
  </si>
  <si>
    <t>change 27/5</t>
  </si>
  <si>
    <t>cost 27/5</t>
  </si>
  <si>
    <t>pr 1/6</t>
  </si>
  <si>
    <t>change 1/6</t>
  </si>
  <si>
    <t>cost 1/6</t>
  </si>
  <si>
    <t>ڤاليو</t>
  </si>
  <si>
    <t>pr 1/7</t>
  </si>
  <si>
    <t>change 1/7</t>
  </si>
  <si>
    <t>cost 1/7</t>
  </si>
  <si>
    <t>pr 13/7</t>
  </si>
  <si>
    <t>change 13/7</t>
  </si>
  <si>
    <t>cost 13/7</t>
  </si>
  <si>
    <t>next</t>
  </si>
  <si>
    <t>safety</t>
  </si>
  <si>
    <t>VALU</t>
  </si>
  <si>
    <t>النعيم العقارية</t>
  </si>
  <si>
    <t>كاتليست بارتنرز ميدي</t>
  </si>
  <si>
    <t>ارابيا للاستثمار وال</t>
  </si>
  <si>
    <t>بنيان للتنمية والتجا</t>
  </si>
  <si>
    <t>الوطنية للطباعة</t>
  </si>
  <si>
    <t>نوفيدا للاستثمار وال</t>
  </si>
  <si>
    <t>BONY</t>
  </si>
  <si>
    <t>أو بي المالية القابض</t>
  </si>
  <si>
    <t>RFP</t>
  </si>
  <si>
    <t>bf</t>
  </si>
  <si>
    <t>funda</t>
  </si>
  <si>
    <t>RSP</t>
  </si>
  <si>
    <t>المستودعات المصرية ا</t>
  </si>
  <si>
    <t>بنك القاهرة</t>
  </si>
  <si>
    <t>` -41.00</t>
  </si>
  <si>
    <t>` -5.00</t>
  </si>
  <si>
    <t>` -1.91</t>
  </si>
  <si>
    <t>` -4.69</t>
  </si>
  <si>
    <t>mom</t>
  </si>
  <si>
    <t>توسع للتخصيم</t>
  </si>
  <si>
    <t>mark</t>
  </si>
  <si>
    <t>CRST</t>
  </si>
  <si>
    <t>هيبكو</t>
  </si>
  <si>
    <t>TWSA</t>
  </si>
  <si>
    <t>فالمور</t>
  </si>
  <si>
    <t>VLMRA</t>
  </si>
  <si>
    <t>` 2.27</t>
  </si>
  <si>
    <t> هذا الموقع مرخص من الهيئة العامة لتنظيم الإعلام. مباشر.إنفو - جلوبال فاينانشال ميديا © 2005 - 2026   </t>
  </si>
  <si>
    <t>كرستمارك للمقاولات</t>
  </si>
  <si>
    <t>` -0.19</t>
  </si>
  <si>
    <t>` 0.42</t>
  </si>
  <si>
    <t>koko</t>
  </si>
  <si>
    <t>suppos</t>
  </si>
  <si>
    <t>جي بي آي</t>
  </si>
  <si>
    <t>diff</t>
  </si>
  <si>
    <t>` 0.06</t>
  </si>
  <si>
    <t>` 0.16</t>
  </si>
  <si>
    <t>abs</t>
  </si>
  <si>
    <t>total</t>
  </si>
  <si>
    <t>factor</t>
  </si>
  <si>
    <t>alpha</t>
  </si>
  <si>
    <t>` -0.05</t>
  </si>
  <si>
    <t>gny</t>
  </si>
  <si>
    <t>r</t>
  </si>
  <si>
    <t>نيركو</t>
  </si>
  <si>
    <t>` 3.34</t>
  </si>
  <si>
    <t>تايكون إنفستمنتس هول</t>
  </si>
  <si>
    <t>` -0.06</t>
  </si>
  <si>
    <t>` 0.10</t>
  </si>
  <si>
    <t>` 0.08</t>
  </si>
  <si>
    <t>فيوتشر كير للصناعات</t>
  </si>
  <si>
    <t>` -0.11</t>
  </si>
  <si>
    <t>` -0.13</t>
  </si>
  <si>
    <t>` -0.30</t>
  </si>
  <si>
    <t>` -0.16</t>
  </si>
  <si>
    <t>M&amp;A, exits, and spinoffs</t>
  </si>
  <si>
    <t>Tightening cycle</t>
  </si>
  <si>
    <t>Easing cycle</t>
  </si>
  <si>
    <t>Tourism recovery</t>
  </si>
  <si>
    <t>Local AI exposure</t>
  </si>
  <si>
    <t>Earnings growth</t>
  </si>
  <si>
    <t>Dividends</t>
  </si>
  <si>
    <t>` 0.20</t>
  </si>
  <si>
    <t>` -0.26</t>
  </si>
  <si>
    <t>filter</t>
  </si>
  <si>
    <t>` -0.32</t>
  </si>
  <si>
    <t>` -0.70</t>
  </si>
  <si>
    <t>` 0.40</t>
  </si>
  <si>
    <t>` 0.17</t>
  </si>
  <si>
    <t>` 0.04</t>
  </si>
  <si>
    <t>` -0.12</t>
  </si>
  <si>
    <t>` -0.61</t>
  </si>
  <si>
    <t>` -0.41</t>
  </si>
  <si>
    <t>` 0.24</t>
  </si>
  <si>
    <t>` 5.00</t>
  </si>
  <si>
    <t>` 0.03</t>
  </si>
  <si>
    <t>` 0.14</t>
  </si>
  <si>
    <t>` 0.41</t>
  </si>
  <si>
    <t>` -0.25</t>
  </si>
  <si>
    <t>` 0.92</t>
  </si>
  <si>
    <t>` 1.00</t>
  </si>
  <si>
    <t>` 0.49</t>
  </si>
  <si>
    <t>` 0.11</t>
  </si>
  <si>
    <t>` -0.10</t>
  </si>
  <si>
    <t>` -0.29</t>
  </si>
  <si>
    <t>` -0.14</t>
  </si>
  <si>
    <t>` -1.99</t>
  </si>
  <si>
    <t>` -0.43</t>
  </si>
  <si>
    <t>` -0.57</t>
  </si>
  <si>
    <t>` -0.83</t>
  </si>
  <si>
    <t>` -1.07</t>
  </si>
  <si>
    <t>` -0.39</t>
  </si>
  <si>
    <t>` -0.31</t>
  </si>
  <si>
    <t>` 0.36</t>
  </si>
  <si>
    <t>` 3.02</t>
  </si>
  <si>
    <t>` 0.12</t>
  </si>
  <si>
    <t>` 0.07</t>
  </si>
  <si>
    <t>` 0.61</t>
  </si>
  <si>
    <t>` 0.15</t>
  </si>
  <si>
    <t>` 6.80</t>
  </si>
  <si>
    <t>` 2.12</t>
  </si>
  <si>
    <t>` 0.32</t>
  </si>
  <si>
    <t>` 2.88</t>
  </si>
  <si>
    <t>` 8.49</t>
  </si>
  <si>
    <t>` 0.83</t>
  </si>
  <si>
    <t>` 0.50</t>
  </si>
  <si>
    <t>` 0.18</t>
  </si>
  <si>
    <t>` 0.48</t>
  </si>
  <si>
    <t>` 0.78</t>
  </si>
  <si>
    <t>` 0.22</t>
  </si>
  <si>
    <t>` 0.85</t>
  </si>
  <si>
    <t>` 1.19</t>
  </si>
  <si>
    <t>` 2.24</t>
  </si>
  <si>
    <t>` 1.40</t>
  </si>
  <si>
    <t>` 0.46</t>
  </si>
  <si>
    <t>` 4.04</t>
  </si>
  <si>
    <t>` 6.29</t>
  </si>
  <si>
    <t>` 1.85</t>
  </si>
  <si>
    <t>` 5.86</t>
  </si>
  <si>
    <t>` 5.63</t>
  </si>
  <si>
    <t>` 1.10</t>
  </si>
  <si>
    <t>` 0.21</t>
  </si>
  <si>
    <t>` 0.63</t>
  </si>
  <si>
    <t>` 4.06</t>
  </si>
  <si>
    <t>` 0.74</t>
  </si>
  <si>
    <t>` 0.27</t>
  </si>
  <si>
    <t>` 0.26</t>
  </si>
  <si>
    <t>` 0.57</t>
  </si>
  <si>
    <t>` 0.19</t>
  </si>
  <si>
    <t>` 2.51</t>
  </si>
  <si>
    <t>` 0.09</t>
  </si>
  <si>
    <t>` 0.25</t>
  </si>
  <si>
    <t>` -0.24</t>
  </si>
  <si>
    <t>` -1.54</t>
  </si>
  <si>
    <t>` -1.36</t>
  </si>
  <si>
    <t>` -1.51</t>
  </si>
  <si>
    <t>` -0.17</t>
  </si>
  <si>
    <t>` -0.49</t>
  </si>
  <si>
    <t>` -1.19</t>
  </si>
  <si>
    <t>` -0.21</t>
  </si>
  <si>
    <t>` -2.69</t>
  </si>
  <si>
    <t>` -2.67</t>
  </si>
  <si>
    <t>` -4.76</t>
  </si>
  <si>
    <t>` -1.21</t>
  </si>
  <si>
    <t>` -0.37</t>
  </si>
  <si>
    <t>` -1.29</t>
  </si>
  <si>
    <t>` -4.92</t>
  </si>
  <si>
    <t>` -5.13</t>
  </si>
  <si>
    <t>` -3.37</t>
  </si>
  <si>
    <t>` -7.46</t>
  </si>
  <si>
    <t>` -1.67</t>
  </si>
  <si>
    <t>` -1.97</t>
  </si>
  <si>
    <t>الرمز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</si>
</sst>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Yu Gothic"/>
      <family val="2"/>
      <charset val="128"/>
    </font>
    <font>
      <u/>
      <sz val="11"/>
      <color theme="10"/>
      <name val="Calibri"/>
      <family val="18"/>
      <scheme val="minor"/>
    </font>
    <font>
      <sz val="24"/>
      <color rgb="FFFFFFFF"/>
      <name val="Arial"/>
      <family val="18"/>
    </font>
    <font>
      <b/>
      <sz val="8.8000000000000007"/>
      <color rgb="FFFFFFFF"/>
      <name val="Calibri"/>
      <family val="2"/>
      <scheme val="minor"/>
    </font>
    <font>
      <sz val="11"/>
      <color rgb="FF458D37"/>
      <name val="Calibri"/>
      <family val="2"/>
      <scheme val="minor"/>
    </font>
    <font>
      <sz val="11"/>
      <color rgb="FFDC0A0A"/>
      <name val="Calibri"/>
      <family val="2"/>
      <scheme val="minor"/>
    </font>
    <font>
      <b/>
      <sz val="8.8000000000000007"/>
      <color rgb="FFFFFFFF"/>
      <name val="FontAwesome"/>
      <family val="18"/>
    </font>
    <font>
      <sz val="9"/>
      <color rgb="FF015080"/>
      <name val="Arial"/>
      <family val="18"/>
    </font>
    <font>
      <sz val="11"/>
      <color rgb="FF8A8A8A"/>
      <name val="Arial"/>
      <family val="18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5BC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75BC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51">
    <xf numFmtId="0" fontId="0" fillId="0" borderId="0" xfId="0"/>
    <xf numFmtId="0" fontId="0" fillId="2" borderId="0" xfId="0" applyFill="1"/>
    <xf numFmtId="3" fontId="0" fillId="0" borderId="0" xfId="0" applyNumberFormat="1"/>
    <xf numFmtId="0" fontId="0" fillId="3" borderId="0" xfId="0" applyFill="1"/>
    <xf numFmtId="10" fontId="0" fillId="0" borderId="0" xfId="0" applyNumberFormat="1"/>
    <xf numFmtId="4" fontId="0" fillId="0" borderId="0" xfId="0" applyNumberFormat="1"/>
    <xf numFmtId="0" fontId="1" fillId="0" borderId="0" xfId="1"/>
    <xf numFmtId="17" fontId="0" fillId="0" borderId="0" xfId="0" applyNumberFormat="1"/>
    <xf numFmtId="10" fontId="0" fillId="0" borderId="0" xfId="2" applyNumberFormat="1" applyFont="1"/>
    <xf numFmtId="0" fontId="0" fillId="0" borderId="0" xfId="2" applyNumberFormat="1" applyFont="1"/>
    <xf numFmtId="0" fontId="0" fillId="4" borderId="0" xfId="0" applyFill="1"/>
    <xf numFmtId="16" fontId="0" fillId="0" borderId="0" xfId="0" applyNumberFormat="1"/>
    <xf numFmtId="2" fontId="0" fillId="0" borderId="0" xfId="0" applyNumberFormat="1"/>
    <xf numFmtId="2" fontId="0" fillId="0" borderId="0" xfId="2" applyNumberFormat="1" applyFont="1"/>
    <xf numFmtId="0" fontId="0" fillId="0" borderId="0" xfId="0" applyAlignment="1">
      <alignment wrapText="1"/>
    </xf>
    <xf numFmtId="0" fontId="4" fillId="0" borderId="0" xfId="1" applyFont="1" applyAlignment="1">
      <alignment wrapText="1"/>
    </xf>
    <xf numFmtId="0" fontId="5" fillId="5" borderId="1" xfId="0" applyFont="1" applyFill="1" applyBorder="1" applyAlignment="1">
      <alignment wrapText="1"/>
    </xf>
    <xf numFmtId="0" fontId="6" fillId="5" borderId="0" xfId="0" applyFont="1" applyFill="1" applyAlignment="1">
      <alignment wrapText="1" readingOrder="1"/>
    </xf>
    <xf numFmtId="0" fontId="6" fillId="5" borderId="0" xfId="0" applyFont="1" applyFill="1" applyAlignment="1">
      <alignment wrapText="1"/>
    </xf>
    <xf numFmtId="0" fontId="1" fillId="6" borderId="0" xfId="1" applyFill="1" applyAlignment="1">
      <alignment wrapText="1"/>
    </xf>
    <xf numFmtId="0" fontId="0" fillId="6" borderId="0" xfId="0" applyFill="1" applyAlignment="1">
      <alignment wrapText="1" readingOrder="1"/>
    </xf>
    <xf numFmtId="10" fontId="0" fillId="6" borderId="0" xfId="0" applyNumberFormat="1" applyFill="1" applyAlignment="1">
      <alignment wrapText="1" readingOrder="1"/>
    </xf>
    <xf numFmtId="0" fontId="7" fillId="6" borderId="0" xfId="0" applyFont="1" applyFill="1" applyAlignment="1">
      <alignment wrapText="1" readingOrder="1"/>
    </xf>
    <xf numFmtId="4" fontId="0" fillId="6" borderId="0" xfId="0" applyNumberFormat="1" applyFill="1" applyAlignment="1">
      <alignment wrapText="1" readingOrder="1"/>
    </xf>
    <xf numFmtId="3" fontId="0" fillId="6" borderId="0" xfId="0" applyNumberFormat="1" applyFill="1" applyAlignment="1">
      <alignment wrapText="1" readingOrder="1"/>
    </xf>
    <xf numFmtId="22" fontId="0" fillId="6" borderId="0" xfId="0" applyNumberFormat="1" applyFill="1" applyAlignment="1">
      <alignment wrapText="1"/>
    </xf>
    <xf numFmtId="0" fontId="1" fillId="7" borderId="0" xfId="1" applyFill="1" applyAlignment="1">
      <alignment wrapText="1"/>
    </xf>
    <xf numFmtId="0" fontId="0" fillId="7" borderId="0" xfId="0" applyFill="1" applyAlignment="1">
      <alignment wrapText="1" readingOrder="1"/>
    </xf>
    <xf numFmtId="10" fontId="0" fillId="7" borderId="0" xfId="0" applyNumberFormat="1" applyFill="1" applyAlignment="1">
      <alignment wrapText="1" readingOrder="1"/>
    </xf>
    <xf numFmtId="0" fontId="7" fillId="7" borderId="0" xfId="0" applyFont="1" applyFill="1" applyAlignment="1">
      <alignment wrapText="1" readingOrder="1"/>
    </xf>
    <xf numFmtId="4" fontId="0" fillId="7" borderId="0" xfId="0" applyNumberFormat="1" applyFill="1" applyAlignment="1">
      <alignment wrapText="1" readingOrder="1"/>
    </xf>
    <xf numFmtId="3" fontId="0" fillId="7" borderId="0" xfId="0" applyNumberFormat="1" applyFill="1" applyAlignment="1">
      <alignment wrapText="1" readingOrder="1"/>
    </xf>
    <xf numFmtId="22" fontId="0" fillId="7" borderId="0" xfId="0" applyNumberFormat="1" applyFill="1" applyAlignment="1">
      <alignment wrapText="1"/>
    </xf>
    <xf numFmtId="0" fontId="8" fillId="6" borderId="0" xfId="0" applyFont="1" applyFill="1" applyAlignment="1">
      <alignment wrapText="1" readingOrder="1"/>
    </xf>
    <xf numFmtId="0" fontId="8" fillId="7" borderId="0" xfId="0" applyFont="1" applyFill="1" applyAlignment="1">
      <alignment wrapText="1" readingOrder="1"/>
    </xf>
    <xf numFmtId="0" fontId="9" fillId="5" borderId="0" xfId="0" applyFont="1" applyFill="1" applyAlignment="1">
      <alignment wrapText="1"/>
    </xf>
    <xf numFmtId="0" fontId="9" fillId="5" borderId="0" xfId="0" applyFont="1" applyFill="1" applyAlignment="1">
      <alignment wrapText="1" readingOrder="1"/>
    </xf>
    <xf numFmtId="0" fontId="10" fillId="0" borderId="0" xfId="0" applyFont="1" applyAlignment="1">
      <alignment wrapText="1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2" applyNumberFormat="1" applyFont="1"/>
    <xf numFmtId="10" fontId="0" fillId="0" borderId="0" xfId="2" applyNumberFormat="1" applyFont="1" applyFill="1"/>
    <xf numFmtId="2" fontId="0" fillId="0" borderId="0" xfId="2" applyNumberFormat="1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1" fillId="0" borderId="0" xfId="0" applyFont="1" applyAlignment="1">
      <alignment wrapText="1"/>
    </xf>
    <xf numFmtId="0" fontId="0" fillId="7" borderId="0" xfId="0" applyFill="1" applyAlignment="1">
      <alignment wrapText="1"/>
    </xf>
    <xf numFmtId="0" fontId="0" fillId="12" borderId="0" xfId="0" applyFill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Mubasher.Info" TargetMode="External"/><Relationship Id="rId13" Type="http://schemas.openxmlformats.org/officeDocument/2006/relationships/image" Target="../media/image9.png"/><Relationship Id="rId18" Type="http://schemas.openxmlformats.org/officeDocument/2006/relationships/hyperlink" Target="https://www.tiktok.com/@mubasher.info" TargetMode="External"/><Relationship Id="rId3" Type="http://schemas.openxmlformats.org/officeDocument/2006/relationships/image" Target="../media/image3.svg"/><Relationship Id="rId21" Type="http://schemas.openxmlformats.org/officeDocument/2006/relationships/image" Target="../media/image13.png"/><Relationship Id="rId7" Type="http://schemas.openxmlformats.org/officeDocument/2006/relationships/image" Target="../media/image6.png"/><Relationship Id="rId12" Type="http://schemas.openxmlformats.org/officeDocument/2006/relationships/hyperlink" Target="https://www.linkedin.com/company/1477149" TargetMode="External"/><Relationship Id="rId17" Type="http://schemas.openxmlformats.org/officeDocument/2006/relationships/image" Target="../media/image11.png"/><Relationship Id="rId25" Type="http://schemas.openxmlformats.org/officeDocument/2006/relationships/image" Target="../media/image15.png"/><Relationship Id="rId2" Type="http://schemas.openxmlformats.org/officeDocument/2006/relationships/image" Target="../media/image2.png"/><Relationship Id="rId16" Type="http://schemas.openxmlformats.org/officeDocument/2006/relationships/hyperlink" Target="https://www.snapchat.com/add/mubasher.info" TargetMode="External"/><Relationship Id="rId20" Type="http://schemas.openxmlformats.org/officeDocument/2006/relationships/hyperlink" Target="https://www.instagram.com/mubasher.info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twitter.com/mubasher" TargetMode="External"/><Relationship Id="rId11" Type="http://schemas.openxmlformats.org/officeDocument/2006/relationships/image" Target="../media/image8.png"/><Relationship Id="rId24" Type="http://schemas.openxmlformats.org/officeDocument/2006/relationships/hyperlink" Target="https://www.mubasher.info/news/rss" TargetMode="External"/><Relationship Id="rId5" Type="http://schemas.openxmlformats.org/officeDocument/2006/relationships/image" Target="../media/image5.svg"/><Relationship Id="rId15" Type="http://schemas.openxmlformats.org/officeDocument/2006/relationships/image" Target="../media/image10.png"/><Relationship Id="rId23" Type="http://schemas.openxmlformats.org/officeDocument/2006/relationships/image" Target="../media/image14.png"/><Relationship Id="rId10" Type="http://schemas.openxmlformats.org/officeDocument/2006/relationships/hyperlink" Target="https://www.youtube.com/channel/UC7hnxb7gD4nKZdZk3ZlZCYg" TargetMode="External"/><Relationship Id="rId19" Type="http://schemas.openxmlformats.org/officeDocument/2006/relationships/image" Target="../media/image12.png"/><Relationship Id="rId4" Type="http://schemas.openxmlformats.org/officeDocument/2006/relationships/image" Target="../media/image4.png"/><Relationship Id="rId9" Type="http://schemas.openxmlformats.org/officeDocument/2006/relationships/image" Target="../media/image7.png"/><Relationship Id="rId14" Type="http://schemas.openxmlformats.org/officeDocument/2006/relationships/hyperlink" Target="https://t.me/MubasherInfoo" TargetMode="External"/><Relationship Id="rId22" Type="http://schemas.openxmlformats.org/officeDocument/2006/relationships/hyperlink" Target="https://www.threads.net/@mubasher.inf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397</xdr:row>
      <xdr:rowOff>0</xdr:rowOff>
    </xdr:from>
    <xdr:to>
      <xdr:col>5</xdr:col>
      <xdr:colOff>32657</xdr:colOff>
      <xdr:row>398</xdr:row>
      <xdr:rowOff>168768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44392B-A001-110F-D1C6-8957A54FB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127428"/>
          <a:ext cx="5715000" cy="2543175"/>
        </a:xfrm>
        <a:prstGeom prst="rect">
          <a:avLst/>
        </a:prstGeom>
      </xdr:spPr>
    </xdr:pic>
    <xdr:clientData/>
  </xdr:twoCellAnchor>
  <xdr:twoCellAnchor editAs="oneCell">
    <xdr:from>
      <xdr:col>5</xdr:col>
      <xdr:colOff>65315</xdr:colOff>
      <xdr:row>397</xdr:row>
      <xdr:rowOff>0</xdr:rowOff>
    </xdr:from>
    <xdr:to>
      <xdr:col>11</xdr:col>
      <xdr:colOff>158172</xdr:colOff>
      <xdr:row>400</xdr:row>
      <xdr:rowOff>81393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EE0452-12BA-260E-C589-C7F9954FA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715990" y="76127428"/>
          <a:ext cx="4610100" cy="5675331"/>
        </a:xfrm>
        <a:prstGeom prst="rect">
          <a:avLst/>
        </a:prstGeom>
      </xdr:spPr>
    </xdr:pic>
    <xdr:clientData/>
  </xdr:twoCellAnchor>
  <xdr:twoCellAnchor editAs="oneCell">
    <xdr:from>
      <xdr:col>11</xdr:col>
      <xdr:colOff>185387</xdr:colOff>
      <xdr:row>397</xdr:row>
      <xdr:rowOff>0</xdr:rowOff>
    </xdr:from>
    <xdr:to>
      <xdr:col>18</xdr:col>
      <xdr:colOff>514143</xdr:colOff>
      <xdr:row>400</xdr:row>
      <xdr:rowOff>81393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AB8565-B783-DD55-AEA3-AB27B898F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0325595" y="76127428"/>
          <a:ext cx="4600575" cy="5675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1</xdr:col>
      <xdr:colOff>419760</xdr:colOff>
      <xdr:row>424</xdr:row>
      <xdr:rowOff>4117605</xdr:rowOff>
    </xdr:to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A860697-24F1-0670-1341-3876B8872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0458623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11</xdr:col>
      <xdr:colOff>49314</xdr:colOff>
      <xdr:row>429</xdr:row>
      <xdr:rowOff>3722749</xdr:rowOff>
    </xdr:to>
    <xdr:pic>
      <xdr:nvPicPr>
        <xdr:cNvPr id="6" name="Picture 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993C782-23F9-3D06-9D6B-E3D21D36C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0841273"/>
          <a:ext cx="10248900" cy="10248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422</xdr:row>
      <xdr:rowOff>0</xdr:rowOff>
    </xdr:from>
    <xdr:to>
      <xdr:col>54</xdr:col>
      <xdr:colOff>135245</xdr:colOff>
      <xdr:row>432</xdr:row>
      <xdr:rowOff>3763818</xdr:rowOff>
    </xdr:to>
    <xdr:pic>
      <xdr:nvPicPr>
        <xdr:cNvPr id="7" name="Picture 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163336D-CC85-ECF8-8441-1FBEA9005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81223922"/>
          <a:ext cx="36576000" cy="20574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10</xdr:col>
      <xdr:colOff>164274</xdr:colOff>
      <xdr:row>431</xdr:row>
      <xdr:rowOff>3611421</xdr:rowOff>
    </xdr:to>
    <xdr:pic>
      <xdr:nvPicPr>
        <xdr:cNvPr id="8" name="Picture 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8980DC2-C645-C208-3797-D3BC004EB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81606572"/>
          <a:ext cx="9753600" cy="9753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426</xdr:row>
      <xdr:rowOff>0</xdr:rowOff>
    </xdr:from>
    <xdr:to>
      <xdr:col>9</xdr:col>
      <xdr:colOff>1088244</xdr:colOff>
      <xdr:row>432</xdr:row>
      <xdr:rowOff>3574144</xdr:rowOff>
    </xdr:to>
    <xdr:pic>
      <xdr:nvPicPr>
        <xdr:cNvPr id="9" name="Picture 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C0FF180-051F-C2AC-290D-5254F5B6D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81989220"/>
          <a:ext cx="9525000" cy="952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428</xdr:row>
      <xdr:rowOff>0</xdr:rowOff>
    </xdr:from>
    <xdr:to>
      <xdr:col>4</xdr:col>
      <xdr:colOff>263896</xdr:colOff>
      <xdr:row>432</xdr:row>
      <xdr:rowOff>4046846</xdr:rowOff>
    </xdr:to>
    <xdr:pic>
      <xdr:nvPicPr>
        <xdr:cNvPr id="10" name="Picture 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0397F76-9415-7F60-3DE9-2CFAF70FD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8237187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5</xdr:col>
      <xdr:colOff>413657</xdr:colOff>
      <xdr:row>434</xdr:row>
      <xdr:rowOff>988289</xdr:rowOff>
    </xdr:to>
    <xdr:pic>
      <xdr:nvPicPr>
        <xdr:cNvPr id="11" name="Picture 1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BB46BCE2-DCAE-3DFD-78FC-8C102378A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8275452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7</xdr:col>
      <xdr:colOff>98962</xdr:colOff>
      <xdr:row>435</xdr:row>
      <xdr:rowOff>2388257</xdr:rowOff>
    </xdr:to>
    <xdr:pic>
      <xdr:nvPicPr>
        <xdr:cNvPr id="12" name="Picture 11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5401E2A0-98FA-084D-5757-71C4A64F9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83137168"/>
          <a:ext cx="7315200" cy="731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1</xdr:col>
      <xdr:colOff>419760</xdr:colOff>
      <xdr:row>435</xdr:row>
      <xdr:rowOff>3353627</xdr:rowOff>
    </xdr:to>
    <xdr:pic>
      <xdr:nvPicPr>
        <xdr:cNvPr id="13" name="Picture 1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EC1553CD-9787-AACE-7ED6-B1F553F0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83519818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436</xdr:row>
      <xdr:rowOff>0</xdr:rowOff>
    </xdr:from>
    <xdr:to>
      <xdr:col>1</xdr:col>
      <xdr:colOff>419760</xdr:colOff>
      <xdr:row>439</xdr:row>
      <xdr:rowOff>115621</xdr:rowOff>
    </xdr:to>
    <xdr:pic>
      <xdr:nvPicPr>
        <xdr:cNvPr id="14" name="Picture 13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86734A42-F0D9-CD58-8A7D-898194BFB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83902468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5</xdr:col>
      <xdr:colOff>34636</xdr:colOff>
      <xdr:row>397</xdr:row>
      <xdr:rowOff>2543175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DBB4F1E-D857-2AF3-4724-CB04BDF25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606234"/>
          <a:ext cx="5715000" cy="2543175"/>
        </a:xfrm>
        <a:prstGeom prst="rect">
          <a:avLst/>
        </a:prstGeom>
      </xdr:spPr>
    </xdr:pic>
    <xdr:clientData/>
  </xdr:twoCellAnchor>
  <xdr:twoCellAnchor editAs="oneCell">
    <xdr:from>
      <xdr:col>5</xdr:col>
      <xdr:colOff>35626</xdr:colOff>
      <xdr:row>397</xdr:row>
      <xdr:rowOff>0</xdr:rowOff>
    </xdr:from>
    <xdr:to>
      <xdr:col>11</xdr:col>
      <xdr:colOff>129144</xdr:colOff>
      <xdr:row>397</xdr:row>
      <xdr:rowOff>2838450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4288489-A469-2DEF-0B74-44CF6E0EA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715990" y="75606234"/>
          <a:ext cx="4610100" cy="2838450"/>
        </a:xfrm>
        <a:prstGeom prst="rect">
          <a:avLst/>
        </a:prstGeom>
      </xdr:spPr>
    </xdr:pic>
    <xdr:clientData/>
  </xdr:twoCellAnchor>
  <xdr:twoCellAnchor editAs="oneCell">
    <xdr:from>
      <xdr:col>11</xdr:col>
      <xdr:colOff>128649</xdr:colOff>
      <xdr:row>397</xdr:row>
      <xdr:rowOff>0</xdr:rowOff>
    </xdr:from>
    <xdr:to>
      <xdr:col>18</xdr:col>
      <xdr:colOff>462024</xdr:colOff>
      <xdr:row>397</xdr:row>
      <xdr:rowOff>2838450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54E581D-9BC9-4E9A-180B-2E2B12E68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0325595" y="75606234"/>
          <a:ext cx="4600575" cy="2838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1</xdr:col>
      <xdr:colOff>419100</xdr:colOff>
      <xdr:row>418</xdr:row>
      <xdr:rowOff>2857500</xdr:rowOff>
    </xdr:to>
    <xdr:pic>
      <xdr:nvPicPr>
        <xdr:cNvPr id="18" name="Picture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8061430-BB92-6E14-FC25-4A6D8FBA0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275122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11</xdr:col>
      <xdr:colOff>51954</xdr:colOff>
      <xdr:row>421</xdr:row>
      <xdr:rowOff>5047506</xdr:rowOff>
    </xdr:to>
    <xdr:pic>
      <xdr:nvPicPr>
        <xdr:cNvPr id="19" name="Pictur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559A0B5-F2D5-AE80-3EEC-2EA262FEC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5989226"/>
          <a:ext cx="10248900" cy="10248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422</xdr:row>
      <xdr:rowOff>0</xdr:rowOff>
    </xdr:from>
    <xdr:to>
      <xdr:col>54</xdr:col>
      <xdr:colOff>166254</xdr:colOff>
      <xdr:row>425</xdr:row>
      <xdr:rowOff>4969822</xdr:rowOff>
    </xdr:to>
    <xdr:pic>
      <xdr:nvPicPr>
        <xdr:cNvPr id="20" name="Picture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9BEBF35-035B-3820-3B96-AD392F7F5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91380624"/>
          <a:ext cx="36576000" cy="20574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10</xdr:col>
      <xdr:colOff>166254</xdr:colOff>
      <xdr:row>425</xdr:row>
      <xdr:rowOff>4552208</xdr:rowOff>
    </xdr:to>
    <xdr:pic>
      <xdr:nvPicPr>
        <xdr:cNvPr id="21" name="Picture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E02710B-1218-418C-05F2-7FF137C87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96772020"/>
          <a:ext cx="9753600" cy="9753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426</xdr:row>
      <xdr:rowOff>0</xdr:rowOff>
    </xdr:from>
    <xdr:to>
      <xdr:col>9</xdr:col>
      <xdr:colOff>1089562</xdr:colOff>
      <xdr:row>427</xdr:row>
      <xdr:rowOff>4323606</xdr:rowOff>
    </xdr:to>
    <xdr:pic>
      <xdr:nvPicPr>
        <xdr:cNvPr id="22" name="Picture 2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B6D7051-9F0B-81F7-E628-96FD4B45A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02163418"/>
          <a:ext cx="9525000" cy="952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428</xdr:row>
      <xdr:rowOff>0</xdr:rowOff>
    </xdr:from>
    <xdr:to>
      <xdr:col>4</xdr:col>
      <xdr:colOff>265216</xdr:colOff>
      <xdr:row>428</xdr:row>
      <xdr:rowOff>4572000</xdr:rowOff>
    </xdr:to>
    <xdr:pic>
      <xdr:nvPicPr>
        <xdr:cNvPr id="23" name="Picture 2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3207556-862B-5886-24FB-DDE56641C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07554816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5</xdr:col>
      <xdr:colOff>415636</xdr:colOff>
      <xdr:row>431</xdr:row>
      <xdr:rowOff>894608</xdr:rowOff>
    </xdr:to>
    <xdr:pic>
      <xdr:nvPicPr>
        <xdr:cNvPr id="24" name="Picture 2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82A5C4A-2E4B-2FFF-274B-53745EA0C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12506826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7</xdr:col>
      <xdr:colOff>98962</xdr:colOff>
      <xdr:row>433</xdr:row>
      <xdr:rowOff>2113808</xdr:rowOff>
    </xdr:to>
    <xdr:pic>
      <xdr:nvPicPr>
        <xdr:cNvPr id="25" name="Picture 2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A9DE38E7-9B2B-18E8-1E23-C2BCEC80A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17898224"/>
          <a:ext cx="7315200" cy="731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1</xdr:col>
      <xdr:colOff>419100</xdr:colOff>
      <xdr:row>434</xdr:row>
      <xdr:rowOff>2857500</xdr:rowOff>
    </xdr:to>
    <xdr:pic>
      <xdr:nvPicPr>
        <xdr:cNvPr id="26" name="Picture 25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8E75B188-E2BE-8511-D09A-7A6A242E5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2328962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436</xdr:row>
      <xdr:rowOff>0</xdr:rowOff>
    </xdr:from>
    <xdr:to>
      <xdr:col>1</xdr:col>
      <xdr:colOff>419100</xdr:colOff>
      <xdr:row>436</xdr:row>
      <xdr:rowOff>2857500</xdr:rowOff>
    </xdr:to>
    <xdr:pic>
      <xdr:nvPicPr>
        <xdr:cNvPr id="27" name="Picture 26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6CBAE35F-2F54-741E-2DED-ADD04CEAC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26527626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5</xdr:col>
      <xdr:colOff>34636</xdr:colOff>
      <xdr:row>397</xdr:row>
      <xdr:rowOff>179985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808FDF5-402B-61F9-73AF-8168EF0B1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416228"/>
          <a:ext cx="5715000" cy="2543175"/>
        </a:xfrm>
        <a:prstGeom prst="rect">
          <a:avLst/>
        </a:prstGeom>
      </xdr:spPr>
    </xdr:pic>
    <xdr:clientData/>
  </xdr:twoCellAnchor>
  <xdr:twoCellAnchor editAs="oneCell">
    <xdr:from>
      <xdr:col>11</xdr:col>
      <xdr:colOff>128649</xdr:colOff>
      <xdr:row>396</xdr:row>
      <xdr:rowOff>0</xdr:rowOff>
    </xdr:from>
    <xdr:to>
      <xdr:col>18</xdr:col>
      <xdr:colOff>462024</xdr:colOff>
      <xdr:row>397</xdr:row>
      <xdr:rowOff>475260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7F2339E-51C8-4FB0-846D-52588F925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0325595" y="75416228"/>
          <a:ext cx="4600575" cy="56766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1</xdr:col>
      <xdr:colOff>419100</xdr:colOff>
      <xdr:row>418</xdr:row>
      <xdr:rowOff>514102</xdr:rowOff>
    </xdr:to>
    <xdr:pic>
      <xdr:nvPicPr>
        <xdr:cNvPr id="31" name="Picture 3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817308F-73AE-2F7E-9A4D-1A51C146E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47344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11</xdr:col>
      <xdr:colOff>51954</xdr:colOff>
      <xdr:row>422</xdr:row>
      <xdr:rowOff>4667500</xdr:rowOff>
    </xdr:to>
    <xdr:pic>
      <xdr:nvPicPr>
        <xdr:cNvPr id="32" name="Picture 3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94ADBEE-EFEF-4FC7-9D43-972AC418C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0125798"/>
          <a:ext cx="10248900" cy="10248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54</xdr:col>
      <xdr:colOff>166254</xdr:colOff>
      <xdr:row>428</xdr:row>
      <xdr:rowOff>3770414</xdr:rowOff>
    </xdr:to>
    <xdr:pic>
      <xdr:nvPicPr>
        <xdr:cNvPr id="33" name="Picture 3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BB3F236-879B-CC69-DCC4-C5888C68C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95517194"/>
          <a:ext cx="36576000" cy="20574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10</xdr:col>
      <xdr:colOff>166254</xdr:colOff>
      <xdr:row>426</xdr:row>
      <xdr:rowOff>4172196</xdr:rowOff>
    </xdr:to>
    <xdr:pic>
      <xdr:nvPicPr>
        <xdr:cNvPr id="34" name="Picture 3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C1C7A4D-055F-BE46-C109-BC9E7AC03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00908592"/>
          <a:ext cx="9753600" cy="9753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9</xdr:col>
      <xdr:colOff>1089562</xdr:colOff>
      <xdr:row>428</xdr:row>
      <xdr:rowOff>3504212</xdr:rowOff>
    </xdr:to>
    <xdr:pic>
      <xdr:nvPicPr>
        <xdr:cNvPr id="35" name="Picture 3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C1E79AC-2748-2662-F421-8034C9CFA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06299990"/>
          <a:ext cx="9525000" cy="952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4</xdr:col>
      <xdr:colOff>265216</xdr:colOff>
      <xdr:row>428</xdr:row>
      <xdr:rowOff>3942610</xdr:rowOff>
    </xdr:to>
    <xdr:pic>
      <xdr:nvPicPr>
        <xdr:cNvPr id="36" name="Picture 3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A0910B5-5B9F-2D4E-8EA0-AD846DBB5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11691388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5</xdr:col>
      <xdr:colOff>415636</xdr:colOff>
      <xdr:row>432</xdr:row>
      <xdr:rowOff>514596</xdr:rowOff>
    </xdr:to>
    <xdr:pic>
      <xdr:nvPicPr>
        <xdr:cNvPr id="37" name="Picture 36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ABC19ADE-9FF7-25C6-8E8E-36A0C1DFE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17082784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7</xdr:col>
      <xdr:colOff>98962</xdr:colOff>
      <xdr:row>433</xdr:row>
      <xdr:rowOff>4781796</xdr:rowOff>
    </xdr:to>
    <xdr:pic>
      <xdr:nvPicPr>
        <xdr:cNvPr id="38" name="Picture 37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89C15C3C-02DB-1F87-7D77-550DA8612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22474182"/>
          <a:ext cx="7315200" cy="731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1</xdr:col>
      <xdr:colOff>419100</xdr:colOff>
      <xdr:row>434</xdr:row>
      <xdr:rowOff>514104</xdr:rowOff>
    </xdr:to>
    <xdr:pic>
      <xdr:nvPicPr>
        <xdr:cNvPr id="39" name="Picture 38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C1B49749-5AA6-4FAF-C838-1CB045379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2786558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1</xdr:col>
      <xdr:colOff>419100</xdr:colOff>
      <xdr:row>436</xdr:row>
      <xdr:rowOff>514102</xdr:rowOff>
    </xdr:to>
    <xdr:pic>
      <xdr:nvPicPr>
        <xdr:cNvPr id="40" name="Picture 3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3F7794DE-AB1A-7897-4F6D-0BD22B839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33256976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5</xdr:col>
      <xdr:colOff>34636</xdr:colOff>
      <xdr:row>396</xdr:row>
      <xdr:rowOff>2543175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7A752A7-4E0A-8190-0D46-455B3EF78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416228"/>
          <a:ext cx="5715000" cy="2543175"/>
        </a:xfrm>
        <a:prstGeom prst="rect">
          <a:avLst/>
        </a:prstGeom>
      </xdr:spPr>
    </xdr:pic>
    <xdr:clientData/>
  </xdr:twoCellAnchor>
  <xdr:twoCellAnchor editAs="oneCell">
    <xdr:from>
      <xdr:col>11</xdr:col>
      <xdr:colOff>128649</xdr:colOff>
      <xdr:row>396</xdr:row>
      <xdr:rowOff>0</xdr:rowOff>
    </xdr:from>
    <xdr:to>
      <xdr:col>18</xdr:col>
      <xdr:colOff>462024</xdr:colOff>
      <xdr:row>396</xdr:row>
      <xdr:rowOff>2838450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3A853BAF-9218-DF44-7539-E1F89FD1C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0325595" y="75416228"/>
          <a:ext cx="4600575" cy="2838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1</xdr:col>
      <xdr:colOff>419100</xdr:colOff>
      <xdr:row>417</xdr:row>
      <xdr:rowOff>2857500</xdr:rowOff>
    </xdr:to>
    <xdr:pic>
      <xdr:nvPicPr>
        <xdr:cNvPr id="44" name="Picture 4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0856C0A-5D08-900D-539F-F27C28783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7572602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11</xdr:col>
      <xdr:colOff>51954</xdr:colOff>
      <xdr:row>420</xdr:row>
      <xdr:rowOff>5047506</xdr:rowOff>
    </xdr:to>
    <xdr:pic>
      <xdr:nvPicPr>
        <xdr:cNvPr id="45" name="Picture 4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FC279E8-949C-2DB8-7AAD-3759C5D5E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5821994"/>
          <a:ext cx="10248900" cy="10248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54</xdr:col>
      <xdr:colOff>166254</xdr:colOff>
      <xdr:row>424</xdr:row>
      <xdr:rowOff>4969824</xdr:rowOff>
    </xdr:to>
    <xdr:pic>
      <xdr:nvPicPr>
        <xdr:cNvPr id="46" name="Picture 4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731245F-2B80-E42A-2CF0-984405345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06224780"/>
          <a:ext cx="36576000" cy="20574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10</xdr:col>
      <xdr:colOff>166254</xdr:colOff>
      <xdr:row>424</xdr:row>
      <xdr:rowOff>4552208</xdr:rowOff>
    </xdr:to>
    <xdr:pic>
      <xdr:nvPicPr>
        <xdr:cNvPr id="47" name="Picture 4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3CC0CB3-8057-EC47-6125-ABFB5407C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16627564"/>
          <a:ext cx="9753600" cy="9753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9</xdr:col>
      <xdr:colOff>1089562</xdr:colOff>
      <xdr:row>426</xdr:row>
      <xdr:rowOff>4323608</xdr:rowOff>
    </xdr:to>
    <xdr:pic>
      <xdr:nvPicPr>
        <xdr:cNvPr id="48" name="Picture 4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67338B0-F565-7CF2-7582-8C58A7C69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27030348"/>
          <a:ext cx="9525000" cy="952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4</xdr:col>
      <xdr:colOff>265216</xdr:colOff>
      <xdr:row>427</xdr:row>
      <xdr:rowOff>4572000</xdr:rowOff>
    </xdr:to>
    <xdr:pic>
      <xdr:nvPicPr>
        <xdr:cNvPr id="49" name="Picture 4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E5CD7C2-131C-E311-D962-986EFB2F0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37433132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5</xdr:col>
      <xdr:colOff>415636</xdr:colOff>
      <xdr:row>430</xdr:row>
      <xdr:rowOff>894608</xdr:rowOff>
    </xdr:to>
    <xdr:pic>
      <xdr:nvPicPr>
        <xdr:cNvPr id="50" name="Picture 49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58D5054-248B-F219-AAB0-673EE7401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4739653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7</xdr:col>
      <xdr:colOff>98962</xdr:colOff>
      <xdr:row>432</xdr:row>
      <xdr:rowOff>2113808</xdr:rowOff>
    </xdr:to>
    <xdr:pic>
      <xdr:nvPicPr>
        <xdr:cNvPr id="51" name="Picture 5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BD36ACB6-81E3-241D-BB5F-A3396ECF4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57799314"/>
          <a:ext cx="7315200" cy="731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1</xdr:col>
      <xdr:colOff>419100</xdr:colOff>
      <xdr:row>433</xdr:row>
      <xdr:rowOff>2857500</xdr:rowOff>
    </xdr:to>
    <xdr:pic>
      <xdr:nvPicPr>
        <xdr:cNvPr id="52" name="Picture 5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8C0132E1-5FFD-80FB-5626-87B6502A3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68202098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1</xdr:col>
      <xdr:colOff>419100</xdr:colOff>
      <xdr:row>435</xdr:row>
      <xdr:rowOff>2857500</xdr:rowOff>
    </xdr:to>
    <xdr:pic>
      <xdr:nvPicPr>
        <xdr:cNvPr id="53" name="Picture 52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2332AB5-9314-4E93-696C-83C4C17EE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7645149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5</xdr:col>
      <xdr:colOff>34636</xdr:colOff>
      <xdr:row>396</xdr:row>
      <xdr:rowOff>2543175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F7B10A46-339F-3AB8-E9E8-499963336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416228"/>
          <a:ext cx="5715000" cy="2543175"/>
        </a:xfrm>
        <a:prstGeom prst="rect">
          <a:avLst/>
        </a:prstGeom>
      </xdr:spPr>
    </xdr:pic>
    <xdr:clientData/>
  </xdr:twoCellAnchor>
  <xdr:twoCellAnchor editAs="oneCell">
    <xdr:from>
      <xdr:col>11</xdr:col>
      <xdr:colOff>128649</xdr:colOff>
      <xdr:row>396</xdr:row>
      <xdr:rowOff>0</xdr:rowOff>
    </xdr:from>
    <xdr:to>
      <xdr:col>18</xdr:col>
      <xdr:colOff>462024</xdr:colOff>
      <xdr:row>396</xdr:row>
      <xdr:rowOff>2838450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568FF27D-4BE7-88D3-8624-0FBB4C81C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0325595" y="75416228"/>
          <a:ext cx="4600575" cy="2838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1</xdr:col>
      <xdr:colOff>419100</xdr:colOff>
      <xdr:row>417</xdr:row>
      <xdr:rowOff>2857500</xdr:rowOff>
    </xdr:to>
    <xdr:pic>
      <xdr:nvPicPr>
        <xdr:cNvPr id="57" name="Picture 5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F577B3A-FE7D-F50C-140F-FF577AF6E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9429112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11</xdr:col>
      <xdr:colOff>51954</xdr:colOff>
      <xdr:row>420</xdr:row>
      <xdr:rowOff>5047508</xdr:rowOff>
    </xdr:to>
    <xdr:pic>
      <xdr:nvPicPr>
        <xdr:cNvPr id="58" name="Picture 5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A16DEDA-013D-C2D3-4630-437868A76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9831896"/>
          <a:ext cx="10248900" cy="10248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54</xdr:col>
      <xdr:colOff>166254</xdr:colOff>
      <xdr:row>424</xdr:row>
      <xdr:rowOff>4969822</xdr:rowOff>
    </xdr:to>
    <xdr:pic>
      <xdr:nvPicPr>
        <xdr:cNvPr id="59" name="Picture 5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5724B4F-70CF-1D1E-2CEF-B0C823D00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10234680"/>
          <a:ext cx="36576000" cy="20574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10</xdr:col>
      <xdr:colOff>166254</xdr:colOff>
      <xdr:row>424</xdr:row>
      <xdr:rowOff>4552206</xdr:rowOff>
    </xdr:to>
    <xdr:pic>
      <xdr:nvPicPr>
        <xdr:cNvPr id="60" name="Picture 5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2D8AD69-10A1-0201-47FF-1765691FF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20637464"/>
          <a:ext cx="9753600" cy="9753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9</xdr:col>
      <xdr:colOff>1089562</xdr:colOff>
      <xdr:row>426</xdr:row>
      <xdr:rowOff>4323608</xdr:rowOff>
    </xdr:to>
    <xdr:pic>
      <xdr:nvPicPr>
        <xdr:cNvPr id="61" name="Picture 6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38A95F4-30D9-EB3F-6270-1266897BB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31040250"/>
          <a:ext cx="9525000" cy="952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4</xdr:col>
      <xdr:colOff>265216</xdr:colOff>
      <xdr:row>427</xdr:row>
      <xdr:rowOff>4572000</xdr:rowOff>
    </xdr:to>
    <xdr:pic>
      <xdr:nvPicPr>
        <xdr:cNvPr id="62" name="Picture 6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C734D81-B5CE-2C3F-E591-B84A87226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41443034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5</xdr:col>
      <xdr:colOff>415636</xdr:colOff>
      <xdr:row>430</xdr:row>
      <xdr:rowOff>894608</xdr:rowOff>
    </xdr:to>
    <xdr:pic>
      <xdr:nvPicPr>
        <xdr:cNvPr id="63" name="Picture 6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4BF2652-EFF7-ED58-84A8-C91D83477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51845818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7</xdr:col>
      <xdr:colOff>98962</xdr:colOff>
      <xdr:row>432</xdr:row>
      <xdr:rowOff>2113808</xdr:rowOff>
    </xdr:to>
    <xdr:pic>
      <xdr:nvPicPr>
        <xdr:cNvPr id="64" name="Picture 6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4E1EAF9-0E2C-1E50-DCF6-030453980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62248602"/>
          <a:ext cx="7315200" cy="731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1</xdr:col>
      <xdr:colOff>419100</xdr:colOff>
      <xdr:row>433</xdr:row>
      <xdr:rowOff>2857500</xdr:rowOff>
    </xdr:to>
    <xdr:pic>
      <xdr:nvPicPr>
        <xdr:cNvPr id="65" name="Picture 6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18FF1BF1-C1F1-A92A-3EB6-B0C14E4E5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72651388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1</xdr:col>
      <xdr:colOff>419100</xdr:colOff>
      <xdr:row>435</xdr:row>
      <xdr:rowOff>2857500</xdr:rowOff>
    </xdr:to>
    <xdr:pic>
      <xdr:nvPicPr>
        <xdr:cNvPr id="66" name="Picture 6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D0FE5CFF-4392-667E-2030-84EE38634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83054172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5</xdr:col>
      <xdr:colOff>34636</xdr:colOff>
      <xdr:row>396</xdr:row>
      <xdr:rowOff>2543175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A6FD61B2-1272-8065-6A58-08CFF161C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416228"/>
          <a:ext cx="5715000" cy="2543175"/>
        </a:xfrm>
        <a:prstGeom prst="rect">
          <a:avLst/>
        </a:prstGeom>
      </xdr:spPr>
    </xdr:pic>
    <xdr:clientData/>
  </xdr:twoCellAnchor>
  <xdr:twoCellAnchor editAs="oneCell">
    <xdr:from>
      <xdr:col>11</xdr:col>
      <xdr:colOff>128649</xdr:colOff>
      <xdr:row>396</xdr:row>
      <xdr:rowOff>0</xdr:rowOff>
    </xdr:from>
    <xdr:to>
      <xdr:col>18</xdr:col>
      <xdr:colOff>462024</xdr:colOff>
      <xdr:row>396</xdr:row>
      <xdr:rowOff>2838450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21E68A8D-DCED-0BF0-6062-6CA6275A3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0325595" y="75416228"/>
          <a:ext cx="4600575" cy="2838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1</xdr:col>
      <xdr:colOff>419100</xdr:colOff>
      <xdr:row>417</xdr:row>
      <xdr:rowOff>2857500</xdr:rowOff>
    </xdr:to>
    <xdr:pic>
      <xdr:nvPicPr>
        <xdr:cNvPr id="70" name="Picture 6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1F05B78-4FEB-F993-BDE5-FB7F75301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9429112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11</xdr:col>
      <xdr:colOff>51954</xdr:colOff>
      <xdr:row>420</xdr:row>
      <xdr:rowOff>5047508</xdr:rowOff>
    </xdr:to>
    <xdr:pic>
      <xdr:nvPicPr>
        <xdr:cNvPr id="71" name="Picture 7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EB5F703-1614-865A-C333-98BEA95CE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9831896"/>
          <a:ext cx="10248900" cy="10248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54</xdr:col>
      <xdr:colOff>166254</xdr:colOff>
      <xdr:row>424</xdr:row>
      <xdr:rowOff>4969822</xdr:rowOff>
    </xdr:to>
    <xdr:pic>
      <xdr:nvPicPr>
        <xdr:cNvPr id="72" name="Picture 7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C8702A0-F5D0-D81B-C0B3-78C712436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10234680"/>
          <a:ext cx="36576000" cy="20574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10</xdr:col>
      <xdr:colOff>166254</xdr:colOff>
      <xdr:row>424</xdr:row>
      <xdr:rowOff>4552206</xdr:rowOff>
    </xdr:to>
    <xdr:pic>
      <xdr:nvPicPr>
        <xdr:cNvPr id="73" name="Picture 7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89699F1-8428-521A-78D3-372E7AA72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20637464"/>
          <a:ext cx="9753600" cy="9753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9</xdr:col>
      <xdr:colOff>1089562</xdr:colOff>
      <xdr:row>426</xdr:row>
      <xdr:rowOff>4323608</xdr:rowOff>
    </xdr:to>
    <xdr:pic>
      <xdr:nvPicPr>
        <xdr:cNvPr id="74" name="Picture 7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FB17204-0EB1-C844-F620-ED5037C74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31040250"/>
          <a:ext cx="9525000" cy="952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4</xdr:col>
      <xdr:colOff>265216</xdr:colOff>
      <xdr:row>427</xdr:row>
      <xdr:rowOff>4572000</xdr:rowOff>
    </xdr:to>
    <xdr:pic>
      <xdr:nvPicPr>
        <xdr:cNvPr id="75" name="Picture 7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227409D-E77A-58B2-B3E5-A42DEDE7F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41443034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5</xdr:col>
      <xdr:colOff>415636</xdr:colOff>
      <xdr:row>430</xdr:row>
      <xdr:rowOff>894608</xdr:rowOff>
    </xdr:to>
    <xdr:pic>
      <xdr:nvPicPr>
        <xdr:cNvPr id="76" name="Picture 7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B3CB8067-3704-76BD-49B6-3885979B8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51845818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7</xdr:col>
      <xdr:colOff>98962</xdr:colOff>
      <xdr:row>432</xdr:row>
      <xdr:rowOff>2113808</xdr:rowOff>
    </xdr:to>
    <xdr:pic>
      <xdr:nvPicPr>
        <xdr:cNvPr id="77" name="Picture 76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B17E0490-FD6F-FBB6-B6E7-CA329D51A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62248602"/>
          <a:ext cx="7315200" cy="731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1</xdr:col>
      <xdr:colOff>419100</xdr:colOff>
      <xdr:row>433</xdr:row>
      <xdr:rowOff>2857500</xdr:rowOff>
    </xdr:to>
    <xdr:pic>
      <xdr:nvPicPr>
        <xdr:cNvPr id="78" name="Picture 77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697A061D-2ADA-AEE5-563F-B6197FE73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72651388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1</xdr:col>
      <xdr:colOff>419100</xdr:colOff>
      <xdr:row>435</xdr:row>
      <xdr:rowOff>2857500</xdr:rowOff>
    </xdr:to>
    <xdr:pic>
      <xdr:nvPicPr>
        <xdr:cNvPr id="79" name="Picture 78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9C17401-3691-19BF-E129-3C65C70ED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83054172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5</xdr:col>
      <xdr:colOff>34636</xdr:colOff>
      <xdr:row>396</xdr:row>
      <xdr:rowOff>2543175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22277BF5-10A5-8A04-499C-979C6DD61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416228"/>
          <a:ext cx="5715000" cy="2543175"/>
        </a:xfrm>
        <a:prstGeom prst="rect">
          <a:avLst/>
        </a:prstGeom>
      </xdr:spPr>
    </xdr:pic>
    <xdr:clientData/>
  </xdr:twoCellAnchor>
  <xdr:twoCellAnchor editAs="oneCell">
    <xdr:from>
      <xdr:col>11</xdr:col>
      <xdr:colOff>128649</xdr:colOff>
      <xdr:row>396</xdr:row>
      <xdr:rowOff>0</xdr:rowOff>
    </xdr:from>
    <xdr:to>
      <xdr:col>18</xdr:col>
      <xdr:colOff>462024</xdr:colOff>
      <xdr:row>396</xdr:row>
      <xdr:rowOff>2838450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9E1BF2E4-36C6-B72C-327E-99EF76CA2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0325595" y="75416228"/>
          <a:ext cx="4600575" cy="2838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1</xdr:col>
      <xdr:colOff>419100</xdr:colOff>
      <xdr:row>417</xdr:row>
      <xdr:rowOff>2857500</xdr:rowOff>
    </xdr:to>
    <xdr:pic>
      <xdr:nvPicPr>
        <xdr:cNvPr id="83" name="Picture 8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528573B-B9C1-5AE0-ADF6-511EB4B33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9429112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11</xdr:col>
      <xdr:colOff>51954</xdr:colOff>
      <xdr:row>420</xdr:row>
      <xdr:rowOff>5047508</xdr:rowOff>
    </xdr:to>
    <xdr:pic>
      <xdr:nvPicPr>
        <xdr:cNvPr id="84" name="Picture 8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92EBDBE-7E0B-F081-82F1-0C7505379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9831896"/>
          <a:ext cx="10248900" cy="10248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54</xdr:col>
      <xdr:colOff>166254</xdr:colOff>
      <xdr:row>424</xdr:row>
      <xdr:rowOff>4969822</xdr:rowOff>
    </xdr:to>
    <xdr:pic>
      <xdr:nvPicPr>
        <xdr:cNvPr id="85" name="Picture 8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E3824AE-F795-8BCF-A921-C189FA690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10234680"/>
          <a:ext cx="36576000" cy="20574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10</xdr:col>
      <xdr:colOff>166254</xdr:colOff>
      <xdr:row>424</xdr:row>
      <xdr:rowOff>4552206</xdr:rowOff>
    </xdr:to>
    <xdr:pic>
      <xdr:nvPicPr>
        <xdr:cNvPr id="86" name="Picture 8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9D37CE5-4306-BDBA-F5C2-33431FF6C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20637464"/>
          <a:ext cx="9753600" cy="9753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9</xdr:col>
      <xdr:colOff>1089562</xdr:colOff>
      <xdr:row>426</xdr:row>
      <xdr:rowOff>4323608</xdr:rowOff>
    </xdr:to>
    <xdr:pic>
      <xdr:nvPicPr>
        <xdr:cNvPr id="87" name="Picture 8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655D727-3645-E19B-9D98-388F12031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31040250"/>
          <a:ext cx="9525000" cy="952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4</xdr:col>
      <xdr:colOff>265216</xdr:colOff>
      <xdr:row>427</xdr:row>
      <xdr:rowOff>4572000</xdr:rowOff>
    </xdr:to>
    <xdr:pic>
      <xdr:nvPicPr>
        <xdr:cNvPr id="88" name="Picture 8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F31AB5F-45A5-7E45-40AC-6E0D0F97E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41443034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5</xdr:col>
      <xdr:colOff>415636</xdr:colOff>
      <xdr:row>430</xdr:row>
      <xdr:rowOff>894608</xdr:rowOff>
    </xdr:to>
    <xdr:pic>
      <xdr:nvPicPr>
        <xdr:cNvPr id="89" name="Picture 8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AFB58746-3903-FB28-5318-4DD47A318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51845818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7</xdr:col>
      <xdr:colOff>98962</xdr:colOff>
      <xdr:row>432</xdr:row>
      <xdr:rowOff>2113808</xdr:rowOff>
    </xdr:to>
    <xdr:pic>
      <xdr:nvPicPr>
        <xdr:cNvPr id="90" name="Picture 8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E7146E5-F91F-A6AF-21F6-567004716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62248602"/>
          <a:ext cx="7315200" cy="731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1</xdr:col>
      <xdr:colOff>419100</xdr:colOff>
      <xdr:row>433</xdr:row>
      <xdr:rowOff>2857500</xdr:rowOff>
    </xdr:to>
    <xdr:pic>
      <xdr:nvPicPr>
        <xdr:cNvPr id="91" name="Picture 90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D2700DB3-ECF1-2817-7061-9F07EDAC5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72651388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1</xdr:col>
      <xdr:colOff>419100</xdr:colOff>
      <xdr:row>435</xdr:row>
      <xdr:rowOff>2857500</xdr:rowOff>
    </xdr:to>
    <xdr:pic>
      <xdr:nvPicPr>
        <xdr:cNvPr id="92" name="Picture 91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9AF503CD-AC2E-76A0-6428-086E1F082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83054172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5</xdr:col>
      <xdr:colOff>34636</xdr:colOff>
      <xdr:row>396</xdr:row>
      <xdr:rowOff>2543175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377F1841-1BEC-D303-F1B5-33830F820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416228"/>
          <a:ext cx="5715000" cy="2543175"/>
        </a:xfrm>
        <a:prstGeom prst="rect">
          <a:avLst/>
        </a:prstGeom>
      </xdr:spPr>
    </xdr:pic>
    <xdr:clientData/>
  </xdr:twoCellAnchor>
  <xdr:twoCellAnchor editAs="oneCell">
    <xdr:from>
      <xdr:col>11</xdr:col>
      <xdr:colOff>128649</xdr:colOff>
      <xdr:row>396</xdr:row>
      <xdr:rowOff>0</xdr:rowOff>
    </xdr:from>
    <xdr:to>
      <xdr:col>18</xdr:col>
      <xdr:colOff>462024</xdr:colOff>
      <xdr:row>396</xdr:row>
      <xdr:rowOff>2838450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C66D13F3-1623-470B-FC0D-1CCCDFB62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0325595" y="75416228"/>
          <a:ext cx="4600575" cy="2838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1</xdr:col>
      <xdr:colOff>419100</xdr:colOff>
      <xdr:row>417</xdr:row>
      <xdr:rowOff>2857500</xdr:rowOff>
    </xdr:to>
    <xdr:pic>
      <xdr:nvPicPr>
        <xdr:cNvPr id="96" name="Picture 9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659BA09-0B05-3E75-91D5-919EA4394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9429112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11</xdr:col>
      <xdr:colOff>51954</xdr:colOff>
      <xdr:row>420</xdr:row>
      <xdr:rowOff>5047508</xdr:rowOff>
    </xdr:to>
    <xdr:pic>
      <xdr:nvPicPr>
        <xdr:cNvPr id="97" name="Picture 9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6392CE-76E2-4A65-D1A1-6DD80183E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9831896"/>
          <a:ext cx="10248900" cy="10248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54</xdr:col>
      <xdr:colOff>166254</xdr:colOff>
      <xdr:row>424</xdr:row>
      <xdr:rowOff>4969822</xdr:rowOff>
    </xdr:to>
    <xdr:pic>
      <xdr:nvPicPr>
        <xdr:cNvPr id="98" name="Picture 9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C3993B5-0E8C-6D91-D66E-60A554AD8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10234680"/>
          <a:ext cx="36576000" cy="20574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10</xdr:col>
      <xdr:colOff>166254</xdr:colOff>
      <xdr:row>424</xdr:row>
      <xdr:rowOff>4552206</xdr:rowOff>
    </xdr:to>
    <xdr:pic>
      <xdr:nvPicPr>
        <xdr:cNvPr id="99" name="Picture 9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BDD9230-2C9E-E0C8-BC81-8573E3450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20637464"/>
          <a:ext cx="9753600" cy="9753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9</xdr:col>
      <xdr:colOff>1089562</xdr:colOff>
      <xdr:row>426</xdr:row>
      <xdr:rowOff>4323608</xdr:rowOff>
    </xdr:to>
    <xdr:pic>
      <xdr:nvPicPr>
        <xdr:cNvPr id="100" name="Picture 9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632EEDB-763B-04C2-AEE1-748A47C6B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31040250"/>
          <a:ext cx="9525000" cy="952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4</xdr:col>
      <xdr:colOff>265216</xdr:colOff>
      <xdr:row>427</xdr:row>
      <xdr:rowOff>4572000</xdr:rowOff>
    </xdr:to>
    <xdr:pic>
      <xdr:nvPicPr>
        <xdr:cNvPr id="101" name="Picture 10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7668693-C937-A74D-DB02-386496B03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41443034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5</xdr:col>
      <xdr:colOff>415636</xdr:colOff>
      <xdr:row>430</xdr:row>
      <xdr:rowOff>894608</xdr:rowOff>
    </xdr:to>
    <xdr:pic>
      <xdr:nvPicPr>
        <xdr:cNvPr id="102" name="Picture 10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E23DF4D-0A35-5021-2008-E378A4E89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51845818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7</xdr:col>
      <xdr:colOff>98962</xdr:colOff>
      <xdr:row>432</xdr:row>
      <xdr:rowOff>2113808</xdr:rowOff>
    </xdr:to>
    <xdr:pic>
      <xdr:nvPicPr>
        <xdr:cNvPr id="103" name="Picture 102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3659440-183B-B49E-FEAE-8EFC50352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62248602"/>
          <a:ext cx="7315200" cy="731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1</xdr:col>
      <xdr:colOff>419100</xdr:colOff>
      <xdr:row>433</xdr:row>
      <xdr:rowOff>2857500</xdr:rowOff>
    </xdr:to>
    <xdr:pic>
      <xdr:nvPicPr>
        <xdr:cNvPr id="104" name="Picture 103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4FA0C2D7-52B0-7B7B-84AB-B9DDE446D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72651388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1</xdr:col>
      <xdr:colOff>419100</xdr:colOff>
      <xdr:row>435</xdr:row>
      <xdr:rowOff>2857500</xdr:rowOff>
    </xdr:to>
    <xdr:pic>
      <xdr:nvPicPr>
        <xdr:cNvPr id="105" name="Picture 10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F8C4660D-7EBC-7FA9-49D4-5F03BB7EA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83054172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5</xdr:col>
      <xdr:colOff>34636</xdr:colOff>
      <xdr:row>397</xdr:row>
      <xdr:rowOff>2543175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E7DC123D-0BFB-9814-9185-E57D64D4C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617620"/>
          <a:ext cx="5715000" cy="2543175"/>
        </a:xfrm>
        <a:prstGeom prst="rect">
          <a:avLst/>
        </a:prstGeom>
      </xdr:spPr>
    </xdr:pic>
    <xdr:clientData/>
  </xdr:twoCellAnchor>
  <xdr:twoCellAnchor editAs="oneCell">
    <xdr:from>
      <xdr:col>5</xdr:col>
      <xdr:colOff>35626</xdr:colOff>
      <xdr:row>397</xdr:row>
      <xdr:rowOff>0</xdr:rowOff>
    </xdr:from>
    <xdr:to>
      <xdr:col>11</xdr:col>
      <xdr:colOff>129144</xdr:colOff>
      <xdr:row>397</xdr:row>
      <xdr:rowOff>2838450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62A29706-E28E-E0E9-3DBA-34259DEC5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715990" y="80617620"/>
          <a:ext cx="4610100" cy="2838450"/>
        </a:xfrm>
        <a:prstGeom prst="rect">
          <a:avLst/>
        </a:prstGeom>
      </xdr:spPr>
    </xdr:pic>
    <xdr:clientData/>
  </xdr:twoCellAnchor>
  <xdr:twoCellAnchor editAs="oneCell">
    <xdr:from>
      <xdr:col>11</xdr:col>
      <xdr:colOff>128649</xdr:colOff>
      <xdr:row>397</xdr:row>
      <xdr:rowOff>0</xdr:rowOff>
    </xdr:from>
    <xdr:to>
      <xdr:col>18</xdr:col>
      <xdr:colOff>462024</xdr:colOff>
      <xdr:row>397</xdr:row>
      <xdr:rowOff>2838450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5DC27D5D-84D8-300F-584E-29C503CD4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0325595" y="80617620"/>
          <a:ext cx="4600575" cy="2838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1</xdr:col>
      <xdr:colOff>419100</xdr:colOff>
      <xdr:row>418</xdr:row>
      <xdr:rowOff>2857500</xdr:rowOff>
    </xdr:to>
    <xdr:pic>
      <xdr:nvPicPr>
        <xdr:cNvPr id="109" name="Picture 10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3E320B2-9A35-39B7-4919-92E820E4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4630504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11</xdr:col>
      <xdr:colOff>51954</xdr:colOff>
      <xdr:row>421</xdr:row>
      <xdr:rowOff>5047508</xdr:rowOff>
    </xdr:to>
    <xdr:pic>
      <xdr:nvPicPr>
        <xdr:cNvPr id="110" name="Picture 10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52AF1ED-39E7-63A6-D381-B79377B0F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05033288"/>
          <a:ext cx="10248900" cy="10248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422</xdr:row>
      <xdr:rowOff>0</xdr:rowOff>
    </xdr:from>
    <xdr:to>
      <xdr:col>54</xdr:col>
      <xdr:colOff>166254</xdr:colOff>
      <xdr:row>425</xdr:row>
      <xdr:rowOff>4969822</xdr:rowOff>
    </xdr:to>
    <xdr:pic>
      <xdr:nvPicPr>
        <xdr:cNvPr id="111" name="Picture 1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4CF7F04-C078-310B-76C0-BA8C16915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15436072"/>
          <a:ext cx="36576000" cy="20574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10</xdr:col>
      <xdr:colOff>166254</xdr:colOff>
      <xdr:row>425</xdr:row>
      <xdr:rowOff>4552208</xdr:rowOff>
    </xdr:to>
    <xdr:pic>
      <xdr:nvPicPr>
        <xdr:cNvPr id="112" name="Picture 1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4C7C1AD-86F2-64B0-301B-227746732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25838858"/>
          <a:ext cx="9753600" cy="9753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426</xdr:row>
      <xdr:rowOff>0</xdr:rowOff>
    </xdr:from>
    <xdr:to>
      <xdr:col>9</xdr:col>
      <xdr:colOff>1089562</xdr:colOff>
      <xdr:row>427</xdr:row>
      <xdr:rowOff>4323608</xdr:rowOff>
    </xdr:to>
    <xdr:pic>
      <xdr:nvPicPr>
        <xdr:cNvPr id="113" name="Picture 11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D4E5260-281A-30A3-88D2-7DD5AF08E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36241642"/>
          <a:ext cx="9525000" cy="952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428</xdr:row>
      <xdr:rowOff>0</xdr:rowOff>
    </xdr:from>
    <xdr:to>
      <xdr:col>4</xdr:col>
      <xdr:colOff>265216</xdr:colOff>
      <xdr:row>428</xdr:row>
      <xdr:rowOff>4572000</xdr:rowOff>
    </xdr:to>
    <xdr:pic>
      <xdr:nvPicPr>
        <xdr:cNvPr id="114" name="Picture 11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1671571-A05D-C5DA-96E6-2F88F90EA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46644426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5</xdr:col>
      <xdr:colOff>415636</xdr:colOff>
      <xdr:row>431</xdr:row>
      <xdr:rowOff>894608</xdr:rowOff>
    </xdr:to>
    <xdr:pic>
      <xdr:nvPicPr>
        <xdr:cNvPr id="115" name="Picture 11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04611A6-560E-D8CF-53EF-4202811A4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5704721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7</xdr:col>
      <xdr:colOff>98962</xdr:colOff>
      <xdr:row>433</xdr:row>
      <xdr:rowOff>2113806</xdr:rowOff>
    </xdr:to>
    <xdr:pic>
      <xdr:nvPicPr>
        <xdr:cNvPr id="116" name="Picture 115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BC9425C7-A2C4-CE09-F3B7-11B2909E7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67449994"/>
          <a:ext cx="7315200" cy="731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1</xdr:col>
      <xdr:colOff>419100</xdr:colOff>
      <xdr:row>434</xdr:row>
      <xdr:rowOff>2857500</xdr:rowOff>
    </xdr:to>
    <xdr:pic>
      <xdr:nvPicPr>
        <xdr:cNvPr id="117" name="Picture 11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2F72BD63-EF21-E86E-5083-9A96D3F85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7785278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436</xdr:row>
      <xdr:rowOff>0</xdr:rowOff>
    </xdr:from>
    <xdr:to>
      <xdr:col>1</xdr:col>
      <xdr:colOff>419100</xdr:colOff>
      <xdr:row>436</xdr:row>
      <xdr:rowOff>2857500</xdr:rowOff>
    </xdr:to>
    <xdr:pic>
      <xdr:nvPicPr>
        <xdr:cNvPr id="118" name="Picture 117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FD958B17-98F7-5DC5-F07B-8D72F8082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88255564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5</xdr:col>
      <xdr:colOff>34636</xdr:colOff>
      <xdr:row>396</xdr:row>
      <xdr:rowOff>2543175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FF258C2-987C-1752-AE89-59E1FEED0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416228"/>
          <a:ext cx="5715000" cy="2543175"/>
        </a:xfrm>
        <a:prstGeom prst="rect">
          <a:avLst/>
        </a:prstGeom>
      </xdr:spPr>
    </xdr:pic>
    <xdr:clientData/>
  </xdr:twoCellAnchor>
  <xdr:twoCellAnchor editAs="oneCell">
    <xdr:from>
      <xdr:col>5</xdr:col>
      <xdr:colOff>35626</xdr:colOff>
      <xdr:row>396</xdr:row>
      <xdr:rowOff>0</xdr:rowOff>
    </xdr:from>
    <xdr:to>
      <xdr:col>11</xdr:col>
      <xdr:colOff>129144</xdr:colOff>
      <xdr:row>396</xdr:row>
      <xdr:rowOff>2838450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4A79752-3CE2-A6A5-EDA5-F6149277D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715990" y="75416228"/>
          <a:ext cx="4610100" cy="2838450"/>
        </a:xfrm>
        <a:prstGeom prst="rect">
          <a:avLst/>
        </a:prstGeom>
      </xdr:spPr>
    </xdr:pic>
    <xdr:clientData/>
  </xdr:twoCellAnchor>
  <xdr:twoCellAnchor editAs="oneCell">
    <xdr:from>
      <xdr:col>11</xdr:col>
      <xdr:colOff>128649</xdr:colOff>
      <xdr:row>396</xdr:row>
      <xdr:rowOff>0</xdr:rowOff>
    </xdr:from>
    <xdr:to>
      <xdr:col>18</xdr:col>
      <xdr:colOff>462024</xdr:colOff>
      <xdr:row>396</xdr:row>
      <xdr:rowOff>2838450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47D5B023-8FB5-ADD8-ED7B-DA7F0887C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0325595" y="75416228"/>
          <a:ext cx="4600575" cy="2838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1</xdr:col>
      <xdr:colOff>419100</xdr:colOff>
      <xdr:row>417</xdr:row>
      <xdr:rowOff>2857500</xdr:rowOff>
    </xdr:to>
    <xdr:pic>
      <xdr:nvPicPr>
        <xdr:cNvPr id="68" name="Picture 6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BEFC8EF-7D5F-EF13-79C5-E995F7D8C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9429112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11</xdr:col>
      <xdr:colOff>51954</xdr:colOff>
      <xdr:row>420</xdr:row>
      <xdr:rowOff>5047508</xdr:rowOff>
    </xdr:to>
    <xdr:pic>
      <xdr:nvPicPr>
        <xdr:cNvPr id="81" name="Picture 8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3BFBCF7-0BCB-C153-1397-C6A4085A4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9831896"/>
          <a:ext cx="10248900" cy="10248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54</xdr:col>
      <xdr:colOff>166254</xdr:colOff>
      <xdr:row>424</xdr:row>
      <xdr:rowOff>4969822</xdr:rowOff>
    </xdr:to>
    <xdr:pic>
      <xdr:nvPicPr>
        <xdr:cNvPr id="94" name="Picture 9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C5EC23D-DB69-A57A-271C-38F694ACE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10234680"/>
          <a:ext cx="36576000" cy="20574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10</xdr:col>
      <xdr:colOff>166254</xdr:colOff>
      <xdr:row>424</xdr:row>
      <xdr:rowOff>4552206</xdr:rowOff>
    </xdr:to>
    <xdr:pic>
      <xdr:nvPicPr>
        <xdr:cNvPr id="119" name="Picture 11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623C7E7-6847-3161-FE9D-1A358AC32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20637464"/>
          <a:ext cx="9753600" cy="9753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9</xdr:col>
      <xdr:colOff>1089562</xdr:colOff>
      <xdr:row>426</xdr:row>
      <xdr:rowOff>4323608</xdr:rowOff>
    </xdr:to>
    <xdr:pic>
      <xdr:nvPicPr>
        <xdr:cNvPr id="120" name="Picture 11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A5D2D59-01D8-B812-154B-2B61A549E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31040250"/>
          <a:ext cx="9525000" cy="952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4</xdr:col>
      <xdr:colOff>265216</xdr:colOff>
      <xdr:row>427</xdr:row>
      <xdr:rowOff>4572000</xdr:rowOff>
    </xdr:to>
    <xdr:pic>
      <xdr:nvPicPr>
        <xdr:cNvPr id="121" name="Picture 12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A99C885-D01F-6B4E-D925-ABFD5B2AD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41443034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5</xdr:col>
      <xdr:colOff>415636</xdr:colOff>
      <xdr:row>430</xdr:row>
      <xdr:rowOff>894608</xdr:rowOff>
    </xdr:to>
    <xdr:pic>
      <xdr:nvPicPr>
        <xdr:cNvPr id="122" name="Picture 12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AF116E3-9483-103B-209E-AA2692DF6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51845818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7</xdr:col>
      <xdr:colOff>98962</xdr:colOff>
      <xdr:row>432</xdr:row>
      <xdr:rowOff>2113808</xdr:rowOff>
    </xdr:to>
    <xdr:pic>
      <xdr:nvPicPr>
        <xdr:cNvPr id="123" name="Picture 122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20C558EF-B08F-31A3-BB12-1E32E4E5C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62248602"/>
          <a:ext cx="7315200" cy="731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1</xdr:col>
      <xdr:colOff>419100</xdr:colOff>
      <xdr:row>433</xdr:row>
      <xdr:rowOff>2857500</xdr:rowOff>
    </xdr:to>
    <xdr:pic>
      <xdr:nvPicPr>
        <xdr:cNvPr id="124" name="Picture 123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7C3373E8-B3DC-B931-A316-98EFE04FA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72651388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1</xdr:col>
      <xdr:colOff>419100</xdr:colOff>
      <xdr:row>435</xdr:row>
      <xdr:rowOff>2857500</xdr:rowOff>
    </xdr:to>
    <xdr:pic>
      <xdr:nvPicPr>
        <xdr:cNvPr id="125" name="Picture 12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97F6E4E4-EC8F-1B86-C2ED-6869E7ABF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83054172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5</xdr:col>
      <xdr:colOff>34636</xdr:colOff>
      <xdr:row>396</xdr:row>
      <xdr:rowOff>2543175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9B49B09F-899B-3F89-0A19-425A2A693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416228"/>
          <a:ext cx="5715000" cy="2543175"/>
        </a:xfrm>
        <a:prstGeom prst="rect">
          <a:avLst/>
        </a:prstGeom>
      </xdr:spPr>
    </xdr:pic>
    <xdr:clientData/>
  </xdr:twoCellAnchor>
  <xdr:twoCellAnchor editAs="oneCell">
    <xdr:from>
      <xdr:col>5</xdr:col>
      <xdr:colOff>35626</xdr:colOff>
      <xdr:row>396</xdr:row>
      <xdr:rowOff>0</xdr:rowOff>
    </xdr:from>
    <xdr:to>
      <xdr:col>11</xdr:col>
      <xdr:colOff>129144</xdr:colOff>
      <xdr:row>396</xdr:row>
      <xdr:rowOff>2838450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579CE4F1-AC78-29AB-C11B-8F344A55A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715990" y="75416228"/>
          <a:ext cx="4610100" cy="2838450"/>
        </a:xfrm>
        <a:prstGeom prst="rect">
          <a:avLst/>
        </a:prstGeom>
      </xdr:spPr>
    </xdr:pic>
    <xdr:clientData/>
  </xdr:twoCellAnchor>
  <xdr:twoCellAnchor editAs="oneCell">
    <xdr:from>
      <xdr:col>11</xdr:col>
      <xdr:colOff>128649</xdr:colOff>
      <xdr:row>396</xdr:row>
      <xdr:rowOff>0</xdr:rowOff>
    </xdr:from>
    <xdr:to>
      <xdr:col>18</xdr:col>
      <xdr:colOff>462024</xdr:colOff>
      <xdr:row>396</xdr:row>
      <xdr:rowOff>2838450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D2EF5175-B34B-3C4D-8A63-C07B89B65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0325595" y="75416228"/>
          <a:ext cx="4600575" cy="2838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1</xdr:col>
      <xdr:colOff>419100</xdr:colOff>
      <xdr:row>417</xdr:row>
      <xdr:rowOff>2857500</xdr:rowOff>
    </xdr:to>
    <xdr:pic>
      <xdr:nvPicPr>
        <xdr:cNvPr id="129" name="Picture 1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655C82A-DEA3-F37E-3ED9-33449BE6B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9429112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11</xdr:col>
      <xdr:colOff>51954</xdr:colOff>
      <xdr:row>420</xdr:row>
      <xdr:rowOff>5047508</xdr:rowOff>
    </xdr:to>
    <xdr:pic>
      <xdr:nvPicPr>
        <xdr:cNvPr id="130" name="Picture 12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AD7F0AF-E9CE-34AC-C19A-04AC16CA3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9831896"/>
          <a:ext cx="10248900" cy="10248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54</xdr:col>
      <xdr:colOff>166254</xdr:colOff>
      <xdr:row>424</xdr:row>
      <xdr:rowOff>4969822</xdr:rowOff>
    </xdr:to>
    <xdr:pic>
      <xdr:nvPicPr>
        <xdr:cNvPr id="131" name="Picture 13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78FCB1E-0C94-1C15-3081-2C5A25AD8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10234680"/>
          <a:ext cx="36576000" cy="20574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10</xdr:col>
      <xdr:colOff>166254</xdr:colOff>
      <xdr:row>424</xdr:row>
      <xdr:rowOff>4552206</xdr:rowOff>
    </xdr:to>
    <xdr:pic>
      <xdr:nvPicPr>
        <xdr:cNvPr id="132" name="Picture 1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644E4D3-493A-F988-D244-F5EB51553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20637464"/>
          <a:ext cx="9753600" cy="9753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9</xdr:col>
      <xdr:colOff>1089562</xdr:colOff>
      <xdr:row>426</xdr:row>
      <xdr:rowOff>4323608</xdr:rowOff>
    </xdr:to>
    <xdr:pic>
      <xdr:nvPicPr>
        <xdr:cNvPr id="133" name="Picture 13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07D34FA-143E-8DA7-3780-FE3119056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31040250"/>
          <a:ext cx="9525000" cy="952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4</xdr:col>
      <xdr:colOff>265216</xdr:colOff>
      <xdr:row>427</xdr:row>
      <xdr:rowOff>4572000</xdr:rowOff>
    </xdr:to>
    <xdr:pic>
      <xdr:nvPicPr>
        <xdr:cNvPr id="134" name="Picture 13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446EF45-B1A1-617F-E39E-7A1C4BD5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41443034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5</xdr:col>
      <xdr:colOff>415636</xdr:colOff>
      <xdr:row>430</xdr:row>
      <xdr:rowOff>894608</xdr:rowOff>
    </xdr:to>
    <xdr:pic>
      <xdr:nvPicPr>
        <xdr:cNvPr id="135" name="Picture 13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A871E2D-645D-DFE2-129A-7F9F95864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51845818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7</xdr:col>
      <xdr:colOff>98962</xdr:colOff>
      <xdr:row>432</xdr:row>
      <xdr:rowOff>2113808</xdr:rowOff>
    </xdr:to>
    <xdr:pic>
      <xdr:nvPicPr>
        <xdr:cNvPr id="136" name="Picture 135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922B598D-7593-1868-2A91-639777B9B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62248602"/>
          <a:ext cx="7315200" cy="731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1</xdr:col>
      <xdr:colOff>419100</xdr:colOff>
      <xdr:row>433</xdr:row>
      <xdr:rowOff>2857500</xdr:rowOff>
    </xdr:to>
    <xdr:pic>
      <xdr:nvPicPr>
        <xdr:cNvPr id="137" name="Picture 13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10FB422E-6C85-BCB9-94A2-3D57B9E36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72651388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1</xdr:col>
      <xdr:colOff>419100</xdr:colOff>
      <xdr:row>435</xdr:row>
      <xdr:rowOff>2857500</xdr:rowOff>
    </xdr:to>
    <xdr:pic>
      <xdr:nvPicPr>
        <xdr:cNvPr id="138" name="Picture 137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6097B61-E2AD-1A3D-94E8-846FF21C9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83054172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5</xdr:col>
      <xdr:colOff>34636</xdr:colOff>
      <xdr:row>396</xdr:row>
      <xdr:rowOff>2543175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6A09E2DD-9F5D-0904-297A-A0A230F3E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416228"/>
          <a:ext cx="5715000" cy="2543175"/>
        </a:xfrm>
        <a:prstGeom prst="rect">
          <a:avLst/>
        </a:prstGeom>
      </xdr:spPr>
    </xdr:pic>
    <xdr:clientData/>
  </xdr:twoCellAnchor>
  <xdr:twoCellAnchor editAs="oneCell">
    <xdr:from>
      <xdr:col>5</xdr:col>
      <xdr:colOff>35626</xdr:colOff>
      <xdr:row>396</xdr:row>
      <xdr:rowOff>0</xdr:rowOff>
    </xdr:from>
    <xdr:to>
      <xdr:col>11</xdr:col>
      <xdr:colOff>129144</xdr:colOff>
      <xdr:row>396</xdr:row>
      <xdr:rowOff>2838450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627998A3-926B-DF80-43B8-DEF667680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715990" y="75416228"/>
          <a:ext cx="4610100" cy="2838450"/>
        </a:xfrm>
        <a:prstGeom prst="rect">
          <a:avLst/>
        </a:prstGeom>
      </xdr:spPr>
    </xdr:pic>
    <xdr:clientData/>
  </xdr:twoCellAnchor>
  <xdr:twoCellAnchor editAs="oneCell">
    <xdr:from>
      <xdr:col>11</xdr:col>
      <xdr:colOff>128649</xdr:colOff>
      <xdr:row>396</xdr:row>
      <xdr:rowOff>0</xdr:rowOff>
    </xdr:from>
    <xdr:to>
      <xdr:col>18</xdr:col>
      <xdr:colOff>462024</xdr:colOff>
      <xdr:row>396</xdr:row>
      <xdr:rowOff>2838450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4DB8E253-0976-DBAA-7F39-6E855BB67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0325595" y="75416228"/>
          <a:ext cx="4600575" cy="2838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1</xdr:col>
      <xdr:colOff>419100</xdr:colOff>
      <xdr:row>417</xdr:row>
      <xdr:rowOff>2857500</xdr:rowOff>
    </xdr:to>
    <xdr:pic>
      <xdr:nvPicPr>
        <xdr:cNvPr id="142" name="Picture 14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CE567AF-3E11-61F5-DE2B-5FE71FC65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9429112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11</xdr:col>
      <xdr:colOff>51954</xdr:colOff>
      <xdr:row>420</xdr:row>
      <xdr:rowOff>5047508</xdr:rowOff>
    </xdr:to>
    <xdr:pic>
      <xdr:nvPicPr>
        <xdr:cNvPr id="143" name="Picture 14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9BE0D60-FED8-6193-DFB2-BBD3AAC52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9831896"/>
          <a:ext cx="10248900" cy="10248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54</xdr:col>
      <xdr:colOff>166254</xdr:colOff>
      <xdr:row>424</xdr:row>
      <xdr:rowOff>4969822</xdr:rowOff>
    </xdr:to>
    <xdr:pic>
      <xdr:nvPicPr>
        <xdr:cNvPr id="144" name="Picture 14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283F02E-3A04-BAFE-5A26-E026CDBED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10234680"/>
          <a:ext cx="36576000" cy="20574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10</xdr:col>
      <xdr:colOff>166254</xdr:colOff>
      <xdr:row>424</xdr:row>
      <xdr:rowOff>4552206</xdr:rowOff>
    </xdr:to>
    <xdr:pic>
      <xdr:nvPicPr>
        <xdr:cNvPr id="145" name="Picture 14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05AB7D9-EE54-8184-68C1-FD79DF7B7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20637464"/>
          <a:ext cx="9753600" cy="9753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9</xdr:col>
      <xdr:colOff>1089562</xdr:colOff>
      <xdr:row>426</xdr:row>
      <xdr:rowOff>4323608</xdr:rowOff>
    </xdr:to>
    <xdr:pic>
      <xdr:nvPicPr>
        <xdr:cNvPr id="146" name="Picture 14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751A1AB-98FB-E2C0-B063-6BF068897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31040250"/>
          <a:ext cx="9525000" cy="952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4</xdr:col>
      <xdr:colOff>265216</xdr:colOff>
      <xdr:row>427</xdr:row>
      <xdr:rowOff>4572000</xdr:rowOff>
    </xdr:to>
    <xdr:pic>
      <xdr:nvPicPr>
        <xdr:cNvPr id="147" name="Picture 14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9FE292B-1F27-49A8-1D37-88F434146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41443034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5</xdr:col>
      <xdr:colOff>415636</xdr:colOff>
      <xdr:row>430</xdr:row>
      <xdr:rowOff>894608</xdr:rowOff>
    </xdr:to>
    <xdr:pic>
      <xdr:nvPicPr>
        <xdr:cNvPr id="148" name="Picture 14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04C2658-87BD-43CB-11A1-36E7B10D4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51845818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7</xdr:col>
      <xdr:colOff>98962</xdr:colOff>
      <xdr:row>432</xdr:row>
      <xdr:rowOff>2113808</xdr:rowOff>
    </xdr:to>
    <xdr:pic>
      <xdr:nvPicPr>
        <xdr:cNvPr id="149" name="Picture 148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817FD7EA-71A1-F353-E715-ABD58E968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62248602"/>
          <a:ext cx="7315200" cy="731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1</xdr:col>
      <xdr:colOff>419100</xdr:colOff>
      <xdr:row>433</xdr:row>
      <xdr:rowOff>2857500</xdr:rowOff>
    </xdr:to>
    <xdr:pic>
      <xdr:nvPicPr>
        <xdr:cNvPr id="150" name="Picture 149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177D3198-5E19-012D-EB40-383977598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72651388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1</xdr:col>
      <xdr:colOff>419100</xdr:colOff>
      <xdr:row>435</xdr:row>
      <xdr:rowOff>2857500</xdr:rowOff>
    </xdr:to>
    <xdr:pic>
      <xdr:nvPicPr>
        <xdr:cNvPr id="151" name="Picture 150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ABB4BB97-149F-7B28-5911-19B9DA626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83054172"/>
          <a:ext cx="2857500" cy="28575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ena lateaf" id="{B15CB016-004E-004B-933B-662E464C0088}" userId="58604da215d3f4d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6" dT="2026-05-13T14:17:09.87" personId="{B15CB016-004E-004B-933B-662E464C0088}" id="{729C89B8-4F0A-6F4C-8A4C-40C2B6A22244}">
    <text>3.2 tarek
2.6 hefnawi</text>
  </threadedComment>
  <threadedComment ref="I36" dT="2026-02-01T13:43:53.21" personId="{B15CB016-004E-004B-933B-662E464C0088}" id="{336FA262-020F-AA43-9B94-7DD5EE7BD58D}">
    <text>2.2 tarek
1.75 nashi</text>
  </threadedComment>
  <threadedComment ref="I36" dT="2026-05-13T14:15:39.62" personId="{B15CB016-004E-004B-933B-662E464C0088}" id="{41BB63FD-7BD3-A84E-AB8C-CC8C0CEC4F40}" parentId="{336FA262-020F-AA43-9B94-7DD5EE7BD58D}">
    <text>tarek 2.8
tarek 2.2
nashi 1.75</text>
  </threadedComment>
  <threadedComment ref="I39" dT="2026-02-01T13:44:29.64" personId="{B15CB016-004E-004B-933B-662E464C0088}" id="{98939A32-EEDF-1B4D-BC63-1CB8CC3EFBAB}">
    <text>2.3 tarek
1.85 nashi</text>
  </threadedComment>
  <threadedComment ref="I76" dT="2026-05-13T04:38:05.38" personId="{B15CB016-004E-004B-933B-662E464C0088}" id="{575A32C5-500A-9241-926C-0D0C22468985}">
    <text>16 nashi
16 hefnawi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50" dT="2024-12-22T13:50:01.82" personId="{B15CB016-004E-004B-933B-662E464C0088}" id="{44EBAAD3-3E54-ED43-BE04-7B6649EE2885}">
    <text>started using max as a buy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ubasher.info/countries/eg/stock-prices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ubasher.info/markets/EGX/stocks/EGBFGSC2P2BCV" TargetMode="External"/><Relationship Id="rId299" Type="http://schemas.openxmlformats.org/officeDocument/2006/relationships/hyperlink" Target="https://www.mubasher.info/markets/EGX/stocks/LUTS" TargetMode="External"/><Relationship Id="rId21" Type="http://schemas.openxmlformats.org/officeDocument/2006/relationships/hyperlink" Target="https://www.mubasher.info/markets/EGX/stocks/MMAT" TargetMode="External"/><Relationship Id="rId63" Type="http://schemas.openxmlformats.org/officeDocument/2006/relationships/hyperlink" Target="https://www.mubasher.info/markets/EGX/stocks/EDFM" TargetMode="External"/><Relationship Id="rId159" Type="http://schemas.openxmlformats.org/officeDocument/2006/relationships/hyperlink" Target="https://www.mubasher.info/markets/EGX/stocks/EGT2409240925G0" TargetMode="External"/><Relationship Id="rId324" Type="http://schemas.openxmlformats.org/officeDocument/2006/relationships/hyperlink" Target="https://www.mubasher.info/markets/EGX/stocks/EGB2904250430G0" TargetMode="External"/><Relationship Id="rId366" Type="http://schemas.openxmlformats.org/officeDocument/2006/relationships/hyperlink" Target="https://www.mubasher.info/markets/EGX/stocks/ADPC" TargetMode="External"/><Relationship Id="rId170" Type="http://schemas.openxmlformats.org/officeDocument/2006/relationships/hyperlink" Target="https://www.mubasher.info/markets/EGX/stocks/GRCA" TargetMode="External"/><Relationship Id="rId226" Type="http://schemas.openxmlformats.org/officeDocument/2006/relationships/hyperlink" Target="https://www.mubasher.info/markets/EGX/stocks/AIHC" TargetMode="External"/><Relationship Id="rId268" Type="http://schemas.openxmlformats.org/officeDocument/2006/relationships/hyperlink" Target="https://www.mubasher.info/markets/EGX/stocks/EGB1401250127G0" TargetMode="External"/><Relationship Id="rId32" Type="http://schemas.openxmlformats.org/officeDocument/2006/relationships/hyperlink" Target="https://www.mubasher.info/markets/EGX/stocks/BONY" TargetMode="External"/><Relationship Id="rId74" Type="http://schemas.openxmlformats.org/officeDocument/2006/relationships/hyperlink" Target="https://www.mubasher.info/markets/EGX/stocks/ORWE" TargetMode="External"/><Relationship Id="rId128" Type="http://schemas.openxmlformats.org/officeDocument/2006/relationships/hyperlink" Target="https://www.mubasher.info/markets/EGX/stocks/MPRC" TargetMode="External"/><Relationship Id="rId335" Type="http://schemas.openxmlformats.org/officeDocument/2006/relationships/hyperlink" Target="https://www.mubasher.info/markets/EGX/stocks/SNFC" TargetMode="External"/><Relationship Id="rId377" Type="http://schemas.openxmlformats.org/officeDocument/2006/relationships/hyperlink" Target="https://www.mubasher.info/markets/EGX/stocks/SEIGA" TargetMode="External"/><Relationship Id="rId5" Type="http://schemas.openxmlformats.org/officeDocument/2006/relationships/hyperlink" Target="https://www.mubasher.info/markets/EGX/stocks/SAIB" TargetMode="External"/><Relationship Id="rId181" Type="http://schemas.openxmlformats.org/officeDocument/2006/relationships/hyperlink" Target="https://www.mubasher.info/markets/EGX/stocks/EGT2002240225G0" TargetMode="External"/><Relationship Id="rId237" Type="http://schemas.openxmlformats.org/officeDocument/2006/relationships/hyperlink" Target="https://www.mubasher.info/markets/EGX/stocks/TAQA" TargetMode="External"/><Relationship Id="rId279" Type="http://schemas.openxmlformats.org/officeDocument/2006/relationships/hyperlink" Target="https://www.mubasher.info/markets/EGX/stocks/EGT0104250326G0" TargetMode="External"/><Relationship Id="rId43" Type="http://schemas.openxmlformats.org/officeDocument/2006/relationships/hyperlink" Target="https://www.mubasher.info/markets/EGX/stocks/EGBCPSC3P4WCV" TargetMode="External"/><Relationship Id="rId139" Type="http://schemas.openxmlformats.org/officeDocument/2006/relationships/hyperlink" Target="https://www.mubasher.info/markets/EGX/stocks/DAPH" TargetMode="External"/><Relationship Id="rId290" Type="http://schemas.openxmlformats.org/officeDocument/2006/relationships/hyperlink" Target="https://www.mubasher.info/markets/EGX/stocks/MOED" TargetMode="External"/><Relationship Id="rId304" Type="http://schemas.openxmlformats.org/officeDocument/2006/relationships/hyperlink" Target="https://www.mubasher.info/markets/EGX/stocks/EBSC" TargetMode="External"/><Relationship Id="rId346" Type="http://schemas.openxmlformats.org/officeDocument/2006/relationships/hyperlink" Target="https://www.mubasher.info/markets/EGX/stocks/GIHD" TargetMode="External"/><Relationship Id="rId388" Type="http://schemas.openxmlformats.org/officeDocument/2006/relationships/hyperlink" Target="https://www.mubasher.info/markets/EGX/stocks/SPHT" TargetMode="External"/><Relationship Id="rId85" Type="http://schemas.openxmlformats.org/officeDocument/2006/relationships/hyperlink" Target="https://www.mubasher.info/markets/EGX/stocks/MIPH" TargetMode="External"/><Relationship Id="rId150" Type="http://schemas.openxmlformats.org/officeDocument/2006/relationships/hyperlink" Target="https://www.mubasher.info/markets/EGX/stocks/HELI" TargetMode="External"/><Relationship Id="rId192" Type="http://schemas.openxmlformats.org/officeDocument/2006/relationships/hyperlink" Target="https://www.mubasher.info/markets/EGX/stocks/EGT1203240325G0" TargetMode="External"/><Relationship Id="rId206" Type="http://schemas.openxmlformats.org/officeDocument/2006/relationships/hyperlink" Target="https://www.mubasher.info/markets/EGX/stocks/EGT2304240425G0" TargetMode="External"/><Relationship Id="rId248" Type="http://schemas.openxmlformats.org/officeDocument/2006/relationships/hyperlink" Target="https://www.mubasher.info/markets/EGX/stocks/EGT2204250426G0" TargetMode="External"/><Relationship Id="rId12" Type="http://schemas.openxmlformats.org/officeDocument/2006/relationships/hyperlink" Target="https://www.mubasher.info/markets/EGX/stocks/EGETSC07H" TargetMode="External"/><Relationship Id="rId108" Type="http://schemas.openxmlformats.org/officeDocument/2006/relationships/hyperlink" Target="https://www.mubasher.info/markets/EGX/stocks/EGSASEC39A" TargetMode="External"/><Relationship Id="rId315" Type="http://schemas.openxmlformats.org/officeDocument/2006/relationships/hyperlink" Target="https://www.mubasher.info/markets/EGX/stocks/CEFM" TargetMode="External"/><Relationship Id="rId357" Type="http://schemas.openxmlformats.org/officeDocument/2006/relationships/hyperlink" Target="https://www.mubasher.info/markets/EGX/stocks/UASG" TargetMode="External"/><Relationship Id="rId54" Type="http://schemas.openxmlformats.org/officeDocument/2006/relationships/hyperlink" Target="https://www.mubasher.info/markets/EGX/stocks/KWIN" TargetMode="External"/><Relationship Id="rId96" Type="http://schemas.openxmlformats.org/officeDocument/2006/relationships/hyperlink" Target="https://www.mubasher.info/markets/EGX/stocks/GBCO" TargetMode="External"/><Relationship Id="rId161" Type="http://schemas.openxmlformats.org/officeDocument/2006/relationships/hyperlink" Target="https://www.mubasher.info/markets/EGX/stocks/BINV" TargetMode="External"/><Relationship Id="rId217" Type="http://schemas.openxmlformats.org/officeDocument/2006/relationships/hyperlink" Target="https://www.mubasher.info/markets/EGX/stocks/SUCE" TargetMode="External"/><Relationship Id="rId399" Type="http://schemas.openxmlformats.org/officeDocument/2006/relationships/hyperlink" Target="https://www.mubasher.info/s/privacy-policy" TargetMode="External"/><Relationship Id="rId259" Type="http://schemas.openxmlformats.org/officeDocument/2006/relationships/hyperlink" Target="https://www.mubasher.info/markets/EGX/stocks/EGT1103250326G0" TargetMode="External"/><Relationship Id="rId23" Type="http://schemas.openxmlformats.org/officeDocument/2006/relationships/hyperlink" Target="https://www.mubasher.info/markets/EGX/stocks/BIDI" TargetMode="External"/><Relationship Id="rId119" Type="http://schemas.openxmlformats.org/officeDocument/2006/relationships/hyperlink" Target="https://www.mubasher.info/markets/EGX/stocks/EGAS" TargetMode="External"/><Relationship Id="rId270" Type="http://schemas.openxmlformats.org/officeDocument/2006/relationships/hyperlink" Target="https://www.mubasher.info/markets/EGX/stocks/EGT1012241225G0" TargetMode="External"/><Relationship Id="rId326" Type="http://schemas.openxmlformats.org/officeDocument/2006/relationships/hyperlink" Target="https://www.mubasher.info/markets/EGX/stocks/GSSC" TargetMode="External"/><Relationship Id="rId65" Type="http://schemas.openxmlformats.org/officeDocument/2006/relationships/hyperlink" Target="https://www.mubasher.info/markets/EGX/stocks/AMER" TargetMode="External"/><Relationship Id="rId130" Type="http://schemas.openxmlformats.org/officeDocument/2006/relationships/hyperlink" Target="https://www.mubasher.info/markets/EGX/stocks/AJWA" TargetMode="External"/><Relationship Id="rId368" Type="http://schemas.openxmlformats.org/officeDocument/2006/relationships/hyperlink" Target="https://www.mubasher.info/markets/EGX/stocks/GTEX" TargetMode="External"/><Relationship Id="rId172" Type="http://schemas.openxmlformats.org/officeDocument/2006/relationships/hyperlink" Target="https://www.mubasher.info/markets/EGX/stocks/EGT1009240925G0" TargetMode="External"/><Relationship Id="rId228" Type="http://schemas.openxmlformats.org/officeDocument/2006/relationships/hyperlink" Target="https://www.mubasher.info/markets/EGX/stocks/MEGM" TargetMode="External"/><Relationship Id="rId281" Type="http://schemas.openxmlformats.org/officeDocument/2006/relationships/hyperlink" Target="https://www.mubasher.info/markets/EGX/stocks/SWDY" TargetMode="External"/><Relationship Id="rId337" Type="http://schemas.openxmlformats.org/officeDocument/2006/relationships/hyperlink" Target="https://www.mubasher.info/markets/EGX/stocks/OCPH" TargetMode="External"/><Relationship Id="rId34" Type="http://schemas.openxmlformats.org/officeDocument/2006/relationships/hyperlink" Target="https://www.mubasher.info/markets/EGX/stocks/EGBSASC42BCF" TargetMode="External"/><Relationship Id="rId76" Type="http://schemas.openxmlformats.org/officeDocument/2006/relationships/hyperlink" Target="https://www.mubasher.info/markets/EGX/stocks/FNAR" TargetMode="External"/><Relationship Id="rId141" Type="http://schemas.openxmlformats.org/officeDocument/2006/relationships/hyperlink" Target="https://www.mubasher.info/markets/EGX/stocks/EFIC" TargetMode="External"/><Relationship Id="rId379" Type="http://schemas.openxmlformats.org/officeDocument/2006/relationships/hyperlink" Target="https://www.mubasher.info/markets/EGX/stocks/EGT2111231124G0" TargetMode="External"/><Relationship Id="rId7" Type="http://schemas.openxmlformats.org/officeDocument/2006/relationships/hyperlink" Target="https://www.mubasher.info/markets/EGX/stocks/HCFI" TargetMode="External"/><Relationship Id="rId183" Type="http://schemas.openxmlformats.org/officeDocument/2006/relationships/hyperlink" Target="https://www.mubasher.info/markets/EGX/stocks/EGT1212231224G0" TargetMode="External"/><Relationship Id="rId239" Type="http://schemas.openxmlformats.org/officeDocument/2006/relationships/hyperlink" Target="https://www.mubasher.info/markets/EGX/stocks/PHGC" TargetMode="External"/><Relationship Id="rId390" Type="http://schemas.openxmlformats.org/officeDocument/2006/relationships/hyperlink" Target="https://www.mubasher.info/s/Terms" TargetMode="External"/><Relationship Id="rId250" Type="http://schemas.openxmlformats.org/officeDocument/2006/relationships/hyperlink" Target="https://www.mubasher.info/markets/EGX/stocks/EGB0605250527G0" TargetMode="External"/><Relationship Id="rId292" Type="http://schemas.openxmlformats.org/officeDocument/2006/relationships/hyperlink" Target="https://www.mubasher.info/markets/EGX/stocks/SCEM" TargetMode="External"/><Relationship Id="rId306" Type="http://schemas.openxmlformats.org/officeDocument/2006/relationships/hyperlink" Target="https://www.mubasher.info/markets/EGX/stocks/SDTI" TargetMode="External"/><Relationship Id="rId45" Type="http://schemas.openxmlformats.org/officeDocument/2006/relationships/hyperlink" Target="https://www.mubasher.info/markets/EGX/stocks/AFDI" TargetMode="External"/><Relationship Id="rId87" Type="http://schemas.openxmlformats.org/officeDocument/2006/relationships/hyperlink" Target="https://www.mubasher.info/markets/EGX/stocks/COMI" TargetMode="External"/><Relationship Id="rId110" Type="http://schemas.openxmlformats.org/officeDocument/2006/relationships/hyperlink" Target="https://www.mubasher.info/markets/EGX/stocks/ISMQ" TargetMode="External"/><Relationship Id="rId348" Type="http://schemas.openxmlformats.org/officeDocument/2006/relationships/hyperlink" Target="https://www.mubasher.info/markets/EGX/stocks/GGCC" TargetMode="External"/><Relationship Id="rId152" Type="http://schemas.openxmlformats.org/officeDocument/2006/relationships/hyperlink" Target="https://www.mubasher.info/markets/EGX/stocks/EGT1607240725G0" TargetMode="External"/><Relationship Id="rId194" Type="http://schemas.openxmlformats.org/officeDocument/2006/relationships/hyperlink" Target="https://www.mubasher.info/markets/EGX/stocks/EGT2008240825G0" TargetMode="External"/><Relationship Id="rId208" Type="http://schemas.openxmlformats.org/officeDocument/2006/relationships/hyperlink" Target="https://www.mubasher.info/markets/EGX/stocks/EGB1308240827G0" TargetMode="External"/><Relationship Id="rId261" Type="http://schemas.openxmlformats.org/officeDocument/2006/relationships/hyperlink" Target="https://www.mubasher.info/markets/EGX/stocks/EGT1803250326G0" TargetMode="External"/><Relationship Id="rId14" Type="http://schemas.openxmlformats.org/officeDocument/2006/relationships/hyperlink" Target="https://www.mubasher.info/markets/EGX/stocks/EGETSC07C" TargetMode="External"/><Relationship Id="rId56" Type="http://schemas.openxmlformats.org/officeDocument/2006/relationships/hyperlink" Target="https://www.mubasher.info/markets/EGX/stocks/PHDC" TargetMode="External"/><Relationship Id="rId317" Type="http://schemas.openxmlformats.org/officeDocument/2006/relationships/hyperlink" Target="https://www.mubasher.info/markets/EGX/stocks/JUFO" TargetMode="External"/><Relationship Id="rId359" Type="http://schemas.openxmlformats.org/officeDocument/2006/relationships/hyperlink" Target="https://www.mubasher.info/markets/EGX/stocks/PHTV" TargetMode="External"/><Relationship Id="rId98" Type="http://schemas.openxmlformats.org/officeDocument/2006/relationships/hyperlink" Target="https://www.mubasher.info/markets/EGX/stocks/RAYA" TargetMode="External"/><Relationship Id="rId121" Type="http://schemas.openxmlformats.org/officeDocument/2006/relationships/hyperlink" Target="https://www.mubasher.info/markets/EGX/stocks/MICH" TargetMode="External"/><Relationship Id="rId163" Type="http://schemas.openxmlformats.org/officeDocument/2006/relationships/hyperlink" Target="https://www.mubasher.info/markets/EGX/stocks/MBSC" TargetMode="External"/><Relationship Id="rId219" Type="http://schemas.openxmlformats.org/officeDocument/2006/relationships/hyperlink" Target="https://www.mubasher.info/markets/EGX/stocks/RMTV" TargetMode="External"/><Relationship Id="rId370" Type="http://schemas.openxmlformats.org/officeDocument/2006/relationships/hyperlink" Target="https://www.mubasher.info/markets/EGX/stocks/APPC" TargetMode="External"/><Relationship Id="rId230" Type="http://schemas.openxmlformats.org/officeDocument/2006/relationships/hyperlink" Target="https://www.mubasher.info/markets/EGX/stocks/CCAP" TargetMode="External"/><Relationship Id="rId25" Type="http://schemas.openxmlformats.org/officeDocument/2006/relationships/hyperlink" Target="https://www.mubasher.info/markets/EGX/stocks/MCQE" TargetMode="External"/><Relationship Id="rId67" Type="http://schemas.openxmlformats.org/officeDocument/2006/relationships/hyperlink" Target="https://www.mubasher.info/markets/EGX/stocks/WCDF" TargetMode="External"/><Relationship Id="rId272" Type="http://schemas.openxmlformats.org/officeDocument/2006/relationships/hyperlink" Target="https://www.mubasher.info/markets/EGX/stocks/EGT0312241225G0" TargetMode="External"/><Relationship Id="rId328" Type="http://schemas.openxmlformats.org/officeDocument/2006/relationships/hyperlink" Target="https://www.mubasher.info/markets/EGX/stocks/AMES" TargetMode="External"/><Relationship Id="rId132" Type="http://schemas.openxmlformats.org/officeDocument/2006/relationships/hyperlink" Target="https://www.mubasher.info/markets/EGX/stocks/ARCC" TargetMode="External"/><Relationship Id="rId174" Type="http://schemas.openxmlformats.org/officeDocument/2006/relationships/hyperlink" Target="https://www.mubasher.info/markets/EGX/stocks/EGT0904240425G0" TargetMode="External"/><Relationship Id="rId381" Type="http://schemas.openxmlformats.org/officeDocument/2006/relationships/hyperlink" Target="https://www.mubasher.info/markets/EGX/stocks/CPME" TargetMode="External"/><Relationship Id="rId241" Type="http://schemas.openxmlformats.org/officeDocument/2006/relationships/hyperlink" Target="https://www.mubasher.info/markets/EGX/stocks/EGT1405240525G0" TargetMode="External"/><Relationship Id="rId36" Type="http://schemas.openxmlformats.org/officeDocument/2006/relationships/hyperlink" Target="https://www.mubasher.info/markets/EGX/stocks/ORHD" TargetMode="External"/><Relationship Id="rId283" Type="http://schemas.openxmlformats.org/officeDocument/2006/relationships/hyperlink" Target="https://www.mubasher.info/markets/EGX/stocks/KASABF" TargetMode="External"/><Relationship Id="rId339" Type="http://schemas.openxmlformats.org/officeDocument/2006/relationships/hyperlink" Target="https://www.mubasher.info/markets/EGX/stocks/UTOP" TargetMode="External"/><Relationship Id="rId78" Type="http://schemas.openxmlformats.org/officeDocument/2006/relationships/hyperlink" Target="https://www.mubasher.info/markets/EGX/stocks/ETRS" TargetMode="External"/><Relationship Id="rId101" Type="http://schemas.openxmlformats.org/officeDocument/2006/relationships/hyperlink" Target="https://www.mubasher.info/markets/EGX/stocks/ISPH" TargetMode="External"/><Relationship Id="rId143" Type="http://schemas.openxmlformats.org/officeDocument/2006/relationships/hyperlink" Target="https://www.mubasher.info/markets/EGX/stocks/FAITA" TargetMode="External"/><Relationship Id="rId185" Type="http://schemas.openxmlformats.org/officeDocument/2006/relationships/hyperlink" Target="https://www.mubasher.info/markets/EGX/stocks/EGT2005250526G0" TargetMode="External"/><Relationship Id="rId350" Type="http://schemas.openxmlformats.org/officeDocument/2006/relationships/hyperlink" Target="https://www.mubasher.info/markets/EGX/stocks/AFMC" TargetMode="External"/><Relationship Id="rId9" Type="http://schemas.openxmlformats.org/officeDocument/2006/relationships/hyperlink" Target="https://www.mubasher.info/markets/EGX/stocks/RKAZ" TargetMode="External"/><Relationship Id="rId210" Type="http://schemas.openxmlformats.org/officeDocument/2006/relationships/hyperlink" Target="https://www.mubasher.info/markets/EGX/stocks/EGT2603240325G0" TargetMode="External"/><Relationship Id="rId392" Type="http://schemas.openxmlformats.org/officeDocument/2006/relationships/hyperlink" Target="https://www.mubasher.info/s/aboutus" TargetMode="External"/><Relationship Id="rId252" Type="http://schemas.openxmlformats.org/officeDocument/2006/relationships/hyperlink" Target="https://www.mubasher.info/markets/EGX/stocks/EGT1305250526G0" TargetMode="External"/><Relationship Id="rId294" Type="http://schemas.openxmlformats.org/officeDocument/2006/relationships/hyperlink" Target="https://www.mubasher.info/markets/EGX/stocks/ENGC" TargetMode="External"/><Relationship Id="rId308" Type="http://schemas.openxmlformats.org/officeDocument/2006/relationships/hyperlink" Target="https://www.mubasher.info/markets/EGX/stocks/VERT" TargetMode="External"/><Relationship Id="rId47" Type="http://schemas.openxmlformats.org/officeDocument/2006/relationships/hyperlink" Target="https://www.mubasher.info/markets/EGX/stocks/EPPK" TargetMode="External"/><Relationship Id="rId89" Type="http://schemas.openxmlformats.org/officeDocument/2006/relationships/hyperlink" Target="https://www.mubasher.info/markets/EGX/stocks/MCRO" TargetMode="External"/><Relationship Id="rId112" Type="http://schemas.openxmlformats.org/officeDocument/2006/relationships/hyperlink" Target="https://www.mubasher.info/markets/EGX/stocks/UPMS" TargetMode="External"/><Relationship Id="rId154" Type="http://schemas.openxmlformats.org/officeDocument/2006/relationships/hyperlink" Target="https://www.mubasher.info/markets/EGX/stocks/EGT1102250226G0" TargetMode="External"/><Relationship Id="rId361" Type="http://schemas.openxmlformats.org/officeDocument/2006/relationships/hyperlink" Target="https://www.mubasher.info/markets/EGX/stocks/MENA" TargetMode="External"/><Relationship Id="rId196" Type="http://schemas.openxmlformats.org/officeDocument/2006/relationships/hyperlink" Target="https://www.mubasher.info/markets/EGX/stocks/EGT1911241125G0" TargetMode="External"/><Relationship Id="rId16" Type="http://schemas.openxmlformats.org/officeDocument/2006/relationships/hyperlink" Target="https://www.mubasher.info/markets/EGX/stocks/PACH" TargetMode="External"/><Relationship Id="rId221" Type="http://schemas.openxmlformats.org/officeDocument/2006/relationships/hyperlink" Target="https://www.mubasher.info/markets/EGX/stocks/IRAX" TargetMode="External"/><Relationship Id="rId263" Type="http://schemas.openxmlformats.org/officeDocument/2006/relationships/hyperlink" Target="https://www.mubasher.info/markets/EGX/stocks/EGB0402250227G0" TargetMode="External"/><Relationship Id="rId319" Type="http://schemas.openxmlformats.org/officeDocument/2006/relationships/hyperlink" Target="https://www.mubasher.info/markets/EGX/stocks/CFGH" TargetMode="External"/><Relationship Id="rId37" Type="http://schemas.openxmlformats.org/officeDocument/2006/relationships/hyperlink" Target="https://www.mubasher.info/markets/EGX/stocks/PRCL" TargetMode="External"/><Relationship Id="rId58" Type="http://schemas.openxmlformats.org/officeDocument/2006/relationships/hyperlink" Target="https://www.mubasher.info/markets/EGX/stocks/TMGH" TargetMode="External"/><Relationship Id="rId79" Type="http://schemas.openxmlformats.org/officeDocument/2006/relationships/hyperlink" Target="https://www.mubasher.info/markets/EGX/stocks/EXPA" TargetMode="External"/><Relationship Id="rId102" Type="http://schemas.openxmlformats.org/officeDocument/2006/relationships/hyperlink" Target="https://www.mubasher.info/markets/EGX/stocks/VLMR" TargetMode="External"/><Relationship Id="rId123" Type="http://schemas.openxmlformats.org/officeDocument/2006/relationships/hyperlink" Target="https://www.mubasher.info/markets/EGX/stocks/NHPS" TargetMode="External"/><Relationship Id="rId144" Type="http://schemas.openxmlformats.org/officeDocument/2006/relationships/hyperlink" Target="https://www.mubasher.info/markets/EGX/stocks/EGT1712241225G0" TargetMode="External"/><Relationship Id="rId330" Type="http://schemas.openxmlformats.org/officeDocument/2006/relationships/hyperlink" Target="https://www.mubasher.info/markets/EGX/stocks/MOIL" TargetMode="External"/><Relationship Id="rId90" Type="http://schemas.openxmlformats.org/officeDocument/2006/relationships/hyperlink" Target="https://www.mubasher.info/markets/EGX/stocks/AREH" TargetMode="External"/><Relationship Id="rId165" Type="http://schemas.openxmlformats.org/officeDocument/2006/relationships/hyperlink" Target="https://www.mubasher.info/markets/EGX/stocks/WKOL" TargetMode="External"/><Relationship Id="rId186" Type="http://schemas.openxmlformats.org/officeDocument/2006/relationships/hyperlink" Target="https://www.mubasher.info/markets/EGX/stocks/EGT2105240525G0" TargetMode="External"/><Relationship Id="rId351" Type="http://schemas.openxmlformats.org/officeDocument/2006/relationships/hyperlink" Target="https://www.mubasher.info/markets/EGX/stocks/CLHO" TargetMode="External"/><Relationship Id="rId372" Type="http://schemas.openxmlformats.org/officeDocument/2006/relationships/hyperlink" Target="https://www.mubasher.info/markets/EGX/stocks/INEG" TargetMode="External"/><Relationship Id="rId393" Type="http://schemas.openxmlformats.org/officeDocument/2006/relationships/hyperlink" Target="https://www.mubasher.info/contact" TargetMode="External"/><Relationship Id="rId211" Type="http://schemas.openxmlformats.org/officeDocument/2006/relationships/hyperlink" Target="https://www.mubasher.info/markets/EGX/stocks/EGT1604240425G0" TargetMode="External"/><Relationship Id="rId232" Type="http://schemas.openxmlformats.org/officeDocument/2006/relationships/hyperlink" Target="https://www.mubasher.info/markets/EGX/stocks/BQDC" TargetMode="External"/><Relationship Id="rId253" Type="http://schemas.openxmlformats.org/officeDocument/2006/relationships/hyperlink" Target="https://www.mubasher.info/markets/EGX/stocks/EGB0104250427G0" TargetMode="External"/><Relationship Id="rId274" Type="http://schemas.openxmlformats.org/officeDocument/2006/relationships/hyperlink" Target="https://www.mubasher.info/markets/EGX/stocks/EGT0804250426G0" TargetMode="External"/><Relationship Id="rId295" Type="http://schemas.openxmlformats.org/officeDocument/2006/relationships/hyperlink" Target="https://www.mubasher.info/markets/EGX/stocks/ROTO" TargetMode="External"/><Relationship Id="rId309" Type="http://schemas.openxmlformats.org/officeDocument/2006/relationships/hyperlink" Target="https://www.mubasher.info/markets/EGX/stocks/EG051525" TargetMode="External"/><Relationship Id="rId27" Type="http://schemas.openxmlformats.org/officeDocument/2006/relationships/hyperlink" Target="https://www.mubasher.info/markets/EGX/stocks/CAED" TargetMode="External"/><Relationship Id="rId48" Type="http://schemas.openxmlformats.org/officeDocument/2006/relationships/hyperlink" Target="https://www.mubasher.info/markets/EGX/stocks/SVCE" TargetMode="External"/><Relationship Id="rId69" Type="http://schemas.openxmlformats.org/officeDocument/2006/relationships/hyperlink" Target="https://www.mubasher.info/markets/EGX/stocks/NINH" TargetMode="External"/><Relationship Id="rId113" Type="http://schemas.openxmlformats.org/officeDocument/2006/relationships/hyperlink" Target="https://www.mubasher.info/markets/EGX/stocks/EG081825" TargetMode="External"/><Relationship Id="rId134" Type="http://schemas.openxmlformats.org/officeDocument/2006/relationships/hyperlink" Target="https://www.mubasher.info/markets/EGX/stocks/EGB0403250328G0" TargetMode="External"/><Relationship Id="rId320" Type="http://schemas.openxmlformats.org/officeDocument/2006/relationships/hyperlink" Target="https://www.mubasher.info/markets/EGX/stocks/ELEC" TargetMode="External"/><Relationship Id="rId80" Type="http://schemas.openxmlformats.org/officeDocument/2006/relationships/hyperlink" Target="https://www.mubasher.info/markets/EGX/stocks/SCTS" TargetMode="External"/><Relationship Id="rId155" Type="http://schemas.openxmlformats.org/officeDocument/2006/relationships/hyperlink" Target="https://www.mubasher.info/markets/EGX/stocks/EGB0104250430G0" TargetMode="External"/><Relationship Id="rId176" Type="http://schemas.openxmlformats.org/officeDocument/2006/relationships/hyperlink" Target="https://www.mubasher.info/markets/EGX/stocks/EGB0402250228G0" TargetMode="External"/><Relationship Id="rId197" Type="http://schemas.openxmlformats.org/officeDocument/2006/relationships/hyperlink" Target="https://www.mubasher.info/markets/EGX/stocks/EGB0810241027G0" TargetMode="External"/><Relationship Id="rId341" Type="http://schemas.openxmlformats.org/officeDocument/2006/relationships/hyperlink" Target="https://www.mubasher.info/markets/EGX/stocks/NAPR" TargetMode="External"/><Relationship Id="rId362" Type="http://schemas.openxmlformats.org/officeDocument/2006/relationships/hyperlink" Target="https://www.mubasher.info/markets/EGX/stocks/PRDC" TargetMode="External"/><Relationship Id="rId383" Type="http://schemas.openxmlformats.org/officeDocument/2006/relationships/hyperlink" Target="https://www.mubasher.info/markets/EGX/stocks/GOCO" TargetMode="External"/><Relationship Id="rId201" Type="http://schemas.openxmlformats.org/officeDocument/2006/relationships/hyperlink" Target="https://www.mubasher.info/markets/EGX/stocks/EGB0701250130G0" TargetMode="External"/><Relationship Id="rId222" Type="http://schemas.openxmlformats.org/officeDocument/2006/relationships/hyperlink" Target="https://www.mubasher.info/markets/EGX/stocks/SNFI" TargetMode="External"/><Relationship Id="rId243" Type="http://schemas.openxmlformats.org/officeDocument/2006/relationships/hyperlink" Target="https://www.mubasher.info/markets/EGX/stocks/EGT1806240625G0" TargetMode="External"/><Relationship Id="rId264" Type="http://schemas.openxmlformats.org/officeDocument/2006/relationships/hyperlink" Target="https://www.mubasher.info/markets/EGX/stocks/BIOC" TargetMode="External"/><Relationship Id="rId285" Type="http://schemas.openxmlformats.org/officeDocument/2006/relationships/hyperlink" Target="https://www.mubasher.info/markets/EGX/stocks/EGB0110241029G0" TargetMode="External"/><Relationship Id="rId17" Type="http://schemas.openxmlformats.org/officeDocument/2006/relationships/hyperlink" Target="https://www.mubasher.info/markets/EGX/stocks/CCRS" TargetMode="External"/><Relationship Id="rId38" Type="http://schemas.openxmlformats.org/officeDocument/2006/relationships/hyperlink" Target="https://www.mubasher.info/markets/EGX/stocks/AIDC" TargetMode="External"/><Relationship Id="rId59" Type="http://schemas.openxmlformats.org/officeDocument/2006/relationships/hyperlink" Target="https://www.mubasher.info/markets/EGX/stocks/EMFD" TargetMode="External"/><Relationship Id="rId103" Type="http://schemas.openxmlformats.org/officeDocument/2006/relationships/hyperlink" Target="https://www.mubasher.info/markets/EGX/stocks/CANA" TargetMode="External"/><Relationship Id="rId124" Type="http://schemas.openxmlformats.org/officeDocument/2006/relationships/hyperlink" Target="https://www.mubasher.info/markets/EGX/stocks/OLFI" TargetMode="External"/><Relationship Id="rId310" Type="http://schemas.openxmlformats.org/officeDocument/2006/relationships/hyperlink" Target="https://www.mubasher.info/markets/EGX/stocks/ELNA" TargetMode="External"/><Relationship Id="rId70" Type="http://schemas.openxmlformats.org/officeDocument/2006/relationships/hyperlink" Target="https://www.mubasher.info/markets/EGX/stocks/COPR" TargetMode="External"/><Relationship Id="rId91" Type="http://schemas.openxmlformats.org/officeDocument/2006/relationships/hyperlink" Target="https://www.mubasher.info/markets/EGX/stocks/UEGC" TargetMode="External"/><Relationship Id="rId145" Type="http://schemas.openxmlformats.org/officeDocument/2006/relationships/hyperlink" Target="https://www.mubasher.info/markets/EGX/stocks/EGT0403250326G0" TargetMode="External"/><Relationship Id="rId166" Type="http://schemas.openxmlformats.org/officeDocument/2006/relationships/hyperlink" Target="https://www.mubasher.info/markets/EGX/stocks/HRHO" TargetMode="External"/><Relationship Id="rId187" Type="http://schemas.openxmlformats.org/officeDocument/2006/relationships/hyperlink" Target="https://www.mubasher.info/markets/EGX/stocks/EGT0402250226G0" TargetMode="External"/><Relationship Id="rId331" Type="http://schemas.openxmlformats.org/officeDocument/2006/relationships/hyperlink" Target="https://www.mubasher.info/markets/EGX/stocks/LCSW" TargetMode="External"/><Relationship Id="rId352" Type="http://schemas.openxmlformats.org/officeDocument/2006/relationships/hyperlink" Target="https://www.mubasher.info/markets/EGX/stocks/AMPI" TargetMode="External"/><Relationship Id="rId373" Type="http://schemas.openxmlformats.org/officeDocument/2006/relationships/hyperlink" Target="https://www.mubasher.info/markets/EGX/stocks/EGREF" TargetMode="External"/><Relationship Id="rId394" Type="http://schemas.openxmlformats.org/officeDocument/2006/relationships/hyperlink" Target="https://www.mubasher.info/advertise" TargetMode="External"/><Relationship Id="rId1" Type="http://schemas.openxmlformats.org/officeDocument/2006/relationships/hyperlink" Target="https://www.mubasher.info/countries/eg/all-stock-prices" TargetMode="External"/><Relationship Id="rId212" Type="http://schemas.openxmlformats.org/officeDocument/2006/relationships/hyperlink" Target="https://www.mubasher.info/markets/EGX/stocks/EGT2412241225G0" TargetMode="External"/><Relationship Id="rId233" Type="http://schemas.openxmlformats.org/officeDocument/2006/relationships/hyperlink" Target="https://www.mubasher.info/markets/EGX/stocks/OFH" TargetMode="External"/><Relationship Id="rId254" Type="http://schemas.openxmlformats.org/officeDocument/2006/relationships/hyperlink" Target="https://www.mubasher.info/markets/EGX/stocks/EGT1211241125G0" TargetMode="External"/><Relationship Id="rId28" Type="http://schemas.openxmlformats.org/officeDocument/2006/relationships/hyperlink" Target="https://www.mubasher.info/markets/EGX/stocks/IBCT" TargetMode="External"/><Relationship Id="rId49" Type="http://schemas.openxmlformats.org/officeDocument/2006/relationships/hyperlink" Target="https://www.mubasher.info/markets/EGX/stocks/RUBX" TargetMode="External"/><Relationship Id="rId114" Type="http://schemas.openxmlformats.org/officeDocument/2006/relationships/hyperlink" Target="https://www.mubasher.info/markets/EGX/stocks/QNBE" TargetMode="External"/><Relationship Id="rId275" Type="http://schemas.openxmlformats.org/officeDocument/2006/relationships/hyperlink" Target="https://www.mubasher.info/markets/EGX/stocks/KZPC" TargetMode="External"/><Relationship Id="rId296" Type="http://schemas.openxmlformats.org/officeDocument/2006/relationships/hyperlink" Target="https://www.mubasher.info/markets/EGX/stocks/MBEG" TargetMode="External"/><Relationship Id="rId300" Type="http://schemas.openxmlformats.org/officeDocument/2006/relationships/hyperlink" Target="https://www.mubasher.info/markets/EGX/stocks/VLMRA" TargetMode="External"/><Relationship Id="rId60" Type="http://schemas.openxmlformats.org/officeDocument/2006/relationships/hyperlink" Target="https://www.mubasher.info/markets/EGX/stocks/OBRI" TargetMode="External"/><Relationship Id="rId81" Type="http://schemas.openxmlformats.org/officeDocument/2006/relationships/hyperlink" Target="https://www.mubasher.info/markets/EGX/stocks/POUL" TargetMode="External"/><Relationship Id="rId135" Type="http://schemas.openxmlformats.org/officeDocument/2006/relationships/hyperlink" Target="https://www.mubasher.info/markets/EGX/stocks/CIEB" TargetMode="External"/><Relationship Id="rId156" Type="http://schemas.openxmlformats.org/officeDocument/2006/relationships/hyperlink" Target="https://www.mubasher.info/markets/EGX/stocks/EGT0701250126G0" TargetMode="External"/><Relationship Id="rId177" Type="http://schemas.openxmlformats.org/officeDocument/2006/relationships/hyperlink" Target="https://www.mubasher.info/markets/EGX/stocks/EGT1308240825G0" TargetMode="External"/><Relationship Id="rId198" Type="http://schemas.openxmlformats.org/officeDocument/2006/relationships/hyperlink" Target="https://www.mubasher.info/markets/EGX/stocks/EGT0608240825G0" TargetMode="External"/><Relationship Id="rId321" Type="http://schemas.openxmlformats.org/officeDocument/2006/relationships/hyperlink" Target="https://www.mubasher.info/markets/EGX/stocks/MOSC" TargetMode="External"/><Relationship Id="rId342" Type="http://schemas.openxmlformats.org/officeDocument/2006/relationships/hyperlink" Target="https://www.mubasher.info/markets/EGX/stocks/NCCW" TargetMode="External"/><Relationship Id="rId363" Type="http://schemas.openxmlformats.org/officeDocument/2006/relationships/hyperlink" Target="https://www.mubasher.info/markets/EGX/stocks/MHOT" TargetMode="External"/><Relationship Id="rId384" Type="http://schemas.openxmlformats.org/officeDocument/2006/relationships/hyperlink" Target="https://www.mubasher.info/markets/EGX/stocks/ARPI" TargetMode="External"/><Relationship Id="rId202" Type="http://schemas.openxmlformats.org/officeDocument/2006/relationships/hyperlink" Target="https://www.mubasher.info/markets/EGX/stocks/EGB0701250128G0" TargetMode="External"/><Relationship Id="rId223" Type="http://schemas.openxmlformats.org/officeDocument/2006/relationships/hyperlink" Target="https://www.mubasher.info/markets/EGX/stocks/PRMH" TargetMode="External"/><Relationship Id="rId244" Type="http://schemas.openxmlformats.org/officeDocument/2006/relationships/hyperlink" Target="https://www.mubasher.info/markets/EGX/stocks/EGB0110241026G0" TargetMode="External"/><Relationship Id="rId18" Type="http://schemas.openxmlformats.org/officeDocument/2006/relationships/hyperlink" Target="https://www.mubasher.info/markets/EGX/stocks/EOSB" TargetMode="External"/><Relationship Id="rId39" Type="http://schemas.openxmlformats.org/officeDocument/2006/relationships/hyperlink" Target="https://www.mubasher.info/markets/EGX/stocks/ELSH" TargetMode="External"/><Relationship Id="rId265" Type="http://schemas.openxmlformats.org/officeDocument/2006/relationships/hyperlink" Target="https://www.mubasher.info/markets/EGX/stocks/OCDI" TargetMode="External"/><Relationship Id="rId286" Type="http://schemas.openxmlformats.org/officeDocument/2006/relationships/hyperlink" Target="https://www.mubasher.info/markets/EGX/stocks/UEFM" TargetMode="External"/><Relationship Id="rId50" Type="http://schemas.openxmlformats.org/officeDocument/2006/relationships/hyperlink" Target="https://www.mubasher.info/markets/EGX/stocks/EGCH" TargetMode="External"/><Relationship Id="rId104" Type="http://schemas.openxmlformats.org/officeDocument/2006/relationships/hyperlink" Target="https://www.mubasher.info/markets/EGX/stocks/GMCI" TargetMode="External"/><Relationship Id="rId125" Type="http://schemas.openxmlformats.org/officeDocument/2006/relationships/hyperlink" Target="https://www.mubasher.info/markets/EGX/stocks/HBCO" TargetMode="External"/><Relationship Id="rId146" Type="http://schemas.openxmlformats.org/officeDocument/2006/relationships/hyperlink" Target="https://www.mubasher.info/markets/EGX/stocks/MFSC" TargetMode="External"/><Relationship Id="rId167" Type="http://schemas.openxmlformats.org/officeDocument/2006/relationships/hyperlink" Target="https://www.mubasher.info/markets/EGX/stocks/EGT1504250426G0" TargetMode="External"/><Relationship Id="rId188" Type="http://schemas.openxmlformats.org/officeDocument/2006/relationships/hyperlink" Target="https://www.mubasher.info/markets/EGX/stocks/EGT2702240225G0" TargetMode="External"/><Relationship Id="rId311" Type="http://schemas.openxmlformats.org/officeDocument/2006/relationships/hyperlink" Target="https://www.mubasher.info/markets/EGX/stocks/ASPI" TargetMode="External"/><Relationship Id="rId332" Type="http://schemas.openxmlformats.org/officeDocument/2006/relationships/hyperlink" Target="https://www.mubasher.info/markets/EGX/stocks/EGSASEC40B" TargetMode="External"/><Relationship Id="rId353" Type="http://schemas.openxmlformats.org/officeDocument/2006/relationships/hyperlink" Target="https://www.mubasher.info/markets/EGX/stocks/IEEC" TargetMode="External"/><Relationship Id="rId374" Type="http://schemas.openxmlformats.org/officeDocument/2006/relationships/hyperlink" Target="https://www.mubasher.info/markets/EGX/stocks/NBKE" TargetMode="External"/><Relationship Id="rId395" Type="http://schemas.openxmlformats.org/officeDocument/2006/relationships/hyperlink" Target="http://www.decypha.com/" TargetMode="External"/><Relationship Id="rId71" Type="http://schemas.openxmlformats.org/officeDocument/2006/relationships/hyperlink" Target="https://www.mubasher.info/markets/EGX/stocks/MAAL" TargetMode="External"/><Relationship Id="rId92" Type="http://schemas.openxmlformats.org/officeDocument/2006/relationships/hyperlink" Target="https://www.mubasher.info/markets/EGX/stocks/EFID" TargetMode="External"/><Relationship Id="rId213" Type="http://schemas.openxmlformats.org/officeDocument/2006/relationships/hyperlink" Target="https://www.mubasher.info/markets/EGX/stocks/EGT2805240525G0" TargetMode="External"/><Relationship Id="rId234" Type="http://schemas.openxmlformats.org/officeDocument/2006/relationships/hyperlink" Target="https://www.mubasher.info/markets/EGX/stocks/REOPENEG03671Z5" TargetMode="External"/><Relationship Id="rId2" Type="http://schemas.openxmlformats.org/officeDocument/2006/relationships/hyperlink" Target="https://www.mubasher.info/markets/EGX/stocks/PTCC" TargetMode="External"/><Relationship Id="rId29" Type="http://schemas.openxmlformats.org/officeDocument/2006/relationships/hyperlink" Target="https://www.mubasher.info/markets/EGX/stocks/RAKT" TargetMode="External"/><Relationship Id="rId255" Type="http://schemas.openxmlformats.org/officeDocument/2006/relationships/hyperlink" Target="https://www.mubasher.info/markets/EGX/stocks/EGT0810241025G0" TargetMode="External"/><Relationship Id="rId276" Type="http://schemas.openxmlformats.org/officeDocument/2006/relationships/hyperlink" Target="https://www.mubasher.info/markets/EGX/stocks/SMFR" TargetMode="External"/><Relationship Id="rId297" Type="http://schemas.openxmlformats.org/officeDocument/2006/relationships/hyperlink" Target="https://www.mubasher.info/markets/EGX/stocks/FAIT" TargetMode="External"/><Relationship Id="rId40" Type="http://schemas.openxmlformats.org/officeDocument/2006/relationships/hyperlink" Target="https://www.mubasher.info/markets/EGX/stocks/EEII" TargetMode="External"/><Relationship Id="rId115" Type="http://schemas.openxmlformats.org/officeDocument/2006/relationships/hyperlink" Target="https://www.mubasher.info/markets/EGX/stocks/IFAP" TargetMode="External"/><Relationship Id="rId136" Type="http://schemas.openxmlformats.org/officeDocument/2006/relationships/hyperlink" Target="https://www.mubasher.info/markets/EGX/stocks/RTVC" TargetMode="External"/><Relationship Id="rId157" Type="http://schemas.openxmlformats.org/officeDocument/2006/relationships/hyperlink" Target="https://www.mubasher.info/markets/EGX/stocks/EGT1709240925G0" TargetMode="External"/><Relationship Id="rId178" Type="http://schemas.openxmlformats.org/officeDocument/2006/relationships/hyperlink" Target="https://www.mubasher.info/markets/EGX/stocks/EGT1401250126G0" TargetMode="External"/><Relationship Id="rId301" Type="http://schemas.openxmlformats.org/officeDocument/2006/relationships/hyperlink" Target="https://www.mubasher.info/markets/EGX/stocks/SIPC" TargetMode="External"/><Relationship Id="rId322" Type="http://schemas.openxmlformats.org/officeDocument/2006/relationships/hyperlink" Target="https://www.mubasher.info/markets/EGX/stocks/EGTS" TargetMode="External"/><Relationship Id="rId343" Type="http://schemas.openxmlformats.org/officeDocument/2006/relationships/hyperlink" Target="https://www.mubasher.info/markets/EGX/stocks/AMIA" TargetMode="External"/><Relationship Id="rId364" Type="http://schemas.openxmlformats.org/officeDocument/2006/relationships/hyperlink" Target="https://www.mubasher.info/markets/EGX/stocks/EASB" TargetMode="External"/><Relationship Id="rId61" Type="http://schemas.openxmlformats.org/officeDocument/2006/relationships/hyperlink" Target="https://www.mubasher.info/markets/EGX/stocks/TANM" TargetMode="External"/><Relationship Id="rId82" Type="http://schemas.openxmlformats.org/officeDocument/2006/relationships/hyperlink" Target="https://www.mubasher.info/markets/EGX/stocks/MISR" TargetMode="External"/><Relationship Id="rId199" Type="http://schemas.openxmlformats.org/officeDocument/2006/relationships/hyperlink" Target="https://www.mubasher.info/markets/EGX/stocks/EGT3007240725G0" TargetMode="External"/><Relationship Id="rId203" Type="http://schemas.openxmlformats.org/officeDocument/2006/relationships/hyperlink" Target="https://www.mubasher.info/markets/EGX/stocks/EGT1912231224G0" TargetMode="External"/><Relationship Id="rId385" Type="http://schemas.openxmlformats.org/officeDocument/2006/relationships/hyperlink" Target="https://www.mubasher.info/markets/EGX/stocks/TRST" TargetMode="External"/><Relationship Id="rId19" Type="http://schemas.openxmlformats.org/officeDocument/2006/relationships/hyperlink" Target="https://www.mubasher.info/markets/EGX/stocks/DCCC" TargetMode="External"/><Relationship Id="rId224" Type="http://schemas.openxmlformats.org/officeDocument/2006/relationships/hyperlink" Target="https://www.mubasher.info/markets/EGX/stocks/ESRS" TargetMode="External"/><Relationship Id="rId245" Type="http://schemas.openxmlformats.org/officeDocument/2006/relationships/hyperlink" Target="https://www.mubasher.info/markets/EGX/stocks/TWSA" TargetMode="External"/><Relationship Id="rId266" Type="http://schemas.openxmlformats.org/officeDocument/2006/relationships/hyperlink" Target="https://www.mubasher.info/markets/EGX/stocks/NCGC" TargetMode="External"/><Relationship Id="rId287" Type="http://schemas.openxmlformats.org/officeDocument/2006/relationships/hyperlink" Target="https://www.mubasher.info/markets/EGX/stocks/ICFC" TargetMode="External"/><Relationship Id="rId30" Type="http://schemas.openxmlformats.org/officeDocument/2006/relationships/hyperlink" Target="https://www.mubasher.info/markets/EGX/stocks/INFI" TargetMode="External"/><Relationship Id="rId105" Type="http://schemas.openxmlformats.org/officeDocument/2006/relationships/hyperlink" Target="https://www.mubasher.info/markets/EGX/stocks/DSCW" TargetMode="External"/><Relationship Id="rId126" Type="http://schemas.openxmlformats.org/officeDocument/2006/relationships/hyperlink" Target="https://www.mubasher.info/markets/EGX/stocks/FWRY" TargetMode="External"/><Relationship Id="rId147" Type="http://schemas.openxmlformats.org/officeDocument/2006/relationships/hyperlink" Target="https://www.mubasher.info/markets/EGX/stocks/ZMID" TargetMode="External"/><Relationship Id="rId168" Type="http://schemas.openxmlformats.org/officeDocument/2006/relationships/hyperlink" Target="https://www.mubasher.info/markets/EGX/stocks/EGB1308240827G1" TargetMode="External"/><Relationship Id="rId312" Type="http://schemas.openxmlformats.org/officeDocument/2006/relationships/hyperlink" Target="https://www.mubasher.info/markets/EGX/stocks/AMOC" TargetMode="External"/><Relationship Id="rId333" Type="http://schemas.openxmlformats.org/officeDocument/2006/relationships/hyperlink" Target="https://www.mubasher.info/markets/EGX/stocks/APSW" TargetMode="External"/><Relationship Id="rId354" Type="http://schemas.openxmlformats.org/officeDocument/2006/relationships/hyperlink" Target="https://www.mubasher.info/markets/EGX/stocks/SIMO" TargetMode="External"/><Relationship Id="rId51" Type="http://schemas.openxmlformats.org/officeDocument/2006/relationships/hyperlink" Target="https://www.mubasher.info/markets/EGX/stocks/BIGP" TargetMode="External"/><Relationship Id="rId72" Type="http://schemas.openxmlformats.org/officeDocument/2006/relationships/hyperlink" Target="https://www.mubasher.info/markets/EGX/stocks/SEIG" TargetMode="External"/><Relationship Id="rId93" Type="http://schemas.openxmlformats.org/officeDocument/2006/relationships/hyperlink" Target="https://www.mubasher.info/markets/EGX/stocks/EFIH" TargetMode="External"/><Relationship Id="rId189" Type="http://schemas.openxmlformats.org/officeDocument/2006/relationships/hyperlink" Target="https://www.mubasher.info/markets/EGX/stocks/EGT2904250426G0" TargetMode="External"/><Relationship Id="rId375" Type="http://schemas.openxmlformats.org/officeDocument/2006/relationships/hyperlink" Target="https://www.mubasher.info/markets/EGX/stocks/ARVA" TargetMode="External"/><Relationship Id="rId396" Type="http://schemas.openxmlformats.org/officeDocument/2006/relationships/hyperlink" Target="https://www.mubasher.info/ir-services" TargetMode="External"/><Relationship Id="rId3" Type="http://schemas.openxmlformats.org/officeDocument/2006/relationships/hyperlink" Target="https://www.mubasher.info/markets/EGX/stocks/GETO" TargetMode="External"/><Relationship Id="rId214" Type="http://schemas.openxmlformats.org/officeDocument/2006/relationships/hyperlink" Target="https://www.mubasher.info/markets/EGX/stocks/MOIN" TargetMode="External"/><Relationship Id="rId235" Type="http://schemas.openxmlformats.org/officeDocument/2006/relationships/hyperlink" Target="https://www.mubasher.info/markets/EGX/stocks/REOPENEG112225" TargetMode="External"/><Relationship Id="rId256" Type="http://schemas.openxmlformats.org/officeDocument/2006/relationships/hyperlink" Target="https://www.mubasher.info/markets/EGX/stocks/EGT0503240325G0" TargetMode="External"/><Relationship Id="rId277" Type="http://schemas.openxmlformats.org/officeDocument/2006/relationships/hyperlink" Target="https://www.mubasher.info/markets/EGX/stocks/EGB0403250327G0" TargetMode="External"/><Relationship Id="rId298" Type="http://schemas.openxmlformats.org/officeDocument/2006/relationships/hyperlink" Target="https://www.mubasher.info/markets/EGX/stocks/ELWA" TargetMode="External"/><Relationship Id="rId400" Type="http://schemas.openxmlformats.org/officeDocument/2006/relationships/drawing" Target="../drawings/drawing1.xml"/><Relationship Id="rId116" Type="http://schemas.openxmlformats.org/officeDocument/2006/relationships/hyperlink" Target="https://www.mubasher.info/markets/EGX/stocks/ARAB" TargetMode="External"/><Relationship Id="rId137" Type="http://schemas.openxmlformats.org/officeDocument/2006/relationships/hyperlink" Target="https://www.mubasher.info/markets/EGX/stocks/SPMD" TargetMode="External"/><Relationship Id="rId158" Type="http://schemas.openxmlformats.org/officeDocument/2006/relationships/hyperlink" Target="https://www.mubasher.info/markets/EGX/stocks/ADIB" TargetMode="External"/><Relationship Id="rId302" Type="http://schemas.openxmlformats.org/officeDocument/2006/relationships/hyperlink" Target="https://www.mubasher.info/markets/EGX/stocks/RREI" TargetMode="External"/><Relationship Id="rId323" Type="http://schemas.openxmlformats.org/officeDocument/2006/relationships/hyperlink" Target="https://www.mubasher.info/markets/EGX/stocks/SUGR" TargetMode="External"/><Relationship Id="rId344" Type="http://schemas.openxmlformats.org/officeDocument/2006/relationships/hyperlink" Target="https://www.mubasher.info/markets/EGX/stocks/DIFC" TargetMode="External"/><Relationship Id="rId20" Type="http://schemas.openxmlformats.org/officeDocument/2006/relationships/hyperlink" Target="https://www.mubasher.info/markets/EGX/stocks/UNIT" TargetMode="External"/><Relationship Id="rId41" Type="http://schemas.openxmlformats.org/officeDocument/2006/relationships/hyperlink" Target="https://www.mubasher.info/markets/EGX/stocks/DCRC" TargetMode="External"/><Relationship Id="rId62" Type="http://schemas.openxmlformats.org/officeDocument/2006/relationships/hyperlink" Target="https://www.mubasher.info/markets/EGX/stocks/ATLC" TargetMode="External"/><Relationship Id="rId83" Type="http://schemas.openxmlformats.org/officeDocument/2006/relationships/hyperlink" Target="https://www.mubasher.info/markets/EGX/stocks/ELKA" TargetMode="External"/><Relationship Id="rId179" Type="http://schemas.openxmlformats.org/officeDocument/2006/relationships/hyperlink" Target="https://www.mubasher.info/markets/EGX/stocks/EGT3112241225G0" TargetMode="External"/><Relationship Id="rId365" Type="http://schemas.openxmlformats.org/officeDocument/2006/relationships/hyperlink" Target="https://www.mubasher.info/markets/EGX/stocks/SCFM" TargetMode="External"/><Relationship Id="rId386" Type="http://schemas.openxmlformats.org/officeDocument/2006/relationships/hyperlink" Target="https://www.mubasher.info/markets/EGX/stocks/ICLE" TargetMode="External"/><Relationship Id="rId190" Type="http://schemas.openxmlformats.org/officeDocument/2006/relationships/hyperlink" Target="https://www.mubasher.info/markets/EGX/stocks/EGT1601240125G0" TargetMode="External"/><Relationship Id="rId204" Type="http://schemas.openxmlformats.org/officeDocument/2006/relationships/hyperlink" Target="https://www.mubasher.info/markets/EGX/stocks/EGT0201241224G0" TargetMode="External"/><Relationship Id="rId225" Type="http://schemas.openxmlformats.org/officeDocument/2006/relationships/hyperlink" Target="https://www.mubasher.info/markets/EGX/stocks/NAHO" TargetMode="External"/><Relationship Id="rId246" Type="http://schemas.openxmlformats.org/officeDocument/2006/relationships/hyperlink" Target="https://www.mubasher.info/markets/EGX/stocks/EGT1802250226G0" TargetMode="External"/><Relationship Id="rId267" Type="http://schemas.openxmlformats.org/officeDocument/2006/relationships/hyperlink" Target="https://www.mubasher.info/markets/EGX/stocks/ETEL" TargetMode="External"/><Relationship Id="rId288" Type="http://schemas.openxmlformats.org/officeDocument/2006/relationships/hyperlink" Target="https://www.mubasher.info/markets/EGX/stocks/CPCI" TargetMode="External"/><Relationship Id="rId106" Type="http://schemas.openxmlformats.org/officeDocument/2006/relationships/hyperlink" Target="https://www.mubasher.info/markets/EGX/stocks/ORAS" TargetMode="External"/><Relationship Id="rId127" Type="http://schemas.openxmlformats.org/officeDocument/2006/relationships/hyperlink" Target="https://www.mubasher.info/markets/EGX/stocks/UNIP" TargetMode="External"/><Relationship Id="rId313" Type="http://schemas.openxmlformats.org/officeDocument/2006/relationships/hyperlink" Target="https://www.mubasher.info/markets/EGX/stocks/NEDA" TargetMode="External"/><Relationship Id="rId10" Type="http://schemas.openxmlformats.org/officeDocument/2006/relationships/hyperlink" Target="https://www.mubasher.info/markets/EGX/stocks/ESAC" TargetMode="External"/><Relationship Id="rId31" Type="http://schemas.openxmlformats.org/officeDocument/2006/relationships/hyperlink" Target="https://www.mubasher.info/markets/EGX/stocks/EGB1601240129G0" TargetMode="External"/><Relationship Id="rId52" Type="http://schemas.openxmlformats.org/officeDocument/2006/relationships/hyperlink" Target="https://www.mubasher.info/markets/EGX/stocks/ECAP" TargetMode="External"/><Relationship Id="rId73" Type="http://schemas.openxmlformats.org/officeDocument/2006/relationships/hyperlink" Target="https://www.mubasher.info/markets/EGX/stocks/ODIN" TargetMode="External"/><Relationship Id="rId94" Type="http://schemas.openxmlformats.org/officeDocument/2006/relationships/hyperlink" Target="https://www.mubasher.info/markets/EGX/stocks/EGB0511241127G0" TargetMode="External"/><Relationship Id="rId148" Type="http://schemas.openxmlformats.org/officeDocument/2006/relationships/hyperlink" Target="https://www.mubasher.info/markets/EGX/stocks/EGT2307240725G0" TargetMode="External"/><Relationship Id="rId169" Type="http://schemas.openxmlformats.org/officeDocument/2006/relationships/hyperlink" Target="https://www.mubasher.info/markets/EGX/stocks/CSAG" TargetMode="External"/><Relationship Id="rId334" Type="http://schemas.openxmlformats.org/officeDocument/2006/relationships/hyperlink" Target="https://www.mubasher.info/markets/EGX/stocks/NARE" TargetMode="External"/><Relationship Id="rId355" Type="http://schemas.openxmlformats.org/officeDocument/2006/relationships/hyperlink" Target="https://www.mubasher.info/markets/EGX/stocks/MKIT" TargetMode="External"/><Relationship Id="rId376" Type="http://schemas.openxmlformats.org/officeDocument/2006/relationships/hyperlink" Target="https://www.mubasher.info/markets/EGX/stocks/EAST" TargetMode="External"/><Relationship Id="rId397" Type="http://schemas.openxmlformats.org/officeDocument/2006/relationships/hyperlink" Target="https://www.mubasher.info/s/Jobs" TargetMode="External"/><Relationship Id="rId4" Type="http://schemas.openxmlformats.org/officeDocument/2006/relationships/hyperlink" Target="https://www.mubasher.info/markets/EGX/stocks/DEIN" TargetMode="External"/><Relationship Id="rId180" Type="http://schemas.openxmlformats.org/officeDocument/2006/relationships/hyperlink" Target="https://www.mubasher.info/markets/EGX/stocks/EGT2612231224G0" TargetMode="External"/><Relationship Id="rId215" Type="http://schemas.openxmlformats.org/officeDocument/2006/relationships/hyperlink" Target="https://www.mubasher.info/markets/EGX/stocks/EGWA" TargetMode="External"/><Relationship Id="rId236" Type="http://schemas.openxmlformats.org/officeDocument/2006/relationships/hyperlink" Target="https://www.mubasher.info/markets/EGX/stocks/FTNS" TargetMode="External"/><Relationship Id="rId257" Type="http://schemas.openxmlformats.org/officeDocument/2006/relationships/hyperlink" Target="https://www.mubasher.info/markets/EGX/stocks/EGT0511241125G0" TargetMode="External"/><Relationship Id="rId278" Type="http://schemas.openxmlformats.org/officeDocument/2006/relationships/hyperlink" Target="https://www.mubasher.info/markets/EGX/stocks/EGB2204250428G0" TargetMode="External"/><Relationship Id="rId303" Type="http://schemas.openxmlformats.org/officeDocument/2006/relationships/hyperlink" Target="https://www.mubasher.info/markets/EGX/stocks/KRDI" TargetMode="External"/><Relationship Id="rId42" Type="http://schemas.openxmlformats.org/officeDocument/2006/relationships/hyperlink" Target="https://www.mubasher.info/markets/EGX/stocks/ALUM" TargetMode="External"/><Relationship Id="rId84" Type="http://schemas.openxmlformats.org/officeDocument/2006/relationships/hyperlink" Target="https://www.mubasher.info/markets/EGX/stocks/CRST" TargetMode="External"/><Relationship Id="rId138" Type="http://schemas.openxmlformats.org/officeDocument/2006/relationships/hyperlink" Target="https://www.mubasher.info/markets/EGX/stocks/ADCI" TargetMode="External"/><Relationship Id="rId345" Type="http://schemas.openxmlformats.org/officeDocument/2006/relationships/hyperlink" Target="https://www.mubasher.info/markets/EGX/stocks/AIFI" TargetMode="External"/><Relationship Id="rId387" Type="http://schemas.openxmlformats.org/officeDocument/2006/relationships/hyperlink" Target="https://www.mubasher.info/markets/EGX/stocks/POCO" TargetMode="External"/><Relationship Id="rId191" Type="http://schemas.openxmlformats.org/officeDocument/2006/relationships/hyperlink" Target="https://www.mubasher.info/markets/EGX/stocks/EGT1302240225G0" TargetMode="External"/><Relationship Id="rId205" Type="http://schemas.openxmlformats.org/officeDocument/2006/relationships/hyperlink" Target="https://www.mubasher.info/markets/EGX/stocks/EGT1903240325G0" TargetMode="External"/><Relationship Id="rId247" Type="http://schemas.openxmlformats.org/officeDocument/2006/relationships/hyperlink" Target="https://www.mubasher.info/markets/EGX/stocks/EGT2503250326G0" TargetMode="External"/><Relationship Id="rId107" Type="http://schemas.openxmlformats.org/officeDocument/2006/relationships/hyperlink" Target="https://www.mubasher.info/markets/EGX/stocks/DTPP" TargetMode="External"/><Relationship Id="rId289" Type="http://schemas.openxmlformats.org/officeDocument/2006/relationships/hyperlink" Target="https://www.mubasher.info/markets/EGX/stocks/RMDA" TargetMode="External"/><Relationship Id="rId11" Type="http://schemas.openxmlformats.org/officeDocument/2006/relationships/hyperlink" Target="https://www.mubasher.info/markets/EGX/stocks/IDRE" TargetMode="External"/><Relationship Id="rId53" Type="http://schemas.openxmlformats.org/officeDocument/2006/relationships/hyperlink" Target="https://www.mubasher.info/markets/EGX/stocks/GTWL" TargetMode="External"/><Relationship Id="rId149" Type="http://schemas.openxmlformats.org/officeDocument/2006/relationships/hyperlink" Target="https://www.mubasher.info/markets/EGX/stocks/EGT2502250226G0" TargetMode="External"/><Relationship Id="rId314" Type="http://schemas.openxmlformats.org/officeDocument/2006/relationships/hyperlink" Target="https://www.mubasher.info/markets/EGX/stocks/UBEE" TargetMode="External"/><Relationship Id="rId356" Type="http://schemas.openxmlformats.org/officeDocument/2006/relationships/hyperlink" Target="https://www.mubasher.info/markets/EGX/stocks/ACAMD" TargetMode="External"/><Relationship Id="rId398" Type="http://schemas.openxmlformats.org/officeDocument/2006/relationships/hyperlink" Target="https://www.mubasher.info/decypha-packages" TargetMode="External"/><Relationship Id="rId95" Type="http://schemas.openxmlformats.org/officeDocument/2006/relationships/hyperlink" Target="https://www.mubasher.info/markets/EGX/stocks/ABUK" TargetMode="External"/><Relationship Id="rId160" Type="http://schemas.openxmlformats.org/officeDocument/2006/relationships/hyperlink" Target="https://www.mubasher.info/markets/EGX/stocks/RACC" TargetMode="External"/><Relationship Id="rId216" Type="http://schemas.openxmlformats.org/officeDocument/2006/relationships/hyperlink" Target="https://www.mubasher.info/markets/EGX/stocks/ACRO" TargetMode="External"/><Relationship Id="rId258" Type="http://schemas.openxmlformats.org/officeDocument/2006/relationships/hyperlink" Target="https://www.mubasher.info/markets/EGX/stocks/EGB0605250528G0" TargetMode="External"/><Relationship Id="rId22" Type="http://schemas.openxmlformats.org/officeDocument/2006/relationships/hyperlink" Target="https://www.mubasher.info/markets/EGX/stocks/EGSA" TargetMode="External"/><Relationship Id="rId64" Type="http://schemas.openxmlformats.org/officeDocument/2006/relationships/hyperlink" Target="https://www.mubasher.info/markets/EGX/stocks/CICH" TargetMode="External"/><Relationship Id="rId118" Type="http://schemas.openxmlformats.org/officeDocument/2006/relationships/hyperlink" Target="https://www.mubasher.info/markets/EGX/stocks/EHDR" TargetMode="External"/><Relationship Id="rId325" Type="http://schemas.openxmlformats.org/officeDocument/2006/relationships/hyperlink" Target="https://www.mubasher.info/markets/EGX/stocks/EGX30ETF" TargetMode="External"/><Relationship Id="rId367" Type="http://schemas.openxmlformats.org/officeDocument/2006/relationships/hyperlink" Target="https://www.mubasher.info/markets/EGX/stocks/GGRN" TargetMode="External"/><Relationship Id="rId171" Type="http://schemas.openxmlformats.org/officeDocument/2006/relationships/hyperlink" Target="https://www.mubasher.info/markets/EGX/stocks/EGT2101250126G0" TargetMode="External"/><Relationship Id="rId227" Type="http://schemas.openxmlformats.org/officeDocument/2006/relationships/hyperlink" Target="https://www.mubasher.info/markets/EGX/stocks/WATP" TargetMode="External"/><Relationship Id="rId269" Type="http://schemas.openxmlformats.org/officeDocument/2006/relationships/hyperlink" Target="https://www.mubasher.info/markets/EGX/stocks/ACAP" TargetMode="External"/><Relationship Id="rId33" Type="http://schemas.openxmlformats.org/officeDocument/2006/relationships/hyperlink" Target="https://www.mubasher.info/markets/EGX/stocks/EGAL" TargetMode="External"/><Relationship Id="rId129" Type="http://schemas.openxmlformats.org/officeDocument/2006/relationships/hyperlink" Target="https://www.mubasher.info/markets/EGX/stocks/BTFH" TargetMode="External"/><Relationship Id="rId280" Type="http://schemas.openxmlformats.org/officeDocument/2006/relationships/hyperlink" Target="https://www.mubasher.info/markets/EGX/stocks/PHAR" TargetMode="External"/><Relationship Id="rId336" Type="http://schemas.openxmlformats.org/officeDocument/2006/relationships/hyperlink" Target="https://www.mubasher.info/markets/EGX/stocks/COSG" TargetMode="External"/><Relationship Id="rId75" Type="http://schemas.openxmlformats.org/officeDocument/2006/relationships/hyperlink" Target="https://www.mubasher.info/markets/EGX/stocks/EGREHB5P1C" TargetMode="External"/><Relationship Id="rId140" Type="http://schemas.openxmlformats.org/officeDocument/2006/relationships/hyperlink" Target="https://www.mubasher.info/markets/EGX/stocks/AXPH" TargetMode="External"/><Relationship Id="rId182" Type="http://schemas.openxmlformats.org/officeDocument/2006/relationships/hyperlink" Target="https://www.mubasher.info/markets/EGX/stocks/EGT3004240425G0" TargetMode="External"/><Relationship Id="rId378" Type="http://schemas.openxmlformats.org/officeDocument/2006/relationships/hyperlink" Target="https://www.mubasher.info/markets/EGX/stocks/GPPL" TargetMode="External"/><Relationship Id="rId6" Type="http://schemas.openxmlformats.org/officeDocument/2006/relationships/hyperlink" Target="https://www.mubasher.info/markets/EGX/stocks/NIRE" TargetMode="External"/><Relationship Id="rId238" Type="http://schemas.openxmlformats.org/officeDocument/2006/relationships/hyperlink" Target="https://www.mubasher.info/markets/EGX/stocks/EGT1411231124G0" TargetMode="External"/><Relationship Id="rId291" Type="http://schemas.openxmlformats.org/officeDocument/2006/relationships/hyperlink" Target="https://www.mubasher.info/markets/EGX/stocks/EALR" TargetMode="External"/><Relationship Id="rId305" Type="http://schemas.openxmlformats.org/officeDocument/2006/relationships/hyperlink" Target="https://www.mubasher.info/markets/EGX/stocks/MEPA" TargetMode="External"/><Relationship Id="rId347" Type="http://schemas.openxmlformats.org/officeDocument/2006/relationships/hyperlink" Target="https://www.mubasher.info/markets/EGX/stocks/SKPC" TargetMode="External"/><Relationship Id="rId44" Type="http://schemas.openxmlformats.org/officeDocument/2006/relationships/hyperlink" Target="https://www.mubasher.info/markets/EGX/stocks/ISMA" TargetMode="External"/><Relationship Id="rId86" Type="http://schemas.openxmlformats.org/officeDocument/2006/relationships/hyperlink" Target="https://www.mubasher.info/markets/EGX/stocks/CERA" TargetMode="External"/><Relationship Id="rId151" Type="http://schemas.openxmlformats.org/officeDocument/2006/relationships/hyperlink" Target="https://www.mubasher.info/markets/EGX/stocks/EGB0110241027G0" TargetMode="External"/><Relationship Id="rId389" Type="http://schemas.openxmlformats.org/officeDocument/2006/relationships/hyperlink" Target="https://www.mubasher.info/markets/EGX/stocks/NDRL" TargetMode="External"/><Relationship Id="rId193" Type="http://schemas.openxmlformats.org/officeDocument/2006/relationships/hyperlink" Target="https://www.mubasher.info/markets/EGX/stocks/EGT1106240625G0" TargetMode="External"/><Relationship Id="rId207" Type="http://schemas.openxmlformats.org/officeDocument/2006/relationships/hyperlink" Target="https://www.mubasher.info/markets/EGX/stocks/EGT0204240425G0" TargetMode="External"/><Relationship Id="rId249" Type="http://schemas.openxmlformats.org/officeDocument/2006/relationships/hyperlink" Target="https://www.mubasher.info/markets/EGX/stocks/EGB1903240327G0" TargetMode="External"/><Relationship Id="rId13" Type="http://schemas.openxmlformats.org/officeDocument/2006/relationships/hyperlink" Target="https://www.mubasher.info/markets/EGX/stocks/EGETSC07D" TargetMode="External"/><Relationship Id="rId109" Type="http://schemas.openxmlformats.org/officeDocument/2006/relationships/hyperlink" Target="https://www.mubasher.info/markets/EGX/stocks/ADRI" TargetMode="External"/><Relationship Id="rId260" Type="http://schemas.openxmlformats.org/officeDocument/2006/relationships/hyperlink" Target="https://www.mubasher.info/markets/EGX/stocks/TORA" TargetMode="External"/><Relationship Id="rId316" Type="http://schemas.openxmlformats.org/officeDocument/2006/relationships/hyperlink" Target="https://www.mubasher.info/markets/EGX/stocks/NIPH" TargetMode="External"/><Relationship Id="rId55" Type="http://schemas.openxmlformats.org/officeDocument/2006/relationships/hyperlink" Target="https://www.mubasher.info/markets/EGX/stocks/HDBK" TargetMode="External"/><Relationship Id="rId97" Type="http://schemas.openxmlformats.org/officeDocument/2006/relationships/hyperlink" Target="https://www.mubasher.info/markets/EGX/stocks/VALU" TargetMode="External"/><Relationship Id="rId120" Type="http://schemas.openxmlformats.org/officeDocument/2006/relationships/hyperlink" Target="https://www.mubasher.info/markets/EGX/stocks/CNFN" TargetMode="External"/><Relationship Id="rId358" Type="http://schemas.openxmlformats.org/officeDocument/2006/relationships/hyperlink" Target="https://www.mubasher.info/markets/EGX/stocks/MPCI" TargetMode="External"/><Relationship Id="rId162" Type="http://schemas.openxmlformats.org/officeDocument/2006/relationships/hyperlink" Target="https://www.mubasher.info/markets/EGX/stocks/EGT1510241025G0" TargetMode="External"/><Relationship Id="rId218" Type="http://schemas.openxmlformats.org/officeDocument/2006/relationships/hyperlink" Target="https://www.mubasher.info/markets/EGX/stocks/ALEX" TargetMode="External"/><Relationship Id="rId271" Type="http://schemas.openxmlformats.org/officeDocument/2006/relationships/hyperlink" Target="https://www.mubasher.info/markets/EGX/stocks/MFPC" TargetMode="External"/><Relationship Id="rId24" Type="http://schemas.openxmlformats.org/officeDocument/2006/relationships/hyperlink" Target="https://www.mubasher.info/markets/EGX/stocks/FIRE" TargetMode="External"/><Relationship Id="rId66" Type="http://schemas.openxmlformats.org/officeDocument/2006/relationships/hyperlink" Target="https://www.mubasher.info/markets/EGX/stocks/DGTZ" TargetMode="External"/><Relationship Id="rId131" Type="http://schemas.openxmlformats.org/officeDocument/2006/relationships/hyperlink" Target="https://www.mubasher.info/markets/EGX/stocks/ATQA" TargetMode="External"/><Relationship Id="rId327" Type="http://schemas.openxmlformats.org/officeDocument/2006/relationships/hyperlink" Target="https://www.mubasher.info/markets/EGX/stocks/GPIM" TargetMode="External"/><Relationship Id="rId369" Type="http://schemas.openxmlformats.org/officeDocument/2006/relationships/hyperlink" Target="https://www.mubasher.info/markets/EGX/stocks/TRTO" TargetMode="External"/><Relationship Id="rId173" Type="http://schemas.openxmlformats.org/officeDocument/2006/relationships/hyperlink" Target="https://www.mubasher.info/markets/EGX/stocks/EGT0605250526G0" TargetMode="External"/><Relationship Id="rId229" Type="http://schemas.openxmlformats.org/officeDocument/2006/relationships/hyperlink" Target="https://www.mubasher.info/markets/EGX/stocks/ASCM" TargetMode="External"/><Relationship Id="rId380" Type="http://schemas.openxmlformats.org/officeDocument/2006/relationships/hyperlink" Target="https://www.mubasher.info/markets/EGX/stocks/EGB0608240829G0" TargetMode="External"/><Relationship Id="rId240" Type="http://schemas.openxmlformats.org/officeDocument/2006/relationships/hyperlink" Target="https://www.mubasher.info/markets/EGX/stocks/ACTF" TargetMode="External"/><Relationship Id="rId35" Type="http://schemas.openxmlformats.org/officeDocument/2006/relationships/hyperlink" Target="https://www.mubasher.info/markets/EGX/stocks/EG051828" TargetMode="External"/><Relationship Id="rId77" Type="http://schemas.openxmlformats.org/officeDocument/2006/relationships/hyperlink" Target="https://www.mubasher.info/markets/EGX/stocks/SPIN" TargetMode="External"/><Relationship Id="rId100" Type="http://schemas.openxmlformats.org/officeDocument/2006/relationships/hyperlink" Target="https://www.mubasher.info/markets/EGX/stocks/MPCO" TargetMode="External"/><Relationship Id="rId282" Type="http://schemas.openxmlformats.org/officeDocument/2006/relationships/hyperlink" Target="https://www.mubasher.info/markets/EGX/stocks/FCMD" TargetMode="External"/><Relationship Id="rId338" Type="http://schemas.openxmlformats.org/officeDocument/2006/relationships/hyperlink" Target="https://www.mubasher.info/markets/EGX/stocks/OIH" TargetMode="External"/><Relationship Id="rId8" Type="http://schemas.openxmlformats.org/officeDocument/2006/relationships/hyperlink" Target="https://www.mubasher.info/markets/EGX/stocks/EITP" TargetMode="External"/><Relationship Id="rId142" Type="http://schemas.openxmlformats.org/officeDocument/2006/relationships/hyperlink" Target="https://www.mubasher.info/markets/EGX/stocks/ALCN" TargetMode="External"/><Relationship Id="rId184" Type="http://schemas.openxmlformats.org/officeDocument/2006/relationships/hyperlink" Target="https://www.mubasher.info/markets/EGX/stocks/EGT3001240125G0" TargetMode="External"/><Relationship Id="rId391" Type="http://schemas.openxmlformats.org/officeDocument/2006/relationships/hyperlink" Target="https://www.mubasher.info/s/disclaimer" TargetMode="External"/><Relationship Id="rId251" Type="http://schemas.openxmlformats.org/officeDocument/2006/relationships/hyperlink" Target="https://www.mubasher.info/markets/EGX/stocks/EGT2910241025G0" TargetMode="External"/><Relationship Id="rId46" Type="http://schemas.openxmlformats.org/officeDocument/2006/relationships/hyperlink" Target="https://www.mubasher.info/markets/EGX/stocks/EPCO" TargetMode="External"/><Relationship Id="rId293" Type="http://schemas.openxmlformats.org/officeDocument/2006/relationships/hyperlink" Target="https://www.mubasher.info/markets/EGX/stocks/MTIE" TargetMode="External"/><Relationship Id="rId307" Type="http://schemas.openxmlformats.org/officeDocument/2006/relationships/hyperlink" Target="https://www.mubasher.info/markets/EGX/stocks/FERC" TargetMode="External"/><Relationship Id="rId349" Type="http://schemas.openxmlformats.org/officeDocument/2006/relationships/hyperlink" Target="https://www.mubasher.info/markets/EGX/stocks/SMPP" TargetMode="External"/><Relationship Id="rId88" Type="http://schemas.openxmlformats.org/officeDocument/2006/relationships/hyperlink" Target="https://www.mubasher.info/markets/EGX/stocks/TALM" TargetMode="External"/><Relationship Id="rId111" Type="http://schemas.openxmlformats.org/officeDocument/2006/relationships/hyperlink" Target="https://www.mubasher.info/markets/EGX/stocks/EGGOSEA2" TargetMode="External"/><Relationship Id="rId153" Type="http://schemas.openxmlformats.org/officeDocument/2006/relationships/hyperlink" Target="https://www.mubasher.info/markets/EGX/stocks/EGT2708240825G0" TargetMode="External"/><Relationship Id="rId195" Type="http://schemas.openxmlformats.org/officeDocument/2006/relationships/hyperlink" Target="https://www.mubasher.info/markets/EGX/stocks/EGT0904240125G0" TargetMode="External"/><Relationship Id="rId209" Type="http://schemas.openxmlformats.org/officeDocument/2006/relationships/hyperlink" Target="https://www.mubasher.info/markets/EGX/stocks/EGT2210241025G0" TargetMode="External"/><Relationship Id="rId360" Type="http://schemas.openxmlformats.org/officeDocument/2006/relationships/hyperlink" Target="https://www.mubasher.info/markets/EGX/stocks/MILS" TargetMode="External"/><Relationship Id="rId220" Type="http://schemas.openxmlformats.org/officeDocument/2006/relationships/hyperlink" Target="https://www.mubasher.info/markets/EGX/stocks/SAUD" TargetMode="External"/><Relationship Id="rId15" Type="http://schemas.openxmlformats.org/officeDocument/2006/relationships/hyperlink" Target="https://www.mubasher.info/markets/EGX/stocks/EGETSC07B" TargetMode="External"/><Relationship Id="rId57" Type="http://schemas.openxmlformats.org/officeDocument/2006/relationships/hyperlink" Target="https://www.mubasher.info/markets/EGX/stocks/CIRA" TargetMode="External"/><Relationship Id="rId262" Type="http://schemas.openxmlformats.org/officeDocument/2006/relationships/hyperlink" Target="https://www.mubasher.info/markets/EGX/stocks/EGB1401250128G0" TargetMode="External"/><Relationship Id="rId318" Type="http://schemas.openxmlformats.org/officeDocument/2006/relationships/hyperlink" Target="https://www.mubasher.info/markets/EGX/stocks/ICID" TargetMode="External"/><Relationship Id="rId99" Type="http://schemas.openxmlformats.org/officeDocument/2006/relationships/hyperlink" Target="https://www.mubasher.info/markets/EGX/stocks/ZEOT" TargetMode="External"/><Relationship Id="rId122" Type="http://schemas.openxmlformats.org/officeDocument/2006/relationships/hyperlink" Target="https://www.mubasher.info/markets/EGX/stocks/GDWA" TargetMode="External"/><Relationship Id="rId164" Type="http://schemas.openxmlformats.org/officeDocument/2006/relationships/hyperlink" Target="https://www.mubasher.info/markets/EGX/stocks/EGT2611241125G0" TargetMode="External"/><Relationship Id="rId371" Type="http://schemas.openxmlformats.org/officeDocument/2006/relationships/hyperlink" Target="https://www.mubasher.info/markets/EGX/stocks/ACGC" TargetMode="External"/><Relationship Id="rId26" Type="http://schemas.openxmlformats.org/officeDocument/2006/relationships/hyperlink" Target="https://www.mubasher.info/markets/EGX/stocks/TYCN" TargetMode="External"/><Relationship Id="rId231" Type="http://schemas.openxmlformats.org/officeDocument/2006/relationships/hyperlink" Target="https://www.mubasher.info/markets/EGX/stocks/EG071626" TargetMode="External"/><Relationship Id="rId273" Type="http://schemas.openxmlformats.org/officeDocument/2006/relationships/hyperlink" Target="https://www.mubasher.info/markets/EGX/stocks/IRON" TargetMode="External"/><Relationship Id="rId329" Type="http://schemas.openxmlformats.org/officeDocument/2006/relationships/hyperlink" Target="https://www.mubasher.info/markets/EGX/stocks/EGBE" TargetMode="External"/><Relationship Id="rId68" Type="http://schemas.openxmlformats.org/officeDocument/2006/relationships/hyperlink" Target="https://www.mubasher.info/markets/EGX/stocks/KABO" TargetMode="External"/><Relationship Id="rId133" Type="http://schemas.openxmlformats.org/officeDocument/2006/relationships/hyperlink" Target="https://www.mubasher.info/markets/EGX/stocks/AALR" TargetMode="External"/><Relationship Id="rId175" Type="http://schemas.openxmlformats.org/officeDocument/2006/relationships/hyperlink" Target="https://www.mubasher.info/markets/EGX/stocks/EGB1604240427G0" TargetMode="External"/><Relationship Id="rId340" Type="http://schemas.openxmlformats.org/officeDocument/2006/relationships/hyperlink" Target="https://www.mubasher.info/markets/EGX/stocks/DOMT" TargetMode="External"/><Relationship Id="rId200" Type="http://schemas.openxmlformats.org/officeDocument/2006/relationships/hyperlink" Target="https://www.mubasher.info/markets/EGX/stocks/EGB0312241227G0" TargetMode="External"/><Relationship Id="rId382" Type="http://schemas.openxmlformats.org/officeDocument/2006/relationships/hyperlink" Target="https://www.mubasher.info/markets/EGX/stocks/GTHE" TargetMode="External"/><Relationship Id="rId242" Type="http://schemas.openxmlformats.org/officeDocument/2006/relationships/hyperlink" Target="https://www.mubasher.info/markets/EGX/stocks/EGT0406240625G0" TargetMode="External"/><Relationship Id="rId284" Type="http://schemas.openxmlformats.org/officeDocument/2006/relationships/hyperlink" Target="https://www.mubasher.info/markets/EGX/stocks/MASR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ubasher.info/analysis-tools/financial-ratios/E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5DD7-B126-4430-8FB4-DD9FCBFBBE98}">
  <sheetPr codeName="Sheet7"/>
  <dimension ref="A1:AR174"/>
  <sheetViews>
    <sheetView workbookViewId="0">
      <pane xSplit="1" ySplit="1" topLeftCell="B2" activePane="bottomRight" state="frozen"/>
      <selection activeCell="K1" sqref="K1"/>
      <selection pane="topRight" activeCell="B1" sqref="B1"/>
      <selection pane="bottomLeft" activeCell="A2" sqref="A2"/>
      <selection pane="bottomRight" activeCell="H2" sqref="H2"/>
    </sheetView>
  </sheetViews>
  <sheetFormatPr defaultColWidth="8.5546875" defaultRowHeight="14.4"/>
  <cols>
    <col min="1" max="1" width="8.44140625" bestFit="1" customWidth="1"/>
    <col min="2" max="2" width="6" bestFit="1" customWidth="1"/>
    <col min="3" max="3" width="8.21875" bestFit="1" customWidth="1"/>
    <col min="4" max="4" width="6" bestFit="1" customWidth="1"/>
    <col min="5" max="6" width="6" customWidth="1"/>
    <col min="7" max="7" width="12" bestFit="1" customWidth="1"/>
    <col min="8" max="8" width="8.88671875" style="8" bestFit="1" customWidth="1"/>
    <col min="9" max="9" width="10.21875" style="8" bestFit="1" customWidth="1"/>
    <col min="10" max="11" width="12" customWidth="1"/>
    <col min="12" max="12" width="8.5546875" customWidth="1"/>
    <col min="13" max="13" width="12" bestFit="1" customWidth="1"/>
    <col min="14" max="14" width="7.6640625" bestFit="1" customWidth="1"/>
    <col min="15" max="16" width="8.44140625" bestFit="1" customWidth="1"/>
    <col min="17" max="17" width="6.88671875" bestFit="1" customWidth="1"/>
    <col min="18" max="18" width="8.77734375" bestFit="1" customWidth="1"/>
    <col min="19" max="23" width="8.44140625" customWidth="1"/>
    <col min="24" max="24" width="7.6640625" customWidth="1"/>
    <col min="25" max="25" width="8.77734375" customWidth="1"/>
    <col min="26" max="26" width="8.21875" customWidth="1"/>
    <col min="27" max="28" width="8.44140625" customWidth="1"/>
    <col min="29" max="29" width="8.5546875" bestFit="1" customWidth="1"/>
    <col min="31" max="31" width="8.5546875" bestFit="1" customWidth="1"/>
    <col min="34" max="34" width="8.5546875" customWidth="1"/>
    <col min="35" max="35" width="3" bestFit="1" customWidth="1"/>
    <col min="36" max="36" width="12" style="39" customWidth="1"/>
    <col min="37" max="37" width="4.5546875" bestFit="1" customWidth="1"/>
    <col min="38" max="38" width="5.88671875" bestFit="1" customWidth="1"/>
    <col min="39" max="39" width="12" customWidth="1"/>
    <col min="40" max="40" width="3" bestFit="1" customWidth="1"/>
    <col min="41" max="41" width="12" style="39" bestFit="1" customWidth="1"/>
    <col min="42" max="42" width="4.5546875" bestFit="1" customWidth="1"/>
    <col min="43" max="43" width="5.88671875" bestFit="1" customWidth="1"/>
    <col min="44" max="44" width="12" bestFit="1" customWidth="1"/>
  </cols>
  <sheetData>
    <row r="1" spans="1:44">
      <c r="A1" t="s">
        <v>717</v>
      </c>
      <c r="B1" t="s">
        <v>718</v>
      </c>
      <c r="C1" t="s">
        <v>708</v>
      </c>
      <c r="D1" t="s">
        <v>775</v>
      </c>
      <c r="E1" t="s">
        <v>1136</v>
      </c>
      <c r="F1" t="s">
        <v>1139</v>
      </c>
      <c r="G1" t="s">
        <v>719</v>
      </c>
      <c r="H1" s="8" t="s">
        <v>723</v>
      </c>
      <c r="I1" s="8" t="s">
        <v>724</v>
      </c>
      <c r="J1" t="s">
        <v>737</v>
      </c>
      <c r="K1" t="s">
        <v>738</v>
      </c>
      <c r="L1" t="s">
        <v>739</v>
      </c>
      <c r="M1" t="s">
        <v>740</v>
      </c>
      <c r="N1" t="s">
        <v>1192</v>
      </c>
      <c r="O1" s="3" t="s">
        <v>855</v>
      </c>
      <c r="P1" t="s">
        <v>1162</v>
      </c>
      <c r="Q1" t="s">
        <v>1170</v>
      </c>
      <c r="R1" t="s">
        <v>1171</v>
      </c>
      <c r="T1" t="s">
        <v>1160</v>
      </c>
      <c r="U1" t="s">
        <v>1165</v>
      </c>
      <c r="V1" s="1" t="s">
        <v>1146</v>
      </c>
      <c r="W1" t="s">
        <v>1162</v>
      </c>
      <c r="X1" t="s">
        <v>1170</v>
      </c>
      <c r="Y1" t="s">
        <v>1171</v>
      </c>
      <c r="AA1" t="s">
        <v>1160</v>
      </c>
      <c r="AB1" t="s">
        <v>1165</v>
      </c>
      <c r="AC1" t="s">
        <v>1148</v>
      </c>
      <c r="AD1" t="s">
        <v>1159</v>
      </c>
    </row>
    <row r="2" spans="1:44">
      <c r="A2" s="3" t="s">
        <v>86</v>
      </c>
      <c r="B2">
        <f>_xlfn.IFNA(INDEX(bf!B:B,MATCH(A2,bf!A:A,0),1),0)</f>
        <v>9.44</v>
      </c>
      <c r="C2">
        <f>INDEX('اسعار الاسهم'!A:L,MATCH(A2,'اسعار الاسهم'!K:K,0),2)</f>
        <v>11.27</v>
      </c>
      <c r="E2">
        <v>1</v>
      </c>
      <c r="G2">
        <f t="shared" ref="G2:G33" si="0">B2/C2</f>
        <v>0.83762200532386866</v>
      </c>
      <c r="H2" s="8">
        <f>19.1/C2-1</f>
        <v>0.69476486246672597</v>
      </c>
      <c r="I2" s="8">
        <f>13/C2-1</f>
        <v>0.15350488021295483</v>
      </c>
      <c r="J2">
        <f t="shared" ref="J2:J33" si="1">1-(_xlfn.RANK.EQ(G2,G:G,)-1)/(COUNTIF(G:G,"&gt;0"))</f>
        <v>0.89583333333333337</v>
      </c>
      <c r="K2">
        <f t="shared" ref="K2:K33" si="2">_xlfn.IFNA(1-(_xlfn.RANK.EQ(H2,H:H,)-1)/(COUNTIF(H:H,"&gt;0")),0)</f>
        <v>0.9285714285714286</v>
      </c>
      <c r="L2">
        <f t="shared" ref="L2:L33" si="3">_xlfn.IFNA(1-(_xlfn.RANK.EQ(I2,I:I,)-1)/(COUNTIF(I:I,"&gt;0")),0)</f>
        <v>0.1333333333333333</v>
      </c>
      <c r="M2" s="9">
        <f t="shared" ref="M2:M33" si="4">$AG$2*J2+K2 *$AG$3+L2*$AG$4+$AG$5*E2+$AG$6*F2</f>
        <v>2.4252380952380954</v>
      </c>
      <c r="N2" s="9" t="b">
        <f t="shared" ref="N2:N33" si="5">OR(O2&lt;&gt;"",V2&lt;&gt;"")</f>
        <v>1</v>
      </c>
      <c r="O2" s="9">
        <v>6.45</v>
      </c>
      <c r="P2" s="9">
        <f t="shared" ref="P2:P22" si="6">IFERROR(T2-O2,"")</f>
        <v>-0.53000000000000025</v>
      </c>
      <c r="Q2" s="9" t="str">
        <f t="shared" ref="Q2:Q33" si="7">IF(P2&lt;&gt;"",IF(ABS(P2)/T2&gt;0.1,"Gny",""),"")</f>
        <v/>
      </c>
      <c r="R2" s="8">
        <f t="shared" ref="R2:R33" si="8">IF(P2&lt;&gt;"",ABS(P2)/T2,"")</f>
        <v>8.952702702702707E-2</v>
      </c>
      <c r="S2" s="9">
        <f t="shared" ref="S2:S33" si="9">_xlfn.NUMBERVALUE(S1)+IF(O2,1,0)</f>
        <v>1</v>
      </c>
      <c r="T2" s="9" cm="1">
        <f t="array" ref="T2">IF(O2,INDEX($AP$2:$AP$21,S2,1),"")</f>
        <v>5.92</v>
      </c>
      <c r="U2" s="9">
        <f t="shared" ref="U2:U33" si="10">IF(P2&lt;&gt;"",ABS(P2),"")</f>
        <v>0.53000000000000025</v>
      </c>
      <c r="V2" s="9">
        <v>86</v>
      </c>
      <c r="W2" s="9">
        <f t="shared" ref="W2:W33" ca="1" si="11">IFERROR(AA2-V2,"")</f>
        <v>-0.79999999999999716</v>
      </c>
      <c r="X2" s="9" t="str">
        <f t="shared" ref="X2:X33" ca="1" si="12">IF(W2&lt;&gt;"",IF(ABS(W2)/AA2&gt;0.1,"Gny",""),"")</f>
        <v/>
      </c>
      <c r="Y2" s="8">
        <f t="shared" ref="Y2:Y33" ca="1" si="13">IF(W2&lt;&gt;"",ABS(W2)/AA2,"")</f>
        <v>9.3896713615023129E-3</v>
      </c>
      <c r="Z2" s="9">
        <f t="shared" ref="Z2:Z33" si="14">_xlfn.NUMBERVALUE(Z1)+IF(V2,1,0)</f>
        <v>1</v>
      </c>
      <c r="AA2" s="9" cm="1">
        <f t="array" aca="1" ref="AA2" ca="1">IF(V2,INDEX($AK$2:$AK$20,Z2,1),"")</f>
        <v>85.2</v>
      </c>
      <c r="AB2" s="9">
        <f t="shared" ref="AB2:AB33" ca="1" si="15">IF(W2&lt;&gt;"",ABS(W2),"")</f>
        <v>0.79999999999999716</v>
      </c>
      <c r="AC2">
        <v>1</v>
      </c>
      <c r="AD2">
        <v>1</v>
      </c>
      <c r="AF2" t="s">
        <v>1137</v>
      </c>
      <c r="AG2">
        <v>0.8</v>
      </c>
      <c r="AI2">
        <v>1</v>
      </c>
      <c r="AJ2" s="39">
        <f ca="1">AM2/AM3+(AM3-1)/2*AM22</f>
        <v>85.221052631578942</v>
      </c>
      <c r="AK2">
        <f ca="1">ROUND(AJ2,1)</f>
        <v>85.2</v>
      </c>
      <c r="AL2" t="s">
        <v>1166</v>
      </c>
      <c r="AM2">
        <f>1225.5+8.9-20</f>
        <v>1214.4000000000001</v>
      </c>
      <c r="AN2">
        <v>1</v>
      </c>
      <c r="AO2" s="39">
        <f>AR2/AR3+(AR3-1)/2*AR22</f>
        <v>5.917894736842106</v>
      </c>
      <c r="AP2">
        <f>ROUND(AO2,2)</f>
        <v>5.92</v>
      </c>
      <c r="AQ2" t="s">
        <v>1166</v>
      </c>
      <c r="AR2">
        <f>84.33</f>
        <v>84.33</v>
      </c>
    </row>
    <row r="3" spans="1:44">
      <c r="A3" t="s">
        <v>223</v>
      </c>
      <c r="B3">
        <f>_xlfn.IFNA(INDEX(bf!B:B,MATCH(A3,bf!A:A,0),1),0)</f>
        <v>21.69</v>
      </c>
      <c r="C3">
        <f>INDEX('اسعار الاسهم'!A:L,MATCH(A3,'اسعار الاسهم'!K:K,0),2)</f>
        <v>26.32</v>
      </c>
      <c r="G3">
        <f t="shared" si="0"/>
        <v>0.82408814589665658</v>
      </c>
      <c r="H3" s="8">
        <f>39.4/C3-1</f>
        <v>0.49696048632218837</v>
      </c>
      <c r="I3" s="8">
        <f>38/C3-1</f>
        <v>0.44376899696048633</v>
      </c>
      <c r="J3">
        <f t="shared" si="1"/>
        <v>0.83333333333333337</v>
      </c>
      <c r="K3">
        <f t="shared" si="2"/>
        <v>0.64285714285714279</v>
      </c>
      <c r="L3">
        <f t="shared" si="3"/>
        <v>0.8</v>
      </c>
      <c r="M3" s="9">
        <f t="shared" si="4"/>
        <v>1.7895238095238095</v>
      </c>
      <c r="N3" s="9" t="b">
        <f t="shared" si="5"/>
        <v>1</v>
      </c>
      <c r="O3" s="9">
        <v>5.96</v>
      </c>
      <c r="P3" s="9">
        <f t="shared" si="6"/>
        <v>-0.20999999999999996</v>
      </c>
      <c r="Q3" s="9" t="str">
        <f t="shared" si="7"/>
        <v/>
      </c>
      <c r="R3" s="8">
        <f t="shared" si="8"/>
        <v>3.6521739130434779E-2</v>
      </c>
      <c r="S3" s="9">
        <f t="shared" si="9"/>
        <v>2</v>
      </c>
      <c r="T3" s="9" cm="1">
        <f t="array" ref="T3">IF(O3,INDEX($AP$2:$AP$21,S3,1),"")</f>
        <v>5.75</v>
      </c>
      <c r="U3" s="9">
        <f t="shared" si="10"/>
        <v>0.20999999999999996</v>
      </c>
      <c r="V3" s="9">
        <v>88.1</v>
      </c>
      <c r="W3" s="9">
        <f t="shared" ca="1" si="11"/>
        <v>-5.1999999999999886</v>
      </c>
      <c r="X3" s="9" t="str">
        <f t="shared" ca="1" si="12"/>
        <v/>
      </c>
      <c r="Y3" s="8">
        <f t="shared" ca="1" si="13"/>
        <v>6.2726176115802029E-2</v>
      </c>
      <c r="Z3" s="9">
        <f t="shared" si="14"/>
        <v>2</v>
      </c>
      <c r="AA3" s="9" cm="1">
        <f t="array" aca="1" ref="AA3" ca="1">IF(V3,INDEX($AK$2:$AK$20,Z3,1),"")</f>
        <v>82.9</v>
      </c>
      <c r="AB3" s="9">
        <f t="shared" ca="1" si="15"/>
        <v>5.1999999999999886</v>
      </c>
      <c r="AC3">
        <v>1</v>
      </c>
      <c r="AF3" t="s">
        <v>1138</v>
      </c>
      <c r="AG3">
        <v>1</v>
      </c>
      <c r="AI3">
        <v>2</v>
      </c>
      <c r="AJ3" s="39">
        <f ca="1">AJ2-$AM$22</f>
        <v>82.853801169590639</v>
      </c>
      <c r="AK3">
        <f t="shared" ref="AK3:AK16" ca="1" si="16">ROUND(AJ3,1)</f>
        <v>82.9</v>
      </c>
      <c r="AL3" t="s">
        <v>996</v>
      </c>
      <c r="AM3">
        <v>19</v>
      </c>
      <c r="AN3">
        <v>2</v>
      </c>
      <c r="AO3" s="39">
        <f>AO2-$AR$22</f>
        <v>5.753508771929825</v>
      </c>
      <c r="AP3">
        <f t="shared" ref="AP3:AP18" si="17">ROUND(AO3,2)</f>
        <v>5.75</v>
      </c>
      <c r="AQ3" t="s">
        <v>996</v>
      </c>
      <c r="AR3">
        <v>19</v>
      </c>
    </row>
    <row r="4" spans="1:44">
      <c r="A4" t="s">
        <v>28</v>
      </c>
      <c r="B4">
        <f>_xlfn.IFNA(INDEX(bf!B:B,MATCH(A4,bf!A:A,0),1),0)</f>
        <v>29.41</v>
      </c>
      <c r="C4">
        <f>INDEX('اسعار الاسهم'!A:L,MATCH(A4,'اسعار الاسهم'!K:K,0),2)</f>
        <v>34.549999999999997</v>
      </c>
      <c r="E4">
        <v>1</v>
      </c>
      <c r="G4">
        <f t="shared" si="0"/>
        <v>0.85123010130246024</v>
      </c>
      <c r="H4" s="8">
        <f>43/C4-1</f>
        <v>0.24457308248914633</v>
      </c>
      <c r="J4">
        <f t="shared" si="1"/>
        <v>0.91666666666666663</v>
      </c>
      <c r="K4">
        <f t="shared" si="2"/>
        <v>0.2857142857142857</v>
      </c>
      <c r="L4">
        <f t="shared" si="3"/>
        <v>0</v>
      </c>
      <c r="M4" s="9">
        <f t="shared" si="4"/>
        <v>1.7190476190476189</v>
      </c>
      <c r="N4" s="9" t="b">
        <f t="shared" si="5"/>
        <v>1</v>
      </c>
      <c r="O4" s="9">
        <v>5.89</v>
      </c>
      <c r="P4" s="9">
        <f t="shared" si="6"/>
        <v>-0.29999999999999982</v>
      </c>
      <c r="Q4" s="9" t="str">
        <f t="shared" si="7"/>
        <v/>
      </c>
      <c r="R4" s="8">
        <f t="shared" si="8"/>
        <v>5.3667262969588521E-2</v>
      </c>
      <c r="S4" s="9">
        <f t="shared" si="9"/>
        <v>3</v>
      </c>
      <c r="T4" s="9" cm="1">
        <f t="array" ref="T4">IF(O4,INDEX($AP$2:$AP$21,S4,1),"")</f>
        <v>5.59</v>
      </c>
      <c r="U4" s="9">
        <f t="shared" si="10"/>
        <v>0.29999999999999982</v>
      </c>
      <c r="V4" s="9">
        <v>87.2</v>
      </c>
      <c r="W4" s="9">
        <f t="shared" ca="1" si="11"/>
        <v>-6.7000000000000028</v>
      </c>
      <c r="X4" s="9" t="str">
        <f t="shared" ca="1" si="12"/>
        <v/>
      </c>
      <c r="Y4" s="8">
        <f t="shared" ca="1" si="13"/>
        <v>8.3229813664596308E-2</v>
      </c>
      <c r="Z4" s="9">
        <f t="shared" si="14"/>
        <v>3</v>
      </c>
      <c r="AA4" s="9" cm="1">
        <f t="array" aca="1" ref="AA4" ca="1">IF(V4,INDEX($AK$2:$AK$20,Z4,1),"")</f>
        <v>80.5</v>
      </c>
      <c r="AB4" s="9">
        <f t="shared" ca="1" si="15"/>
        <v>6.7000000000000028</v>
      </c>
      <c r="AC4">
        <v>1</v>
      </c>
      <c r="AD4">
        <v>1</v>
      </c>
      <c r="AF4" t="s">
        <v>724</v>
      </c>
      <c r="AG4">
        <v>0.6</v>
      </c>
      <c r="AI4">
        <v>3</v>
      </c>
      <c r="AJ4" s="39">
        <f t="shared" ref="AJ4:AJ20" ca="1" si="18">AJ3-$AM$22</f>
        <v>80.486549707602336</v>
      </c>
      <c r="AK4">
        <f t="shared" ca="1" si="16"/>
        <v>80.5</v>
      </c>
      <c r="AL4" t="s">
        <v>1167</v>
      </c>
      <c r="AM4">
        <f ca="1">IF(NOW()&gt;DATE(2026,6,5),0.54, IF(NOW()&gt;DATE(2026,6,3),0.53,    IF(NOW()&gt;DATE(2026,5,29),0.52, IF(NOW()&gt;DATE(2026,5,27),0.51,   IF(NOW()&gt;DATE(2026,5,22),0.5,    0.49)))))</f>
        <v>0.5</v>
      </c>
      <c r="AN4">
        <v>3</v>
      </c>
      <c r="AO4" s="39">
        <f t="shared" ref="AO4:AO20" si="19">AO3-$AR$22</f>
        <v>5.589122807017544</v>
      </c>
      <c r="AP4">
        <f t="shared" si="17"/>
        <v>5.59</v>
      </c>
      <c r="AQ4" t="s">
        <v>1167</v>
      </c>
      <c r="AR4">
        <v>0.5</v>
      </c>
    </row>
    <row r="5" spans="1:44">
      <c r="A5" s="1" t="s">
        <v>259</v>
      </c>
      <c r="B5">
        <f>_xlfn.IFNA(INDEX(bf!B:B,MATCH(A5,bf!A:A,0),1),0)</f>
        <v>0</v>
      </c>
      <c r="C5">
        <f>INDEX('اسعار الاسهم'!A:L,MATCH(A5,'اسعار الاسهم'!K:K,0),2)</f>
        <v>708.01</v>
      </c>
      <c r="E5">
        <v>1</v>
      </c>
      <c r="F5">
        <v>0.92</v>
      </c>
      <c r="G5">
        <f t="shared" si="0"/>
        <v>0</v>
      </c>
      <c r="H5" s="8">
        <f>890/C5-1</f>
        <v>0.25704439202836116</v>
      </c>
      <c r="J5">
        <f t="shared" si="1"/>
        <v>0</v>
      </c>
      <c r="K5">
        <f t="shared" si="2"/>
        <v>0.3571428571428571</v>
      </c>
      <c r="L5">
        <f t="shared" si="3"/>
        <v>0</v>
      </c>
      <c r="M5" s="9">
        <f t="shared" si="4"/>
        <v>1.7011428571428571</v>
      </c>
      <c r="N5" s="9" t="b">
        <f t="shared" si="5"/>
        <v>1</v>
      </c>
      <c r="O5" s="9">
        <v>5.76</v>
      </c>
      <c r="P5" s="9">
        <f t="shared" si="6"/>
        <v>-0.33999999999999986</v>
      </c>
      <c r="Q5" s="9" t="str">
        <f t="shared" si="7"/>
        <v/>
      </c>
      <c r="R5" s="8">
        <f t="shared" si="8"/>
        <v>6.2730627306273032E-2</v>
      </c>
      <c r="S5" s="9">
        <f t="shared" si="9"/>
        <v>4</v>
      </c>
      <c r="T5" s="9" cm="1">
        <f t="array" ref="T5">IF(O5,INDEX($AP$2:$AP$21,S5,1),"")</f>
        <v>5.42</v>
      </c>
      <c r="U5" s="9">
        <f t="shared" si="10"/>
        <v>0.33999999999999986</v>
      </c>
      <c r="V5" s="9">
        <v>84</v>
      </c>
      <c r="W5" s="9">
        <f t="shared" ca="1" si="11"/>
        <v>-5.9000000000000057</v>
      </c>
      <c r="X5" s="9" t="str">
        <f t="shared" ca="1" si="12"/>
        <v/>
      </c>
      <c r="Y5" s="8">
        <f t="shared" ca="1" si="13"/>
        <v>7.5544174135723507E-2</v>
      </c>
      <c r="Z5" s="9">
        <f t="shared" si="14"/>
        <v>4</v>
      </c>
      <c r="AA5" s="9" cm="1">
        <f t="array" aca="1" ref="AA5" ca="1">IF(V5,INDEX($AK$2:$AK$20,Z5,1),"")</f>
        <v>78.099999999999994</v>
      </c>
      <c r="AB5" s="9">
        <f t="shared" ca="1" si="15"/>
        <v>5.9000000000000057</v>
      </c>
      <c r="AC5">
        <v>1</v>
      </c>
      <c r="AD5">
        <v>1</v>
      </c>
      <c r="AF5" t="s">
        <v>1136</v>
      </c>
      <c r="AG5">
        <v>0.7</v>
      </c>
      <c r="AI5">
        <v>4</v>
      </c>
      <c r="AJ5" s="39">
        <f t="shared" ca="1" si="18"/>
        <v>78.119298245614033</v>
      </c>
      <c r="AK5">
        <f t="shared" ca="1" si="16"/>
        <v>78.099999999999994</v>
      </c>
      <c r="AL5" t="s">
        <v>1168</v>
      </c>
      <c r="AM5">
        <f>(AM3-1)/2</f>
        <v>9</v>
      </c>
      <c r="AN5">
        <v>4</v>
      </c>
      <c r="AO5" s="39">
        <f t="shared" si="19"/>
        <v>5.4247368421052631</v>
      </c>
      <c r="AP5">
        <f t="shared" si="17"/>
        <v>5.42</v>
      </c>
      <c r="AQ5" t="s">
        <v>1168</v>
      </c>
      <c r="AR5">
        <f>(AR3-1)/2</f>
        <v>9</v>
      </c>
    </row>
    <row r="6" spans="1:44">
      <c r="A6" t="s">
        <v>185</v>
      </c>
      <c r="B6">
        <f>_xlfn.IFNA(INDEX(bf!B:B,MATCH(A6,bf!A:A,0),1),0)</f>
        <v>0</v>
      </c>
      <c r="C6">
        <f>INDEX('اسعار الاسهم'!A:L,MATCH(A6,'اسعار الاسهم'!K:K,0),2)</f>
        <v>1.74</v>
      </c>
      <c r="E6">
        <v>1</v>
      </c>
      <c r="G6">
        <f t="shared" si="0"/>
        <v>0</v>
      </c>
      <c r="H6" s="8">
        <f>3.2/C6-1</f>
        <v>0.83908045977011514</v>
      </c>
      <c r="J6">
        <f t="shared" si="1"/>
        <v>0</v>
      </c>
      <c r="K6">
        <f t="shared" si="2"/>
        <v>1</v>
      </c>
      <c r="L6">
        <f t="shared" si="3"/>
        <v>0</v>
      </c>
      <c r="M6" s="9">
        <f t="shared" si="4"/>
        <v>1.7</v>
      </c>
      <c r="N6" s="9" t="b">
        <f t="shared" si="5"/>
        <v>1</v>
      </c>
      <c r="O6" s="9">
        <v>5.19</v>
      </c>
      <c r="P6" s="9">
        <f t="shared" si="6"/>
        <v>6.9999999999999396E-2</v>
      </c>
      <c r="Q6" s="9" t="str">
        <f t="shared" si="7"/>
        <v/>
      </c>
      <c r="R6" s="8">
        <f t="shared" si="8"/>
        <v>1.3307984790874411E-2</v>
      </c>
      <c r="S6" s="9">
        <f t="shared" si="9"/>
        <v>5</v>
      </c>
      <c r="T6" s="9" cm="1">
        <f t="array" ref="T6">IF(O6,INDEX($AP$2:$AP$21,S6,1),"")</f>
        <v>5.26</v>
      </c>
      <c r="U6" s="9">
        <f t="shared" si="10"/>
        <v>6.9999999999999396E-2</v>
      </c>
      <c r="V6" s="9">
        <v>83.2</v>
      </c>
      <c r="W6" s="9">
        <f t="shared" ca="1" si="11"/>
        <v>-7.4000000000000057</v>
      </c>
      <c r="X6" s="9" t="str">
        <f t="shared" ca="1" si="12"/>
        <v/>
      </c>
      <c r="Y6" s="8">
        <f t="shared" ca="1" si="13"/>
        <v>9.7625329815303502E-2</v>
      </c>
      <c r="Z6" s="9">
        <f t="shared" si="14"/>
        <v>5</v>
      </c>
      <c r="AA6" s="9" cm="1">
        <f t="array" aca="1" ref="AA6" ca="1">IF(V6,INDEX($AK$2:$AK$20,Z6,1),"")</f>
        <v>75.8</v>
      </c>
      <c r="AB6" s="9">
        <f t="shared" ca="1" si="15"/>
        <v>7.4000000000000057</v>
      </c>
      <c r="AC6">
        <v>1</v>
      </c>
      <c r="AF6" t="s">
        <v>1139</v>
      </c>
      <c r="AG6">
        <v>0.7</v>
      </c>
      <c r="AI6">
        <v>5</v>
      </c>
      <c r="AJ6" s="39">
        <f t="shared" ca="1" si="18"/>
        <v>75.75204678362573</v>
      </c>
      <c r="AK6">
        <f t="shared" ca="1" si="16"/>
        <v>75.8</v>
      </c>
      <c r="AM6">
        <f ca="1">SUM(AB1:AB13)+SUM(AB15:AB180)</f>
        <v>94.899999999999991</v>
      </c>
      <c r="AN6">
        <v>5</v>
      </c>
      <c r="AO6" s="39">
        <f t="shared" si="19"/>
        <v>5.2603508771929821</v>
      </c>
      <c r="AP6">
        <f t="shared" si="17"/>
        <v>5.26</v>
      </c>
    </row>
    <row r="7" spans="1:44">
      <c r="A7" t="s">
        <v>80</v>
      </c>
      <c r="B7">
        <f>_xlfn.IFNA(INDEX(bf!B:B,MATCH(A7,bf!A:A,0),1),0)</f>
        <v>21.88</v>
      </c>
      <c r="C7">
        <f>INDEX('اسعار الاسهم'!A:L,MATCH(A7,'اسعار الاسهم'!K:K,0),2)</f>
        <v>20.7</v>
      </c>
      <c r="F7">
        <v>0.94</v>
      </c>
      <c r="G7">
        <f t="shared" si="0"/>
        <v>1.0570048309178743</v>
      </c>
      <c r="J7">
        <f t="shared" si="1"/>
        <v>1</v>
      </c>
      <c r="K7">
        <f t="shared" si="2"/>
        <v>0</v>
      </c>
      <c r="L7">
        <f t="shared" si="3"/>
        <v>0</v>
      </c>
      <c r="M7" s="9">
        <f t="shared" si="4"/>
        <v>1.458</v>
      </c>
      <c r="N7" s="9" t="b">
        <f t="shared" si="5"/>
        <v>1</v>
      </c>
      <c r="O7" s="9">
        <v>4.97</v>
      </c>
      <c r="P7" s="9">
        <f t="shared" si="6"/>
        <v>0.12999999999999989</v>
      </c>
      <c r="Q7" s="9" t="str">
        <f t="shared" si="7"/>
        <v/>
      </c>
      <c r="R7" s="8">
        <f t="shared" si="8"/>
        <v>2.5490196078431355E-2</v>
      </c>
      <c r="S7" s="9">
        <f t="shared" si="9"/>
        <v>6</v>
      </c>
      <c r="T7" s="9" cm="1">
        <f t="array" ref="T7">IF(O7,INDEX($AP$2:$AP$21,S7,1),"")</f>
        <v>5.0999999999999996</v>
      </c>
      <c r="U7" s="9">
        <f t="shared" si="10"/>
        <v>0.12999999999999989</v>
      </c>
      <c r="V7" s="9">
        <v>74.3</v>
      </c>
      <c r="W7" s="9">
        <f t="shared" ca="1" si="11"/>
        <v>-0.89999999999999147</v>
      </c>
      <c r="X7" s="9" t="str">
        <f t="shared" ca="1" si="12"/>
        <v/>
      </c>
      <c r="Y7" s="8">
        <f t="shared" ca="1" si="13"/>
        <v>1.2261580381471272E-2</v>
      </c>
      <c r="Z7" s="9">
        <f t="shared" si="14"/>
        <v>6</v>
      </c>
      <c r="AA7" s="9" cm="1">
        <f t="array" aca="1" ref="AA7" ca="1">IF(V7,INDEX($AK$2:$AK$20,Z7,1),"")</f>
        <v>73.400000000000006</v>
      </c>
      <c r="AB7" s="9">
        <f t="shared" ca="1" si="15"/>
        <v>0.89999999999999147</v>
      </c>
      <c r="AC7">
        <v>1</v>
      </c>
      <c r="AD7">
        <v>1</v>
      </c>
      <c r="AI7">
        <v>6</v>
      </c>
      <c r="AJ7" s="39">
        <f t="shared" ca="1" si="18"/>
        <v>73.384795321637426</v>
      </c>
      <c r="AK7">
        <f t="shared" ca="1" si="16"/>
        <v>73.400000000000006</v>
      </c>
      <c r="AN7">
        <v>6</v>
      </c>
      <c r="AO7" s="39">
        <f t="shared" si="19"/>
        <v>5.0959649122807011</v>
      </c>
      <c r="AP7">
        <f t="shared" si="17"/>
        <v>5.0999999999999996</v>
      </c>
    </row>
    <row r="8" spans="1:44">
      <c r="A8" t="s">
        <v>89</v>
      </c>
      <c r="B8">
        <f>_xlfn.IFNA(INDEX(bf!B:B,MATCH(A8,bf!A:A,0),1),0)</f>
        <v>0</v>
      </c>
      <c r="C8">
        <f>INDEX('اسعار الاسهم'!A:L,MATCH(A8,'اسعار الاسهم'!K:K,0),2)</f>
        <v>7.15</v>
      </c>
      <c r="E8">
        <v>1</v>
      </c>
      <c r="G8">
        <f t="shared" si="0"/>
        <v>0</v>
      </c>
      <c r="H8" s="8">
        <f>10.8/C8-1</f>
        <v>0.51048951048951041</v>
      </c>
      <c r="J8">
        <f t="shared" si="1"/>
        <v>0</v>
      </c>
      <c r="K8">
        <f t="shared" si="2"/>
        <v>0.7142857142857143</v>
      </c>
      <c r="L8">
        <f t="shared" si="3"/>
        <v>0</v>
      </c>
      <c r="M8" s="9">
        <f t="shared" si="4"/>
        <v>1.4142857142857141</v>
      </c>
      <c r="N8" s="9" t="b">
        <f t="shared" si="5"/>
        <v>1</v>
      </c>
      <c r="O8" s="9">
        <v>4.83</v>
      </c>
      <c r="P8" s="9">
        <f t="shared" si="6"/>
        <v>9.9999999999999645E-2</v>
      </c>
      <c r="Q8" s="9" t="str">
        <f t="shared" si="7"/>
        <v/>
      </c>
      <c r="R8" s="8">
        <f t="shared" si="8"/>
        <v>2.0283975659229139E-2</v>
      </c>
      <c r="S8" s="9">
        <f t="shared" si="9"/>
        <v>7</v>
      </c>
      <c r="T8" s="9" cm="1">
        <f t="array" ref="T8">IF(O8,INDEX($AP$2:$AP$21,S8,1),"")</f>
        <v>4.93</v>
      </c>
      <c r="U8" s="9">
        <f t="shared" si="10"/>
        <v>9.9999999999999645E-2</v>
      </c>
      <c r="V8" s="9">
        <v>71.900000000000006</v>
      </c>
      <c r="W8" s="9">
        <f t="shared" ca="1" si="11"/>
        <v>-0.90000000000000568</v>
      </c>
      <c r="X8" s="9" t="str">
        <f t="shared" ca="1" si="12"/>
        <v/>
      </c>
      <c r="Y8" s="8">
        <f t="shared" ca="1" si="13"/>
        <v>1.2676056338028249E-2</v>
      </c>
      <c r="Z8" s="9">
        <f t="shared" si="14"/>
        <v>7</v>
      </c>
      <c r="AA8" s="9" cm="1">
        <f t="array" aca="1" ref="AA8" ca="1">IF(V8,INDEX($AK$2:$AK$20,Z8,1),"")</f>
        <v>71</v>
      </c>
      <c r="AB8" s="9">
        <f t="shared" ca="1" si="15"/>
        <v>0.90000000000000568</v>
      </c>
      <c r="AI8">
        <v>7</v>
      </c>
      <c r="AJ8" s="39">
        <f t="shared" ca="1" si="18"/>
        <v>71.017543859649123</v>
      </c>
      <c r="AK8">
        <f t="shared" ca="1" si="16"/>
        <v>71</v>
      </c>
      <c r="AN8">
        <v>7</v>
      </c>
      <c r="AO8" s="39">
        <f t="shared" si="19"/>
        <v>4.9315789473684202</v>
      </c>
      <c r="AP8">
        <f t="shared" si="17"/>
        <v>4.93</v>
      </c>
    </row>
    <row r="9" spans="1:44">
      <c r="A9" t="s">
        <v>250</v>
      </c>
      <c r="B9">
        <f>_xlfn.IFNA(INDEX(bf!B:B,MATCH(A9,bf!A:A,0),1),0)</f>
        <v>6.8</v>
      </c>
      <c r="C9">
        <f>INDEX('اسعار الاسهم'!A:L,MATCH(A9,'اسعار الاسهم'!K:K,0),2)</f>
        <v>8.7899999999999991</v>
      </c>
      <c r="F9">
        <v>0.96</v>
      </c>
      <c r="G9">
        <f t="shared" si="0"/>
        <v>0.77360637087599549</v>
      </c>
      <c r="J9">
        <f t="shared" si="1"/>
        <v>0.77083333333333337</v>
      </c>
      <c r="K9">
        <f t="shared" si="2"/>
        <v>0</v>
      </c>
      <c r="L9">
        <f t="shared" si="3"/>
        <v>0</v>
      </c>
      <c r="M9" s="9">
        <f t="shared" si="4"/>
        <v>1.2886666666666666</v>
      </c>
      <c r="N9" s="9" t="b">
        <f t="shared" si="5"/>
        <v>0</v>
      </c>
      <c r="O9" s="9"/>
      <c r="P9" s="9" t="str">
        <f t="shared" si="6"/>
        <v/>
      </c>
      <c r="Q9" s="9" t="str">
        <f t="shared" si="7"/>
        <v/>
      </c>
      <c r="R9" s="8" t="str">
        <f t="shared" si="8"/>
        <v/>
      </c>
      <c r="S9" s="9">
        <f t="shared" si="9"/>
        <v>7</v>
      </c>
      <c r="T9" s="9" t="str" cm="1">
        <f t="array" ref="T9">IF(O9,INDEX($AP$2:$AP$21,S9,1),"")</f>
        <v/>
      </c>
      <c r="U9" s="9" t="str">
        <f t="shared" si="10"/>
        <v/>
      </c>
      <c r="V9" s="9"/>
      <c r="W9" s="9" t="str">
        <f t="shared" si="11"/>
        <v/>
      </c>
      <c r="X9" s="9" t="str">
        <f t="shared" si="12"/>
        <v/>
      </c>
      <c r="Y9" s="8" t="str">
        <f t="shared" si="13"/>
        <v/>
      </c>
      <c r="Z9" s="9">
        <f t="shared" si="14"/>
        <v>7</v>
      </c>
      <c r="AA9" s="9" t="str" cm="1">
        <f t="array" ref="AA9">IF(V9,INDEX($AK$2:$AK$20,Z9,1),"")</f>
        <v/>
      </c>
      <c r="AB9" s="9" t="str">
        <f t="shared" si="15"/>
        <v/>
      </c>
      <c r="AI9">
        <v>8</v>
      </c>
      <c r="AJ9">
        <f t="shared" ca="1" si="18"/>
        <v>68.65029239766082</v>
      </c>
      <c r="AK9">
        <f t="shared" ca="1" si="16"/>
        <v>68.7</v>
      </c>
      <c r="AN9">
        <v>8</v>
      </c>
      <c r="AO9">
        <f t="shared" si="19"/>
        <v>4.7671929824561392</v>
      </c>
      <c r="AP9">
        <f t="shared" si="17"/>
        <v>4.7699999999999996</v>
      </c>
    </row>
    <row r="10" spans="1:44">
      <c r="A10" s="1" t="s">
        <v>104</v>
      </c>
      <c r="B10">
        <f>_xlfn.IFNA(INDEX(bf!B:B,MATCH(A10,bf!A:A,0),1),0)</f>
        <v>0</v>
      </c>
      <c r="C10">
        <f>INDEX('اسعار الاسهم'!A:L,MATCH(A10,'اسعار الاسهم'!K:K,0),2)</f>
        <v>99.48</v>
      </c>
      <c r="E10">
        <v>1</v>
      </c>
      <c r="F10">
        <v>0.84</v>
      </c>
      <c r="G10">
        <f t="shared" si="0"/>
        <v>0</v>
      </c>
      <c r="J10">
        <f t="shared" si="1"/>
        <v>0</v>
      </c>
      <c r="K10">
        <f t="shared" si="2"/>
        <v>0</v>
      </c>
      <c r="L10">
        <f t="shared" si="3"/>
        <v>0</v>
      </c>
      <c r="M10" s="9">
        <f t="shared" si="4"/>
        <v>1.2879999999999998</v>
      </c>
      <c r="N10" s="9" t="b">
        <f t="shared" si="5"/>
        <v>1</v>
      </c>
      <c r="O10" s="9">
        <v>4.75</v>
      </c>
      <c r="P10" s="9">
        <f t="shared" si="6"/>
        <v>1.9999999999999574E-2</v>
      </c>
      <c r="Q10" s="9" t="str">
        <f t="shared" si="7"/>
        <v/>
      </c>
      <c r="R10" s="8">
        <f t="shared" si="8"/>
        <v>4.1928721174003302E-3</v>
      </c>
      <c r="S10" s="9">
        <f t="shared" si="9"/>
        <v>8</v>
      </c>
      <c r="T10" s="9" cm="1">
        <f t="array" ref="T10">IF(O10,INDEX($AP$2:$AP$21,S10,1),"")</f>
        <v>4.7699999999999996</v>
      </c>
      <c r="U10" s="9">
        <f t="shared" si="10"/>
        <v>1.9999999999999574E-2</v>
      </c>
      <c r="V10" s="9">
        <v>75.3</v>
      </c>
      <c r="W10" s="9">
        <f t="shared" ca="1" si="11"/>
        <v>-6.5999999999999943</v>
      </c>
      <c r="X10" s="9" t="str">
        <f t="shared" ca="1" si="12"/>
        <v/>
      </c>
      <c r="Y10" s="8">
        <f t="shared" ca="1" si="13"/>
        <v>9.6069868995633106E-2</v>
      </c>
      <c r="Z10" s="9">
        <f t="shared" si="14"/>
        <v>8</v>
      </c>
      <c r="AA10" s="9" cm="1">
        <f t="array" aca="1" ref="AA10" ca="1">IF(V10,INDEX($AK$2:$AK$20,Z10,1),"")</f>
        <v>68.7</v>
      </c>
      <c r="AB10" s="9">
        <f t="shared" ca="1" si="15"/>
        <v>6.5999999999999943</v>
      </c>
      <c r="AC10">
        <v>1</v>
      </c>
      <c r="AD10">
        <v>1</v>
      </c>
      <c r="AI10">
        <v>9</v>
      </c>
      <c r="AJ10">
        <f t="shared" ca="1" si="18"/>
        <v>66.283040935672517</v>
      </c>
      <c r="AK10">
        <f t="shared" ca="1" si="16"/>
        <v>66.3</v>
      </c>
      <c r="AN10">
        <v>9</v>
      </c>
      <c r="AO10">
        <f t="shared" si="19"/>
        <v>4.6028070175438582</v>
      </c>
      <c r="AP10">
        <f t="shared" si="17"/>
        <v>4.5999999999999996</v>
      </c>
    </row>
    <row r="11" spans="1:44">
      <c r="A11" t="s">
        <v>45</v>
      </c>
      <c r="B11">
        <f>_xlfn.IFNA(INDEX(bf!B:B,MATCH(A11,bf!A:A,0),1),0)</f>
        <v>11.06</v>
      </c>
      <c r="C11">
        <f>INDEX('اسعار الاسهم'!A:L,MATCH(A11,'اسعار الاسهم'!K:K,0),2)</f>
        <v>21.84</v>
      </c>
      <c r="F11">
        <v>0.9</v>
      </c>
      <c r="G11">
        <f t="shared" si="0"/>
        <v>0.50641025641025639</v>
      </c>
      <c r="I11" s="8">
        <f>30.5/C11-1</f>
        <v>0.39652014652014644</v>
      </c>
      <c r="J11">
        <f t="shared" si="1"/>
        <v>0.3125</v>
      </c>
      <c r="K11">
        <f t="shared" si="2"/>
        <v>0</v>
      </c>
      <c r="L11">
        <f t="shared" si="3"/>
        <v>0.66666666666666674</v>
      </c>
      <c r="M11" s="9">
        <f t="shared" si="4"/>
        <v>1.28</v>
      </c>
      <c r="N11" s="9" t="b">
        <f t="shared" si="5"/>
        <v>0</v>
      </c>
      <c r="O11" s="9"/>
      <c r="P11" s="9" t="str">
        <f t="shared" si="6"/>
        <v/>
      </c>
      <c r="Q11" s="9" t="str">
        <f t="shared" si="7"/>
        <v/>
      </c>
      <c r="R11" s="8" t="str">
        <f t="shared" si="8"/>
        <v/>
      </c>
      <c r="S11" s="9">
        <f t="shared" si="9"/>
        <v>8</v>
      </c>
      <c r="T11" s="9" t="str" cm="1">
        <f t="array" ref="T11">IF(O11,INDEX($AP$2:$AP$21,S11,1),"")</f>
        <v/>
      </c>
      <c r="U11" s="9" t="str">
        <f t="shared" si="10"/>
        <v/>
      </c>
      <c r="V11" s="9"/>
      <c r="W11" s="9" t="str">
        <f t="shared" si="11"/>
        <v/>
      </c>
      <c r="X11" s="9" t="str">
        <f t="shared" si="12"/>
        <v/>
      </c>
      <c r="Y11" s="8" t="str">
        <f t="shared" si="13"/>
        <v/>
      </c>
      <c r="Z11" s="9">
        <f t="shared" si="14"/>
        <v>8</v>
      </c>
      <c r="AA11" s="9" t="str" cm="1">
        <f t="array" ref="AA11">IF(V11,INDEX($AK$2:$AK$20,Z11,1),"")</f>
        <v/>
      </c>
      <c r="AB11" s="9" t="str">
        <f t="shared" si="15"/>
        <v/>
      </c>
      <c r="AI11">
        <v>10</v>
      </c>
      <c r="AJ11" s="39">
        <f t="shared" ca="1" si="18"/>
        <v>63.915789473684214</v>
      </c>
      <c r="AK11">
        <f t="shared" ca="1" si="16"/>
        <v>63.9</v>
      </c>
      <c r="AN11">
        <v>10</v>
      </c>
      <c r="AO11" s="39">
        <f t="shared" si="19"/>
        <v>4.4384210526315773</v>
      </c>
      <c r="AP11">
        <f t="shared" si="17"/>
        <v>4.4400000000000004</v>
      </c>
    </row>
    <row r="12" spans="1:44">
      <c r="A12" t="s">
        <v>93</v>
      </c>
      <c r="B12">
        <f>_xlfn.IFNA(INDEX(bf!B:B,MATCH(A12,bf!A:A,0),1),0)</f>
        <v>1.67</v>
      </c>
      <c r="C12">
        <f>INDEX('اسعار الاسهم'!A:L,MATCH(A12,'اسعار الاسهم'!K:K,0),2)</f>
        <v>2.57</v>
      </c>
      <c r="F12">
        <v>1</v>
      </c>
      <c r="G12">
        <f t="shared" si="0"/>
        <v>0.64980544747081714</v>
      </c>
      <c r="J12">
        <f t="shared" si="1"/>
        <v>0.60416666666666674</v>
      </c>
      <c r="K12">
        <f t="shared" si="2"/>
        <v>0</v>
      </c>
      <c r="L12">
        <f t="shared" si="3"/>
        <v>0</v>
      </c>
      <c r="M12" s="9">
        <f t="shared" si="4"/>
        <v>1.1833333333333333</v>
      </c>
      <c r="N12" s="9" t="b">
        <f t="shared" si="5"/>
        <v>1</v>
      </c>
      <c r="O12" s="9"/>
      <c r="P12" s="9" t="str">
        <f t="shared" si="6"/>
        <v/>
      </c>
      <c r="Q12" s="9" t="str">
        <f t="shared" si="7"/>
        <v/>
      </c>
      <c r="R12" s="8" t="str">
        <f t="shared" si="8"/>
        <v/>
      </c>
      <c r="S12" s="9">
        <f t="shared" si="9"/>
        <v>8</v>
      </c>
      <c r="T12" s="9" t="str" cm="1">
        <f t="array" ref="T12">IF(O12,INDEX($AP$2:$AP$21,S12,1),"")</f>
        <v/>
      </c>
      <c r="U12" s="9" t="str">
        <f t="shared" si="10"/>
        <v/>
      </c>
      <c r="V12" s="9">
        <v>68.099999999999994</v>
      </c>
      <c r="W12" s="9">
        <f t="shared" ca="1" si="11"/>
        <v>-1.7999999999999972</v>
      </c>
      <c r="X12" s="9" t="str">
        <f t="shared" ca="1" si="12"/>
        <v/>
      </c>
      <c r="Y12" s="8">
        <f t="shared" ca="1" si="13"/>
        <v>2.7149321266968285E-2</v>
      </c>
      <c r="Z12" s="9">
        <f t="shared" si="14"/>
        <v>9</v>
      </c>
      <c r="AA12" s="9" cm="1">
        <f t="array" aca="1" ref="AA12" ca="1">IF(V12,INDEX($AK$2:$AK$20,Z12,1),"")</f>
        <v>66.3</v>
      </c>
      <c r="AB12" s="9">
        <f t="shared" ca="1" si="15"/>
        <v>1.7999999999999972</v>
      </c>
      <c r="AC12">
        <v>1</v>
      </c>
      <c r="AI12">
        <v>11</v>
      </c>
      <c r="AJ12">
        <f t="shared" ca="1" si="18"/>
        <v>61.548538011695911</v>
      </c>
      <c r="AK12">
        <f t="shared" ca="1" si="16"/>
        <v>61.5</v>
      </c>
      <c r="AN12">
        <v>11</v>
      </c>
      <c r="AO12">
        <f t="shared" si="19"/>
        <v>4.2740350877192963</v>
      </c>
      <c r="AP12">
        <f t="shared" si="17"/>
        <v>4.2699999999999996</v>
      </c>
    </row>
    <row r="13" spans="1:44">
      <c r="A13" t="s">
        <v>25</v>
      </c>
      <c r="B13">
        <f>_xlfn.IFNA(INDEX(bf!B:B,MATCH(A13,bf!A:A,0),1),0)</f>
        <v>14.09</v>
      </c>
      <c r="C13">
        <f>INDEX('اسعار الاسهم'!A:L,MATCH(A13,'اسعار الاسهم'!K:K,0),2)</f>
        <v>22.19</v>
      </c>
      <c r="E13">
        <v>1</v>
      </c>
      <c r="G13">
        <f t="shared" si="0"/>
        <v>0.63497070752591256</v>
      </c>
      <c r="J13">
        <f t="shared" si="1"/>
        <v>0.54166666666666674</v>
      </c>
      <c r="K13">
        <f t="shared" si="2"/>
        <v>0</v>
      </c>
      <c r="L13">
        <f t="shared" si="3"/>
        <v>0</v>
      </c>
      <c r="M13" s="9">
        <f t="shared" si="4"/>
        <v>1.1333333333333333</v>
      </c>
      <c r="N13" s="9" t="b">
        <f t="shared" si="5"/>
        <v>1</v>
      </c>
      <c r="O13" s="9">
        <v>4.62</v>
      </c>
      <c r="P13" s="9">
        <f t="shared" si="6"/>
        <v>-2.0000000000000462E-2</v>
      </c>
      <c r="Q13" s="9" t="str">
        <f t="shared" si="7"/>
        <v/>
      </c>
      <c r="R13" s="8">
        <f t="shared" si="8"/>
        <v>4.3478260869566224E-3</v>
      </c>
      <c r="S13" s="9">
        <f t="shared" si="9"/>
        <v>9</v>
      </c>
      <c r="T13" s="9" cm="1">
        <f t="array" ref="T13">IF(O13,INDEX($AP$2:$AP$21,S13,1),"")</f>
        <v>4.5999999999999996</v>
      </c>
      <c r="U13" s="9">
        <f t="shared" si="10"/>
        <v>2.0000000000000462E-2</v>
      </c>
      <c r="V13" s="9">
        <v>70.3</v>
      </c>
      <c r="W13" s="9">
        <f t="shared" ca="1" si="11"/>
        <v>-6.3999999999999986</v>
      </c>
      <c r="X13" s="9" t="str">
        <f t="shared" ca="1" si="12"/>
        <v>Gny</v>
      </c>
      <c r="Y13" s="8">
        <f t="shared" ca="1" si="13"/>
        <v>0.10015649452269168</v>
      </c>
      <c r="Z13" s="9">
        <f t="shared" si="14"/>
        <v>10</v>
      </c>
      <c r="AA13" s="9" cm="1">
        <f t="array" aca="1" ref="AA13" ca="1">IF(V13,INDEX($AK$2:$AK$20,Z13,1),"")</f>
        <v>63.9</v>
      </c>
      <c r="AB13" s="9">
        <f t="shared" ca="1" si="15"/>
        <v>6.3999999999999986</v>
      </c>
      <c r="AI13">
        <v>12</v>
      </c>
      <c r="AJ13" s="39">
        <f t="shared" ca="1" si="18"/>
        <v>59.181286549707607</v>
      </c>
      <c r="AK13">
        <f t="shared" ca="1" si="16"/>
        <v>59.2</v>
      </c>
      <c r="AN13">
        <v>12</v>
      </c>
      <c r="AO13" s="39">
        <f t="shared" si="19"/>
        <v>4.1096491228070153</v>
      </c>
      <c r="AP13">
        <f t="shared" si="17"/>
        <v>4.1100000000000003</v>
      </c>
    </row>
    <row r="14" spans="1:44">
      <c r="A14" t="s">
        <v>98</v>
      </c>
      <c r="B14">
        <f>_xlfn.IFNA(INDEX(bf!B:B,MATCH(A14,bf!A:A,0),1),0)</f>
        <v>0</v>
      </c>
      <c r="C14">
        <f>INDEX('اسعار الاسهم'!A:L,MATCH(A14,'اسعار الاسهم'!K:K,0),2)</f>
        <v>13.19</v>
      </c>
      <c r="G14">
        <f t="shared" si="0"/>
        <v>0</v>
      </c>
      <c r="H14" s="8">
        <f>20.2/C14-1</f>
        <v>0.53146322971948456</v>
      </c>
      <c r="I14" s="8">
        <f>17.5/C14-1</f>
        <v>0.3267626990144048</v>
      </c>
      <c r="J14">
        <f t="shared" si="1"/>
        <v>0</v>
      </c>
      <c r="K14">
        <f t="shared" si="2"/>
        <v>0.7857142857142857</v>
      </c>
      <c r="L14">
        <f t="shared" si="3"/>
        <v>0.53333333333333333</v>
      </c>
      <c r="M14" s="9">
        <f t="shared" si="4"/>
        <v>1.1057142857142856</v>
      </c>
      <c r="N14" s="9" t="b">
        <f t="shared" si="5"/>
        <v>0</v>
      </c>
      <c r="O14" s="9"/>
      <c r="P14" s="9" t="str">
        <f t="shared" si="6"/>
        <v/>
      </c>
      <c r="Q14" s="9" t="str">
        <f t="shared" si="7"/>
        <v/>
      </c>
      <c r="R14" s="8" t="str">
        <f t="shared" si="8"/>
        <v/>
      </c>
      <c r="S14" s="9">
        <f t="shared" si="9"/>
        <v>9</v>
      </c>
      <c r="T14" s="9" t="str" cm="1">
        <f t="array" ref="T14">IF(O14,INDEX($AP$2:$AP$21,S14,1),"")</f>
        <v/>
      </c>
      <c r="U14" s="9" t="str">
        <f t="shared" si="10"/>
        <v/>
      </c>
      <c r="V14" s="9"/>
      <c r="W14" s="9" t="str">
        <f t="shared" si="11"/>
        <v/>
      </c>
      <c r="X14" s="9" t="str">
        <f t="shared" si="12"/>
        <v/>
      </c>
      <c r="Y14" s="8" t="str">
        <f t="shared" si="13"/>
        <v/>
      </c>
      <c r="Z14" s="9">
        <f t="shared" si="14"/>
        <v>10</v>
      </c>
      <c r="AA14" s="9" t="str" cm="1">
        <f t="array" ref="AA14">IF(V14,INDEX($AK$2:$AK$20,Z14,1),"")</f>
        <v/>
      </c>
      <c r="AB14" s="9" t="str">
        <f t="shared" si="15"/>
        <v/>
      </c>
      <c r="AI14">
        <v>13</v>
      </c>
      <c r="AJ14" s="39">
        <f t="shared" ca="1" si="18"/>
        <v>56.814035087719304</v>
      </c>
      <c r="AK14">
        <f t="shared" ca="1" si="16"/>
        <v>56.8</v>
      </c>
      <c r="AN14">
        <v>13</v>
      </c>
      <c r="AO14" s="39">
        <f t="shared" si="19"/>
        <v>3.9452631578947348</v>
      </c>
      <c r="AP14">
        <f t="shared" si="17"/>
        <v>3.95</v>
      </c>
    </row>
    <row r="15" spans="1:44">
      <c r="A15" s="50" t="s">
        <v>103</v>
      </c>
      <c r="B15">
        <f>_xlfn.IFNA(INDEX(bf!B:B,MATCH(A15,bf!A:A,0),1),0)</f>
        <v>16.07</v>
      </c>
      <c r="C15">
        <f>INDEX('اسعار الاسهم'!A:L,MATCH(A15,'اسعار الاسهم'!K:K,0),2)</f>
        <v>21.76</v>
      </c>
      <c r="G15">
        <f t="shared" si="0"/>
        <v>0.73851102941176472</v>
      </c>
      <c r="H15" s="8">
        <f>30.1/C15-1</f>
        <v>0.38327205882352944</v>
      </c>
      <c r="J15">
        <f t="shared" si="1"/>
        <v>0.72916666666666674</v>
      </c>
      <c r="K15">
        <f t="shared" si="2"/>
        <v>0.5</v>
      </c>
      <c r="L15">
        <f t="shared" si="3"/>
        <v>0</v>
      </c>
      <c r="M15" s="9">
        <f t="shared" si="4"/>
        <v>1.0833333333333335</v>
      </c>
      <c r="N15" s="9" t="b">
        <f t="shared" si="5"/>
        <v>1</v>
      </c>
      <c r="O15" s="9">
        <v>2.5499999999999998</v>
      </c>
      <c r="P15" s="9">
        <f t="shared" si="6"/>
        <v>1.8900000000000006</v>
      </c>
      <c r="Q15" s="9" t="str">
        <f t="shared" si="7"/>
        <v>Gny</v>
      </c>
      <c r="R15" s="8">
        <f t="shared" si="8"/>
        <v>0.42567567567567577</v>
      </c>
      <c r="S15" s="9">
        <f t="shared" si="9"/>
        <v>10</v>
      </c>
      <c r="T15" s="9" cm="1">
        <f t="array" ref="T15">IF(O15,INDEX($AP$2:$AP$21,S15,1),"")</f>
        <v>4.4400000000000004</v>
      </c>
      <c r="U15" s="9">
        <f t="shared" si="10"/>
        <v>1.8900000000000006</v>
      </c>
      <c r="V15" s="9">
        <v>23.2</v>
      </c>
      <c r="W15" s="9">
        <f t="shared" ca="1" si="11"/>
        <v>38.299999999999997</v>
      </c>
      <c r="X15" s="9" t="str">
        <f t="shared" ca="1" si="12"/>
        <v>Gny</v>
      </c>
      <c r="Y15" s="8">
        <f t="shared" ca="1" si="13"/>
        <v>0.62276422764227635</v>
      </c>
      <c r="Z15" s="9">
        <f t="shared" si="14"/>
        <v>11</v>
      </c>
      <c r="AA15" s="9" cm="1">
        <f t="array" aca="1" ref="AA15" ca="1">IF(V15,INDEX($AK$2:$AK$20,Z15,1),"")</f>
        <v>61.5</v>
      </c>
      <c r="AB15" s="9">
        <f t="shared" ca="1" si="15"/>
        <v>38.299999999999997</v>
      </c>
      <c r="AI15">
        <v>14</v>
      </c>
      <c r="AJ15">
        <f t="shared" ca="1" si="18"/>
        <v>54.446783625731001</v>
      </c>
      <c r="AK15">
        <f t="shared" ca="1" si="16"/>
        <v>54.4</v>
      </c>
      <c r="AN15">
        <v>14</v>
      </c>
      <c r="AO15">
        <f t="shared" si="19"/>
        <v>3.7808771929824543</v>
      </c>
      <c r="AP15">
        <f t="shared" si="17"/>
        <v>3.78</v>
      </c>
    </row>
    <row r="16" spans="1:44">
      <c r="A16" t="s">
        <v>95</v>
      </c>
      <c r="B16">
        <f>_xlfn.IFNA(INDEX(bf!B:B,MATCH(A16,bf!A:A,0),1),0)</f>
        <v>1.71</v>
      </c>
      <c r="C16">
        <f>INDEX('اسعار الاسهم'!A:L,MATCH(A16,'اسعار الاسهم'!K:K,0),2)</f>
        <v>2.2599999999999998</v>
      </c>
      <c r="G16">
        <f t="shared" si="0"/>
        <v>0.75663716814159299</v>
      </c>
      <c r="I16" s="8">
        <f>3.2/C16-1</f>
        <v>0.41592920353982321</v>
      </c>
      <c r="J16">
        <f t="shared" si="1"/>
        <v>0.75</v>
      </c>
      <c r="K16">
        <f t="shared" si="2"/>
        <v>0</v>
      </c>
      <c r="L16">
        <f t="shared" si="3"/>
        <v>0.76666666666666661</v>
      </c>
      <c r="M16" s="9">
        <f t="shared" si="4"/>
        <v>1.06</v>
      </c>
      <c r="N16" s="9" t="b">
        <f t="shared" si="5"/>
        <v>0</v>
      </c>
      <c r="O16" s="9"/>
      <c r="P16" s="9" t="str">
        <f t="shared" si="6"/>
        <v/>
      </c>
      <c r="Q16" s="9" t="str">
        <f t="shared" si="7"/>
        <v/>
      </c>
      <c r="R16" s="8" t="str">
        <f t="shared" si="8"/>
        <v/>
      </c>
      <c r="S16" s="9">
        <f t="shared" si="9"/>
        <v>10</v>
      </c>
      <c r="T16" s="9" t="str" cm="1">
        <f t="array" ref="T16">IF(O16,INDEX($AP$2:$AP$21,S16,1),"")</f>
        <v/>
      </c>
      <c r="U16" s="9" t="str">
        <f t="shared" si="10"/>
        <v/>
      </c>
      <c r="V16" s="9"/>
      <c r="W16" s="9" t="str">
        <f t="shared" si="11"/>
        <v/>
      </c>
      <c r="X16" s="9" t="str">
        <f t="shared" si="12"/>
        <v/>
      </c>
      <c r="Y16" s="8" t="str">
        <f t="shared" si="13"/>
        <v/>
      </c>
      <c r="Z16" s="9">
        <f t="shared" si="14"/>
        <v>11</v>
      </c>
      <c r="AA16" s="9" t="str" cm="1">
        <f t="array" ref="AA16">IF(V16,INDEX($AK$2:$AK$20,Z16,1),"")</f>
        <v/>
      </c>
      <c r="AB16" s="9" t="str">
        <f t="shared" si="15"/>
        <v/>
      </c>
      <c r="AI16">
        <v>15</v>
      </c>
      <c r="AJ16" s="39">
        <f t="shared" ca="1" si="18"/>
        <v>52.079532163742698</v>
      </c>
      <c r="AK16">
        <f t="shared" ca="1" si="16"/>
        <v>52.1</v>
      </c>
      <c r="AN16">
        <v>15</v>
      </c>
      <c r="AO16" s="39">
        <f t="shared" si="19"/>
        <v>3.6164912280701738</v>
      </c>
      <c r="AP16">
        <f t="shared" si="17"/>
        <v>3.62</v>
      </c>
    </row>
    <row r="17" spans="1:44">
      <c r="A17" s="50" t="s">
        <v>176</v>
      </c>
      <c r="B17">
        <f>_xlfn.IFNA(INDEX(bf!B:B,MATCH(A17,bf!A:A,0),1),0)</f>
        <v>5.96</v>
      </c>
      <c r="C17">
        <f>INDEX('اسعار الاسهم'!A:L,MATCH(A17,'اسعار الاسهم'!K:K,0),2)</f>
        <v>15.19</v>
      </c>
      <c r="E17">
        <v>1</v>
      </c>
      <c r="G17">
        <f t="shared" si="0"/>
        <v>0.39236339697169192</v>
      </c>
      <c r="H17" s="8">
        <f>18.9/C17-1</f>
        <v>0.24423963133640547</v>
      </c>
      <c r="J17">
        <f t="shared" si="1"/>
        <v>0.125</v>
      </c>
      <c r="K17">
        <f t="shared" si="2"/>
        <v>0.2142857142857143</v>
      </c>
      <c r="L17">
        <f t="shared" si="3"/>
        <v>0</v>
      </c>
      <c r="M17" s="9">
        <f t="shared" si="4"/>
        <v>1.0142857142857142</v>
      </c>
      <c r="N17" s="9" t="b">
        <f t="shared" si="5"/>
        <v>1</v>
      </c>
      <c r="O17" s="9">
        <v>3.92</v>
      </c>
      <c r="P17" s="9">
        <f t="shared" si="6"/>
        <v>0.34999999999999964</v>
      </c>
      <c r="Q17" s="9" t="str">
        <f t="shared" si="7"/>
        <v/>
      </c>
      <c r="R17" s="8">
        <f t="shared" si="8"/>
        <v>8.1967213114754023E-2</v>
      </c>
      <c r="S17" s="9">
        <f t="shared" si="9"/>
        <v>11</v>
      </c>
      <c r="T17" s="9" cm="1">
        <f t="array" ref="T17">IF(O17,INDEX($AP$2:$AP$21,S17,1),"")</f>
        <v>4.2699999999999996</v>
      </c>
      <c r="U17" s="9">
        <f t="shared" si="10"/>
        <v>0.34999999999999964</v>
      </c>
      <c r="V17" s="9">
        <v>55.6</v>
      </c>
      <c r="W17" s="9">
        <f t="shared" ca="1" si="11"/>
        <v>3.6000000000000014</v>
      </c>
      <c r="X17" s="9" t="str">
        <f t="shared" ca="1" si="12"/>
        <v/>
      </c>
      <c r="Y17" s="8">
        <f t="shared" ca="1" si="13"/>
        <v>6.0810810810810835E-2</v>
      </c>
      <c r="Z17" s="9">
        <f t="shared" si="14"/>
        <v>12</v>
      </c>
      <c r="AA17" s="9" cm="1">
        <f t="array" aca="1" ref="AA17" ca="1">IF(V17,INDEX($AK$2:$AK$20,Z17,1),"")</f>
        <v>59.2</v>
      </c>
      <c r="AB17" s="9">
        <f t="shared" ca="1" si="15"/>
        <v>3.6000000000000014</v>
      </c>
      <c r="AC17">
        <v>1</v>
      </c>
      <c r="AI17">
        <v>16</v>
      </c>
      <c r="AJ17">
        <f t="shared" ca="1" si="18"/>
        <v>49.712280701754395</v>
      </c>
      <c r="AK17">
        <f t="shared" ref="AK17:AK18" ca="1" si="20">ROUND(AJ17,1)</f>
        <v>49.7</v>
      </c>
      <c r="AN17">
        <v>16</v>
      </c>
      <c r="AO17">
        <f t="shared" si="19"/>
        <v>3.4521052631578932</v>
      </c>
      <c r="AP17">
        <f t="shared" si="17"/>
        <v>3.45</v>
      </c>
    </row>
    <row r="18" spans="1:44">
      <c r="A18" t="s">
        <v>81</v>
      </c>
      <c r="B18">
        <f>_xlfn.IFNA(INDEX(bf!B:B,MATCH(A18,bf!A:A,0),1),0)</f>
        <v>3.8</v>
      </c>
      <c r="C18">
        <f>INDEX('اسعار الاسهم'!A:L,MATCH(A18,'اسعار الاسهم'!K:K,0),2)</f>
        <v>5.86</v>
      </c>
      <c r="G18">
        <f t="shared" si="0"/>
        <v>0.64846416382252559</v>
      </c>
      <c r="I18" s="8">
        <f>9/C18-1</f>
        <v>0.53583617747440271</v>
      </c>
      <c r="J18">
        <f t="shared" si="1"/>
        <v>0.58333333333333326</v>
      </c>
      <c r="K18">
        <f t="shared" si="2"/>
        <v>0</v>
      </c>
      <c r="L18">
        <f t="shared" si="3"/>
        <v>0.8666666666666667</v>
      </c>
      <c r="M18" s="9">
        <f t="shared" si="4"/>
        <v>0.98666666666666658</v>
      </c>
      <c r="N18" s="9" t="b">
        <f t="shared" si="5"/>
        <v>0</v>
      </c>
      <c r="O18" s="9"/>
      <c r="P18" s="9" t="str">
        <f t="shared" si="6"/>
        <v/>
      </c>
      <c r="Q18" s="9" t="str">
        <f t="shared" si="7"/>
        <v/>
      </c>
      <c r="R18" s="8" t="str">
        <f t="shared" si="8"/>
        <v/>
      </c>
      <c r="S18" s="9">
        <f t="shared" si="9"/>
        <v>11</v>
      </c>
      <c r="T18" s="9" t="str" cm="1">
        <f t="array" ref="T18">IF(O18,INDEX($AP$2:$AP$21,S18,1),"")</f>
        <v/>
      </c>
      <c r="U18" s="9" t="str">
        <f t="shared" si="10"/>
        <v/>
      </c>
      <c r="V18" s="9"/>
      <c r="W18" s="9" t="str">
        <f t="shared" si="11"/>
        <v/>
      </c>
      <c r="X18" s="9" t="str">
        <f t="shared" si="12"/>
        <v/>
      </c>
      <c r="Y18" s="8" t="str">
        <f t="shared" si="13"/>
        <v/>
      </c>
      <c r="Z18" s="9">
        <f t="shared" si="14"/>
        <v>12</v>
      </c>
      <c r="AA18" s="9" t="str" cm="1">
        <f t="array" ref="AA18">IF(V18,INDEX($AK$2:$AK$20,Z18,1),"")</f>
        <v/>
      </c>
      <c r="AB18" s="9" t="str">
        <f t="shared" si="15"/>
        <v/>
      </c>
      <c r="AI18">
        <v>17</v>
      </c>
      <c r="AJ18">
        <f t="shared" ca="1" si="18"/>
        <v>47.345029239766092</v>
      </c>
      <c r="AK18">
        <f t="shared" ca="1" si="20"/>
        <v>47.3</v>
      </c>
      <c r="AN18">
        <v>17</v>
      </c>
      <c r="AO18">
        <f t="shared" si="19"/>
        <v>3.2877192982456127</v>
      </c>
      <c r="AP18">
        <f t="shared" si="17"/>
        <v>3.29</v>
      </c>
    </row>
    <row r="19" spans="1:44">
      <c r="A19" t="s">
        <v>290</v>
      </c>
      <c r="B19">
        <f>_xlfn.IFNA(INDEX(bf!B:B,MATCH(A19,bf!A:A,0),1),0)</f>
        <v>49.17</v>
      </c>
      <c r="C19">
        <f>INDEX('اسعار الاسهم'!A:L,MATCH(A19,'اسعار الاسهم'!K:K,0),2)</f>
        <v>87.9</v>
      </c>
      <c r="F19">
        <v>0.86</v>
      </c>
      <c r="G19">
        <f t="shared" si="0"/>
        <v>0.55938566552901026</v>
      </c>
      <c r="J19">
        <f t="shared" si="1"/>
        <v>0.4375</v>
      </c>
      <c r="K19">
        <f t="shared" si="2"/>
        <v>0</v>
      </c>
      <c r="L19">
        <f t="shared" si="3"/>
        <v>0</v>
      </c>
      <c r="M19" s="9">
        <f t="shared" si="4"/>
        <v>0.95199999999999996</v>
      </c>
      <c r="N19" s="9" t="b">
        <f t="shared" si="5"/>
        <v>0</v>
      </c>
      <c r="O19" s="9"/>
      <c r="P19" s="9" t="str">
        <f t="shared" si="6"/>
        <v/>
      </c>
      <c r="Q19" s="9" t="str">
        <f t="shared" si="7"/>
        <v/>
      </c>
      <c r="R19" s="8" t="str">
        <f t="shared" si="8"/>
        <v/>
      </c>
      <c r="S19" s="9">
        <f t="shared" si="9"/>
        <v>11</v>
      </c>
      <c r="T19" s="9" t="str" cm="1">
        <f t="array" ref="T19">IF(O19,INDEX($AP$2:$AP$21,S19,1),"")</f>
        <v/>
      </c>
      <c r="U19" s="9" t="str">
        <f t="shared" si="10"/>
        <v/>
      </c>
      <c r="V19" s="9"/>
      <c r="W19" s="9" t="str">
        <f t="shared" si="11"/>
        <v/>
      </c>
      <c r="X19" s="9" t="str">
        <f t="shared" si="12"/>
        <v/>
      </c>
      <c r="Y19" s="8" t="str">
        <f t="shared" si="13"/>
        <v/>
      </c>
      <c r="Z19" s="9">
        <f t="shared" si="14"/>
        <v>12</v>
      </c>
      <c r="AA19" s="9" t="str" cm="1">
        <f t="array" ref="AA19">IF(V19,INDEX($AK$2:$AK$20,Z19,1),"")</f>
        <v/>
      </c>
      <c r="AB19" s="9" t="str">
        <f t="shared" si="15"/>
        <v/>
      </c>
      <c r="AI19">
        <v>18</v>
      </c>
      <c r="AJ19" s="39">
        <f t="shared" ca="1" si="18"/>
        <v>44.977777777777789</v>
      </c>
      <c r="AK19">
        <f t="shared" ref="AK19" ca="1" si="21">ROUND(AJ19,1)</f>
        <v>45</v>
      </c>
      <c r="AN19">
        <v>18</v>
      </c>
      <c r="AO19" s="39">
        <f t="shared" si="19"/>
        <v>3.1233333333333322</v>
      </c>
      <c r="AP19">
        <f t="shared" ref="AP19" si="22">ROUND(AO19,2)</f>
        <v>3.12</v>
      </c>
    </row>
    <row r="20" spans="1:44">
      <c r="A20" t="s">
        <v>774</v>
      </c>
      <c r="B20">
        <f>_xlfn.IFNA(INDEX(bf!B:B,MATCH(A20,bf!A:A,0),1),0)</f>
        <v>50.91</v>
      </c>
      <c r="C20">
        <f>INDEX('اسعار الاسهم'!A:L,MATCH(A20,'اسعار الاسهم'!K:K,0),2)</f>
        <v>53.39</v>
      </c>
      <c r="G20">
        <f t="shared" si="0"/>
        <v>0.95354935381157513</v>
      </c>
      <c r="H20" s="8">
        <f>64/C20-1</f>
        <v>0.19872635324967214</v>
      </c>
      <c r="J20">
        <f t="shared" si="1"/>
        <v>0.95833333333333337</v>
      </c>
      <c r="K20">
        <f t="shared" si="2"/>
        <v>0.1428571428571429</v>
      </c>
      <c r="L20">
        <f t="shared" si="3"/>
        <v>0</v>
      </c>
      <c r="M20" s="9">
        <f t="shared" si="4"/>
        <v>0.90952380952380962</v>
      </c>
      <c r="N20" s="9" t="b">
        <f t="shared" si="5"/>
        <v>1</v>
      </c>
      <c r="O20" s="9">
        <v>4.25</v>
      </c>
      <c r="P20" s="9">
        <f t="shared" si="6"/>
        <v>-0.13999999999999968</v>
      </c>
      <c r="Q20" s="9" t="str">
        <f t="shared" si="7"/>
        <v/>
      </c>
      <c r="R20" s="8">
        <f t="shared" si="8"/>
        <v>3.406326034063252E-2</v>
      </c>
      <c r="S20" s="9">
        <f t="shared" si="9"/>
        <v>12</v>
      </c>
      <c r="T20" s="9" cm="1">
        <f t="array" ref="T20">IF(O20,INDEX($AP$2:$AP$21,S20,1),"")</f>
        <v>4.1100000000000003</v>
      </c>
      <c r="U20" s="9">
        <f t="shared" si="10"/>
        <v>0.13999999999999968</v>
      </c>
      <c r="V20" s="9">
        <v>57.4</v>
      </c>
      <c r="W20" s="9">
        <f t="shared" ca="1" si="11"/>
        <v>-0.60000000000000142</v>
      </c>
      <c r="X20" s="9" t="str">
        <f t="shared" ca="1" si="12"/>
        <v/>
      </c>
      <c r="Y20" s="8">
        <f t="shared" ca="1" si="13"/>
        <v>1.0563380281690167E-2</v>
      </c>
      <c r="Z20" s="9">
        <f t="shared" si="14"/>
        <v>13</v>
      </c>
      <c r="AA20" s="9" cm="1">
        <f t="array" aca="1" ref="AA20" ca="1">IF(V20,INDEX($AK$2:$AK$20,Z20,1),"")</f>
        <v>56.8</v>
      </c>
      <c r="AB20" s="9">
        <f t="shared" ca="1" si="15"/>
        <v>0.60000000000000142</v>
      </c>
      <c r="AC20">
        <v>1</v>
      </c>
      <c r="AD20">
        <v>1</v>
      </c>
      <c r="AI20">
        <v>19</v>
      </c>
      <c r="AJ20">
        <f t="shared" ca="1" si="18"/>
        <v>42.610526315789485</v>
      </c>
      <c r="AK20">
        <f t="shared" ref="AK20" ca="1" si="23">ROUND(AJ20,1)</f>
        <v>42.6</v>
      </c>
      <c r="AN20">
        <v>19</v>
      </c>
      <c r="AO20">
        <f t="shared" si="19"/>
        <v>2.9589473684210517</v>
      </c>
      <c r="AP20">
        <f t="shared" ref="AP20" si="24">ROUND(AO20,2)</f>
        <v>2.96</v>
      </c>
    </row>
    <row r="21" spans="1:44">
      <c r="A21" t="s">
        <v>43</v>
      </c>
      <c r="B21">
        <f>_xlfn.IFNA(INDEX(bf!B:B,MATCH(A21,bf!A:A,0),1),0)</f>
        <v>7.5</v>
      </c>
      <c r="C21">
        <f>INDEX('اسعار الاسهم'!A:L,MATCH(A21,'اسعار الاسهم'!K:K,0),2)</f>
        <v>13.61</v>
      </c>
      <c r="F21">
        <v>0.88</v>
      </c>
      <c r="G21">
        <f t="shared" si="0"/>
        <v>0.55106539309331382</v>
      </c>
      <c r="J21">
        <f t="shared" si="1"/>
        <v>0.35416666666666663</v>
      </c>
      <c r="K21">
        <f t="shared" si="2"/>
        <v>0</v>
      </c>
      <c r="L21">
        <f t="shared" si="3"/>
        <v>0</v>
      </c>
      <c r="M21" s="9">
        <f t="shared" si="4"/>
        <v>0.89933333333333332</v>
      </c>
      <c r="N21" s="9" t="b">
        <f t="shared" si="5"/>
        <v>0</v>
      </c>
      <c r="O21" s="9"/>
      <c r="P21" s="9" t="str">
        <f t="shared" si="6"/>
        <v/>
      </c>
      <c r="Q21" s="9" t="str">
        <f t="shared" si="7"/>
        <v/>
      </c>
      <c r="R21" s="8" t="str">
        <f t="shared" si="8"/>
        <v/>
      </c>
      <c r="S21" s="9">
        <f t="shared" si="9"/>
        <v>12</v>
      </c>
      <c r="T21" s="9" t="str" cm="1">
        <f t="array" ref="T21">IF(O21,INDEX($AP$2:$AP$21,S21,1),"")</f>
        <v/>
      </c>
      <c r="U21" s="9" t="str">
        <f t="shared" si="10"/>
        <v/>
      </c>
      <c r="V21" s="9"/>
      <c r="W21" s="9" t="str">
        <f t="shared" si="11"/>
        <v/>
      </c>
      <c r="X21" s="9" t="str">
        <f t="shared" si="12"/>
        <v/>
      </c>
      <c r="Y21" s="8" t="str">
        <f t="shared" si="13"/>
        <v/>
      </c>
      <c r="Z21" s="9">
        <f t="shared" si="14"/>
        <v>13</v>
      </c>
      <c r="AA21" s="9" t="str" cm="1">
        <f t="array" ref="AA21">IF(V21,INDEX($AK$2:$AK$20,Z21,1),"")</f>
        <v/>
      </c>
      <c r="AB21" s="9" t="str">
        <f t="shared" si="15"/>
        <v/>
      </c>
      <c r="AJ21"/>
      <c r="AO21"/>
    </row>
    <row r="22" spans="1:44">
      <c r="A22" t="s">
        <v>101</v>
      </c>
      <c r="B22">
        <f>_xlfn.IFNA(INDEX(bf!B:B,MATCH(A22,bf!A:A,0),1),0)</f>
        <v>16</v>
      </c>
      <c r="C22">
        <f>INDEX('اسعار الاسهم'!A:L,MATCH(A22,'اسعار الاسهم'!K:K,0),2)</f>
        <v>19.32</v>
      </c>
      <c r="G22">
        <f t="shared" si="0"/>
        <v>0.82815734989648027</v>
      </c>
      <c r="I22" s="8">
        <f>23.5/C22-1</f>
        <v>0.21635610766045543</v>
      </c>
      <c r="J22">
        <f t="shared" si="1"/>
        <v>0.875</v>
      </c>
      <c r="K22">
        <f t="shared" si="2"/>
        <v>0</v>
      </c>
      <c r="L22">
        <f t="shared" si="3"/>
        <v>0.30000000000000004</v>
      </c>
      <c r="M22" s="9">
        <f t="shared" si="4"/>
        <v>0.88000000000000012</v>
      </c>
      <c r="N22" s="9" t="b">
        <f t="shared" si="5"/>
        <v>0</v>
      </c>
      <c r="O22" s="9"/>
      <c r="P22" s="9" t="str">
        <f t="shared" si="6"/>
        <v/>
      </c>
      <c r="Q22" s="9" t="str">
        <f t="shared" si="7"/>
        <v/>
      </c>
      <c r="R22" s="8" t="str">
        <f t="shared" si="8"/>
        <v/>
      </c>
      <c r="S22" s="9">
        <f t="shared" si="9"/>
        <v>12</v>
      </c>
      <c r="T22" s="9" t="str" cm="1">
        <f t="array" ref="T22">IF(O22,INDEX($AP$2:$AP$21,S22,1),"")</f>
        <v/>
      </c>
      <c r="U22" s="9" t="str">
        <f t="shared" si="10"/>
        <v/>
      </c>
      <c r="V22" s="9"/>
      <c r="W22" s="9" t="str">
        <f t="shared" si="11"/>
        <v/>
      </c>
      <c r="X22" s="9" t="str">
        <f t="shared" si="12"/>
        <v/>
      </c>
      <c r="Y22" s="8" t="str">
        <f t="shared" si="13"/>
        <v/>
      </c>
      <c r="Z22" s="9">
        <f t="shared" si="14"/>
        <v>13</v>
      </c>
      <c r="AA22" s="9" t="str" cm="1">
        <f t="array" ref="AA22">IF(V22,INDEX($AK$2:$AK$20,Z22,1),"")</f>
        <v/>
      </c>
      <c r="AB22" s="9" t="str">
        <f t="shared" si="15"/>
        <v/>
      </c>
      <c r="AM22">
        <f ca="1">AM2*(1-AM4)/AM3/(AM5+AM4*AM5)</f>
        <v>2.3672514619883041</v>
      </c>
      <c r="AR22">
        <f>AR2*(1-AR4)/AR3/(AR5+AR4*AR5)</f>
        <v>0.16438596491228072</v>
      </c>
    </row>
    <row r="23" spans="1:44">
      <c r="A23" t="s">
        <v>50</v>
      </c>
      <c r="B23">
        <f>_xlfn.IFNA(INDEX(bf!B:B,MATCH(A23,bf!A:A,0),1),0)</f>
        <v>24.88</v>
      </c>
      <c r="C23">
        <f>INDEX('اسعار الاسهم'!A:L,MATCH(A23,'اسعار الاسهم'!K:K,0),2)</f>
        <v>31.55</v>
      </c>
      <c r="G23">
        <f t="shared" si="0"/>
        <v>0.78858954041204432</v>
      </c>
      <c r="I23" s="8">
        <f>40/C23-1</f>
        <v>0.2678288431061806</v>
      </c>
      <c r="J23">
        <f t="shared" si="1"/>
        <v>0.8125</v>
      </c>
      <c r="K23">
        <f t="shared" si="2"/>
        <v>0</v>
      </c>
      <c r="L23">
        <f t="shared" si="3"/>
        <v>0.3666666666666667</v>
      </c>
      <c r="M23" s="9">
        <f t="shared" si="4"/>
        <v>0.87</v>
      </c>
      <c r="N23" s="9" t="b">
        <f t="shared" si="5"/>
        <v>0</v>
      </c>
      <c r="O23" s="9"/>
      <c r="P23" s="9"/>
      <c r="Q23" s="9" t="str">
        <f t="shared" si="7"/>
        <v/>
      </c>
      <c r="R23" s="8" t="str">
        <f t="shared" si="8"/>
        <v/>
      </c>
      <c r="S23" s="9">
        <f t="shared" si="9"/>
        <v>12</v>
      </c>
      <c r="T23" s="9"/>
      <c r="U23" s="9" t="str">
        <f t="shared" si="10"/>
        <v/>
      </c>
      <c r="V23" s="9"/>
      <c r="W23" s="9" t="str">
        <f t="shared" si="11"/>
        <v/>
      </c>
      <c r="X23" s="9" t="str">
        <f t="shared" si="12"/>
        <v/>
      </c>
      <c r="Y23" s="8" t="str">
        <f t="shared" si="13"/>
        <v/>
      </c>
      <c r="Z23" s="9">
        <f t="shared" si="14"/>
        <v>13</v>
      </c>
      <c r="AA23" s="9" t="str" cm="1">
        <f t="array" ref="AA23">IF(V23,INDEX($AK$2:$AK$20,Z23,1),"")</f>
        <v/>
      </c>
      <c r="AB23" s="9" t="str">
        <f t="shared" si="15"/>
        <v/>
      </c>
      <c r="AD23">
        <v>1</v>
      </c>
      <c r="AJ23"/>
      <c r="AO23"/>
    </row>
    <row r="24" spans="1:44">
      <c r="A24" t="s">
        <v>1134</v>
      </c>
      <c r="B24">
        <f>_xlfn.IFNA(INDEX(bf!B:B,MATCH(A24,bf!A:A,0),1),0)</f>
        <v>0</v>
      </c>
      <c r="C24">
        <f>INDEX('اسعار الاسهم'!A:L,MATCH(A24,'اسعار الاسهم'!K:K,0),2)</f>
        <v>4.88</v>
      </c>
      <c r="G24">
        <f t="shared" si="0"/>
        <v>0</v>
      </c>
      <c r="H24" s="8">
        <f>7.6/C24-1</f>
        <v>0.55737704918032782</v>
      </c>
      <c r="J24">
        <f t="shared" si="1"/>
        <v>0</v>
      </c>
      <c r="K24">
        <f t="shared" si="2"/>
        <v>0.85714285714285721</v>
      </c>
      <c r="L24">
        <f t="shared" si="3"/>
        <v>0</v>
      </c>
      <c r="M24" s="9">
        <f t="shared" si="4"/>
        <v>0.85714285714285721</v>
      </c>
      <c r="N24" s="9" t="b">
        <f t="shared" si="5"/>
        <v>1</v>
      </c>
      <c r="O24" s="9">
        <v>3.82</v>
      </c>
      <c r="P24" s="9">
        <f t="shared" ref="P24:P55" si="25">IFERROR(T24-O24,"")</f>
        <v>0.13000000000000034</v>
      </c>
      <c r="Q24" s="9" t="str">
        <f t="shared" si="7"/>
        <v/>
      </c>
      <c r="R24" s="8">
        <f t="shared" si="8"/>
        <v>3.2911392405063376E-2</v>
      </c>
      <c r="S24" s="9">
        <f t="shared" si="9"/>
        <v>13</v>
      </c>
      <c r="T24" s="9" cm="1">
        <f t="array" ref="T24">IF(O24,INDEX($AP$2:$AP$21,S24,1),"")</f>
        <v>3.95</v>
      </c>
      <c r="U24" s="9">
        <f t="shared" si="10"/>
        <v>0.13000000000000034</v>
      </c>
      <c r="V24" s="9">
        <v>55.5</v>
      </c>
      <c r="W24" s="9">
        <f t="shared" ca="1" si="11"/>
        <v>-1.1000000000000014</v>
      </c>
      <c r="X24" s="9" t="str">
        <f t="shared" ca="1" si="12"/>
        <v/>
      </c>
      <c r="Y24" s="8">
        <f t="shared" ca="1" si="13"/>
        <v>2.0220588235294143E-2</v>
      </c>
      <c r="Z24" s="9">
        <f t="shared" si="14"/>
        <v>14</v>
      </c>
      <c r="AA24" s="9" cm="1">
        <f t="array" aca="1" ref="AA24" ca="1">IF(V24,INDEX($AK$2:$AK$20,Z24,1),"")</f>
        <v>54.4</v>
      </c>
      <c r="AB24" s="9">
        <f t="shared" ca="1" si="15"/>
        <v>1.1000000000000014</v>
      </c>
      <c r="AC24">
        <v>1</v>
      </c>
      <c r="AD24">
        <v>1</v>
      </c>
    </row>
    <row r="25" spans="1:44">
      <c r="A25" t="s">
        <v>210</v>
      </c>
      <c r="B25">
        <f>_xlfn.IFNA(INDEX(bf!B:B,MATCH(A25,bf!A:A,0),1),0)</f>
        <v>20.74</v>
      </c>
      <c r="C25">
        <f>INDEX('اسعار الاسهم'!A:L,MATCH(A25,'اسعار الاسهم'!K:K,0),2)</f>
        <v>32.76</v>
      </c>
      <c r="G25">
        <f t="shared" si="0"/>
        <v>0.63308913308913306</v>
      </c>
      <c r="H25" s="8">
        <f>44/C25-1</f>
        <v>0.34310134310134321</v>
      </c>
      <c r="J25">
        <f t="shared" si="1"/>
        <v>0.52083333333333326</v>
      </c>
      <c r="K25">
        <f t="shared" si="2"/>
        <v>0.4285714285714286</v>
      </c>
      <c r="L25">
        <f t="shared" si="3"/>
        <v>0</v>
      </c>
      <c r="M25" s="9">
        <f t="shared" si="4"/>
        <v>0.84523809523809523</v>
      </c>
      <c r="N25" s="9" t="b">
        <f t="shared" si="5"/>
        <v>1</v>
      </c>
      <c r="O25" s="9">
        <v>3.87</v>
      </c>
      <c r="P25" s="9">
        <f t="shared" si="25"/>
        <v>-9.0000000000000302E-2</v>
      </c>
      <c r="Q25" s="9" t="str">
        <f t="shared" si="7"/>
        <v/>
      </c>
      <c r="R25" s="8">
        <f t="shared" si="8"/>
        <v>2.3809523809523891E-2</v>
      </c>
      <c r="S25" s="9">
        <f t="shared" si="9"/>
        <v>14</v>
      </c>
      <c r="T25" s="9" cm="1">
        <f t="array" ref="T25">IF(O25,INDEX($AP$2:$AP$21,S25,1),"")</f>
        <v>3.78</v>
      </c>
      <c r="U25" s="9">
        <f t="shared" si="10"/>
        <v>9.0000000000000302E-2</v>
      </c>
      <c r="V25" s="9"/>
      <c r="W25" s="9" t="str">
        <f t="shared" si="11"/>
        <v/>
      </c>
      <c r="X25" s="9" t="str">
        <f t="shared" si="12"/>
        <v/>
      </c>
      <c r="Y25" s="8" t="str">
        <f t="shared" si="13"/>
        <v/>
      </c>
      <c r="Z25" s="9">
        <f t="shared" si="14"/>
        <v>14</v>
      </c>
      <c r="AA25" s="9" t="str" cm="1">
        <f t="array" ref="AA25">IF(V25,INDEX($AK$2:$AK$20,Z25,1),"")</f>
        <v/>
      </c>
      <c r="AB25" s="9" t="str">
        <f t="shared" si="15"/>
        <v/>
      </c>
      <c r="AJ25"/>
      <c r="AO25"/>
    </row>
    <row r="26" spans="1:44">
      <c r="A26" t="s">
        <v>40</v>
      </c>
      <c r="B26">
        <f>_xlfn.IFNA(INDEX(bf!B:B,MATCH(A26,bf!A:A,0),1),0)</f>
        <v>22.46</v>
      </c>
      <c r="C26">
        <f>INDEX('اسعار الاسهم'!A:L,MATCH(A26,'اسعار الاسهم'!K:K,0),2)</f>
        <v>23.41</v>
      </c>
      <c r="G26">
        <f t="shared" si="0"/>
        <v>0.95941905168731312</v>
      </c>
      <c r="J26">
        <f t="shared" si="1"/>
        <v>0.97916666666666663</v>
      </c>
      <c r="K26">
        <f t="shared" si="2"/>
        <v>0</v>
      </c>
      <c r="L26">
        <f t="shared" si="3"/>
        <v>0</v>
      </c>
      <c r="M26" s="9">
        <f t="shared" si="4"/>
        <v>0.78333333333333333</v>
      </c>
      <c r="N26" s="9" t="b">
        <f t="shared" si="5"/>
        <v>0</v>
      </c>
      <c r="O26" s="9"/>
      <c r="P26" s="9" t="str">
        <f t="shared" si="25"/>
        <v/>
      </c>
      <c r="Q26" s="9" t="str">
        <f t="shared" si="7"/>
        <v/>
      </c>
      <c r="R26" s="8" t="str">
        <f t="shared" si="8"/>
        <v/>
      </c>
      <c r="S26" s="9">
        <f t="shared" si="9"/>
        <v>14</v>
      </c>
      <c r="T26" s="9" t="str" cm="1">
        <f t="array" ref="T26">IF(O26,INDEX($AP$2:$AP$21,S26,1),"")</f>
        <v/>
      </c>
      <c r="U26" s="9" t="str">
        <f t="shared" si="10"/>
        <v/>
      </c>
      <c r="V26" s="9"/>
      <c r="W26" s="9" t="str">
        <f t="shared" si="11"/>
        <v/>
      </c>
      <c r="X26" s="9" t="str">
        <f t="shared" si="12"/>
        <v/>
      </c>
      <c r="Y26" s="8" t="str">
        <f t="shared" si="13"/>
        <v/>
      </c>
      <c r="Z26" s="9">
        <f t="shared" si="14"/>
        <v>14</v>
      </c>
      <c r="AA26" s="9" t="str" cm="1">
        <f t="array" ref="AA26">IF(V26,INDEX($AK$2:$AK$20,Z26,1),"")</f>
        <v/>
      </c>
      <c r="AB26" s="9" t="str">
        <f t="shared" si="15"/>
        <v/>
      </c>
      <c r="AJ26"/>
      <c r="AO26"/>
    </row>
    <row r="27" spans="1:44">
      <c r="A27" t="s">
        <v>69</v>
      </c>
      <c r="B27">
        <f>_xlfn.IFNA(INDEX(bf!B:B,MATCH(A27,bf!A:A,0),1),0)</f>
        <v>115.7</v>
      </c>
      <c r="C27">
        <f>INDEX('اسعار الاسهم'!A:L,MATCH(A27,'اسعار الاسهم'!K:K,0),2)</f>
        <v>132.35</v>
      </c>
      <c r="G27">
        <f t="shared" si="0"/>
        <v>0.87419720438231963</v>
      </c>
      <c r="J27">
        <f t="shared" si="1"/>
        <v>0.9375</v>
      </c>
      <c r="K27">
        <f t="shared" si="2"/>
        <v>0</v>
      </c>
      <c r="L27">
        <f t="shared" si="3"/>
        <v>0</v>
      </c>
      <c r="M27" s="9">
        <f t="shared" si="4"/>
        <v>0.75</v>
      </c>
      <c r="N27" s="9" t="b">
        <f t="shared" si="5"/>
        <v>0</v>
      </c>
      <c r="O27" s="9"/>
      <c r="P27" s="9" t="str">
        <f t="shared" si="25"/>
        <v/>
      </c>
      <c r="Q27" s="9" t="str">
        <f t="shared" si="7"/>
        <v/>
      </c>
      <c r="R27" s="8" t="str">
        <f t="shared" si="8"/>
        <v/>
      </c>
      <c r="S27" s="9">
        <f t="shared" si="9"/>
        <v>14</v>
      </c>
      <c r="T27" s="9" t="str" cm="1">
        <f t="array" ref="T27">IF(O27,INDEX($AP$2:$AP$21,S27,1),"")</f>
        <v/>
      </c>
      <c r="U27" s="9" t="str">
        <f t="shared" si="10"/>
        <v/>
      </c>
      <c r="V27" s="9"/>
      <c r="W27" s="9" t="str">
        <f t="shared" si="11"/>
        <v/>
      </c>
      <c r="X27" s="9" t="str">
        <f t="shared" si="12"/>
        <v/>
      </c>
      <c r="Y27" s="8" t="str">
        <f t="shared" si="13"/>
        <v/>
      </c>
      <c r="Z27" s="9">
        <f t="shared" si="14"/>
        <v>14</v>
      </c>
      <c r="AA27" s="9" t="str" cm="1">
        <f t="array" ref="AA27">IF(V27,INDEX($AK$2:$AK$20,Z27,1),"")</f>
        <v/>
      </c>
      <c r="AB27" s="9" t="str">
        <f t="shared" si="15"/>
        <v/>
      </c>
      <c r="AJ27"/>
      <c r="AM27">
        <f ca="1">SUM(AB:AB)/SUM(V:V)*100</f>
        <v>7.7437780497755977</v>
      </c>
      <c r="AO27"/>
      <c r="AR27">
        <f>SUM(U:U)/SUM(O:O)*100</f>
        <v>6.3461767863533343</v>
      </c>
    </row>
    <row r="28" spans="1:44">
      <c r="A28" t="s">
        <v>231</v>
      </c>
      <c r="B28">
        <f>_xlfn.IFNA(INDEX(bf!B:B,MATCH(A28,bf!A:A,0),1),0)</f>
        <v>13.06</v>
      </c>
      <c r="C28">
        <f>INDEX('اسعار الاسهم'!A:L,MATCH(A28,'اسعار الاسهم'!K:K,0),2)</f>
        <v>27</v>
      </c>
      <c r="G28">
        <f t="shared" si="0"/>
        <v>0.48370370370370375</v>
      </c>
      <c r="I28" s="8">
        <f>40/C28-1</f>
        <v>0.4814814814814814</v>
      </c>
      <c r="J28">
        <f t="shared" si="1"/>
        <v>0.27083333333333337</v>
      </c>
      <c r="K28">
        <f t="shared" si="2"/>
        <v>0</v>
      </c>
      <c r="L28">
        <f t="shared" si="3"/>
        <v>0.83333333333333337</v>
      </c>
      <c r="M28" s="9">
        <f t="shared" si="4"/>
        <v>0.71666666666666667</v>
      </c>
      <c r="N28" s="9" t="b">
        <f t="shared" si="5"/>
        <v>0</v>
      </c>
      <c r="O28" s="9"/>
      <c r="P28" s="9" t="str">
        <f t="shared" si="25"/>
        <v/>
      </c>
      <c r="Q28" s="9" t="str">
        <f t="shared" si="7"/>
        <v/>
      </c>
      <c r="R28" s="8" t="str">
        <f t="shared" si="8"/>
        <v/>
      </c>
      <c r="S28" s="9">
        <f t="shared" si="9"/>
        <v>14</v>
      </c>
      <c r="T28" s="9" t="str" cm="1">
        <f t="array" ref="T28">IF(O28,INDEX($AP$2:$AP$21,S28,1),"")</f>
        <v/>
      </c>
      <c r="U28" s="9" t="str">
        <f t="shared" si="10"/>
        <v/>
      </c>
      <c r="V28" s="9"/>
      <c r="W28" s="9" t="str">
        <f t="shared" si="11"/>
        <v/>
      </c>
      <c r="X28" s="9" t="str">
        <f t="shared" si="12"/>
        <v/>
      </c>
      <c r="Y28" s="8" t="str">
        <f t="shared" si="13"/>
        <v/>
      </c>
      <c r="Z28" s="9">
        <f t="shared" si="14"/>
        <v>14</v>
      </c>
      <c r="AA28" s="9" t="str" cm="1">
        <f t="array" ref="AA28">IF(V28,INDEX($AK$2:$AK$20,Z28,1),"")</f>
        <v/>
      </c>
      <c r="AB28" s="9" t="str">
        <f t="shared" si="15"/>
        <v/>
      </c>
      <c r="AJ28"/>
      <c r="AO28"/>
    </row>
    <row r="29" spans="1:44">
      <c r="A29" t="s">
        <v>48</v>
      </c>
      <c r="B29">
        <f>_xlfn.IFNA(INDEX(bf!B:B,MATCH(A29,bf!A:A,0),1),0)</f>
        <v>0</v>
      </c>
      <c r="C29">
        <f>INDEX('اسعار الاسهم'!A:L,MATCH(A29,'اسعار الاسهم'!K:K,0),2)</f>
        <v>54.2</v>
      </c>
      <c r="E29">
        <v>1</v>
      </c>
      <c r="G29">
        <f t="shared" si="0"/>
        <v>0</v>
      </c>
      <c r="J29">
        <f t="shared" si="1"/>
        <v>0</v>
      </c>
      <c r="K29">
        <f t="shared" si="2"/>
        <v>0</v>
      </c>
      <c r="L29">
        <f t="shared" si="3"/>
        <v>0</v>
      </c>
      <c r="M29" s="9">
        <f t="shared" si="4"/>
        <v>0.7</v>
      </c>
      <c r="N29" s="9" t="b">
        <f t="shared" si="5"/>
        <v>1</v>
      </c>
      <c r="O29" s="9">
        <v>3.57</v>
      </c>
      <c r="P29" s="9">
        <f t="shared" si="25"/>
        <v>5.0000000000000266E-2</v>
      </c>
      <c r="Q29" s="9" t="str">
        <f t="shared" si="7"/>
        <v/>
      </c>
      <c r="R29" s="8">
        <f t="shared" si="8"/>
        <v>1.3812154696132671E-2</v>
      </c>
      <c r="S29" s="9">
        <f t="shared" si="9"/>
        <v>15</v>
      </c>
      <c r="T29" s="9" cm="1">
        <f t="array" ref="T29">IF(O29,INDEX($AP$2:$AP$21,S29,1),"")</f>
        <v>3.62</v>
      </c>
      <c r="U29" s="9">
        <f t="shared" si="10"/>
        <v>5.0000000000000266E-2</v>
      </c>
      <c r="V29" s="9">
        <v>53.2</v>
      </c>
      <c r="W29" s="9">
        <f t="shared" ca="1" si="11"/>
        <v>-1.1000000000000014</v>
      </c>
      <c r="X29" s="9" t="str">
        <f t="shared" ca="1" si="12"/>
        <v/>
      </c>
      <c r="Y29" s="8">
        <f t="shared" ca="1" si="13"/>
        <v>2.1113243761996189E-2</v>
      </c>
      <c r="Z29" s="9">
        <f t="shared" si="14"/>
        <v>15</v>
      </c>
      <c r="AA29" s="9" cm="1">
        <f t="array" aca="1" ref="AA29" ca="1">IF(V29,INDEX($AK$2:$AK$20,Z29,1),"")</f>
        <v>52.1</v>
      </c>
      <c r="AB29" s="9">
        <f t="shared" ca="1" si="15"/>
        <v>1.1000000000000014</v>
      </c>
      <c r="AC29">
        <v>1</v>
      </c>
      <c r="AD29">
        <v>1</v>
      </c>
    </row>
    <row r="30" spans="1:44">
      <c r="A30" t="s">
        <v>172</v>
      </c>
      <c r="B30">
        <f>_xlfn.IFNA(INDEX(bf!B:B,MATCH(A30,bf!A:A,0),1),0)</f>
        <v>0</v>
      </c>
      <c r="C30">
        <f>INDEX('اسعار الاسهم'!A:L,MATCH(A30,'اسعار الاسهم'!K:K,0),2)</f>
        <v>5.2</v>
      </c>
      <c r="E30">
        <v>1</v>
      </c>
      <c r="G30">
        <f t="shared" si="0"/>
        <v>0</v>
      </c>
      <c r="J30">
        <f t="shared" si="1"/>
        <v>0</v>
      </c>
      <c r="K30">
        <f t="shared" si="2"/>
        <v>0</v>
      </c>
      <c r="L30">
        <f t="shared" si="3"/>
        <v>0</v>
      </c>
      <c r="M30" s="9">
        <f t="shared" si="4"/>
        <v>0.7</v>
      </c>
      <c r="N30" s="9" t="b">
        <f t="shared" si="5"/>
        <v>0</v>
      </c>
      <c r="O30" s="9"/>
      <c r="P30" s="9" t="str">
        <f t="shared" si="25"/>
        <v/>
      </c>
      <c r="Q30" s="9" t="str">
        <f t="shared" si="7"/>
        <v/>
      </c>
      <c r="R30" s="8" t="str">
        <f t="shared" si="8"/>
        <v/>
      </c>
      <c r="S30" s="9">
        <f t="shared" si="9"/>
        <v>15</v>
      </c>
      <c r="T30" s="9" t="str" cm="1">
        <f t="array" ref="T30">IF(O30,INDEX($AP$2:$AP$21,S30,1),"")</f>
        <v/>
      </c>
      <c r="U30" s="9" t="str">
        <f t="shared" si="10"/>
        <v/>
      </c>
      <c r="V30" s="9"/>
      <c r="W30" s="9" t="str">
        <f t="shared" si="11"/>
        <v/>
      </c>
      <c r="X30" s="9" t="str">
        <f t="shared" si="12"/>
        <v/>
      </c>
      <c r="Y30" s="8" t="str">
        <f t="shared" si="13"/>
        <v/>
      </c>
      <c r="Z30" s="9">
        <f t="shared" si="14"/>
        <v>15</v>
      </c>
      <c r="AA30" s="9" t="str" cm="1">
        <f t="array" ref="AA30">IF(V30,INDEX($AK$2:$AK$20,Z30,1),"")</f>
        <v/>
      </c>
      <c r="AB30" s="9" t="str">
        <f t="shared" si="15"/>
        <v/>
      </c>
      <c r="AJ30"/>
      <c r="AO30"/>
    </row>
    <row r="31" spans="1:44">
      <c r="A31" t="s">
        <v>15</v>
      </c>
      <c r="B31">
        <f>_xlfn.IFNA(INDEX(bf!B:B,MATCH(A31,bf!A:A,0),1),0)</f>
        <v>0</v>
      </c>
      <c r="C31">
        <f>INDEX('اسعار الاسهم'!A:L,MATCH(A31,'اسعار الاسهم'!K:K,0),2)</f>
        <v>26.64</v>
      </c>
      <c r="F31">
        <v>0.98</v>
      </c>
      <c r="G31">
        <f t="shared" si="0"/>
        <v>0</v>
      </c>
      <c r="J31">
        <f t="shared" si="1"/>
        <v>0</v>
      </c>
      <c r="K31">
        <f t="shared" si="2"/>
        <v>0</v>
      </c>
      <c r="L31">
        <f t="shared" si="3"/>
        <v>0</v>
      </c>
      <c r="M31" s="9">
        <f t="shared" si="4"/>
        <v>0.68599999999999994</v>
      </c>
      <c r="N31" s="9" t="b">
        <f t="shared" si="5"/>
        <v>0</v>
      </c>
      <c r="O31" s="9"/>
      <c r="P31" s="9" t="str">
        <f t="shared" si="25"/>
        <v/>
      </c>
      <c r="Q31" s="9" t="str">
        <f t="shared" si="7"/>
        <v/>
      </c>
      <c r="R31" s="8" t="str">
        <f t="shared" si="8"/>
        <v/>
      </c>
      <c r="S31" s="9">
        <f t="shared" si="9"/>
        <v>15</v>
      </c>
      <c r="T31" s="9" t="str" cm="1">
        <f t="array" ref="T31">IF(O31,INDEX($AP$2:$AP$21,S31,1),"")</f>
        <v/>
      </c>
      <c r="U31" s="9" t="str">
        <f t="shared" si="10"/>
        <v/>
      </c>
      <c r="V31" s="9"/>
      <c r="W31" s="9" t="str">
        <f t="shared" si="11"/>
        <v/>
      </c>
      <c r="X31" s="9" t="str">
        <f t="shared" si="12"/>
        <v/>
      </c>
      <c r="Y31" s="8" t="str">
        <f t="shared" si="13"/>
        <v/>
      </c>
      <c r="Z31" s="9">
        <f t="shared" si="14"/>
        <v>15</v>
      </c>
      <c r="AA31" s="9" t="str" cm="1">
        <f t="array" ref="AA31">IF(V31,INDEX($AK$2:$AK$20,Z31,1),"")</f>
        <v/>
      </c>
      <c r="AB31" s="9" t="str">
        <f t="shared" si="15"/>
        <v/>
      </c>
      <c r="AJ31"/>
      <c r="AO31"/>
    </row>
    <row r="32" spans="1:44">
      <c r="A32" t="s">
        <v>26</v>
      </c>
      <c r="B32">
        <f>_xlfn.IFNA(INDEX(bf!B:B,MATCH(A32,bf!A:A,0),1),0)</f>
        <v>10.48</v>
      </c>
      <c r="C32">
        <f>INDEX('اسعار الاسهم'!A:L,MATCH(A32,'اسعار الاسهم'!K:K,0),2)</f>
        <v>12.71</v>
      </c>
      <c r="G32">
        <f t="shared" si="0"/>
        <v>0.82454760031471275</v>
      </c>
      <c r="J32">
        <f t="shared" si="1"/>
        <v>0.85416666666666663</v>
      </c>
      <c r="K32">
        <f t="shared" si="2"/>
        <v>0</v>
      </c>
      <c r="L32">
        <f t="shared" si="3"/>
        <v>0</v>
      </c>
      <c r="M32" s="9">
        <f t="shared" si="4"/>
        <v>0.68333333333333335</v>
      </c>
      <c r="N32" s="9" t="b">
        <f t="shared" si="5"/>
        <v>0</v>
      </c>
      <c r="O32" s="9"/>
      <c r="P32" s="9" t="str">
        <f t="shared" si="25"/>
        <v/>
      </c>
      <c r="Q32" s="9" t="str">
        <f t="shared" si="7"/>
        <v/>
      </c>
      <c r="R32" s="8" t="str">
        <f t="shared" si="8"/>
        <v/>
      </c>
      <c r="S32" s="9">
        <f t="shared" si="9"/>
        <v>15</v>
      </c>
      <c r="T32" s="9" t="str" cm="1">
        <f t="array" ref="T32">IF(O32,INDEX($AP$2:$AP$21,S32,1),"")</f>
        <v/>
      </c>
      <c r="U32" s="9" t="str">
        <f t="shared" si="10"/>
        <v/>
      </c>
      <c r="V32" s="9"/>
      <c r="W32" s="9" t="str">
        <f t="shared" si="11"/>
        <v/>
      </c>
      <c r="X32" s="9" t="str">
        <f t="shared" si="12"/>
        <v/>
      </c>
      <c r="Y32" s="8" t="str">
        <f t="shared" si="13"/>
        <v/>
      </c>
      <c r="Z32" s="9">
        <f t="shared" si="14"/>
        <v>15</v>
      </c>
      <c r="AA32" s="9" t="str" cm="1">
        <f t="array" ref="AA32">IF(V32,INDEX($AK$2:$AK$20,Z32,1),"")</f>
        <v/>
      </c>
      <c r="AB32" s="9" t="str">
        <f t="shared" si="15"/>
        <v/>
      </c>
      <c r="AD32">
        <v>1</v>
      </c>
      <c r="AJ32"/>
      <c r="AO32"/>
    </row>
    <row r="33" spans="1:41">
      <c r="A33" t="s">
        <v>52</v>
      </c>
      <c r="B33">
        <f>_xlfn.IFNA(INDEX(bf!B:B,MATCH(A33,bf!A:A,0),1),0)</f>
        <v>3.68</v>
      </c>
      <c r="C33">
        <f>INDEX('اسعار الاسهم'!A:L,MATCH(A33,'اسعار الاسهم'!K:K,0),2)</f>
        <v>9.6999999999999993</v>
      </c>
      <c r="F33">
        <v>0.82</v>
      </c>
      <c r="G33">
        <f t="shared" si="0"/>
        <v>0.37938144329896911</v>
      </c>
      <c r="J33">
        <f t="shared" si="1"/>
        <v>0.10416666666666663</v>
      </c>
      <c r="K33">
        <f t="shared" si="2"/>
        <v>0</v>
      </c>
      <c r="L33">
        <f t="shared" si="3"/>
        <v>0</v>
      </c>
      <c r="M33" s="9">
        <f t="shared" si="4"/>
        <v>0.65733333333333333</v>
      </c>
      <c r="N33" s="9" t="b">
        <f t="shared" si="5"/>
        <v>0</v>
      </c>
      <c r="O33" s="9"/>
      <c r="P33" s="9" t="str">
        <f t="shared" si="25"/>
        <v/>
      </c>
      <c r="Q33" s="9" t="str">
        <f t="shared" si="7"/>
        <v/>
      </c>
      <c r="R33" s="8" t="str">
        <f t="shared" si="8"/>
        <v/>
      </c>
      <c r="S33" s="9">
        <f t="shared" si="9"/>
        <v>15</v>
      </c>
      <c r="T33" s="9" t="str" cm="1">
        <f t="array" ref="T33">IF(O33,INDEX($AP$2:$AP$21,S33,1),"")</f>
        <v/>
      </c>
      <c r="U33" s="9" t="str">
        <f t="shared" si="10"/>
        <v/>
      </c>
      <c r="V33" s="9"/>
      <c r="W33" s="9" t="str">
        <f t="shared" si="11"/>
        <v/>
      </c>
      <c r="X33" s="9" t="str">
        <f t="shared" si="12"/>
        <v/>
      </c>
      <c r="Y33" s="8" t="str">
        <f t="shared" si="13"/>
        <v/>
      </c>
      <c r="Z33" s="9">
        <f t="shared" si="14"/>
        <v>15</v>
      </c>
      <c r="AA33" s="9" t="str" cm="1">
        <f t="array" ref="AA33">IF(V33,INDEX($AK$2:$AK$20,Z33,1),"")</f>
        <v/>
      </c>
      <c r="AB33" s="9" t="str">
        <f t="shared" si="15"/>
        <v/>
      </c>
      <c r="AJ33"/>
      <c r="AO33"/>
    </row>
    <row r="34" spans="1:41">
      <c r="A34" t="s">
        <v>292</v>
      </c>
      <c r="B34">
        <f>_xlfn.IFNA(INDEX(bf!B:B,MATCH(A34,bf!A:A,0),1),0)</f>
        <v>12.19</v>
      </c>
      <c r="C34">
        <f>INDEX('اسعار الاسهم'!A:L,MATCH(A34,'اسعار الاسهم'!K:K,0),2)</f>
        <v>15.64</v>
      </c>
      <c r="G34">
        <f t="shared" ref="G34:G65" si="26">B34/C34</f>
        <v>0.77941176470588225</v>
      </c>
      <c r="J34">
        <f t="shared" ref="J34:J65" si="27">1-(_xlfn.RANK.EQ(G34,G:G,)-1)/(COUNTIF(G:G,"&gt;0"))</f>
        <v>0.79166666666666663</v>
      </c>
      <c r="K34">
        <f t="shared" ref="K34:K65" si="28">_xlfn.IFNA(1-(_xlfn.RANK.EQ(H34,H:H,)-1)/(COUNTIF(H:H,"&gt;0")),0)</f>
        <v>0</v>
      </c>
      <c r="L34">
        <f t="shared" ref="L34:L65" si="29">_xlfn.IFNA(1-(_xlfn.RANK.EQ(I34,I:I,)-1)/(COUNTIF(I:I,"&gt;0")),0)</f>
        <v>0</v>
      </c>
      <c r="M34" s="9">
        <f t="shared" ref="M34:M65" si="30">$AG$2*J34+K34 *$AG$3+L34*$AG$4+$AG$5*E34+$AG$6*F34</f>
        <v>0.6333333333333333</v>
      </c>
      <c r="N34" s="9" t="b">
        <f t="shared" ref="N34:N65" si="31">OR(O34&lt;&gt;"",V34&lt;&gt;"")</f>
        <v>0</v>
      </c>
      <c r="O34" s="9"/>
      <c r="P34" s="9" t="str">
        <f t="shared" si="25"/>
        <v/>
      </c>
      <c r="Q34" s="9" t="str">
        <f t="shared" ref="Q34:Q65" si="32">IF(P34&lt;&gt;"",IF(ABS(P34)/T34&gt;0.1,"Gny",""),"")</f>
        <v/>
      </c>
      <c r="R34" s="8" t="str">
        <f t="shared" ref="R34:R65" si="33">IF(P34&lt;&gt;"",ABS(P34)/T34,"")</f>
        <v/>
      </c>
      <c r="S34" s="9">
        <f t="shared" ref="S34:S65" si="34">_xlfn.NUMBERVALUE(S33)+IF(O34,1,0)</f>
        <v>15</v>
      </c>
      <c r="T34" s="9" t="str" cm="1">
        <f t="array" ref="T34">IF(O34,INDEX($AP$2:$AP$21,S34,1),"")</f>
        <v/>
      </c>
      <c r="U34" s="9" t="str">
        <f t="shared" ref="U34:U65" si="35">IF(P34&lt;&gt;"",ABS(P34),"")</f>
        <v/>
      </c>
      <c r="V34" s="9"/>
      <c r="W34" s="9" t="str">
        <f t="shared" ref="W34:W65" si="36">IFERROR(AA34-V34,"")</f>
        <v/>
      </c>
      <c r="X34" s="9" t="str">
        <f t="shared" ref="X34:X65" si="37">IF(W34&lt;&gt;"",IF(ABS(W34)/AA34&gt;0.1,"Gny",""),"")</f>
        <v/>
      </c>
      <c r="Y34" s="8" t="str">
        <f t="shared" ref="Y34:Y65" si="38">IF(W34&lt;&gt;"",ABS(W34)/AA34,"")</f>
        <v/>
      </c>
      <c r="Z34" s="9">
        <f t="shared" ref="Z34:Z65" si="39">_xlfn.NUMBERVALUE(Z33)+IF(V34,1,0)</f>
        <v>15</v>
      </c>
      <c r="AA34" s="9" t="str" cm="1">
        <f t="array" ref="AA34">IF(V34,INDEX($AK$2:$AK$20,Z34,1),"")</f>
        <v/>
      </c>
      <c r="AB34" s="9" t="str">
        <f t="shared" ref="AB34:AB65" si="40">IF(W34&lt;&gt;"",ABS(W34),"")</f>
        <v/>
      </c>
    </row>
    <row r="35" spans="1:41">
      <c r="A35" t="s">
        <v>54</v>
      </c>
      <c r="B35">
        <f>_xlfn.IFNA(INDEX(bf!B:B,MATCH(A35,bf!A:A,0),1),0)</f>
        <v>0</v>
      </c>
      <c r="C35">
        <f>INDEX('اسعار الاسهم'!A:L,MATCH(A35,'اسعار الاسهم'!K:K,0),2)</f>
        <v>2.1</v>
      </c>
      <c r="G35">
        <f t="shared" si="26"/>
        <v>0</v>
      </c>
      <c r="I35" s="8">
        <f>3.8/C35-1</f>
        <v>0.80952380952380931</v>
      </c>
      <c r="J35">
        <f t="shared" si="27"/>
        <v>0</v>
      </c>
      <c r="K35">
        <f t="shared" si="28"/>
        <v>0</v>
      </c>
      <c r="L35">
        <f t="shared" si="29"/>
        <v>1</v>
      </c>
      <c r="M35" s="9">
        <f t="shared" si="30"/>
        <v>0.6</v>
      </c>
      <c r="N35" s="9" t="b">
        <f t="shared" si="31"/>
        <v>0</v>
      </c>
      <c r="O35" s="9"/>
      <c r="P35" s="9" t="str">
        <f t="shared" si="25"/>
        <v/>
      </c>
      <c r="Q35" s="9" t="str">
        <f t="shared" si="32"/>
        <v/>
      </c>
      <c r="R35" s="8" t="str">
        <f t="shared" si="33"/>
        <v/>
      </c>
      <c r="S35" s="9">
        <f t="shared" si="34"/>
        <v>15</v>
      </c>
      <c r="T35" s="9" t="str" cm="1">
        <f t="array" ref="T35">IF(O35,INDEX($AP$2:$AP$21,S35,1),"")</f>
        <v/>
      </c>
      <c r="U35" s="9" t="str">
        <f t="shared" si="35"/>
        <v/>
      </c>
      <c r="V35" s="9"/>
      <c r="W35" s="9" t="str">
        <f t="shared" si="36"/>
        <v/>
      </c>
      <c r="X35" s="9" t="str">
        <f t="shared" si="37"/>
        <v/>
      </c>
      <c r="Y35" s="8" t="str">
        <f t="shared" si="38"/>
        <v/>
      </c>
      <c r="Z35" s="9">
        <f t="shared" si="39"/>
        <v>15</v>
      </c>
      <c r="AA35" s="9" t="str" cm="1">
        <f t="array" ref="AA35">IF(V35,INDEX($AK$2:$AK$20,Z35,1),"")</f>
        <v/>
      </c>
      <c r="AB35" s="9" t="str">
        <f t="shared" si="40"/>
        <v/>
      </c>
      <c r="AJ35"/>
      <c r="AO35"/>
    </row>
    <row r="36" spans="1:41">
      <c r="A36" t="s">
        <v>249</v>
      </c>
      <c r="B36">
        <f>_xlfn.IFNA(INDEX(bf!B:B,MATCH(A36,bf!A:A,0),1),0)</f>
        <v>0</v>
      </c>
      <c r="C36">
        <f>INDEX('اسعار الاسهم'!A:L,MATCH(A36,'اسعار الاسهم'!K:K,0),2)</f>
        <v>1.57</v>
      </c>
      <c r="G36">
        <f t="shared" si="26"/>
        <v>0</v>
      </c>
      <c r="I36" s="8">
        <f>2.8/C36-1</f>
        <v>0.7834394904458597</v>
      </c>
      <c r="J36">
        <f t="shared" si="27"/>
        <v>0</v>
      </c>
      <c r="K36">
        <f t="shared" si="28"/>
        <v>0</v>
      </c>
      <c r="L36">
        <f t="shared" si="29"/>
        <v>0.96666666666666667</v>
      </c>
      <c r="M36" s="9">
        <f t="shared" si="30"/>
        <v>0.57999999999999996</v>
      </c>
      <c r="N36" s="9" t="b">
        <f t="shared" si="31"/>
        <v>0</v>
      </c>
      <c r="O36" s="9"/>
      <c r="P36" s="9" t="str">
        <f t="shared" si="25"/>
        <v/>
      </c>
      <c r="Q36" s="9" t="str">
        <f t="shared" si="32"/>
        <v/>
      </c>
      <c r="R36" s="8" t="str">
        <f t="shared" si="33"/>
        <v/>
      </c>
      <c r="S36" s="9">
        <f t="shared" si="34"/>
        <v>15</v>
      </c>
      <c r="T36" s="9" t="str" cm="1">
        <f t="array" ref="T36">IF(O36,INDEX($AP$2:$AP$21,S36,1),"")</f>
        <v/>
      </c>
      <c r="U36" s="9" t="str">
        <f t="shared" si="35"/>
        <v/>
      </c>
      <c r="V36" s="9"/>
      <c r="W36" s="9" t="str">
        <f t="shared" si="36"/>
        <v/>
      </c>
      <c r="X36" s="9" t="str">
        <f t="shared" si="37"/>
        <v/>
      </c>
      <c r="Y36" s="8" t="str">
        <f t="shared" si="38"/>
        <v/>
      </c>
      <c r="Z36" s="9">
        <f t="shared" si="39"/>
        <v>15</v>
      </c>
      <c r="AA36" s="9" t="str" cm="1">
        <f t="array" ref="AA36">IF(V36,INDEX($AK$2:$AK$20,Z36,1),"")</f>
        <v/>
      </c>
      <c r="AB36" s="9" t="str">
        <f t="shared" si="40"/>
        <v/>
      </c>
      <c r="AJ36"/>
      <c r="AO36"/>
    </row>
    <row r="37" spans="1:41">
      <c r="A37" s="3" t="s">
        <v>1153</v>
      </c>
      <c r="B37">
        <f>_xlfn.IFNA(INDEX(bf!B:B,MATCH(A37,bf!A:A,0),1),0)</f>
        <v>0</v>
      </c>
      <c r="C37">
        <f>INDEX('اسعار الاسهم'!A:L,MATCH(A37,'اسعار الاسهم'!K:K,0),2)</f>
        <v>30.4</v>
      </c>
      <c r="G37">
        <f t="shared" si="26"/>
        <v>0</v>
      </c>
      <c r="H37" s="4">
        <f>42.7/C37-1</f>
        <v>0.40460526315789491</v>
      </c>
      <c r="J37">
        <f t="shared" si="27"/>
        <v>0</v>
      </c>
      <c r="K37">
        <f t="shared" si="28"/>
        <v>0.5714285714285714</v>
      </c>
      <c r="L37">
        <f t="shared" si="29"/>
        <v>0</v>
      </c>
      <c r="M37" s="9">
        <f t="shared" si="30"/>
        <v>0.5714285714285714</v>
      </c>
      <c r="N37" s="9" t="b">
        <f t="shared" si="31"/>
        <v>1</v>
      </c>
      <c r="O37" s="9">
        <v>3.67</v>
      </c>
      <c r="P37" s="9">
        <f t="shared" si="25"/>
        <v>-0.21999999999999975</v>
      </c>
      <c r="Q37" s="9" t="str">
        <f t="shared" si="32"/>
        <v/>
      </c>
      <c r="R37" s="8">
        <f t="shared" si="33"/>
        <v>6.3768115942028913E-2</v>
      </c>
      <c r="S37" s="9">
        <f t="shared" si="34"/>
        <v>16</v>
      </c>
      <c r="T37" s="9" cm="1">
        <f t="array" ref="T37">IF(O37,INDEX($AP$2:$AP$21,S37,1),"")</f>
        <v>3.45</v>
      </c>
      <c r="U37" s="9">
        <f t="shared" si="35"/>
        <v>0.21999999999999975</v>
      </c>
      <c r="V37" s="9">
        <v>52</v>
      </c>
      <c r="W37" s="9">
        <f t="shared" ca="1" si="36"/>
        <v>-2.2999999999999972</v>
      </c>
      <c r="X37" s="9" t="str">
        <f t="shared" ca="1" si="37"/>
        <v/>
      </c>
      <c r="Y37" s="8">
        <f t="shared" ca="1" si="38"/>
        <v>4.6277665995975797E-2</v>
      </c>
      <c r="Z37" s="9">
        <f t="shared" si="39"/>
        <v>16</v>
      </c>
      <c r="AA37" s="9" cm="1">
        <f t="array" aca="1" ref="AA37" ca="1">IF(V37,INDEX($AK$2:$AK$20,Z37,1),"")</f>
        <v>49.7</v>
      </c>
      <c r="AB37" s="9">
        <f t="shared" ca="1" si="40"/>
        <v>2.2999999999999972</v>
      </c>
      <c r="AC37">
        <v>1</v>
      </c>
      <c r="AJ37"/>
      <c r="AO37"/>
    </row>
    <row r="38" spans="1:41">
      <c r="A38" t="s">
        <v>205</v>
      </c>
      <c r="B38">
        <f>_xlfn.IFNA(INDEX(bf!B:B,MATCH(A38,bf!A:A,0),1),0)</f>
        <v>5.94</v>
      </c>
      <c r="C38">
        <f>INDEX('اسعار الاسهم'!A:L,MATCH(A38,'اسعار الاسهم'!K:K,0),2)</f>
        <v>8.3800000000000008</v>
      </c>
      <c r="G38">
        <f t="shared" si="26"/>
        <v>0.70883054892601427</v>
      </c>
      <c r="J38">
        <f t="shared" si="27"/>
        <v>0.70833333333333326</v>
      </c>
      <c r="K38">
        <f t="shared" si="28"/>
        <v>0</v>
      </c>
      <c r="L38">
        <f t="shared" si="29"/>
        <v>0</v>
      </c>
      <c r="M38" s="9">
        <f t="shared" si="30"/>
        <v>0.56666666666666665</v>
      </c>
      <c r="N38" s="9" t="b">
        <f t="shared" si="31"/>
        <v>0</v>
      </c>
      <c r="O38" s="9"/>
      <c r="P38" s="9" t="str">
        <f t="shared" si="25"/>
        <v/>
      </c>
      <c r="Q38" s="9" t="str">
        <f t="shared" si="32"/>
        <v/>
      </c>
      <c r="R38" s="8" t="str">
        <f t="shared" si="33"/>
        <v/>
      </c>
      <c r="S38" s="9">
        <f t="shared" si="34"/>
        <v>16</v>
      </c>
      <c r="T38" s="9" t="str" cm="1">
        <f t="array" ref="T38">IF(O38,INDEX($AP$2:$AP$21,S38,1),"")</f>
        <v/>
      </c>
      <c r="U38" s="9" t="str">
        <f t="shared" si="35"/>
        <v/>
      </c>
      <c r="V38" s="9"/>
      <c r="W38" s="9" t="str">
        <f t="shared" si="36"/>
        <v/>
      </c>
      <c r="X38" s="9" t="str">
        <f t="shared" si="37"/>
        <v/>
      </c>
      <c r="Y38" s="8" t="str">
        <f t="shared" si="38"/>
        <v/>
      </c>
      <c r="Z38" s="9">
        <f t="shared" si="39"/>
        <v>16</v>
      </c>
      <c r="AA38" s="9" t="str" cm="1">
        <f t="array" ref="AA38">IF(V38,INDEX($AK$2:$AK$20,Z38,1),"")</f>
        <v/>
      </c>
      <c r="AB38" s="9" t="str">
        <f t="shared" si="40"/>
        <v/>
      </c>
      <c r="AJ38"/>
      <c r="AO38"/>
    </row>
    <row r="39" spans="1:41">
      <c r="A39" t="s">
        <v>113</v>
      </c>
      <c r="B39">
        <f>_xlfn.IFNA(INDEX(bf!B:B,MATCH(A39,bf!A:A,0),1),0)</f>
        <v>0.77</v>
      </c>
      <c r="C39">
        <f>INDEX('اسعار الاسهم'!A:L,MATCH(A39,'اسعار الاسهم'!K:K,0),2)</f>
        <v>1.66</v>
      </c>
      <c r="G39">
        <f t="shared" si="26"/>
        <v>0.46385542168674704</v>
      </c>
      <c r="I39" s="8">
        <f>2.3/C39-1</f>
        <v>0.3855421686746987</v>
      </c>
      <c r="J39">
        <f t="shared" si="27"/>
        <v>0.22916666666666663</v>
      </c>
      <c r="K39">
        <f t="shared" si="28"/>
        <v>0</v>
      </c>
      <c r="L39">
        <f t="shared" si="29"/>
        <v>0.6333333333333333</v>
      </c>
      <c r="M39" s="9">
        <f t="shared" si="30"/>
        <v>0.56333333333333324</v>
      </c>
      <c r="N39" s="9" t="b">
        <f t="shared" si="31"/>
        <v>0</v>
      </c>
      <c r="O39" s="9"/>
      <c r="P39" s="9" t="str">
        <f t="shared" si="25"/>
        <v/>
      </c>
      <c r="Q39" s="9" t="str">
        <f t="shared" si="32"/>
        <v/>
      </c>
      <c r="R39" s="8" t="str">
        <f t="shared" si="33"/>
        <v/>
      </c>
      <c r="S39" s="9">
        <f t="shared" si="34"/>
        <v>16</v>
      </c>
      <c r="T39" s="9" t="str" cm="1">
        <f t="array" ref="T39">IF(O39,INDEX($AP$2:$AP$21,S39,1),"")</f>
        <v/>
      </c>
      <c r="U39" s="9" t="str">
        <f t="shared" si="35"/>
        <v/>
      </c>
      <c r="V39" s="9"/>
      <c r="W39" s="9" t="str">
        <f t="shared" si="36"/>
        <v/>
      </c>
      <c r="X39" s="9" t="str">
        <f t="shared" si="37"/>
        <v/>
      </c>
      <c r="Y39" s="8" t="str">
        <f t="shared" si="38"/>
        <v/>
      </c>
      <c r="Z39" s="9">
        <f t="shared" si="39"/>
        <v>16</v>
      </c>
      <c r="AA39" s="9" t="str" cm="1">
        <f t="array" ref="AA39">IF(V39,INDEX($AK$2:$AK$20,Z39,1),"")</f>
        <v/>
      </c>
      <c r="AB39" s="9" t="str">
        <f t="shared" si="40"/>
        <v/>
      </c>
      <c r="AJ39"/>
      <c r="AO39"/>
    </row>
    <row r="40" spans="1:41">
      <c r="A40" t="s">
        <v>100</v>
      </c>
      <c r="B40">
        <f>_xlfn.IFNA(INDEX(bf!B:B,MATCH(A40,bf!A:A,0),1),0)</f>
        <v>0</v>
      </c>
      <c r="C40">
        <f>INDEX('اسعار الاسهم'!A:L,MATCH(A40,'اسعار الاسهم'!K:K,0),2)</f>
        <v>0.2</v>
      </c>
      <c r="G40">
        <f t="shared" si="26"/>
        <v>0</v>
      </c>
      <c r="I40" s="8">
        <f>0.318/C40-1</f>
        <v>0.58999999999999986</v>
      </c>
      <c r="J40">
        <f t="shared" si="27"/>
        <v>0</v>
      </c>
      <c r="K40">
        <f t="shared" si="28"/>
        <v>0</v>
      </c>
      <c r="L40">
        <f t="shared" si="29"/>
        <v>0.93333333333333335</v>
      </c>
      <c r="M40" s="9">
        <f t="shared" si="30"/>
        <v>0.55999999999999994</v>
      </c>
      <c r="N40" s="9" t="b">
        <f t="shared" si="31"/>
        <v>0</v>
      </c>
      <c r="O40" s="9"/>
      <c r="P40" s="9" t="str">
        <f t="shared" si="25"/>
        <v/>
      </c>
      <c r="Q40" s="9" t="str">
        <f t="shared" si="32"/>
        <v/>
      </c>
      <c r="R40" s="8" t="str">
        <f t="shared" si="33"/>
        <v/>
      </c>
      <c r="S40" s="9">
        <f t="shared" si="34"/>
        <v>16</v>
      </c>
      <c r="T40" s="9" t="str" cm="1">
        <f t="array" ref="T40">IF(O40,INDEX($AP$2:$AP$21,S40,1),"")</f>
        <v/>
      </c>
      <c r="U40" s="9" t="str">
        <f t="shared" si="35"/>
        <v/>
      </c>
      <c r="V40" s="9"/>
      <c r="W40" s="9" t="str">
        <f t="shared" si="36"/>
        <v/>
      </c>
      <c r="X40" s="9" t="str">
        <f t="shared" si="37"/>
        <v/>
      </c>
      <c r="Y40" s="8" t="str">
        <f t="shared" si="38"/>
        <v/>
      </c>
      <c r="Z40" s="9">
        <f t="shared" si="39"/>
        <v>16</v>
      </c>
      <c r="AA40" s="9" t="str" cm="1">
        <f t="array" ref="AA40">IF(V40,INDEX($AK$2:$AK$20,Z40,1),"")</f>
        <v/>
      </c>
      <c r="AB40" s="9" t="str">
        <f t="shared" si="40"/>
        <v/>
      </c>
      <c r="AJ40"/>
      <c r="AO40"/>
    </row>
    <row r="41" spans="1:41">
      <c r="A41" t="s">
        <v>85</v>
      </c>
      <c r="B41">
        <f>_xlfn.IFNA(INDEX(bf!B:B,MATCH(A41,bf!A:A,0),1),0)</f>
        <v>9.27</v>
      </c>
      <c r="C41">
        <f>INDEX('اسعار الاسهم'!A:L,MATCH(A41,'اسعار الاسهم'!K:K,0),2)</f>
        <v>13.14</v>
      </c>
      <c r="G41">
        <f t="shared" si="26"/>
        <v>0.70547945205479445</v>
      </c>
      <c r="J41">
        <f t="shared" si="27"/>
        <v>0.6875</v>
      </c>
      <c r="K41">
        <f t="shared" si="28"/>
        <v>0</v>
      </c>
      <c r="L41">
        <f t="shared" si="29"/>
        <v>0</v>
      </c>
      <c r="M41" s="9">
        <f t="shared" si="30"/>
        <v>0.55000000000000004</v>
      </c>
      <c r="N41" s="9" t="b">
        <f t="shared" si="31"/>
        <v>0</v>
      </c>
      <c r="O41" s="9"/>
      <c r="P41" s="9" t="str">
        <f t="shared" si="25"/>
        <v/>
      </c>
      <c r="Q41" s="9" t="str">
        <f t="shared" si="32"/>
        <v/>
      </c>
      <c r="R41" s="8" t="str">
        <f t="shared" si="33"/>
        <v/>
      </c>
      <c r="S41" s="9">
        <f t="shared" si="34"/>
        <v>16</v>
      </c>
      <c r="T41" s="9" t="str" cm="1">
        <f t="array" ref="T41">IF(O41,INDEX($AP$2:$AP$21,S41,1),"")</f>
        <v/>
      </c>
      <c r="U41" s="9" t="str">
        <f t="shared" si="35"/>
        <v/>
      </c>
      <c r="V41" s="9"/>
      <c r="W41" s="9" t="str">
        <f t="shared" si="36"/>
        <v/>
      </c>
      <c r="X41" s="9" t="str">
        <f t="shared" si="37"/>
        <v/>
      </c>
      <c r="Y41" s="8" t="str">
        <f t="shared" si="38"/>
        <v/>
      </c>
      <c r="Z41" s="9">
        <f t="shared" si="39"/>
        <v>16</v>
      </c>
      <c r="AA41" s="9" t="str" cm="1">
        <f t="array" ref="AA41">IF(V41,INDEX($AK$2:$AK$20,Z41,1),"")</f>
        <v/>
      </c>
      <c r="AB41" s="9" t="str">
        <f t="shared" si="40"/>
        <v/>
      </c>
      <c r="AJ41"/>
      <c r="AO41"/>
    </row>
    <row r="42" spans="1:41">
      <c r="A42" t="s">
        <v>51</v>
      </c>
      <c r="B42">
        <f>_xlfn.IFNA(INDEX(bf!B:B,MATCH(A42,bf!A:A,0),1),0)</f>
        <v>0</v>
      </c>
      <c r="C42">
        <f>INDEX('اسعار الاسهم'!A:L,MATCH(A42,'اسعار الاسهم'!K:K,0),2)</f>
        <v>10.33</v>
      </c>
      <c r="G42">
        <f t="shared" si="26"/>
        <v>0</v>
      </c>
      <c r="I42" s="8">
        <f>16/C42-1</f>
        <v>0.54888673765730878</v>
      </c>
      <c r="J42">
        <f t="shared" si="27"/>
        <v>0</v>
      </c>
      <c r="K42">
        <f t="shared" si="28"/>
        <v>0</v>
      </c>
      <c r="L42">
        <f t="shared" si="29"/>
        <v>0.9</v>
      </c>
      <c r="M42" s="9">
        <f t="shared" si="30"/>
        <v>0.54</v>
      </c>
      <c r="N42" s="9" t="b">
        <f t="shared" si="31"/>
        <v>0</v>
      </c>
      <c r="O42" s="9"/>
      <c r="P42" s="9" t="str">
        <f t="shared" si="25"/>
        <v/>
      </c>
      <c r="Q42" s="9" t="str">
        <f t="shared" si="32"/>
        <v/>
      </c>
      <c r="R42" s="8" t="str">
        <f t="shared" si="33"/>
        <v/>
      </c>
      <c r="S42" s="9">
        <f t="shared" si="34"/>
        <v>16</v>
      </c>
      <c r="T42" s="9" t="str" cm="1">
        <f t="array" ref="T42">IF(O42,INDEX($AP$2:$AP$21,S42,1),"")</f>
        <v/>
      </c>
      <c r="U42" s="9" t="str">
        <f t="shared" si="35"/>
        <v/>
      </c>
      <c r="V42" s="9"/>
      <c r="W42" s="9" t="str">
        <f t="shared" si="36"/>
        <v/>
      </c>
      <c r="X42" s="9" t="str">
        <f t="shared" si="37"/>
        <v/>
      </c>
      <c r="Y42" s="8" t="str">
        <f t="shared" si="38"/>
        <v/>
      </c>
      <c r="Z42" s="9">
        <f t="shared" si="39"/>
        <v>16</v>
      </c>
      <c r="AA42" s="9" t="str" cm="1">
        <f t="array" ref="AA42">IF(V42,INDEX($AK$2:$AK$20,Z42,1),"")</f>
        <v/>
      </c>
      <c r="AB42" s="9" t="str">
        <f t="shared" si="40"/>
        <v/>
      </c>
      <c r="AJ42"/>
      <c r="AO42"/>
    </row>
    <row r="43" spans="1:41">
      <c r="A43" t="s">
        <v>32</v>
      </c>
      <c r="B43">
        <f>_xlfn.IFNA(INDEX(bf!B:B,MATCH(A43,bf!A:A,0),1),0)</f>
        <v>12.89</v>
      </c>
      <c r="C43">
        <f>INDEX('اسعار الاسهم'!A:L,MATCH(A43,'اسعار الاسهم'!K:K,0),2)</f>
        <v>18.73</v>
      </c>
      <c r="G43">
        <f t="shared" si="26"/>
        <v>0.68820074746396154</v>
      </c>
      <c r="J43">
        <f t="shared" si="27"/>
        <v>0.66666666666666674</v>
      </c>
      <c r="K43">
        <f t="shared" si="28"/>
        <v>0</v>
      </c>
      <c r="L43">
        <f t="shared" si="29"/>
        <v>0</v>
      </c>
      <c r="M43" s="9">
        <f t="shared" si="30"/>
        <v>0.53333333333333344</v>
      </c>
      <c r="N43" s="9" t="b">
        <f t="shared" si="31"/>
        <v>0</v>
      </c>
      <c r="O43" s="9"/>
      <c r="P43" s="9" t="str">
        <f t="shared" si="25"/>
        <v/>
      </c>
      <c r="Q43" s="9" t="str">
        <f t="shared" si="32"/>
        <v/>
      </c>
      <c r="R43" s="8" t="str">
        <f t="shared" si="33"/>
        <v/>
      </c>
      <c r="S43" s="9">
        <f t="shared" si="34"/>
        <v>16</v>
      </c>
      <c r="T43" s="9" t="str" cm="1">
        <f t="array" ref="T43">IF(O43,INDEX($AP$2:$AP$21,S43,1),"")</f>
        <v/>
      </c>
      <c r="U43" s="9" t="str">
        <f t="shared" si="35"/>
        <v/>
      </c>
      <c r="V43" s="9"/>
      <c r="W43" s="9" t="str">
        <f t="shared" si="36"/>
        <v/>
      </c>
      <c r="X43" s="9" t="str">
        <f t="shared" si="37"/>
        <v/>
      </c>
      <c r="Y43" s="8" t="str">
        <f t="shared" si="38"/>
        <v/>
      </c>
      <c r="Z43" s="9">
        <f t="shared" si="39"/>
        <v>16</v>
      </c>
      <c r="AA43" s="9" t="str" cm="1">
        <f t="array" ref="AA43">IF(V43,INDEX($AK$2:$AK$20,Z43,1),"")</f>
        <v/>
      </c>
      <c r="AB43" s="9" t="str">
        <f t="shared" si="40"/>
        <v/>
      </c>
      <c r="AJ43"/>
      <c r="AO43"/>
    </row>
    <row r="44" spans="1:41">
      <c r="A44" t="s">
        <v>36</v>
      </c>
      <c r="B44">
        <f>_xlfn.IFNA(INDEX(bf!B:B,MATCH(A44,bf!A:A,0),1),0)</f>
        <v>23.93</v>
      </c>
      <c r="C44">
        <f>INDEX('اسعار الاسهم'!A:L,MATCH(A44,'اسعار الاسهم'!K:K,0),2)</f>
        <v>35.5</v>
      </c>
      <c r="G44">
        <f t="shared" si="26"/>
        <v>0.67408450704225353</v>
      </c>
      <c r="J44">
        <f t="shared" si="27"/>
        <v>0.64583333333333326</v>
      </c>
      <c r="K44">
        <f t="shared" si="28"/>
        <v>0</v>
      </c>
      <c r="L44">
        <f t="shared" si="29"/>
        <v>0</v>
      </c>
      <c r="M44" s="9">
        <f t="shared" si="30"/>
        <v>0.51666666666666661</v>
      </c>
      <c r="N44" s="9" t="b">
        <f t="shared" si="31"/>
        <v>0</v>
      </c>
      <c r="O44" s="9"/>
      <c r="P44" s="9" t="str">
        <f t="shared" si="25"/>
        <v/>
      </c>
      <c r="Q44" s="9" t="str">
        <f t="shared" si="32"/>
        <v/>
      </c>
      <c r="R44" s="8" t="str">
        <f t="shared" si="33"/>
        <v/>
      </c>
      <c r="S44" s="9">
        <f t="shared" si="34"/>
        <v>16</v>
      </c>
      <c r="T44" s="9" t="str" cm="1">
        <f t="array" ref="T44">IF(O44,INDEX($AP$2:$AP$21,S44,1),"")</f>
        <v/>
      </c>
      <c r="U44" s="9" t="str">
        <f t="shared" si="35"/>
        <v/>
      </c>
      <c r="V44" s="9"/>
      <c r="W44" s="9" t="str">
        <f t="shared" si="36"/>
        <v/>
      </c>
      <c r="X44" s="9" t="str">
        <f t="shared" si="37"/>
        <v/>
      </c>
      <c r="Y44" s="8" t="str">
        <f t="shared" si="38"/>
        <v/>
      </c>
      <c r="Z44" s="9">
        <f t="shared" si="39"/>
        <v>16</v>
      </c>
      <c r="AA44" s="9" t="str" cm="1">
        <f t="array" ref="AA44">IF(V44,INDEX($AK$2:$AK$20,Z44,1),"")</f>
        <v/>
      </c>
      <c r="AB44" s="9" t="str">
        <f t="shared" si="40"/>
        <v/>
      </c>
      <c r="AJ44"/>
      <c r="AO44"/>
    </row>
    <row r="45" spans="1:41">
      <c r="A45" t="s">
        <v>87</v>
      </c>
      <c r="B45">
        <f>_xlfn.IFNA(INDEX(bf!B:B,MATCH(A45,bf!A:A,0),1),0)</f>
        <v>18.16</v>
      </c>
      <c r="C45">
        <f>INDEX('اسعار الاسهم'!A:L,MATCH(A45,'اسعار الاسهم'!K:K,0),2)</f>
        <v>27.92</v>
      </c>
      <c r="G45">
        <f t="shared" si="26"/>
        <v>0.65042979942693402</v>
      </c>
      <c r="J45">
        <f t="shared" si="27"/>
        <v>0.625</v>
      </c>
      <c r="K45">
        <f t="shared" si="28"/>
        <v>0</v>
      </c>
      <c r="L45">
        <f t="shared" si="29"/>
        <v>0</v>
      </c>
      <c r="M45" s="9">
        <f t="shared" si="30"/>
        <v>0.5</v>
      </c>
      <c r="N45" s="9" t="b">
        <f t="shared" si="31"/>
        <v>0</v>
      </c>
      <c r="O45" s="9"/>
      <c r="P45" s="9" t="str">
        <f t="shared" si="25"/>
        <v/>
      </c>
      <c r="Q45" s="9" t="str">
        <f t="shared" si="32"/>
        <v/>
      </c>
      <c r="R45" s="8" t="str">
        <f t="shared" si="33"/>
        <v/>
      </c>
      <c r="S45" s="9">
        <f t="shared" si="34"/>
        <v>16</v>
      </c>
      <c r="T45" s="9" t="str" cm="1">
        <f t="array" ref="T45">IF(O45,INDEX($AP$2:$AP$21,S45,1),"")</f>
        <v/>
      </c>
      <c r="U45" s="9" t="str">
        <f t="shared" si="35"/>
        <v/>
      </c>
      <c r="V45" s="9"/>
      <c r="W45" s="9" t="str">
        <f t="shared" si="36"/>
        <v/>
      </c>
      <c r="X45" s="9" t="str">
        <f t="shared" si="37"/>
        <v/>
      </c>
      <c r="Y45" s="8" t="str">
        <f t="shared" si="38"/>
        <v/>
      </c>
      <c r="Z45" s="9">
        <f t="shared" si="39"/>
        <v>16</v>
      </c>
      <c r="AA45" s="9" t="str" cm="1">
        <f t="array" ref="AA45">IF(V45,INDEX($AK$2:$AK$20,Z45,1),"")</f>
        <v/>
      </c>
      <c r="AB45" s="9" t="str">
        <f t="shared" si="40"/>
        <v/>
      </c>
      <c r="AJ45"/>
      <c r="AO45"/>
    </row>
    <row r="46" spans="1:41">
      <c r="A46" s="1" t="s">
        <v>110</v>
      </c>
      <c r="B46">
        <f>_xlfn.IFNA(INDEX(bf!B:B,MATCH(A46,bf!A:A,0),1),0)</f>
        <v>0.22</v>
      </c>
      <c r="C46">
        <f>INDEX('اسعار الاسهم'!A:L,MATCH(A46,'اسعار الاسهم'!K:K,0),2)</f>
        <v>0.34</v>
      </c>
      <c r="G46">
        <f t="shared" si="26"/>
        <v>0.64705882352941169</v>
      </c>
      <c r="J46">
        <f t="shared" si="27"/>
        <v>0.5625</v>
      </c>
      <c r="K46">
        <f t="shared" si="28"/>
        <v>0</v>
      </c>
      <c r="L46">
        <f t="shared" si="29"/>
        <v>0</v>
      </c>
      <c r="M46" s="9">
        <f t="shared" si="30"/>
        <v>0.45</v>
      </c>
      <c r="N46" s="9" t="b">
        <f t="shared" si="31"/>
        <v>1</v>
      </c>
      <c r="O46" s="9"/>
      <c r="P46" s="9" t="str">
        <f t="shared" si="25"/>
        <v/>
      </c>
      <c r="Q46" s="9" t="str">
        <f t="shared" si="32"/>
        <v/>
      </c>
      <c r="R46" s="8" t="str">
        <f t="shared" si="33"/>
        <v/>
      </c>
      <c r="S46" s="9">
        <f t="shared" si="34"/>
        <v>16</v>
      </c>
      <c r="T46" s="9" t="str" cm="1">
        <f t="array" ref="T46">IF(O46,INDEX($AP$2:$AP$21,S46,1),"")</f>
        <v/>
      </c>
      <c r="U46" s="9" t="str">
        <f t="shared" si="35"/>
        <v/>
      </c>
      <c r="V46" s="9">
        <v>51.3</v>
      </c>
      <c r="W46" s="9">
        <f t="shared" ca="1" si="36"/>
        <v>-4</v>
      </c>
      <c r="X46" s="9" t="str">
        <f t="shared" ca="1" si="37"/>
        <v/>
      </c>
      <c r="Y46" s="8">
        <f t="shared" ca="1" si="38"/>
        <v>8.4566596194503171E-2</v>
      </c>
      <c r="Z46" s="9">
        <f t="shared" si="39"/>
        <v>17</v>
      </c>
      <c r="AA46" s="9" cm="1">
        <f t="array" aca="1" ref="AA46" ca="1">IF(V46,INDEX($AK$2:$AK$20,Z46,1),"")</f>
        <v>47.3</v>
      </c>
      <c r="AB46" s="9">
        <f t="shared" ca="1" si="40"/>
        <v>4</v>
      </c>
      <c r="AJ46"/>
      <c r="AO46"/>
    </row>
    <row r="47" spans="1:41">
      <c r="A47" t="s">
        <v>903</v>
      </c>
      <c r="B47">
        <f>_xlfn.IFNA(INDEX(bf!B:B,MATCH(A47,bf!A:A,0),1),0)</f>
        <v>0</v>
      </c>
      <c r="C47">
        <f>INDEX('اسعار الاسهم'!A:L,MATCH(A47,'اسعار الاسهم'!K:K,0),2)</f>
        <v>3.9</v>
      </c>
      <c r="G47">
        <f t="shared" si="26"/>
        <v>0</v>
      </c>
      <c r="I47" s="8">
        <f>5.5/C47-1</f>
        <v>0.41025641025641035</v>
      </c>
      <c r="J47">
        <f t="shared" si="27"/>
        <v>0</v>
      </c>
      <c r="K47">
        <f t="shared" si="28"/>
        <v>0</v>
      </c>
      <c r="L47">
        <f t="shared" si="29"/>
        <v>0.73333333333333339</v>
      </c>
      <c r="M47" s="9">
        <f t="shared" si="30"/>
        <v>0.44</v>
      </c>
      <c r="N47" s="9" t="b">
        <f t="shared" si="31"/>
        <v>0</v>
      </c>
      <c r="O47" s="9"/>
      <c r="P47" s="9" t="str">
        <f t="shared" si="25"/>
        <v/>
      </c>
      <c r="Q47" s="9" t="str">
        <f t="shared" si="32"/>
        <v/>
      </c>
      <c r="R47" s="8" t="str">
        <f t="shared" si="33"/>
        <v/>
      </c>
      <c r="S47" s="9">
        <f t="shared" si="34"/>
        <v>16</v>
      </c>
      <c r="T47" s="9" t="str" cm="1">
        <f t="array" ref="T47">IF(O47,INDEX($AP$2:$AP$21,S47,1),"")</f>
        <v/>
      </c>
      <c r="U47" s="9" t="str">
        <f t="shared" si="35"/>
        <v/>
      </c>
      <c r="V47" s="9"/>
      <c r="W47" s="9" t="str">
        <f t="shared" si="36"/>
        <v/>
      </c>
      <c r="X47" s="9" t="str">
        <f t="shared" si="37"/>
        <v/>
      </c>
      <c r="Y47" s="8" t="str">
        <f t="shared" si="38"/>
        <v/>
      </c>
      <c r="Z47" s="9">
        <f t="shared" si="39"/>
        <v>17</v>
      </c>
      <c r="AA47" s="9" t="str" cm="1">
        <f t="array" ref="AA47">IF(V47,INDEX($AK$2:$AK$20,Z47,1),"")</f>
        <v/>
      </c>
      <c r="AB47" s="9" t="str">
        <f t="shared" si="40"/>
        <v/>
      </c>
      <c r="AJ47"/>
      <c r="AO47"/>
    </row>
    <row r="48" spans="1:41">
      <c r="A48" t="s">
        <v>147</v>
      </c>
      <c r="B48">
        <f>_xlfn.IFNA(INDEX(bf!B:B,MATCH(A48,bf!A:A,0),1),0)</f>
        <v>0</v>
      </c>
      <c r="C48">
        <f>INDEX('اسعار الاسهم'!A:L,MATCH(A48,'اسعار الاسهم'!K:K,0),2)</f>
        <v>1.74</v>
      </c>
      <c r="G48">
        <f t="shared" si="26"/>
        <v>0</v>
      </c>
      <c r="I48" s="8">
        <f>2.45/C48-1</f>
        <v>0.40804597701149437</v>
      </c>
      <c r="J48">
        <f t="shared" si="27"/>
        <v>0</v>
      </c>
      <c r="K48">
        <f t="shared" si="28"/>
        <v>0</v>
      </c>
      <c r="L48">
        <f t="shared" si="29"/>
        <v>0.7</v>
      </c>
      <c r="M48" s="9">
        <f t="shared" si="30"/>
        <v>0.42</v>
      </c>
      <c r="N48" s="9" t="b">
        <f t="shared" si="31"/>
        <v>0</v>
      </c>
      <c r="O48" s="9"/>
      <c r="P48" s="9" t="str">
        <f t="shared" si="25"/>
        <v/>
      </c>
      <c r="Q48" s="9" t="str">
        <f t="shared" si="32"/>
        <v/>
      </c>
      <c r="R48" s="8" t="str">
        <f t="shared" si="33"/>
        <v/>
      </c>
      <c r="S48" s="9">
        <f t="shared" si="34"/>
        <v>16</v>
      </c>
      <c r="T48" s="9" t="str" cm="1">
        <f t="array" ref="T48">IF(O48,INDEX($AP$2:$AP$21,S48,1),"")</f>
        <v/>
      </c>
      <c r="U48" s="9" t="str">
        <f t="shared" si="35"/>
        <v/>
      </c>
      <c r="V48" s="9"/>
      <c r="W48" s="9" t="str">
        <f t="shared" si="36"/>
        <v/>
      </c>
      <c r="X48" s="9" t="str">
        <f t="shared" si="37"/>
        <v/>
      </c>
      <c r="Y48" s="8" t="str">
        <f t="shared" si="38"/>
        <v/>
      </c>
      <c r="Z48" s="9">
        <f t="shared" si="39"/>
        <v>17</v>
      </c>
      <c r="AA48" s="9" t="str" cm="1">
        <f t="array" ref="AA48">IF(V48,INDEX($AK$2:$AK$20,Z48,1),"")</f>
        <v/>
      </c>
      <c r="AB48" s="9" t="str">
        <f t="shared" si="40"/>
        <v/>
      </c>
    </row>
    <row r="49" spans="1:30" customFormat="1">
      <c r="A49" s="3" t="s">
        <v>13</v>
      </c>
      <c r="B49">
        <f>_xlfn.IFNA(INDEX(bf!B:B,MATCH(A49,bf!A:A,0),1),0)</f>
        <v>22.06</v>
      </c>
      <c r="C49">
        <f>INDEX('اسعار الاسهم'!A:L,MATCH(A49,'اسعار الاسهم'!K:K,0),2)</f>
        <v>35.6</v>
      </c>
      <c r="G49">
        <f t="shared" si="26"/>
        <v>0.61966292134831458</v>
      </c>
      <c r="H49" s="8"/>
      <c r="I49" s="8"/>
      <c r="J49">
        <f t="shared" si="27"/>
        <v>0.5</v>
      </c>
      <c r="K49">
        <f t="shared" si="28"/>
        <v>0</v>
      </c>
      <c r="L49">
        <f t="shared" si="29"/>
        <v>0</v>
      </c>
      <c r="M49" s="9">
        <f t="shared" si="30"/>
        <v>0.4</v>
      </c>
      <c r="N49" s="9" t="b">
        <f t="shared" si="31"/>
        <v>1</v>
      </c>
      <c r="O49" s="9">
        <v>3.57</v>
      </c>
      <c r="P49" s="9">
        <f t="shared" si="25"/>
        <v>-0.2799999999999998</v>
      </c>
      <c r="Q49" s="9" t="str">
        <f t="shared" si="32"/>
        <v/>
      </c>
      <c r="R49" s="8">
        <f t="shared" si="33"/>
        <v>8.5106382978723347E-2</v>
      </c>
      <c r="S49" s="9">
        <f t="shared" si="34"/>
        <v>17</v>
      </c>
      <c r="T49" s="9" cm="1">
        <f t="array" ref="T49">IF(O49,INDEX($AP$2:$AP$21,S49,1),"")</f>
        <v>3.29</v>
      </c>
      <c r="U49" s="9">
        <f t="shared" si="35"/>
        <v>0.2799999999999998</v>
      </c>
      <c r="V49" s="9"/>
      <c r="W49" s="9" t="str">
        <f t="shared" si="36"/>
        <v/>
      </c>
      <c r="X49" s="9" t="str">
        <f t="shared" si="37"/>
        <v/>
      </c>
      <c r="Y49" s="8" t="str">
        <f t="shared" si="38"/>
        <v/>
      </c>
      <c r="Z49" s="9">
        <f t="shared" si="39"/>
        <v>17</v>
      </c>
      <c r="AA49" s="9" t="str" cm="1">
        <f t="array" ref="AA49">IF(V49,INDEX($AK$2:$AK$20,Z49,1),"")</f>
        <v/>
      </c>
      <c r="AB49" s="9" t="str">
        <f t="shared" si="40"/>
        <v/>
      </c>
      <c r="AD49">
        <v>1</v>
      </c>
    </row>
    <row r="50" spans="1:30" customFormat="1">
      <c r="A50" t="s">
        <v>235</v>
      </c>
      <c r="B50">
        <f>_xlfn.IFNA(INDEX(bf!B:B,MATCH(A50,bf!A:A,0),1),0)</f>
        <v>3.85</v>
      </c>
      <c r="C50">
        <f>INDEX('اسعار الاسهم'!A:L,MATCH(A50,'اسعار الاسهم'!K:K,0),2)</f>
        <v>6.79</v>
      </c>
      <c r="G50">
        <f t="shared" si="26"/>
        <v>0.5670103092783505</v>
      </c>
      <c r="H50" s="8"/>
      <c r="I50" s="8"/>
      <c r="J50">
        <f t="shared" si="27"/>
        <v>0.47916666666666663</v>
      </c>
      <c r="K50">
        <f t="shared" si="28"/>
        <v>0</v>
      </c>
      <c r="L50">
        <f t="shared" si="29"/>
        <v>0</v>
      </c>
      <c r="M50" s="9">
        <f t="shared" si="30"/>
        <v>0.3833333333333333</v>
      </c>
      <c r="N50" s="9" t="b">
        <f t="shared" si="31"/>
        <v>0</v>
      </c>
      <c r="O50" s="9"/>
      <c r="P50" s="9" t="str">
        <f t="shared" si="25"/>
        <v/>
      </c>
      <c r="Q50" s="9" t="str">
        <f t="shared" si="32"/>
        <v/>
      </c>
      <c r="R50" s="8" t="str">
        <f t="shared" si="33"/>
        <v/>
      </c>
      <c r="S50" s="9">
        <f t="shared" si="34"/>
        <v>17</v>
      </c>
      <c r="T50" s="9" t="str" cm="1">
        <f t="array" ref="T50">IF(O50,INDEX($AP$2:$AP$21,S50,1),"")</f>
        <v/>
      </c>
      <c r="U50" s="9" t="str">
        <f t="shared" si="35"/>
        <v/>
      </c>
      <c r="V50" s="9"/>
      <c r="W50" s="9" t="str">
        <f t="shared" si="36"/>
        <v/>
      </c>
      <c r="X50" s="9" t="str">
        <f t="shared" si="37"/>
        <v/>
      </c>
      <c r="Y50" s="8" t="str">
        <f t="shared" si="38"/>
        <v/>
      </c>
      <c r="Z50" s="9">
        <f t="shared" si="39"/>
        <v>17</v>
      </c>
      <c r="AA50" s="9" t="str" cm="1">
        <f t="array" ref="AA50">IF(V50,INDEX($AK$2:$AK$20,Z50,1),"")</f>
        <v/>
      </c>
      <c r="AB50" s="9" t="str">
        <f t="shared" si="40"/>
        <v/>
      </c>
      <c r="AD50">
        <v>1</v>
      </c>
    </row>
    <row r="51" spans="1:30" customFormat="1">
      <c r="A51" t="s">
        <v>20</v>
      </c>
      <c r="B51">
        <f>_xlfn.IFNA(INDEX(bf!B:B,MATCH(A51,bf!A:A,0),1),0)</f>
        <v>81.260000000000005</v>
      </c>
      <c r="C51">
        <f>INDEX('اسعار الاسهم'!A:L,MATCH(A51,'اسعار الاسهم'!K:K,0),2)</f>
        <v>143.44999999999999</v>
      </c>
      <c r="G51">
        <f t="shared" si="26"/>
        <v>0.5664691530149879</v>
      </c>
      <c r="H51" s="8"/>
      <c r="I51" s="8"/>
      <c r="J51">
        <f t="shared" si="27"/>
        <v>0.45833333333333337</v>
      </c>
      <c r="K51">
        <f t="shared" si="28"/>
        <v>0</v>
      </c>
      <c r="L51">
        <f t="shared" si="29"/>
        <v>0</v>
      </c>
      <c r="M51" s="9">
        <f t="shared" si="30"/>
        <v>0.3666666666666667</v>
      </c>
      <c r="N51" s="9" t="b">
        <f t="shared" si="31"/>
        <v>0</v>
      </c>
      <c r="O51" s="9"/>
      <c r="P51" s="9" t="str">
        <f t="shared" si="25"/>
        <v/>
      </c>
      <c r="Q51" s="9" t="str">
        <f t="shared" si="32"/>
        <v/>
      </c>
      <c r="R51" s="8" t="str">
        <f t="shared" si="33"/>
        <v/>
      </c>
      <c r="S51" s="9">
        <f t="shared" si="34"/>
        <v>17</v>
      </c>
      <c r="T51" s="9" t="str" cm="1">
        <f t="array" ref="T51">IF(O51,INDEX($AP$2:$AP$21,S51,1),"")</f>
        <v/>
      </c>
      <c r="U51" s="9" t="str">
        <f t="shared" si="35"/>
        <v/>
      </c>
      <c r="V51" s="9"/>
      <c r="W51" s="9" t="str">
        <f t="shared" si="36"/>
        <v/>
      </c>
      <c r="X51" s="9" t="str">
        <f t="shared" si="37"/>
        <v/>
      </c>
      <c r="Y51" s="8" t="str">
        <f t="shared" si="38"/>
        <v/>
      </c>
      <c r="Z51" s="9">
        <f t="shared" si="39"/>
        <v>17</v>
      </c>
      <c r="AA51" s="9" t="str" cm="1">
        <f t="array" ref="AA51">IF(V51,INDEX($AK$2:$AK$20,Z51,1),"")</f>
        <v/>
      </c>
      <c r="AB51" s="9" t="str">
        <f t="shared" si="40"/>
        <v/>
      </c>
    </row>
    <row r="52" spans="1:30" customFormat="1">
      <c r="A52" t="s">
        <v>70</v>
      </c>
      <c r="B52">
        <f>_xlfn.IFNA(INDEX(bf!B:B,MATCH(A52,bf!A:A,0),1),0)</f>
        <v>0</v>
      </c>
      <c r="C52">
        <f>INDEX('اسعار الاسهم'!A:L,MATCH(A52,'اسعار الاسهم'!K:K,0),2)</f>
        <v>17.010000000000002</v>
      </c>
      <c r="G52">
        <f t="shared" si="26"/>
        <v>0</v>
      </c>
      <c r="H52" s="8"/>
      <c r="I52" s="8">
        <f>23.5/C52-1</f>
        <v>0.38154027042915928</v>
      </c>
      <c r="J52">
        <f t="shared" si="27"/>
        <v>0</v>
      </c>
      <c r="K52">
        <f t="shared" si="28"/>
        <v>0</v>
      </c>
      <c r="L52">
        <f t="shared" si="29"/>
        <v>0.6</v>
      </c>
      <c r="M52" s="9">
        <f t="shared" si="30"/>
        <v>0.36</v>
      </c>
      <c r="N52" s="9" t="b">
        <f t="shared" si="31"/>
        <v>0</v>
      </c>
      <c r="O52" s="9"/>
      <c r="P52" s="9" t="str">
        <f t="shared" si="25"/>
        <v/>
      </c>
      <c r="Q52" s="9" t="str">
        <f t="shared" si="32"/>
        <v/>
      </c>
      <c r="R52" s="8" t="str">
        <f t="shared" si="33"/>
        <v/>
      </c>
      <c r="S52" s="9">
        <f t="shared" si="34"/>
        <v>17</v>
      </c>
      <c r="T52" s="9" t="str" cm="1">
        <f t="array" ref="T52">IF(O52,INDEX($AP$2:$AP$21,S52,1),"")</f>
        <v/>
      </c>
      <c r="U52" s="9" t="str">
        <f t="shared" si="35"/>
        <v/>
      </c>
      <c r="V52" s="9"/>
      <c r="W52" s="9" t="str">
        <f t="shared" si="36"/>
        <v/>
      </c>
      <c r="X52" s="9" t="str">
        <f t="shared" si="37"/>
        <v/>
      </c>
      <c r="Y52" s="8" t="str">
        <f t="shared" si="38"/>
        <v/>
      </c>
      <c r="Z52" s="9">
        <f t="shared" si="39"/>
        <v>17</v>
      </c>
      <c r="AA52" s="9" t="str" cm="1">
        <f t="array" ref="AA52">IF(V52,INDEX($AK$2:$AK$20,Z52,1),"")</f>
        <v/>
      </c>
      <c r="AB52" s="9" t="str">
        <f t="shared" si="40"/>
        <v/>
      </c>
    </row>
    <row r="53" spans="1:30" customFormat="1">
      <c r="A53" t="s">
        <v>233</v>
      </c>
      <c r="B53">
        <f>_xlfn.IFNA(INDEX(bf!B:B,MATCH(A53,bf!A:A,0),1),0)</f>
        <v>0</v>
      </c>
      <c r="C53">
        <f>INDEX('اسعار الاسهم'!A:L,MATCH(A53,'اسعار الاسهم'!K:K,0),2)</f>
        <v>6.11</v>
      </c>
      <c r="G53">
        <f t="shared" si="26"/>
        <v>0</v>
      </c>
      <c r="H53" s="8"/>
      <c r="I53" s="8">
        <f>8.2/C53-1</f>
        <v>0.34206219312602282</v>
      </c>
      <c r="J53">
        <f t="shared" si="27"/>
        <v>0</v>
      </c>
      <c r="K53">
        <f t="shared" si="28"/>
        <v>0</v>
      </c>
      <c r="L53">
        <f t="shared" si="29"/>
        <v>0.56666666666666665</v>
      </c>
      <c r="M53" s="9">
        <f t="shared" si="30"/>
        <v>0.33999999999999997</v>
      </c>
      <c r="N53" s="9" t="b">
        <f t="shared" si="31"/>
        <v>0</v>
      </c>
      <c r="O53" s="9"/>
      <c r="P53" s="9" t="str">
        <f t="shared" si="25"/>
        <v/>
      </c>
      <c r="Q53" s="9" t="str">
        <f t="shared" si="32"/>
        <v/>
      </c>
      <c r="R53" s="8" t="str">
        <f t="shared" si="33"/>
        <v/>
      </c>
      <c r="S53" s="9">
        <f t="shared" si="34"/>
        <v>17</v>
      </c>
      <c r="T53" s="9" t="str" cm="1">
        <f t="array" ref="T53">IF(O53,INDEX($AP$2:$AP$21,S53,1),"")</f>
        <v/>
      </c>
      <c r="U53" s="9" t="str">
        <f t="shared" si="35"/>
        <v/>
      </c>
      <c r="V53" s="9"/>
      <c r="W53" s="9" t="str">
        <f t="shared" si="36"/>
        <v/>
      </c>
      <c r="X53" s="9" t="str">
        <f t="shared" si="37"/>
        <v/>
      </c>
      <c r="Y53" s="8" t="str">
        <f t="shared" si="38"/>
        <v/>
      </c>
      <c r="Z53" s="9">
        <f t="shared" si="39"/>
        <v>17</v>
      </c>
      <c r="AA53" s="9" t="str" cm="1">
        <f t="array" ref="AA53">IF(V53,INDEX($AK$2:$AK$20,Z53,1),"")</f>
        <v/>
      </c>
      <c r="AB53" s="9" t="str">
        <f t="shared" si="40"/>
        <v/>
      </c>
    </row>
    <row r="54" spans="1:30" customFormat="1">
      <c r="A54" t="s">
        <v>74</v>
      </c>
      <c r="B54">
        <f>_xlfn.IFNA(INDEX(bf!B:B,MATCH(A54,bf!A:A,0),1),0)</f>
        <v>11.77</v>
      </c>
      <c r="C54">
        <f>INDEX('اسعار الاسهم'!A:L,MATCH(A54,'اسعار الاسهم'!K:K,0),2)</f>
        <v>21.15</v>
      </c>
      <c r="G54">
        <f t="shared" si="26"/>
        <v>0.55650118203309695</v>
      </c>
      <c r="H54" s="8"/>
      <c r="I54" s="8"/>
      <c r="J54">
        <f t="shared" si="27"/>
        <v>0.41666666666666663</v>
      </c>
      <c r="K54">
        <f t="shared" si="28"/>
        <v>0</v>
      </c>
      <c r="L54">
        <f t="shared" si="29"/>
        <v>0</v>
      </c>
      <c r="M54" s="9">
        <f t="shared" si="30"/>
        <v>0.33333333333333331</v>
      </c>
      <c r="N54" s="9" t="b">
        <f t="shared" si="31"/>
        <v>0</v>
      </c>
      <c r="O54" s="9"/>
      <c r="P54" s="9" t="str">
        <f t="shared" si="25"/>
        <v/>
      </c>
      <c r="Q54" s="9" t="str">
        <f t="shared" si="32"/>
        <v/>
      </c>
      <c r="R54" s="8" t="str">
        <f t="shared" si="33"/>
        <v/>
      </c>
      <c r="S54" s="9">
        <f t="shared" si="34"/>
        <v>17</v>
      </c>
      <c r="T54" s="9" t="str" cm="1">
        <f t="array" ref="T54">IF(O54,INDEX($AP$2:$AP$21,S54,1),"")</f>
        <v/>
      </c>
      <c r="U54" s="9" t="str">
        <f t="shared" si="35"/>
        <v/>
      </c>
      <c r="V54" s="9"/>
      <c r="W54" s="9" t="str">
        <f t="shared" si="36"/>
        <v/>
      </c>
      <c r="X54" s="9" t="str">
        <f t="shared" si="37"/>
        <v/>
      </c>
      <c r="Y54" s="8" t="str">
        <f t="shared" si="38"/>
        <v/>
      </c>
      <c r="Z54" s="9">
        <f t="shared" si="39"/>
        <v>17</v>
      </c>
      <c r="AA54" s="9" t="str" cm="1">
        <f t="array" ref="AA54">IF(V54,INDEX($AK$2:$AK$20,Z54,1),"")</f>
        <v/>
      </c>
      <c r="AB54" s="9" t="str">
        <f t="shared" si="40"/>
        <v/>
      </c>
    </row>
    <row r="55" spans="1:30" customFormat="1">
      <c r="A55" t="s">
        <v>151</v>
      </c>
      <c r="B55">
        <f>_xlfn.IFNA(INDEX(bf!B:B,MATCH(A55,bf!A:A,0),1),0)</f>
        <v>15.95</v>
      </c>
      <c r="C55">
        <f>INDEX('اسعار الاسهم'!A:L,MATCH(A55,'اسعار الاسهم'!K:K,0),2)</f>
        <v>28.85</v>
      </c>
      <c r="G55">
        <f t="shared" si="26"/>
        <v>0.55285961871750433</v>
      </c>
      <c r="H55" s="8"/>
      <c r="I55" s="8"/>
      <c r="J55">
        <f t="shared" si="27"/>
        <v>0.39583333333333337</v>
      </c>
      <c r="K55">
        <f t="shared" si="28"/>
        <v>0</v>
      </c>
      <c r="L55">
        <f t="shared" si="29"/>
        <v>0</v>
      </c>
      <c r="M55" s="9">
        <f t="shared" si="30"/>
        <v>0.31666666666666671</v>
      </c>
      <c r="N55" s="9" t="b">
        <f t="shared" si="31"/>
        <v>0</v>
      </c>
      <c r="O55" s="9"/>
      <c r="P55" s="9" t="str">
        <f t="shared" si="25"/>
        <v/>
      </c>
      <c r="Q55" s="9" t="str">
        <f t="shared" si="32"/>
        <v/>
      </c>
      <c r="R55" s="8" t="str">
        <f t="shared" si="33"/>
        <v/>
      </c>
      <c r="S55" s="9">
        <f t="shared" si="34"/>
        <v>17</v>
      </c>
      <c r="T55" s="9" t="str" cm="1">
        <f t="array" ref="T55">IF(O55,INDEX($AP$2:$AP$21,S55,1),"")</f>
        <v/>
      </c>
      <c r="U55" s="9" t="str">
        <f t="shared" si="35"/>
        <v/>
      </c>
      <c r="V55" s="9"/>
      <c r="W55" s="9" t="str">
        <f t="shared" si="36"/>
        <v/>
      </c>
      <c r="X55" s="9" t="str">
        <f t="shared" si="37"/>
        <v/>
      </c>
      <c r="Y55" s="8" t="str">
        <f t="shared" si="38"/>
        <v/>
      </c>
      <c r="Z55" s="9">
        <f t="shared" si="39"/>
        <v>17</v>
      </c>
      <c r="AA55" s="9" t="str" cm="1">
        <f t="array" ref="AA55">IF(V55,INDEX($AK$2:$AK$20,Z55,1),"")</f>
        <v/>
      </c>
      <c r="AB55" s="9" t="str">
        <f t="shared" si="40"/>
        <v/>
      </c>
    </row>
    <row r="56" spans="1:30" customFormat="1">
      <c r="A56" t="s">
        <v>94</v>
      </c>
      <c r="B56">
        <f>_xlfn.IFNA(INDEX(bf!B:B,MATCH(A56,bf!A:A,0),1),0)</f>
        <v>24</v>
      </c>
      <c r="C56">
        <f>INDEX('اسعار الاسهم'!A:L,MATCH(A56,'اسعار الاسهم'!K:K,0),2)</f>
        <v>43.48</v>
      </c>
      <c r="G56">
        <f t="shared" si="26"/>
        <v>0.55197792088316466</v>
      </c>
      <c r="H56" s="8"/>
      <c r="I56" s="8"/>
      <c r="J56">
        <f t="shared" si="27"/>
        <v>0.375</v>
      </c>
      <c r="K56">
        <f t="shared" si="28"/>
        <v>0</v>
      </c>
      <c r="L56">
        <f t="shared" si="29"/>
        <v>0</v>
      </c>
      <c r="M56" s="9">
        <f t="shared" si="30"/>
        <v>0.30000000000000004</v>
      </c>
      <c r="N56" s="9" t="b">
        <f t="shared" si="31"/>
        <v>0</v>
      </c>
      <c r="O56" s="9"/>
      <c r="P56" s="9" t="str">
        <f t="shared" ref="P56:P87" si="41">IFERROR(T56-O56,"")</f>
        <v/>
      </c>
      <c r="Q56" s="9" t="str">
        <f t="shared" si="32"/>
        <v/>
      </c>
      <c r="R56" s="8" t="str">
        <f t="shared" si="33"/>
        <v/>
      </c>
      <c r="S56" s="9">
        <f t="shared" si="34"/>
        <v>17</v>
      </c>
      <c r="T56" s="9" t="str" cm="1">
        <f t="array" ref="T56">IF(O56,INDEX($AP$2:$AP$21,S56,1),"")</f>
        <v/>
      </c>
      <c r="U56" s="9" t="str">
        <f t="shared" si="35"/>
        <v/>
      </c>
      <c r="V56" s="9"/>
      <c r="W56" s="9" t="str">
        <f t="shared" si="36"/>
        <v/>
      </c>
      <c r="X56" s="9" t="str">
        <f t="shared" si="37"/>
        <v/>
      </c>
      <c r="Y56" s="8" t="str">
        <f t="shared" si="38"/>
        <v/>
      </c>
      <c r="Z56" s="9">
        <f t="shared" si="39"/>
        <v>17</v>
      </c>
      <c r="AA56" s="9" t="str" cm="1">
        <f t="array" ref="AA56">IF(V56,INDEX($AK$2:$AK$20,Z56,1),"")</f>
        <v/>
      </c>
      <c r="AB56" s="9" t="str">
        <f t="shared" si="40"/>
        <v/>
      </c>
    </row>
    <row r="57" spans="1:30" customFormat="1">
      <c r="A57" t="s">
        <v>30</v>
      </c>
      <c r="B57">
        <f>_xlfn.IFNA(INDEX(bf!B:B,MATCH(A57,bf!A:A,0),1),0)</f>
        <v>0</v>
      </c>
      <c r="C57">
        <f>INDEX('اسعار الاسهم'!A:L,MATCH(A57,'اسعار الاسهم'!K:K,0),2)</f>
        <v>19.68</v>
      </c>
      <c r="G57">
        <f t="shared" si="26"/>
        <v>0</v>
      </c>
      <c r="H57" s="8"/>
      <c r="I57" s="8">
        <f>26/C57-1</f>
        <v>0.32113821138211374</v>
      </c>
      <c r="J57">
        <f t="shared" si="27"/>
        <v>0</v>
      </c>
      <c r="K57">
        <f t="shared" si="28"/>
        <v>0</v>
      </c>
      <c r="L57">
        <f t="shared" si="29"/>
        <v>0.5</v>
      </c>
      <c r="M57" s="9">
        <f t="shared" si="30"/>
        <v>0.3</v>
      </c>
      <c r="N57" s="9" t="b">
        <f t="shared" si="31"/>
        <v>0</v>
      </c>
      <c r="O57" s="9"/>
      <c r="P57" s="9" t="str">
        <f t="shared" si="41"/>
        <v/>
      </c>
      <c r="Q57" s="9" t="str">
        <f t="shared" si="32"/>
        <v/>
      </c>
      <c r="R57" s="8" t="str">
        <f t="shared" si="33"/>
        <v/>
      </c>
      <c r="S57" s="9">
        <f t="shared" si="34"/>
        <v>17</v>
      </c>
      <c r="T57" s="9" t="str" cm="1">
        <f t="array" ref="T57">IF(O57,INDEX($AP$2:$AP$21,S57,1),"")</f>
        <v/>
      </c>
      <c r="U57" s="9" t="str">
        <f t="shared" si="35"/>
        <v/>
      </c>
      <c r="V57" s="9"/>
      <c r="W57" s="9" t="str">
        <f t="shared" si="36"/>
        <v/>
      </c>
      <c r="X57" s="9" t="str">
        <f t="shared" si="37"/>
        <v/>
      </c>
      <c r="Y57" s="8" t="str">
        <f t="shared" si="38"/>
        <v/>
      </c>
      <c r="Z57" s="9">
        <f t="shared" si="39"/>
        <v>17</v>
      </c>
      <c r="AA57" s="9" t="str" cm="1">
        <f t="array" ref="AA57">IF(V57,INDEX($AK$2:$AK$20,Z57,1),"")</f>
        <v/>
      </c>
      <c r="AB57" s="9" t="str">
        <f t="shared" si="40"/>
        <v/>
      </c>
    </row>
    <row r="58" spans="1:30" customFormat="1">
      <c r="A58" t="s">
        <v>899</v>
      </c>
      <c r="B58">
        <f>_xlfn.IFNA(INDEX(bf!B:B,MATCH(A58,bf!A:A,0),1),0)</f>
        <v>0</v>
      </c>
      <c r="C58">
        <f>INDEX('اسعار الاسهم'!A:L,MATCH(A58,'اسعار الاسهم'!K:K,0),2)</f>
        <v>13.63</v>
      </c>
      <c r="G58">
        <f t="shared" si="26"/>
        <v>0</v>
      </c>
      <c r="H58" s="8"/>
      <c r="I58" s="8">
        <f>18/C58-1</f>
        <v>0.32061628760088023</v>
      </c>
      <c r="J58">
        <f t="shared" si="27"/>
        <v>0</v>
      </c>
      <c r="K58">
        <f t="shared" si="28"/>
        <v>0</v>
      </c>
      <c r="L58">
        <f t="shared" si="29"/>
        <v>0.46666666666666667</v>
      </c>
      <c r="M58" s="9">
        <f t="shared" si="30"/>
        <v>0.27999999999999997</v>
      </c>
      <c r="N58" s="9" t="b">
        <f t="shared" si="31"/>
        <v>0</v>
      </c>
      <c r="O58" s="9"/>
      <c r="P58" s="9" t="str">
        <f t="shared" si="41"/>
        <v/>
      </c>
      <c r="Q58" s="9" t="str">
        <f t="shared" si="32"/>
        <v/>
      </c>
      <c r="R58" s="8" t="str">
        <f t="shared" si="33"/>
        <v/>
      </c>
      <c r="S58" s="9">
        <f t="shared" si="34"/>
        <v>17</v>
      </c>
      <c r="T58" s="9" t="str" cm="1">
        <f t="array" ref="T58">IF(O58,INDEX($AP$2:$AP$21,S58,1),"")</f>
        <v/>
      </c>
      <c r="U58" s="9" t="str">
        <f t="shared" si="35"/>
        <v/>
      </c>
      <c r="V58" s="9"/>
      <c r="W58" s="9" t="str">
        <f t="shared" si="36"/>
        <v/>
      </c>
      <c r="X58" s="9" t="str">
        <f t="shared" si="37"/>
        <v/>
      </c>
      <c r="Y58" s="8" t="str">
        <f t="shared" si="38"/>
        <v/>
      </c>
      <c r="Z58" s="9">
        <f t="shared" si="39"/>
        <v>17</v>
      </c>
      <c r="AA58" s="9" t="str" cm="1">
        <f t="array" ref="AA58">IF(V58,INDEX($AK$2:$AK$20,Z58,1),"")</f>
        <v/>
      </c>
      <c r="AB58" s="9" t="str">
        <f t="shared" si="40"/>
        <v/>
      </c>
    </row>
    <row r="59" spans="1:30" customFormat="1">
      <c r="A59" t="s">
        <v>270</v>
      </c>
      <c r="B59">
        <f>_xlfn.IFNA(INDEX(bf!B:B,MATCH(A59,bf!A:A,0),1),0)</f>
        <v>2.64</v>
      </c>
      <c r="C59">
        <f>INDEX('اسعار الاسهم'!A:L,MATCH(A59,'اسعار الاسهم'!K:K,0),2)</f>
        <v>5.0599999999999996</v>
      </c>
      <c r="G59">
        <f t="shared" si="26"/>
        <v>0.52173913043478271</v>
      </c>
      <c r="H59" s="8"/>
      <c r="I59" s="8"/>
      <c r="J59">
        <f t="shared" si="27"/>
        <v>0.33333333333333337</v>
      </c>
      <c r="K59">
        <f t="shared" si="28"/>
        <v>0</v>
      </c>
      <c r="L59">
        <f t="shared" si="29"/>
        <v>0</v>
      </c>
      <c r="M59" s="9">
        <f t="shared" si="30"/>
        <v>0.26666666666666672</v>
      </c>
      <c r="N59" s="9" t="b">
        <f t="shared" si="31"/>
        <v>0</v>
      </c>
      <c r="O59" s="9"/>
      <c r="P59" s="9" t="str">
        <f t="shared" si="41"/>
        <v/>
      </c>
      <c r="Q59" s="9" t="str">
        <f t="shared" si="32"/>
        <v/>
      </c>
      <c r="R59" s="8" t="str">
        <f t="shared" si="33"/>
        <v/>
      </c>
      <c r="S59" s="9">
        <f t="shared" si="34"/>
        <v>17</v>
      </c>
      <c r="T59" s="9" t="str" cm="1">
        <f t="array" ref="T59">IF(O59,INDEX($AP$2:$AP$21,S59,1),"")</f>
        <v/>
      </c>
      <c r="U59" s="9" t="str">
        <f t="shared" si="35"/>
        <v/>
      </c>
      <c r="V59" s="9"/>
      <c r="W59" s="9" t="str">
        <f t="shared" si="36"/>
        <v/>
      </c>
      <c r="X59" s="9" t="str">
        <f t="shared" si="37"/>
        <v/>
      </c>
      <c r="Y59" s="8" t="str">
        <f t="shared" si="38"/>
        <v/>
      </c>
      <c r="Z59" s="9">
        <f t="shared" si="39"/>
        <v>17</v>
      </c>
      <c r="AA59" s="9" t="str" cm="1">
        <f t="array" ref="AA59">IF(V59,INDEX($AK$2:$AK$20,Z59,1),"")</f>
        <v/>
      </c>
      <c r="AB59" s="9" t="str">
        <f t="shared" si="40"/>
        <v/>
      </c>
    </row>
    <row r="60" spans="1:30" customFormat="1">
      <c r="A60" t="s">
        <v>34</v>
      </c>
      <c r="B60">
        <f>_xlfn.IFNA(INDEX(bf!B:B,MATCH(A60,bf!A:A,0),1),0)</f>
        <v>0</v>
      </c>
      <c r="C60">
        <f>INDEX('اسعار الاسهم'!A:L,MATCH(A60,'اسعار الاسهم'!K:K,0),2)</f>
        <v>9.4600000000000009</v>
      </c>
      <c r="G60">
        <f t="shared" si="26"/>
        <v>0</v>
      </c>
      <c r="H60" s="8"/>
      <c r="I60" s="8">
        <f>12.3/C60-1</f>
        <v>0.3002114164904861</v>
      </c>
      <c r="J60">
        <f t="shared" si="27"/>
        <v>0</v>
      </c>
      <c r="K60">
        <f t="shared" si="28"/>
        <v>0</v>
      </c>
      <c r="L60">
        <f t="shared" si="29"/>
        <v>0.43333333333333335</v>
      </c>
      <c r="M60" s="9">
        <f t="shared" si="30"/>
        <v>0.26</v>
      </c>
      <c r="N60" s="9" t="b">
        <f t="shared" si="31"/>
        <v>0</v>
      </c>
      <c r="O60" s="9"/>
      <c r="P60" s="9" t="str">
        <f t="shared" si="41"/>
        <v/>
      </c>
      <c r="Q60" s="9" t="str">
        <f t="shared" si="32"/>
        <v/>
      </c>
      <c r="R60" s="8" t="str">
        <f t="shared" si="33"/>
        <v/>
      </c>
      <c r="S60" s="9">
        <f t="shared" si="34"/>
        <v>17</v>
      </c>
      <c r="T60" s="9" t="str" cm="1">
        <f t="array" ref="T60">IF(O60,INDEX($AP$2:$AP$21,S60,1),"")</f>
        <v/>
      </c>
      <c r="U60" s="9" t="str">
        <f t="shared" si="35"/>
        <v/>
      </c>
      <c r="V60" s="9"/>
      <c r="W60" s="9" t="str">
        <f t="shared" si="36"/>
        <v/>
      </c>
      <c r="X60" s="9" t="str">
        <f t="shared" si="37"/>
        <v/>
      </c>
      <c r="Y60" s="8" t="str">
        <f t="shared" si="38"/>
        <v/>
      </c>
      <c r="Z60" s="9">
        <f t="shared" si="39"/>
        <v>17</v>
      </c>
      <c r="AA60" s="9" t="str" cm="1">
        <f t="array" ref="AA60">IF(V60,INDEX($AK$2:$AK$20,Z60,1),"")</f>
        <v/>
      </c>
      <c r="AB60" s="9" t="str">
        <f t="shared" si="40"/>
        <v/>
      </c>
    </row>
    <row r="61" spans="1:30" customFormat="1">
      <c r="A61" t="s">
        <v>120</v>
      </c>
      <c r="B61">
        <f>_xlfn.IFNA(INDEX(bf!B:B,MATCH(A61,bf!A:A,0),1),0)</f>
        <v>0</v>
      </c>
      <c r="C61">
        <f>INDEX('اسعار الاسهم'!A:L,MATCH(A61,'اسعار الاسهم'!K:K,0),2)</f>
        <v>0.43</v>
      </c>
      <c r="G61">
        <f t="shared" si="26"/>
        <v>0</v>
      </c>
      <c r="H61" s="8"/>
      <c r="I61" s="8">
        <f>0.55/C61-1</f>
        <v>0.27906976744186052</v>
      </c>
      <c r="J61">
        <f t="shared" si="27"/>
        <v>0</v>
      </c>
      <c r="K61">
        <f t="shared" si="28"/>
        <v>0</v>
      </c>
      <c r="L61">
        <f t="shared" si="29"/>
        <v>0.4</v>
      </c>
      <c r="M61" s="9">
        <f t="shared" si="30"/>
        <v>0.24</v>
      </c>
      <c r="N61" s="9" t="b">
        <f t="shared" si="31"/>
        <v>0</v>
      </c>
      <c r="O61" s="9"/>
      <c r="P61" s="9" t="str">
        <f t="shared" si="41"/>
        <v/>
      </c>
      <c r="Q61" s="9" t="str">
        <f t="shared" si="32"/>
        <v/>
      </c>
      <c r="R61" s="8" t="str">
        <f t="shared" si="33"/>
        <v/>
      </c>
      <c r="S61" s="9">
        <f t="shared" si="34"/>
        <v>17</v>
      </c>
      <c r="T61" s="9" t="str" cm="1">
        <f t="array" ref="T61">IF(O61,INDEX($AP$2:$AP$21,S61,1),"")</f>
        <v/>
      </c>
      <c r="U61" s="9" t="str">
        <f t="shared" si="35"/>
        <v/>
      </c>
      <c r="V61" s="9"/>
      <c r="W61" s="9" t="str">
        <f t="shared" si="36"/>
        <v/>
      </c>
      <c r="X61" s="9" t="str">
        <f t="shared" si="37"/>
        <v/>
      </c>
      <c r="Y61" s="8" t="str">
        <f t="shared" si="38"/>
        <v/>
      </c>
      <c r="Z61" s="9">
        <f t="shared" si="39"/>
        <v>17</v>
      </c>
      <c r="AA61" s="9" t="str" cm="1">
        <f t="array" ref="AA61">IF(V61,INDEX($AK$2:$AK$20,Z61,1),"")</f>
        <v/>
      </c>
      <c r="AB61" s="9" t="str">
        <f t="shared" si="40"/>
        <v/>
      </c>
    </row>
    <row r="62" spans="1:30" customFormat="1">
      <c r="A62" t="s">
        <v>44</v>
      </c>
      <c r="B62">
        <f>_xlfn.IFNA(INDEX(bf!B:B,MATCH(A62,bf!A:A,0),1),0)</f>
        <v>12.7</v>
      </c>
      <c r="C62">
        <f>INDEX('اسعار الاسهم'!A:L,MATCH(A62,'اسعار الاسهم'!K:K,0),2)</f>
        <v>25.67</v>
      </c>
      <c r="G62">
        <f t="shared" si="26"/>
        <v>0.4947409427347097</v>
      </c>
      <c r="H62" s="8"/>
      <c r="I62" s="8"/>
      <c r="J62">
        <f t="shared" si="27"/>
        <v>0.29166666666666663</v>
      </c>
      <c r="K62">
        <f t="shared" si="28"/>
        <v>0</v>
      </c>
      <c r="L62">
        <f t="shared" si="29"/>
        <v>0</v>
      </c>
      <c r="M62" s="9">
        <f t="shared" si="30"/>
        <v>0.23333333333333331</v>
      </c>
      <c r="N62" s="9" t="b">
        <f t="shared" si="31"/>
        <v>0</v>
      </c>
      <c r="O62" s="9"/>
      <c r="P62" s="9" t="str">
        <f t="shared" si="41"/>
        <v/>
      </c>
      <c r="Q62" s="9" t="str">
        <f t="shared" si="32"/>
        <v/>
      </c>
      <c r="R62" s="8" t="str">
        <f t="shared" si="33"/>
        <v/>
      </c>
      <c r="S62" s="9">
        <f t="shared" si="34"/>
        <v>17</v>
      </c>
      <c r="T62" s="9" t="str" cm="1">
        <f t="array" ref="T62">IF(O62,INDEX($AP$2:$AP$21,S62,1),"")</f>
        <v/>
      </c>
      <c r="U62" s="9" t="str">
        <f t="shared" si="35"/>
        <v/>
      </c>
      <c r="V62" s="9"/>
      <c r="W62" s="9" t="str">
        <f t="shared" si="36"/>
        <v/>
      </c>
      <c r="X62" s="9" t="str">
        <f t="shared" si="37"/>
        <v/>
      </c>
      <c r="Y62" s="8" t="str">
        <f t="shared" si="38"/>
        <v/>
      </c>
      <c r="Z62" s="9">
        <f t="shared" si="39"/>
        <v>17</v>
      </c>
      <c r="AA62" s="9" t="str" cm="1">
        <f t="array" ref="AA62">IF(V62,INDEX($AK$2:$AK$20,Z62,1),"")</f>
        <v/>
      </c>
      <c r="AB62" s="9" t="str">
        <f t="shared" si="40"/>
        <v/>
      </c>
    </row>
    <row r="63" spans="1:30" customFormat="1">
      <c r="A63" t="s">
        <v>60</v>
      </c>
      <c r="B63">
        <f>_xlfn.IFNA(INDEX(bf!B:B,MATCH(A63,bf!A:A,0),1),0)</f>
        <v>35.86</v>
      </c>
      <c r="C63">
        <f>INDEX('اسعار الاسهم'!A:L,MATCH(A63,'اسعار الاسهم'!K:K,0),2)</f>
        <v>84.5</v>
      </c>
      <c r="G63">
        <f t="shared" si="26"/>
        <v>0.42437869822485208</v>
      </c>
      <c r="H63" s="8">
        <f>96/C63-1</f>
        <v>0.13609467455621305</v>
      </c>
      <c r="I63" s="8"/>
      <c r="J63">
        <f t="shared" si="27"/>
        <v>0.16666666666666663</v>
      </c>
      <c r="K63">
        <f t="shared" si="28"/>
        <v>7.1428571428571397E-2</v>
      </c>
      <c r="L63">
        <f t="shared" si="29"/>
        <v>0</v>
      </c>
      <c r="M63" s="9">
        <f t="shared" si="30"/>
        <v>0.2047619047619047</v>
      </c>
      <c r="N63" s="9" t="b">
        <f t="shared" si="31"/>
        <v>0</v>
      </c>
      <c r="O63" s="9"/>
      <c r="P63" s="9" t="str">
        <f t="shared" si="41"/>
        <v/>
      </c>
      <c r="Q63" s="9" t="str">
        <f t="shared" si="32"/>
        <v/>
      </c>
      <c r="R63" s="8" t="str">
        <f t="shared" si="33"/>
        <v/>
      </c>
      <c r="S63" s="9">
        <f t="shared" si="34"/>
        <v>17</v>
      </c>
      <c r="T63" s="9" t="str" cm="1">
        <f t="array" ref="T63">IF(O63,INDEX($AP$2:$AP$21,S63,1),"")</f>
        <v/>
      </c>
      <c r="U63" s="9" t="str">
        <f t="shared" si="35"/>
        <v/>
      </c>
      <c r="V63" s="9"/>
      <c r="W63" s="9" t="str">
        <f t="shared" si="36"/>
        <v/>
      </c>
      <c r="X63" s="9" t="str">
        <f t="shared" si="37"/>
        <v/>
      </c>
      <c r="Y63" s="8" t="str">
        <f t="shared" si="38"/>
        <v/>
      </c>
      <c r="Z63" s="9">
        <f t="shared" si="39"/>
        <v>17</v>
      </c>
      <c r="AA63" s="9" t="str" cm="1">
        <f t="array" ref="AA63">IF(V63,INDEX($AK$2:$AK$20,Z63,1),"")</f>
        <v/>
      </c>
      <c r="AB63" s="9" t="str">
        <f t="shared" si="40"/>
        <v/>
      </c>
    </row>
    <row r="64" spans="1:30" customFormat="1">
      <c r="A64" t="s">
        <v>21</v>
      </c>
      <c r="B64">
        <f>_xlfn.IFNA(INDEX(bf!B:B,MATCH(A64,bf!A:A,0),1),0)</f>
        <v>2.2999999999999998</v>
      </c>
      <c r="C64">
        <f>INDEX('اسعار الاسهم'!A:L,MATCH(A64,'اسعار الاسهم'!K:K,0),2)</f>
        <v>4.8</v>
      </c>
      <c r="G64">
        <f t="shared" si="26"/>
        <v>0.47916666666666663</v>
      </c>
      <c r="H64" s="8"/>
      <c r="I64" s="8"/>
      <c r="J64">
        <f t="shared" si="27"/>
        <v>0.25</v>
      </c>
      <c r="K64">
        <f t="shared" si="28"/>
        <v>0</v>
      </c>
      <c r="L64">
        <f t="shared" si="29"/>
        <v>0</v>
      </c>
      <c r="M64" s="9">
        <f t="shared" si="30"/>
        <v>0.2</v>
      </c>
      <c r="N64" s="9" t="b">
        <f t="shared" si="31"/>
        <v>0</v>
      </c>
      <c r="O64" s="9"/>
      <c r="P64" s="9" t="str">
        <f t="shared" si="41"/>
        <v/>
      </c>
      <c r="Q64" s="9" t="str">
        <f t="shared" si="32"/>
        <v/>
      </c>
      <c r="R64" s="8" t="str">
        <f t="shared" si="33"/>
        <v/>
      </c>
      <c r="S64" s="9">
        <f t="shared" si="34"/>
        <v>17</v>
      </c>
      <c r="T64" s="9" t="str" cm="1">
        <f t="array" ref="T64">IF(O64,INDEX($AP$2:$AP$21,S64,1),"")</f>
        <v/>
      </c>
      <c r="U64" s="9" t="str">
        <f t="shared" si="35"/>
        <v/>
      </c>
      <c r="V64" s="9"/>
      <c r="W64" s="9" t="str">
        <f t="shared" si="36"/>
        <v/>
      </c>
      <c r="X64" s="9" t="str">
        <f t="shared" si="37"/>
        <v/>
      </c>
      <c r="Y64" s="8" t="str">
        <f t="shared" si="38"/>
        <v/>
      </c>
      <c r="Z64" s="9">
        <f t="shared" si="39"/>
        <v>17</v>
      </c>
      <c r="AA64" s="9" t="str" cm="1">
        <f t="array" ref="AA64">IF(V64,INDEX($AK$2:$AK$20,Z64,1),"")</f>
        <v/>
      </c>
      <c r="AB64" s="9" t="str">
        <f t="shared" si="40"/>
        <v/>
      </c>
    </row>
    <row r="65" spans="1:30" customFormat="1">
      <c r="A65" t="s">
        <v>217</v>
      </c>
      <c r="B65">
        <f>_xlfn.IFNA(INDEX(bf!B:B,MATCH(A65,bf!A:A,0),1),0)</f>
        <v>0</v>
      </c>
      <c r="C65">
        <f>INDEX('اسعار الاسهم'!A:L,MATCH(A65,'اسعار الاسهم'!K:K,0),2)</f>
        <v>260</v>
      </c>
      <c r="G65">
        <f t="shared" si="26"/>
        <v>0</v>
      </c>
      <c r="H65" s="8"/>
      <c r="I65" s="8">
        <f>323/C65-1</f>
        <v>0.24230769230769234</v>
      </c>
      <c r="J65">
        <f t="shared" si="27"/>
        <v>0</v>
      </c>
      <c r="K65">
        <f t="shared" si="28"/>
        <v>0</v>
      </c>
      <c r="L65">
        <f t="shared" si="29"/>
        <v>0.33333333333333337</v>
      </c>
      <c r="M65" s="9">
        <f t="shared" si="30"/>
        <v>0.2</v>
      </c>
      <c r="N65" s="9" t="b">
        <f t="shared" si="31"/>
        <v>0</v>
      </c>
      <c r="O65" s="9"/>
      <c r="P65" s="9" t="str">
        <f t="shared" si="41"/>
        <v/>
      </c>
      <c r="Q65" s="9" t="str">
        <f t="shared" si="32"/>
        <v/>
      </c>
      <c r="R65" s="8" t="str">
        <f t="shared" si="33"/>
        <v/>
      </c>
      <c r="S65" s="9">
        <f t="shared" si="34"/>
        <v>17</v>
      </c>
      <c r="T65" s="9" t="str" cm="1">
        <f t="array" ref="T65">IF(O65,INDEX($AP$2:$AP$21,S65,1),"")</f>
        <v/>
      </c>
      <c r="U65" s="9" t="str">
        <f t="shared" si="35"/>
        <v/>
      </c>
      <c r="V65" s="9"/>
      <c r="W65" s="9" t="str">
        <f t="shared" si="36"/>
        <v/>
      </c>
      <c r="X65" s="9" t="str">
        <f t="shared" si="37"/>
        <v/>
      </c>
      <c r="Y65" s="8" t="str">
        <f t="shared" si="38"/>
        <v/>
      </c>
      <c r="Z65" s="9">
        <f t="shared" si="39"/>
        <v>17</v>
      </c>
      <c r="AA65" s="9" t="str" cm="1">
        <f t="array" ref="AA65">IF(V65,INDEX($AK$2:$AK$20,Z65,1),"")</f>
        <v/>
      </c>
      <c r="AB65" s="9" t="str">
        <f t="shared" si="40"/>
        <v/>
      </c>
    </row>
    <row r="66" spans="1:30" customFormat="1">
      <c r="A66" t="s">
        <v>37</v>
      </c>
      <c r="B66">
        <f>_xlfn.IFNA(INDEX(bf!B:B,MATCH(A66,bf!A:A,0),1),0)</f>
        <v>35.869999999999997</v>
      </c>
      <c r="C66">
        <f>INDEX('اسعار الاسهم'!A:L,MATCH(A66,'اسعار الاسهم'!K:K,0),2)</f>
        <v>95.5</v>
      </c>
      <c r="G66">
        <f t="shared" ref="G66:G97" si="42">B66/C66</f>
        <v>0.37560209424083768</v>
      </c>
      <c r="H66" s="8"/>
      <c r="I66" s="8">
        <f>112/C66-1</f>
        <v>0.17277486910994755</v>
      </c>
      <c r="J66">
        <f t="shared" ref="J66:J97" si="43">1-(_xlfn.RANK.EQ(G66,G:G,)-1)/(COUNTIF(G:G,"&gt;0"))</f>
        <v>8.333333333333337E-2</v>
      </c>
      <c r="K66">
        <f t="shared" ref="K66:K97" si="44">_xlfn.IFNA(1-(_xlfn.RANK.EQ(H66,H:H,)-1)/(COUNTIF(H:H,"&gt;0")),0)</f>
        <v>0</v>
      </c>
      <c r="L66">
        <f t="shared" ref="L66:L97" si="45">_xlfn.IFNA(1-(_xlfn.RANK.EQ(I66,I:I,)-1)/(COUNTIF(I:I,"&gt;0")),0)</f>
        <v>0.19999999999999996</v>
      </c>
      <c r="M66" s="9">
        <f t="shared" ref="M66:M97" si="46">$AG$2*J66+K66 *$AG$3+L66*$AG$4+$AG$5*E66+$AG$6*F66</f>
        <v>0.18666666666666665</v>
      </c>
      <c r="N66" s="9" t="b">
        <f t="shared" ref="N66:N97" si="47">OR(O66&lt;&gt;"",V66&lt;&gt;"")</f>
        <v>0</v>
      </c>
      <c r="O66" s="9"/>
      <c r="P66" s="9" t="str">
        <f t="shared" si="41"/>
        <v/>
      </c>
      <c r="Q66" s="9" t="str">
        <f t="shared" ref="Q66:Q97" si="48">IF(P66&lt;&gt;"",IF(ABS(P66)/T66&gt;0.1,"Gny",""),"")</f>
        <v/>
      </c>
      <c r="R66" s="8" t="str">
        <f t="shared" ref="R66:R97" si="49">IF(P66&lt;&gt;"",ABS(P66)/T66,"")</f>
        <v/>
      </c>
      <c r="S66" s="9">
        <f t="shared" ref="S66:S97" si="50">_xlfn.NUMBERVALUE(S65)+IF(O66,1,0)</f>
        <v>17</v>
      </c>
      <c r="T66" s="9" t="str" cm="1">
        <f t="array" ref="T66">IF(O66,INDEX($AP$2:$AP$21,S66,1),"")</f>
        <v/>
      </c>
      <c r="U66" s="9" t="str">
        <f t="shared" ref="U66:U97" si="51">IF(P66&lt;&gt;"",ABS(P66),"")</f>
        <v/>
      </c>
      <c r="V66" s="9"/>
      <c r="W66" s="9" t="str">
        <f t="shared" ref="W66:W97" si="52">IFERROR(AA66-V66,"")</f>
        <v/>
      </c>
      <c r="X66" s="9" t="str">
        <f t="shared" ref="X66:X97" si="53">IF(W66&lt;&gt;"",IF(ABS(W66)/AA66&gt;0.1,"Gny",""),"")</f>
        <v/>
      </c>
      <c r="Y66" s="8" t="str">
        <f t="shared" ref="Y66:Y97" si="54">IF(W66&lt;&gt;"",ABS(W66)/AA66,"")</f>
        <v/>
      </c>
      <c r="Z66" s="9">
        <f t="shared" ref="Z66:Z97" si="55">_xlfn.NUMBERVALUE(Z65)+IF(V66,1,0)</f>
        <v>17</v>
      </c>
      <c r="AA66" s="9" t="str" cm="1">
        <f t="array" ref="AA66">IF(V66,INDEX($AK$2:$AK$20,Z66,1),"")</f>
        <v/>
      </c>
      <c r="AB66" s="9" t="str">
        <f t="shared" ref="AB66:AB97" si="56">IF(W66&lt;&gt;"",ABS(W66),"")</f>
        <v/>
      </c>
    </row>
    <row r="67" spans="1:30" customFormat="1">
      <c r="A67" t="s">
        <v>187</v>
      </c>
      <c r="B67">
        <f>_xlfn.IFNA(INDEX(bf!B:B,MATCH(A67,bf!A:A,0),1),0)</f>
        <v>17.02</v>
      </c>
      <c r="C67">
        <f>INDEX('اسعار الاسهم'!A:L,MATCH(A67,'اسعار الاسهم'!K:K,0),2)</f>
        <v>37.590000000000003</v>
      </c>
      <c r="G67">
        <f t="shared" si="42"/>
        <v>0.45277999467943597</v>
      </c>
      <c r="H67" s="8"/>
      <c r="I67" s="8"/>
      <c r="J67">
        <f t="shared" si="43"/>
        <v>0.20833333333333337</v>
      </c>
      <c r="K67">
        <f t="shared" si="44"/>
        <v>0</v>
      </c>
      <c r="L67">
        <f t="shared" si="45"/>
        <v>0</v>
      </c>
      <c r="M67" s="9">
        <f t="shared" si="46"/>
        <v>0.16666666666666671</v>
      </c>
      <c r="N67" s="9" t="b">
        <f t="shared" si="47"/>
        <v>0</v>
      </c>
      <c r="O67" s="9"/>
      <c r="P67" s="9" t="str">
        <f t="shared" si="41"/>
        <v/>
      </c>
      <c r="Q67" s="9" t="str">
        <f t="shared" si="48"/>
        <v/>
      </c>
      <c r="R67" s="8" t="str">
        <f t="shared" si="49"/>
        <v/>
      </c>
      <c r="S67" s="9">
        <f t="shared" si="50"/>
        <v>17</v>
      </c>
      <c r="T67" s="9" t="str" cm="1">
        <f t="array" ref="T67">IF(O67,INDEX($AP$2:$AP$21,S67,1),"")</f>
        <v/>
      </c>
      <c r="U67" s="9" t="str">
        <f t="shared" si="51"/>
        <v/>
      </c>
      <c r="V67" s="9"/>
      <c r="W67" s="9" t="str">
        <f t="shared" si="52"/>
        <v/>
      </c>
      <c r="X67" s="9" t="str">
        <f t="shared" si="53"/>
        <v/>
      </c>
      <c r="Y67" s="8" t="str">
        <f t="shared" si="54"/>
        <v/>
      </c>
      <c r="Z67" s="9">
        <f t="shared" si="55"/>
        <v>17</v>
      </c>
      <c r="AA67" s="9" t="str" cm="1">
        <f t="array" ref="AA67">IF(V67,INDEX($AK$2:$AK$20,Z67,1),"")</f>
        <v/>
      </c>
      <c r="AB67" s="9" t="str">
        <f t="shared" si="56"/>
        <v/>
      </c>
    </row>
    <row r="68" spans="1:30" customFormat="1">
      <c r="A68" t="s">
        <v>168</v>
      </c>
      <c r="B68">
        <f>_xlfn.IFNA(INDEX(bf!B:B,MATCH(A68,bf!A:A,0),1),0)</f>
        <v>0</v>
      </c>
      <c r="C68">
        <f>INDEX('اسعار الاسهم'!A:L,MATCH(A68,'اسعار الاسهم'!K:K,0),2)</f>
        <v>41.43</v>
      </c>
      <c r="G68">
        <f t="shared" si="42"/>
        <v>0</v>
      </c>
      <c r="H68" s="8"/>
      <c r="I68" s="8">
        <f>50/C68-1</f>
        <v>0.20685493603668847</v>
      </c>
      <c r="J68">
        <f t="shared" si="43"/>
        <v>0</v>
      </c>
      <c r="K68">
        <f t="shared" si="44"/>
        <v>0</v>
      </c>
      <c r="L68">
        <f t="shared" si="45"/>
        <v>0.26666666666666672</v>
      </c>
      <c r="M68" s="9">
        <f t="shared" si="46"/>
        <v>0.16000000000000003</v>
      </c>
      <c r="N68" s="9" t="b">
        <f t="shared" si="47"/>
        <v>0</v>
      </c>
      <c r="O68" s="9"/>
      <c r="P68" s="9" t="str">
        <f t="shared" si="41"/>
        <v/>
      </c>
      <c r="Q68" s="9" t="str">
        <f t="shared" si="48"/>
        <v/>
      </c>
      <c r="R68" s="8" t="str">
        <f t="shared" si="49"/>
        <v/>
      </c>
      <c r="S68" s="9">
        <f t="shared" si="50"/>
        <v>17</v>
      </c>
      <c r="T68" s="9" t="str" cm="1">
        <f t="array" ref="T68">IF(O68,INDEX($AP$2:$AP$21,S68,1),"")</f>
        <v/>
      </c>
      <c r="U68" s="9" t="str">
        <f t="shared" si="51"/>
        <v/>
      </c>
      <c r="V68" s="9"/>
      <c r="W68" s="9" t="str">
        <f t="shared" si="52"/>
        <v/>
      </c>
      <c r="X68" s="9" t="str">
        <f t="shared" si="53"/>
        <v/>
      </c>
      <c r="Y68" s="8" t="str">
        <f t="shared" si="54"/>
        <v/>
      </c>
      <c r="Z68" s="9">
        <f t="shared" si="55"/>
        <v>17</v>
      </c>
      <c r="AA68" s="9" t="str" cm="1">
        <f t="array" ref="AA68">IF(V68,INDEX($AK$2:$AK$20,Z68,1),"")</f>
        <v/>
      </c>
      <c r="AB68" s="9" t="str">
        <f t="shared" si="56"/>
        <v/>
      </c>
    </row>
    <row r="69" spans="1:30" customFormat="1">
      <c r="A69" t="s">
        <v>17</v>
      </c>
      <c r="B69">
        <f>_xlfn.IFNA(INDEX(bf!B:B,MATCH(A69,bf!A:A,0),1),0)</f>
        <v>4.1550000000000002</v>
      </c>
      <c r="C69">
        <f>INDEX('اسعار الاسهم'!A:L,MATCH(A69,'اسعار الاسهم'!K:K,0),2)</f>
        <v>10.11</v>
      </c>
      <c r="G69">
        <f t="shared" si="42"/>
        <v>0.41097922848664692</v>
      </c>
      <c r="H69" s="8"/>
      <c r="I69" s="8">
        <f>11.5/C69-1</f>
        <v>0.13748763600395653</v>
      </c>
      <c r="J69">
        <f t="shared" si="43"/>
        <v>0.14583333333333337</v>
      </c>
      <c r="K69">
        <f t="shared" si="44"/>
        <v>0</v>
      </c>
      <c r="L69">
        <f t="shared" si="45"/>
        <v>6.6666666666666652E-2</v>
      </c>
      <c r="M69" s="9">
        <f t="shared" si="46"/>
        <v>0.15666666666666668</v>
      </c>
      <c r="N69" s="9" t="b">
        <f t="shared" si="47"/>
        <v>0</v>
      </c>
      <c r="O69" s="9"/>
      <c r="P69" s="9" t="str">
        <f t="shared" si="41"/>
        <v/>
      </c>
      <c r="Q69" s="9" t="str">
        <f t="shared" si="48"/>
        <v/>
      </c>
      <c r="R69" s="8" t="str">
        <f t="shared" si="49"/>
        <v/>
      </c>
      <c r="S69" s="9">
        <f t="shared" si="50"/>
        <v>17</v>
      </c>
      <c r="T69" s="9" t="str" cm="1">
        <f t="array" ref="T69">IF(O69,INDEX($AP$2:$AP$21,S69,1),"")</f>
        <v/>
      </c>
      <c r="U69" s="9" t="str">
        <f t="shared" si="51"/>
        <v/>
      </c>
      <c r="V69" s="9"/>
      <c r="W69" s="9" t="str">
        <f t="shared" si="52"/>
        <v/>
      </c>
      <c r="X69" s="9" t="str">
        <f t="shared" si="53"/>
        <v/>
      </c>
      <c r="Y69" s="8" t="str">
        <f t="shared" si="54"/>
        <v/>
      </c>
      <c r="Z69" s="9">
        <f t="shared" si="55"/>
        <v>17</v>
      </c>
      <c r="AA69" s="9" t="str" cm="1">
        <f t="array" ref="AA69">IF(V69,INDEX($AK$2:$AK$20,Z69,1),"")</f>
        <v/>
      </c>
      <c r="AB69" s="9" t="str">
        <f t="shared" si="56"/>
        <v/>
      </c>
    </row>
    <row r="70" spans="1:30" customFormat="1">
      <c r="A70" t="s">
        <v>33</v>
      </c>
      <c r="B70">
        <f>_xlfn.IFNA(INDEX(bf!B:B,MATCH(A70,bf!A:A,0),1),0)</f>
        <v>19.899999999999999</v>
      </c>
      <c r="C70">
        <f>INDEX('اسعار الاسهم'!A:L,MATCH(A70,'اسعار الاسهم'!K:K,0),2)</f>
        <v>46.1</v>
      </c>
      <c r="G70">
        <f t="shared" si="42"/>
        <v>0.43167028199566154</v>
      </c>
      <c r="H70" s="8"/>
      <c r="I70" s="8"/>
      <c r="J70">
        <f t="shared" si="43"/>
        <v>0.1875</v>
      </c>
      <c r="K70">
        <f t="shared" si="44"/>
        <v>0</v>
      </c>
      <c r="L70">
        <f t="shared" si="45"/>
        <v>0</v>
      </c>
      <c r="M70" s="9">
        <f t="shared" si="46"/>
        <v>0.15000000000000002</v>
      </c>
      <c r="N70" s="9" t="b">
        <f t="shared" si="47"/>
        <v>0</v>
      </c>
      <c r="O70" s="9"/>
      <c r="P70" s="9" t="str">
        <f t="shared" si="41"/>
        <v/>
      </c>
      <c r="Q70" s="9" t="str">
        <f t="shared" si="48"/>
        <v/>
      </c>
      <c r="R70" s="8" t="str">
        <f t="shared" si="49"/>
        <v/>
      </c>
      <c r="S70" s="9">
        <f t="shared" si="50"/>
        <v>17</v>
      </c>
      <c r="T70" s="9" t="str" cm="1">
        <f t="array" ref="T70">IF(O70,INDEX($AP$2:$AP$21,S70,1),"")</f>
        <v/>
      </c>
      <c r="U70" s="9" t="str">
        <f t="shared" si="51"/>
        <v/>
      </c>
      <c r="V70" s="9"/>
      <c r="W70" s="9" t="str">
        <f t="shared" si="52"/>
        <v/>
      </c>
      <c r="X70" s="9" t="str">
        <f t="shared" si="53"/>
        <v/>
      </c>
      <c r="Y70" s="8" t="str">
        <f t="shared" si="54"/>
        <v/>
      </c>
      <c r="Z70" s="9">
        <f t="shared" si="55"/>
        <v>17</v>
      </c>
      <c r="AA70" s="9" t="str" cm="1">
        <f t="array" ref="AA70">IF(V70,INDEX($AK$2:$AK$20,Z70,1),"")</f>
        <v/>
      </c>
      <c r="AB70" s="9" t="str">
        <f t="shared" si="56"/>
        <v/>
      </c>
      <c r="AD70">
        <v>1</v>
      </c>
    </row>
    <row r="71" spans="1:30" customFormat="1">
      <c r="A71" t="s">
        <v>73</v>
      </c>
      <c r="B71">
        <f>_xlfn.IFNA(INDEX(bf!B:B,MATCH(A71,bf!A:A,0),1),0)</f>
        <v>0</v>
      </c>
      <c r="C71">
        <f>INDEX('اسعار الاسهم'!A:L,MATCH(A71,'اسعار الاسهم'!K:K,0),2)</f>
        <v>7.59</v>
      </c>
      <c r="G71">
        <f t="shared" si="42"/>
        <v>0</v>
      </c>
      <c r="H71" s="8"/>
      <c r="I71" s="8">
        <f>9.1/C71-1</f>
        <v>0.19894598155467724</v>
      </c>
      <c r="J71">
        <f t="shared" si="43"/>
        <v>0</v>
      </c>
      <c r="K71">
        <f t="shared" si="44"/>
        <v>0</v>
      </c>
      <c r="L71">
        <f t="shared" si="45"/>
        <v>0.23333333333333328</v>
      </c>
      <c r="M71" s="9">
        <f t="shared" si="46"/>
        <v>0.13999999999999996</v>
      </c>
      <c r="N71" s="9" t="b">
        <f t="shared" si="47"/>
        <v>0</v>
      </c>
      <c r="O71" s="9"/>
      <c r="P71" s="9" t="str">
        <f t="shared" si="41"/>
        <v/>
      </c>
      <c r="Q71" s="9" t="str">
        <f t="shared" si="48"/>
        <v/>
      </c>
      <c r="R71" s="8" t="str">
        <f t="shared" si="49"/>
        <v/>
      </c>
      <c r="S71" s="9">
        <f t="shared" si="50"/>
        <v>17</v>
      </c>
      <c r="T71" s="9" t="str" cm="1">
        <f t="array" ref="T71">IF(O71,INDEX($AP$2:$AP$21,S71,1),"")</f>
        <v/>
      </c>
      <c r="U71" s="9" t="str">
        <f t="shared" si="51"/>
        <v/>
      </c>
      <c r="V71" s="9"/>
      <c r="W71" s="9" t="str">
        <f t="shared" si="52"/>
        <v/>
      </c>
      <c r="X71" s="9" t="str">
        <f t="shared" si="53"/>
        <v/>
      </c>
      <c r="Y71" s="8" t="str">
        <f t="shared" si="54"/>
        <v/>
      </c>
      <c r="Z71" s="9">
        <f t="shared" si="55"/>
        <v>17</v>
      </c>
      <c r="AA71" s="9" t="str" cm="1">
        <f t="array" ref="AA71">IF(V71,INDEX($AK$2:$AK$20,Z71,1),"")</f>
        <v/>
      </c>
      <c r="AB71" s="9" t="str">
        <f t="shared" si="56"/>
        <v/>
      </c>
    </row>
    <row r="72" spans="1:30" customFormat="1">
      <c r="A72" t="s">
        <v>225</v>
      </c>
      <c r="B72">
        <f>_xlfn.IFNA(INDEX(bf!B:B,MATCH(A72,bf!A:A,0),1),0)</f>
        <v>0</v>
      </c>
      <c r="C72">
        <f>INDEX('اسعار الاسهم'!A:L,MATCH(A72,'اسعار الاسهم'!K:K,0),2)</f>
        <v>4.54</v>
      </c>
      <c r="G72">
        <f t="shared" si="42"/>
        <v>0</v>
      </c>
      <c r="H72" s="8"/>
      <c r="I72" s="8">
        <f>5.3/C72-1</f>
        <v>0.16740088105726869</v>
      </c>
      <c r="J72">
        <f t="shared" si="43"/>
        <v>0</v>
      </c>
      <c r="K72">
        <f t="shared" si="44"/>
        <v>0</v>
      </c>
      <c r="L72">
        <f t="shared" si="45"/>
        <v>0.16666666666666663</v>
      </c>
      <c r="M72" s="9">
        <f t="shared" si="46"/>
        <v>9.9999999999999978E-2</v>
      </c>
      <c r="N72" s="9" t="b">
        <f t="shared" si="47"/>
        <v>0</v>
      </c>
      <c r="O72" s="9"/>
      <c r="P72" s="9" t="str">
        <f t="shared" si="41"/>
        <v/>
      </c>
      <c r="Q72" s="9" t="str">
        <f t="shared" si="48"/>
        <v/>
      </c>
      <c r="R72" s="8" t="str">
        <f t="shared" si="49"/>
        <v/>
      </c>
      <c r="S72" s="9">
        <f t="shared" si="50"/>
        <v>17</v>
      </c>
      <c r="T72" s="9" t="str" cm="1">
        <f t="array" ref="T72">IF(O72,INDEX($AP$2:$AP$21,S72,1),"")</f>
        <v/>
      </c>
      <c r="U72" s="9" t="str">
        <f t="shared" si="51"/>
        <v/>
      </c>
      <c r="V72" s="9"/>
      <c r="W72" s="9" t="str">
        <f t="shared" si="52"/>
        <v/>
      </c>
      <c r="X72" s="9" t="str">
        <f t="shared" si="53"/>
        <v/>
      </c>
      <c r="Y72" s="8" t="str">
        <f t="shared" si="54"/>
        <v/>
      </c>
      <c r="Z72" s="9">
        <f t="shared" si="55"/>
        <v>17</v>
      </c>
      <c r="AA72" s="9" t="str" cm="1">
        <f t="array" ref="AA72">IF(V72,INDEX($AK$2:$AK$20,Z72,1),"")</f>
        <v/>
      </c>
      <c r="AB72" s="9" t="str">
        <f t="shared" si="56"/>
        <v/>
      </c>
    </row>
    <row r="73" spans="1:30" customFormat="1">
      <c r="A73" t="s">
        <v>257</v>
      </c>
      <c r="B73">
        <f>_xlfn.IFNA(INDEX(bf!B:B,MATCH(A73,bf!A:A,0),1),0)</f>
        <v>0</v>
      </c>
      <c r="C73">
        <f>INDEX('اسعار الاسهم'!A:L,MATCH(A73,'اسعار الاسهم'!K:K,0),2)</f>
        <v>0.61</v>
      </c>
      <c r="G73">
        <f t="shared" si="42"/>
        <v>0</v>
      </c>
      <c r="H73" s="8"/>
      <c r="I73" s="8">
        <f>0.7/C73-1</f>
        <v>0.14754098360655732</v>
      </c>
      <c r="J73">
        <f t="shared" si="43"/>
        <v>0</v>
      </c>
      <c r="K73">
        <f t="shared" si="44"/>
        <v>0</v>
      </c>
      <c r="L73">
        <f t="shared" si="45"/>
        <v>9.9999999999999978E-2</v>
      </c>
      <c r="M73" s="9">
        <f t="shared" si="46"/>
        <v>5.9999999999999984E-2</v>
      </c>
      <c r="N73" s="9" t="b">
        <f t="shared" si="47"/>
        <v>0</v>
      </c>
      <c r="O73" s="9"/>
      <c r="P73" s="9" t="str">
        <f t="shared" si="41"/>
        <v/>
      </c>
      <c r="Q73" s="9" t="str">
        <f t="shared" si="48"/>
        <v/>
      </c>
      <c r="R73" s="8" t="str">
        <f t="shared" si="49"/>
        <v/>
      </c>
      <c r="S73" s="9">
        <f t="shared" si="50"/>
        <v>17</v>
      </c>
      <c r="T73" s="9" t="str" cm="1">
        <f t="array" ref="T73">IF(O73,INDEX($AP$2:$AP$21,S73,1),"")</f>
        <v/>
      </c>
      <c r="U73" s="9" t="str">
        <f t="shared" si="51"/>
        <v/>
      </c>
      <c r="V73" s="9"/>
      <c r="W73" s="9" t="str">
        <f t="shared" si="52"/>
        <v/>
      </c>
      <c r="X73" s="9" t="str">
        <f t="shared" si="53"/>
        <v/>
      </c>
      <c r="Y73" s="8" t="str">
        <f t="shared" si="54"/>
        <v/>
      </c>
      <c r="Z73" s="9">
        <f t="shared" si="55"/>
        <v>17</v>
      </c>
      <c r="AA73" s="9" t="str" cm="1">
        <f t="array" ref="AA73">IF(V73,INDEX($AK$2:$AK$20,Z73,1),"")</f>
        <v/>
      </c>
      <c r="AB73" s="9" t="str">
        <f t="shared" si="56"/>
        <v/>
      </c>
    </row>
    <row r="74" spans="1:30" customFormat="1">
      <c r="A74" t="s">
        <v>175</v>
      </c>
      <c r="B74">
        <f>_xlfn.IFNA(INDEX(bf!B:B,MATCH(A74,bf!A:A,0),1),0)</f>
        <v>9.9600000000000009</v>
      </c>
      <c r="C74">
        <f>INDEX('اسعار الاسهم'!A:L,MATCH(A74,'اسعار الاسهم'!K:K,0),2)</f>
        <v>27.63</v>
      </c>
      <c r="G74">
        <f t="shared" si="42"/>
        <v>0.36047774158523349</v>
      </c>
      <c r="H74" s="8"/>
      <c r="I74" s="8"/>
      <c r="J74">
        <f t="shared" si="43"/>
        <v>6.25E-2</v>
      </c>
      <c r="K74">
        <f t="shared" si="44"/>
        <v>0</v>
      </c>
      <c r="L74">
        <f t="shared" si="45"/>
        <v>0</v>
      </c>
      <c r="M74" s="9">
        <f t="shared" si="46"/>
        <v>0.05</v>
      </c>
      <c r="N74" s="9" t="b">
        <f t="shared" si="47"/>
        <v>0</v>
      </c>
      <c r="O74" s="9"/>
      <c r="P74" s="9" t="str">
        <f t="shared" si="41"/>
        <v/>
      </c>
      <c r="Q74" s="9" t="str">
        <f t="shared" si="48"/>
        <v/>
      </c>
      <c r="R74" s="8" t="str">
        <f t="shared" si="49"/>
        <v/>
      </c>
      <c r="S74" s="9">
        <f t="shared" si="50"/>
        <v>17</v>
      </c>
      <c r="T74" s="9" t="str" cm="1">
        <f t="array" ref="T74">IF(O74,INDEX($AP$2:$AP$21,S74,1),"")</f>
        <v/>
      </c>
      <c r="U74" s="9" t="str">
        <f t="shared" si="51"/>
        <v/>
      </c>
      <c r="V74" s="9"/>
      <c r="W74" s="9" t="str">
        <f t="shared" si="52"/>
        <v/>
      </c>
      <c r="X74" s="9" t="str">
        <f t="shared" si="53"/>
        <v/>
      </c>
      <c r="Y74" s="8" t="str">
        <f t="shared" si="54"/>
        <v/>
      </c>
      <c r="Z74" s="9">
        <f t="shared" si="55"/>
        <v>17</v>
      </c>
      <c r="AA74" s="9" t="str" cm="1">
        <f t="array" ref="AA74">IF(V74,INDEX($AK$2:$AK$20,Z74,1),"")</f>
        <v/>
      </c>
      <c r="AB74" s="9" t="str">
        <f t="shared" si="56"/>
        <v/>
      </c>
    </row>
    <row r="75" spans="1:30" customFormat="1">
      <c r="A75" t="s">
        <v>143</v>
      </c>
      <c r="B75">
        <f>_xlfn.IFNA(INDEX(bf!B:B,MATCH(A75,bf!A:A,0),1),0)</f>
        <v>30</v>
      </c>
      <c r="C75">
        <f>INDEX('اسعار الاسهم'!A:L,MATCH(A75,'اسعار الاسهم'!K:K,0),2)</f>
        <v>86.56</v>
      </c>
      <c r="G75">
        <f t="shared" si="42"/>
        <v>0.34658040665434381</v>
      </c>
      <c r="H75" s="8"/>
      <c r="I75" s="8"/>
      <c r="J75">
        <f t="shared" si="43"/>
        <v>4.166666666666663E-2</v>
      </c>
      <c r="K75">
        <f t="shared" si="44"/>
        <v>0</v>
      </c>
      <c r="L75">
        <f t="shared" si="45"/>
        <v>0</v>
      </c>
      <c r="M75" s="9">
        <f t="shared" si="46"/>
        <v>3.3333333333333305E-2</v>
      </c>
      <c r="N75" s="9" t="b">
        <f t="shared" si="47"/>
        <v>0</v>
      </c>
      <c r="O75" s="9"/>
      <c r="P75" s="9" t="str">
        <f t="shared" si="41"/>
        <v/>
      </c>
      <c r="Q75" s="9" t="str">
        <f t="shared" si="48"/>
        <v/>
      </c>
      <c r="R75" s="8" t="str">
        <f t="shared" si="49"/>
        <v/>
      </c>
      <c r="S75" s="9">
        <f t="shared" si="50"/>
        <v>17</v>
      </c>
      <c r="T75" s="9" t="str" cm="1">
        <f t="array" ref="T75">IF(O75,INDEX($AP$2:$AP$21,S75,1),"")</f>
        <v/>
      </c>
      <c r="U75" s="9" t="str">
        <f t="shared" si="51"/>
        <v/>
      </c>
      <c r="V75" s="9"/>
      <c r="W75" s="9" t="str">
        <f t="shared" si="52"/>
        <v/>
      </c>
      <c r="X75" s="9" t="str">
        <f t="shared" si="53"/>
        <v/>
      </c>
      <c r="Y75" s="8" t="str">
        <f t="shared" si="54"/>
        <v/>
      </c>
      <c r="Z75" s="9">
        <f t="shared" si="55"/>
        <v>17</v>
      </c>
      <c r="AA75" s="9" t="str" cm="1">
        <f t="array" ref="AA75">IF(V75,INDEX($AK$2:$AK$20,Z75,1),"")</f>
        <v/>
      </c>
      <c r="AB75" s="9" t="str">
        <f t="shared" si="56"/>
        <v/>
      </c>
    </row>
    <row r="76" spans="1:30" customFormat="1">
      <c r="A76" t="s">
        <v>198</v>
      </c>
      <c r="B76">
        <f>_xlfn.IFNA(INDEX(bf!B:B,MATCH(A76,bf!A:A,0),1),0)</f>
        <v>0</v>
      </c>
      <c r="C76">
        <f>INDEX('اسعار الاسهم'!A:L,MATCH(A76,'اسعار الاسهم'!K:K,0),2)</f>
        <v>14.13</v>
      </c>
      <c r="G76">
        <f t="shared" si="42"/>
        <v>0</v>
      </c>
      <c r="H76" s="8"/>
      <c r="I76" s="8">
        <f>16/C76-1</f>
        <v>0.13234253361641901</v>
      </c>
      <c r="J76">
        <f t="shared" si="43"/>
        <v>0</v>
      </c>
      <c r="K76">
        <f t="shared" si="44"/>
        <v>0</v>
      </c>
      <c r="L76">
        <f t="shared" si="45"/>
        <v>3.3333333333333326E-2</v>
      </c>
      <c r="M76" s="9">
        <f t="shared" si="46"/>
        <v>1.9999999999999993E-2</v>
      </c>
      <c r="N76" s="9" t="b">
        <f t="shared" si="47"/>
        <v>0</v>
      </c>
      <c r="O76" s="9"/>
      <c r="P76" s="9" t="str">
        <f t="shared" si="41"/>
        <v/>
      </c>
      <c r="Q76" s="9" t="str">
        <f t="shared" si="48"/>
        <v/>
      </c>
      <c r="R76" s="8" t="str">
        <f t="shared" si="49"/>
        <v/>
      </c>
      <c r="S76" s="9">
        <f t="shared" si="50"/>
        <v>17</v>
      </c>
      <c r="T76" s="9" t="str" cm="1">
        <f t="array" ref="T76">IF(O76,INDEX($AP$2:$AP$21,S76,1),"")</f>
        <v/>
      </c>
      <c r="U76" s="9" t="str">
        <f t="shared" si="51"/>
        <v/>
      </c>
      <c r="V76" s="9"/>
      <c r="W76" s="9" t="str">
        <f t="shared" si="52"/>
        <v/>
      </c>
      <c r="X76" s="9" t="str">
        <f t="shared" si="53"/>
        <v/>
      </c>
      <c r="Y76" s="8" t="str">
        <f t="shared" si="54"/>
        <v/>
      </c>
      <c r="Z76" s="9">
        <f t="shared" si="55"/>
        <v>17</v>
      </c>
      <c r="AA76" s="9" t="str" cm="1">
        <f t="array" ref="AA76">IF(V76,INDEX($AK$2:$AK$20,Z76,1),"")</f>
        <v/>
      </c>
      <c r="AB76" s="9" t="str">
        <f t="shared" si="56"/>
        <v/>
      </c>
    </row>
    <row r="77" spans="1:30" customFormat="1">
      <c r="A77" t="s">
        <v>106</v>
      </c>
      <c r="B77">
        <f>_xlfn.IFNA(INDEX(bf!B:B,MATCH(A77,bf!A:A,0),1),0)</f>
        <v>11.17</v>
      </c>
      <c r="C77">
        <f>INDEX('اسعار الاسهم'!A:L,MATCH(A77,'اسعار الاسهم'!K:K,0),2)</f>
        <v>70.459999999999994</v>
      </c>
      <c r="G77">
        <f t="shared" si="42"/>
        <v>0.15852966221969914</v>
      </c>
      <c r="H77" s="8"/>
      <c r="I77" s="8"/>
      <c r="J77">
        <f t="shared" si="43"/>
        <v>2.083333333333337E-2</v>
      </c>
      <c r="K77">
        <f t="shared" si="44"/>
        <v>0</v>
      </c>
      <c r="L77">
        <f t="shared" si="45"/>
        <v>0</v>
      </c>
      <c r="M77" s="9">
        <f t="shared" si="46"/>
        <v>1.6666666666666698E-2</v>
      </c>
      <c r="N77" s="9" t="b">
        <f t="shared" si="47"/>
        <v>0</v>
      </c>
      <c r="O77" s="9"/>
      <c r="P77" s="9" t="str">
        <f t="shared" si="41"/>
        <v/>
      </c>
      <c r="Q77" s="9" t="str">
        <f t="shared" si="48"/>
        <v/>
      </c>
      <c r="R77" s="8" t="str">
        <f t="shared" si="49"/>
        <v/>
      </c>
      <c r="S77" s="9">
        <f t="shared" si="50"/>
        <v>17</v>
      </c>
      <c r="T77" s="9" t="str" cm="1">
        <f t="array" ref="T77">IF(O77,INDEX($AP$2:$AP$21,S77,1),"")</f>
        <v/>
      </c>
      <c r="U77" s="9" t="str">
        <f t="shared" si="51"/>
        <v/>
      </c>
      <c r="V77" s="9"/>
      <c r="W77" s="9" t="str">
        <f t="shared" si="52"/>
        <v/>
      </c>
      <c r="X77" s="9" t="str">
        <f t="shared" si="53"/>
        <v/>
      </c>
      <c r="Y77" s="8" t="str">
        <f t="shared" si="54"/>
        <v/>
      </c>
      <c r="Z77" s="9">
        <f t="shared" si="55"/>
        <v>17</v>
      </c>
      <c r="AA77" s="9" t="str" cm="1">
        <f t="array" ref="AA77">IF(V77,INDEX($AK$2:$AK$20,Z77,1),"")</f>
        <v/>
      </c>
      <c r="AB77" s="9" t="str">
        <f t="shared" si="56"/>
        <v/>
      </c>
    </row>
    <row r="78" spans="1:30" customFormat="1">
      <c r="A78" t="s">
        <v>115</v>
      </c>
      <c r="B78">
        <f>_xlfn.IFNA(INDEX(bf!B:B,MATCH(A78,bf!A:A,0),1),0)</f>
        <v>0</v>
      </c>
      <c r="C78">
        <f>INDEX('اسعار الاسهم'!A:L,MATCH(A78,'اسعار الاسهم'!K:K,0),2)</f>
        <v>2.17</v>
      </c>
      <c r="G78">
        <f t="shared" si="42"/>
        <v>0</v>
      </c>
      <c r="H78" s="8"/>
      <c r="I78" s="8"/>
      <c r="J78">
        <f t="shared" si="43"/>
        <v>0</v>
      </c>
      <c r="K78">
        <f t="shared" si="44"/>
        <v>0</v>
      </c>
      <c r="L78">
        <f t="shared" si="45"/>
        <v>0</v>
      </c>
      <c r="M78" s="9">
        <f t="shared" si="46"/>
        <v>0</v>
      </c>
      <c r="N78" s="9" t="b">
        <f t="shared" si="47"/>
        <v>0</v>
      </c>
      <c r="O78" s="9"/>
      <c r="P78" s="9" t="str">
        <f t="shared" si="41"/>
        <v/>
      </c>
      <c r="Q78" s="9" t="str">
        <f t="shared" si="48"/>
        <v/>
      </c>
      <c r="R78" s="8" t="str">
        <f t="shared" si="49"/>
        <v/>
      </c>
      <c r="S78" s="9">
        <f t="shared" si="50"/>
        <v>17</v>
      </c>
      <c r="T78" s="9" t="str" cm="1">
        <f t="array" ref="T78">IF(O78,INDEX($AP$2:$AP$21,S78,1),"")</f>
        <v/>
      </c>
      <c r="U78" s="9" t="str">
        <f t="shared" si="51"/>
        <v/>
      </c>
      <c r="V78" s="9"/>
      <c r="W78" s="9" t="str">
        <f t="shared" si="52"/>
        <v/>
      </c>
      <c r="X78" s="9" t="str">
        <f t="shared" si="53"/>
        <v/>
      </c>
      <c r="Y78" s="8" t="str">
        <f t="shared" si="54"/>
        <v/>
      </c>
      <c r="Z78" s="9">
        <f t="shared" si="55"/>
        <v>17</v>
      </c>
      <c r="AA78" s="9" t="str" cm="1">
        <f t="array" ref="AA78">IF(V78,INDEX($AK$2:$AK$20,Z78,1),"")</f>
        <v/>
      </c>
      <c r="AB78" s="9" t="str">
        <f t="shared" si="56"/>
        <v/>
      </c>
    </row>
    <row r="79" spans="1:30" customFormat="1">
      <c r="A79" t="s">
        <v>487</v>
      </c>
      <c r="B79">
        <f>_xlfn.IFNA(INDEX(bf!B:B,MATCH(A79,bf!A:A,0),1),0)</f>
        <v>0</v>
      </c>
      <c r="C79">
        <f>INDEX('اسعار الاسهم'!A:L,MATCH(A79,'اسعار الاسهم'!K:K,0),2)</f>
        <v>8.3000000000000007</v>
      </c>
      <c r="G79">
        <f t="shared" si="42"/>
        <v>0</v>
      </c>
      <c r="H79" s="8"/>
      <c r="I79" s="8"/>
      <c r="J79">
        <f t="shared" si="43"/>
        <v>0</v>
      </c>
      <c r="K79">
        <f t="shared" si="44"/>
        <v>0</v>
      </c>
      <c r="L79">
        <f t="shared" si="45"/>
        <v>0</v>
      </c>
      <c r="M79" s="9">
        <f t="shared" si="46"/>
        <v>0</v>
      </c>
      <c r="N79" s="9" t="b">
        <f t="shared" si="47"/>
        <v>0</v>
      </c>
      <c r="O79" s="9"/>
      <c r="P79" s="9" t="str">
        <f t="shared" si="41"/>
        <v/>
      </c>
      <c r="Q79" s="9" t="str">
        <f t="shared" si="48"/>
        <v/>
      </c>
      <c r="R79" s="8" t="str">
        <f t="shared" si="49"/>
        <v/>
      </c>
      <c r="S79" s="9">
        <f t="shared" si="50"/>
        <v>17</v>
      </c>
      <c r="T79" s="9" t="str" cm="1">
        <f t="array" ref="T79">IF(O79,INDEX($AP$2:$AP$21,S79,1),"")</f>
        <v/>
      </c>
      <c r="U79" s="9" t="str">
        <f t="shared" si="51"/>
        <v/>
      </c>
      <c r="V79" s="9"/>
      <c r="W79" s="9" t="str">
        <f t="shared" si="52"/>
        <v/>
      </c>
      <c r="X79" s="9" t="str">
        <f t="shared" si="53"/>
        <v/>
      </c>
      <c r="Y79" s="8" t="str">
        <f t="shared" si="54"/>
        <v/>
      </c>
      <c r="Z79" s="9">
        <f t="shared" si="55"/>
        <v>17</v>
      </c>
      <c r="AA79" s="9" t="str" cm="1">
        <f t="array" ref="AA79">IF(V79,INDEX($AK$2:$AK$20,Z79,1),"")</f>
        <v/>
      </c>
      <c r="AB79" s="9" t="str">
        <f t="shared" si="56"/>
        <v/>
      </c>
    </row>
    <row r="80" spans="1:30" customFormat="1">
      <c r="A80" t="s">
        <v>19</v>
      </c>
      <c r="B80">
        <f>_xlfn.IFNA(INDEX(bf!B:B,MATCH(A80,bf!A:A,0),1),0)</f>
        <v>0</v>
      </c>
      <c r="C80">
        <f>INDEX('اسعار الاسهم'!A:L,MATCH(A80,'اسعار الاسهم'!K:K,0),2)</f>
        <v>10.1</v>
      </c>
      <c r="G80">
        <f t="shared" si="42"/>
        <v>0</v>
      </c>
      <c r="H80" s="8"/>
      <c r="I80" s="8"/>
      <c r="J80">
        <f t="shared" si="43"/>
        <v>0</v>
      </c>
      <c r="K80">
        <f t="shared" si="44"/>
        <v>0</v>
      </c>
      <c r="L80">
        <f t="shared" si="45"/>
        <v>0</v>
      </c>
      <c r="M80" s="9">
        <f t="shared" si="46"/>
        <v>0</v>
      </c>
      <c r="N80" s="9" t="b">
        <f t="shared" si="47"/>
        <v>0</v>
      </c>
      <c r="O80" s="9"/>
      <c r="P80" s="9" t="str">
        <f t="shared" si="41"/>
        <v/>
      </c>
      <c r="Q80" s="9" t="str">
        <f t="shared" si="48"/>
        <v/>
      </c>
      <c r="R80" s="8" t="str">
        <f t="shared" si="49"/>
        <v/>
      </c>
      <c r="S80" s="9">
        <f t="shared" si="50"/>
        <v>17</v>
      </c>
      <c r="T80" s="9" t="str" cm="1">
        <f t="array" ref="T80">IF(O80,INDEX($AP$2:$AP$21,S80,1),"")</f>
        <v/>
      </c>
      <c r="U80" s="9" t="str">
        <f t="shared" si="51"/>
        <v/>
      </c>
      <c r="V80" s="9"/>
      <c r="W80" s="9" t="str">
        <f t="shared" si="52"/>
        <v/>
      </c>
      <c r="X80" s="9" t="str">
        <f t="shared" si="53"/>
        <v/>
      </c>
      <c r="Y80" s="8" t="str">
        <f t="shared" si="54"/>
        <v/>
      </c>
      <c r="Z80" s="9">
        <f t="shared" si="55"/>
        <v>17</v>
      </c>
      <c r="AA80" s="9" t="str" cm="1">
        <f t="array" ref="AA80">IF(V80,INDEX($AK$2:$AK$20,Z80,1),"")</f>
        <v/>
      </c>
      <c r="AB80" s="9" t="str">
        <f t="shared" si="56"/>
        <v/>
      </c>
    </row>
    <row r="81" spans="1:28" customFormat="1">
      <c r="A81" t="s">
        <v>736</v>
      </c>
      <c r="B81">
        <f>_xlfn.IFNA(INDEX(bf!B:B,MATCH(A81,bf!A:A,0),1),0)</f>
        <v>0</v>
      </c>
      <c r="C81">
        <f>INDEX('اسعار الاسهم'!A:L,MATCH(A81,'اسعار الاسهم'!K:K,0),2)</f>
        <v>2.74</v>
      </c>
      <c r="G81">
        <f t="shared" si="42"/>
        <v>0</v>
      </c>
      <c r="H81" s="8"/>
      <c r="I81" s="8"/>
      <c r="J81">
        <f t="shared" si="43"/>
        <v>0</v>
      </c>
      <c r="K81">
        <f t="shared" si="44"/>
        <v>0</v>
      </c>
      <c r="L81">
        <f t="shared" si="45"/>
        <v>0</v>
      </c>
      <c r="M81" s="9">
        <f t="shared" si="46"/>
        <v>0</v>
      </c>
      <c r="N81" s="9" t="b">
        <f t="shared" si="47"/>
        <v>1</v>
      </c>
      <c r="O81" s="9">
        <v>2.95</v>
      </c>
      <c r="P81" s="9">
        <f t="shared" si="41"/>
        <v>0.16999999999999993</v>
      </c>
      <c r="Q81" s="9" t="str">
        <f t="shared" si="48"/>
        <v/>
      </c>
      <c r="R81" s="8">
        <f t="shared" si="49"/>
        <v>5.448717948717946E-2</v>
      </c>
      <c r="S81" s="9">
        <f t="shared" si="50"/>
        <v>18</v>
      </c>
      <c r="T81" s="9" cm="1">
        <f t="array" ref="T81">IF(O81,INDEX($AP$2:$AP$21,S81,1),"")</f>
        <v>3.12</v>
      </c>
      <c r="U81" s="9">
        <f t="shared" si="51"/>
        <v>0.16999999999999993</v>
      </c>
      <c r="V81" s="9"/>
      <c r="W81" s="9" t="str">
        <f t="shared" si="52"/>
        <v/>
      </c>
      <c r="X81" s="9" t="str">
        <f t="shared" si="53"/>
        <v/>
      </c>
      <c r="Y81" s="8" t="str">
        <f t="shared" si="54"/>
        <v/>
      </c>
      <c r="Z81" s="9">
        <f t="shared" si="55"/>
        <v>17</v>
      </c>
      <c r="AA81" s="9" t="str" cm="1">
        <f t="array" ref="AA81">IF(V81,INDEX($AK$2:$AK$20,Z81,1),"")</f>
        <v/>
      </c>
      <c r="AB81" s="9" t="str">
        <f t="shared" si="56"/>
        <v/>
      </c>
    </row>
    <row r="82" spans="1:28" customFormat="1">
      <c r="A82" t="s">
        <v>144</v>
      </c>
      <c r="B82">
        <f>_xlfn.IFNA(INDEX(bf!B:B,MATCH(A82,bf!A:A,0),1),0)</f>
        <v>0</v>
      </c>
      <c r="C82">
        <f>INDEX('اسعار الاسهم'!A:L,MATCH(A82,'اسعار الاسهم'!K:K,0),2)</f>
        <v>41.67</v>
      </c>
      <c r="G82">
        <f t="shared" si="42"/>
        <v>0</v>
      </c>
      <c r="H82" s="8"/>
      <c r="I82" s="8"/>
      <c r="J82">
        <f t="shared" si="43"/>
        <v>0</v>
      </c>
      <c r="K82">
        <f t="shared" si="44"/>
        <v>0</v>
      </c>
      <c r="L82">
        <f t="shared" si="45"/>
        <v>0</v>
      </c>
      <c r="M82" s="9">
        <f t="shared" si="46"/>
        <v>0</v>
      </c>
      <c r="N82" s="9" t="b">
        <f t="shared" si="47"/>
        <v>0</v>
      </c>
      <c r="O82" s="9"/>
      <c r="P82" s="9" t="str">
        <f t="shared" si="41"/>
        <v/>
      </c>
      <c r="Q82" s="9" t="str">
        <f t="shared" si="48"/>
        <v/>
      </c>
      <c r="R82" s="8" t="str">
        <f t="shared" si="49"/>
        <v/>
      </c>
      <c r="S82" s="9">
        <f t="shared" si="50"/>
        <v>18</v>
      </c>
      <c r="T82" s="9" t="str" cm="1">
        <f t="array" ref="T82">IF(O82,INDEX($AP$2:$AP$21,S82,1),"")</f>
        <v/>
      </c>
      <c r="U82" s="9" t="str">
        <f t="shared" si="51"/>
        <v/>
      </c>
      <c r="V82" s="9"/>
      <c r="W82" s="9" t="str">
        <f t="shared" si="52"/>
        <v/>
      </c>
      <c r="X82" s="9" t="str">
        <f t="shared" si="53"/>
        <v/>
      </c>
      <c r="Y82" s="8" t="str">
        <f t="shared" si="54"/>
        <v/>
      </c>
      <c r="Z82" s="9">
        <f t="shared" si="55"/>
        <v>17</v>
      </c>
      <c r="AA82" s="9" t="str" cm="1">
        <f t="array" ref="AA82">IF(V82,INDEX($AK$2:$AK$20,Z82,1),"")</f>
        <v/>
      </c>
      <c r="AB82" s="9" t="str">
        <f t="shared" si="56"/>
        <v/>
      </c>
    </row>
    <row r="83" spans="1:28" customFormat="1">
      <c r="A83" t="s">
        <v>145</v>
      </c>
      <c r="B83">
        <f>_xlfn.IFNA(INDEX(bf!B:B,MATCH(A83,bf!A:A,0),1),0)</f>
        <v>0</v>
      </c>
      <c r="C83">
        <f>INDEX('اسعار الاسهم'!A:L,MATCH(A83,'اسعار الاسهم'!K:K,0),2)</f>
        <v>70.95</v>
      </c>
      <c r="G83">
        <f t="shared" si="42"/>
        <v>0</v>
      </c>
      <c r="H83" s="8"/>
      <c r="I83" s="8"/>
      <c r="J83">
        <f t="shared" si="43"/>
        <v>0</v>
      </c>
      <c r="K83">
        <f t="shared" si="44"/>
        <v>0</v>
      </c>
      <c r="L83">
        <f t="shared" si="45"/>
        <v>0</v>
      </c>
      <c r="M83" s="9">
        <f t="shared" si="46"/>
        <v>0</v>
      </c>
      <c r="N83" s="9" t="b">
        <f t="shared" si="47"/>
        <v>0</v>
      </c>
      <c r="O83" s="9"/>
      <c r="P83" s="9" t="str">
        <f t="shared" si="41"/>
        <v/>
      </c>
      <c r="Q83" s="9" t="str">
        <f t="shared" si="48"/>
        <v/>
      </c>
      <c r="R83" s="8" t="str">
        <f t="shared" si="49"/>
        <v/>
      </c>
      <c r="S83" s="9">
        <f t="shared" si="50"/>
        <v>18</v>
      </c>
      <c r="T83" s="9" t="str" cm="1">
        <f t="array" ref="T83">IF(O83,INDEX($AP$2:$AP$21,S83,1),"")</f>
        <v/>
      </c>
      <c r="U83" s="9" t="str">
        <f t="shared" si="51"/>
        <v/>
      </c>
      <c r="V83" s="9"/>
      <c r="W83" s="9" t="str">
        <f t="shared" si="52"/>
        <v/>
      </c>
      <c r="X83" s="9" t="str">
        <f t="shared" si="53"/>
        <v/>
      </c>
      <c r="Y83" s="8" t="str">
        <f t="shared" si="54"/>
        <v/>
      </c>
      <c r="Z83" s="9">
        <f t="shared" si="55"/>
        <v>17</v>
      </c>
      <c r="AA83" s="9" t="str" cm="1">
        <f t="array" ref="AA83">IF(V83,INDEX($AK$2:$AK$20,Z83,1),"")</f>
        <v/>
      </c>
      <c r="AB83" s="9" t="str">
        <f t="shared" si="56"/>
        <v/>
      </c>
    </row>
    <row r="84" spans="1:28" customFormat="1">
      <c r="A84" t="s">
        <v>148</v>
      </c>
      <c r="B84">
        <f>_xlfn.IFNA(INDEX(bf!B:B,MATCH(A84,bf!A:A,0),1),0)</f>
        <v>0</v>
      </c>
      <c r="C84">
        <f>INDEX('اسعار الاسهم'!A:L,MATCH(A84,'اسعار الاسهم'!K:K,0),2)</f>
        <v>0.34</v>
      </c>
      <c r="G84">
        <f t="shared" si="42"/>
        <v>0</v>
      </c>
      <c r="H84" s="8"/>
      <c r="I84" s="8"/>
      <c r="J84">
        <f t="shared" si="43"/>
        <v>0</v>
      </c>
      <c r="K84">
        <f t="shared" si="44"/>
        <v>0</v>
      </c>
      <c r="L84">
        <f t="shared" si="45"/>
        <v>0</v>
      </c>
      <c r="M84" s="9">
        <f t="shared" si="46"/>
        <v>0</v>
      </c>
      <c r="N84" s="9" t="b">
        <f t="shared" si="47"/>
        <v>0</v>
      </c>
      <c r="O84" s="9"/>
      <c r="P84" s="9" t="str">
        <f t="shared" si="41"/>
        <v/>
      </c>
      <c r="Q84" s="9" t="str">
        <f t="shared" si="48"/>
        <v/>
      </c>
      <c r="R84" s="8" t="str">
        <f t="shared" si="49"/>
        <v/>
      </c>
      <c r="S84" s="9">
        <f t="shared" si="50"/>
        <v>18</v>
      </c>
      <c r="T84" s="9" t="str" cm="1">
        <f t="array" ref="T84">IF(O84,INDEX($AP$2:$AP$21,S84,1),"")</f>
        <v/>
      </c>
      <c r="U84" s="9" t="str">
        <f t="shared" si="51"/>
        <v/>
      </c>
      <c r="V84" s="9"/>
      <c r="W84" s="9" t="str">
        <f t="shared" si="52"/>
        <v/>
      </c>
      <c r="X84" s="9" t="str">
        <f t="shared" si="53"/>
        <v/>
      </c>
      <c r="Y84" s="8" t="str">
        <f t="shared" si="54"/>
        <v/>
      </c>
      <c r="Z84" s="9">
        <f t="shared" si="55"/>
        <v>17</v>
      </c>
      <c r="AA84" s="9" t="str" cm="1">
        <f t="array" ref="AA84">IF(V84,INDEX($AK$2:$AK$20,Z84,1),"")</f>
        <v/>
      </c>
      <c r="AB84" s="9" t="str">
        <f t="shared" si="56"/>
        <v/>
      </c>
    </row>
    <row r="85" spans="1:28" customFormat="1">
      <c r="A85" t="s">
        <v>118</v>
      </c>
      <c r="B85">
        <f>_xlfn.IFNA(INDEX(bf!B:B,MATCH(A85,bf!A:A,0),1),0)</f>
        <v>0</v>
      </c>
      <c r="C85">
        <f>INDEX('اسعار الاسهم'!A:L,MATCH(A85,'اسعار الاسهم'!K:K,0),2)</f>
        <v>24.7</v>
      </c>
      <c r="G85">
        <f t="shared" si="42"/>
        <v>0</v>
      </c>
      <c r="H85" s="8"/>
      <c r="I85" s="8"/>
      <c r="J85">
        <f t="shared" si="43"/>
        <v>0</v>
      </c>
      <c r="K85">
        <f t="shared" si="44"/>
        <v>0</v>
      </c>
      <c r="L85">
        <f t="shared" si="45"/>
        <v>0</v>
      </c>
      <c r="M85" s="9">
        <f t="shared" si="46"/>
        <v>0</v>
      </c>
      <c r="N85" s="9" t="b">
        <f t="shared" si="47"/>
        <v>0</v>
      </c>
      <c r="O85" s="9"/>
      <c r="P85" s="9" t="str">
        <f t="shared" si="41"/>
        <v/>
      </c>
      <c r="Q85" s="9" t="str">
        <f t="shared" si="48"/>
        <v/>
      </c>
      <c r="R85" s="8" t="str">
        <f t="shared" si="49"/>
        <v/>
      </c>
      <c r="S85" s="9">
        <f t="shared" si="50"/>
        <v>18</v>
      </c>
      <c r="T85" s="9" t="str" cm="1">
        <f t="array" ref="T85">IF(O85,INDEX($AP$2:$AP$21,S85,1),"")</f>
        <v/>
      </c>
      <c r="U85" s="9" t="str">
        <f t="shared" si="51"/>
        <v/>
      </c>
      <c r="V85" s="9"/>
      <c r="W85" s="9" t="str">
        <f t="shared" si="52"/>
        <v/>
      </c>
      <c r="X85" s="9" t="str">
        <f t="shared" si="53"/>
        <v/>
      </c>
      <c r="Y85" s="8" t="str">
        <f t="shared" si="54"/>
        <v/>
      </c>
      <c r="Z85" s="9">
        <f t="shared" si="55"/>
        <v>17</v>
      </c>
      <c r="AA85" s="9" t="str" cm="1">
        <f t="array" ref="AA85">IF(V85,INDEX($AK$2:$AK$20,Z85,1),"")</f>
        <v/>
      </c>
      <c r="AB85" s="9" t="str">
        <f t="shared" si="56"/>
        <v/>
      </c>
    </row>
    <row r="86" spans="1:28" customFormat="1">
      <c r="A86" t="s">
        <v>23</v>
      </c>
      <c r="B86">
        <f>_xlfn.IFNA(INDEX(bf!B:B,MATCH(A86,bf!A:A,0),1),0)</f>
        <v>0</v>
      </c>
      <c r="C86">
        <f>INDEX('اسعار الاسهم'!A:L,MATCH(A86,'اسعار الاسهم'!K:K,0),2)</f>
        <v>8.6999999999999993</v>
      </c>
      <c r="G86">
        <f t="shared" si="42"/>
        <v>0</v>
      </c>
      <c r="H86" s="8"/>
      <c r="I86" s="8"/>
      <c r="J86">
        <f t="shared" si="43"/>
        <v>0</v>
      </c>
      <c r="K86">
        <f t="shared" si="44"/>
        <v>0</v>
      </c>
      <c r="L86">
        <f t="shared" si="45"/>
        <v>0</v>
      </c>
      <c r="M86" s="9">
        <f t="shared" si="46"/>
        <v>0</v>
      </c>
      <c r="N86" s="9" t="b">
        <f t="shared" si="47"/>
        <v>0</v>
      </c>
      <c r="O86" s="9"/>
      <c r="P86" s="9" t="str">
        <f t="shared" si="41"/>
        <v/>
      </c>
      <c r="Q86" s="9" t="str">
        <f t="shared" si="48"/>
        <v/>
      </c>
      <c r="R86" s="8" t="str">
        <f t="shared" si="49"/>
        <v/>
      </c>
      <c r="S86" s="9">
        <f t="shared" si="50"/>
        <v>18</v>
      </c>
      <c r="T86" s="9" t="str" cm="1">
        <f t="array" ref="T86">IF(O86,INDEX($AP$2:$AP$21,S86,1),"")</f>
        <v/>
      </c>
      <c r="U86" s="9" t="str">
        <f t="shared" si="51"/>
        <v/>
      </c>
      <c r="V86" s="9"/>
      <c r="W86" s="9" t="str">
        <f t="shared" si="52"/>
        <v/>
      </c>
      <c r="X86" s="9" t="str">
        <f t="shared" si="53"/>
        <v/>
      </c>
      <c r="Y86" s="8" t="str">
        <f t="shared" si="54"/>
        <v/>
      </c>
      <c r="Z86" s="9">
        <f t="shared" si="55"/>
        <v>17</v>
      </c>
      <c r="AA86" s="9" t="str" cm="1">
        <f t="array" ref="AA86">IF(V86,INDEX($AK$2:$AK$20,Z86,1),"")</f>
        <v/>
      </c>
      <c r="AB86" s="9" t="str">
        <f t="shared" si="56"/>
        <v/>
      </c>
    </row>
    <row r="87" spans="1:28" customFormat="1">
      <c r="A87" t="s">
        <v>57</v>
      </c>
      <c r="B87">
        <f>_xlfn.IFNA(INDEX(bf!B:B,MATCH(A87,bf!A:A,0),1),0)</f>
        <v>0</v>
      </c>
      <c r="C87">
        <f>INDEX('اسعار الاسهم'!A:L,MATCH(A87,'اسعار الاسهم'!K:K,0),2)</f>
        <v>8.35</v>
      </c>
      <c r="G87">
        <f t="shared" si="42"/>
        <v>0</v>
      </c>
      <c r="H87" s="8"/>
      <c r="I87" s="8"/>
      <c r="J87">
        <f t="shared" si="43"/>
        <v>0</v>
      </c>
      <c r="K87">
        <f t="shared" si="44"/>
        <v>0</v>
      </c>
      <c r="L87">
        <f t="shared" si="45"/>
        <v>0</v>
      </c>
      <c r="M87" s="9">
        <f t="shared" si="46"/>
        <v>0</v>
      </c>
      <c r="N87" s="9" t="b">
        <f t="shared" si="47"/>
        <v>0</v>
      </c>
      <c r="O87" s="9"/>
      <c r="P87" s="9" t="str">
        <f t="shared" si="41"/>
        <v/>
      </c>
      <c r="Q87" s="9" t="str">
        <f t="shared" si="48"/>
        <v/>
      </c>
      <c r="R87" s="8" t="str">
        <f t="shared" si="49"/>
        <v/>
      </c>
      <c r="S87" s="9">
        <f t="shared" si="50"/>
        <v>18</v>
      </c>
      <c r="T87" s="9" t="str" cm="1">
        <f t="array" ref="T87">IF(O87,INDEX($AP$2:$AP$21,S87,1),"")</f>
        <v/>
      </c>
      <c r="U87" s="9" t="str">
        <f t="shared" si="51"/>
        <v/>
      </c>
      <c r="V87" s="9"/>
      <c r="W87" s="9" t="str">
        <f t="shared" si="52"/>
        <v/>
      </c>
      <c r="X87" s="9" t="str">
        <f t="shared" si="53"/>
        <v/>
      </c>
      <c r="Y87" s="8" t="str">
        <f t="shared" si="54"/>
        <v/>
      </c>
      <c r="Z87" s="9">
        <f t="shared" si="55"/>
        <v>17</v>
      </c>
      <c r="AA87" s="9" t="str" cm="1">
        <f t="array" ref="AA87">IF(V87,INDEX($AK$2:$AK$20,Z87,1),"")</f>
        <v/>
      </c>
      <c r="AB87" s="9" t="str">
        <f t="shared" si="56"/>
        <v/>
      </c>
    </row>
    <row r="88" spans="1:28" customFormat="1">
      <c r="A88" t="s">
        <v>159</v>
      </c>
      <c r="B88">
        <f>_xlfn.IFNA(INDEX(bf!B:B,MATCH(A88,bf!A:A,0),1),0)</f>
        <v>0</v>
      </c>
      <c r="C88">
        <f>INDEX('اسعار الاسهم'!A:L,MATCH(A88,'اسعار الاسهم'!K:K,0),2)</f>
        <v>1.3</v>
      </c>
      <c r="G88">
        <f t="shared" si="42"/>
        <v>0</v>
      </c>
      <c r="H88" s="8"/>
      <c r="I88" s="8"/>
      <c r="J88">
        <f t="shared" si="43"/>
        <v>0</v>
      </c>
      <c r="K88">
        <f t="shared" si="44"/>
        <v>0</v>
      </c>
      <c r="L88">
        <f t="shared" si="45"/>
        <v>0</v>
      </c>
      <c r="M88" s="9">
        <f t="shared" si="46"/>
        <v>0</v>
      </c>
      <c r="N88" s="9" t="b">
        <f t="shared" si="47"/>
        <v>0</v>
      </c>
      <c r="O88" s="9"/>
      <c r="P88" s="9" t="str">
        <f t="shared" ref="P88:P119" si="57">IFERROR(T88-O88,"")</f>
        <v/>
      </c>
      <c r="Q88" s="9" t="str">
        <f t="shared" si="48"/>
        <v/>
      </c>
      <c r="R88" s="8" t="str">
        <f t="shared" si="49"/>
        <v/>
      </c>
      <c r="S88" s="9">
        <f t="shared" si="50"/>
        <v>18</v>
      </c>
      <c r="T88" s="9" t="str" cm="1">
        <f t="array" ref="T88">IF(O88,INDEX($AP$2:$AP$21,S88,1),"")</f>
        <v/>
      </c>
      <c r="U88" s="9" t="str">
        <f t="shared" si="51"/>
        <v/>
      </c>
      <c r="V88" s="9"/>
      <c r="W88" s="9" t="str">
        <f t="shared" si="52"/>
        <v/>
      </c>
      <c r="X88" s="9" t="str">
        <f t="shared" si="53"/>
        <v/>
      </c>
      <c r="Y88" s="8" t="str">
        <f t="shared" si="54"/>
        <v/>
      </c>
      <c r="Z88" s="9">
        <f t="shared" si="55"/>
        <v>17</v>
      </c>
      <c r="AA88" s="9" t="str" cm="1">
        <f t="array" ref="AA88">IF(V88,INDEX($AK$2:$AK$20,Z88,1),"")</f>
        <v/>
      </c>
      <c r="AB88" s="9" t="str">
        <f t="shared" si="56"/>
        <v/>
      </c>
    </row>
    <row r="89" spans="1:28" customFormat="1">
      <c r="A89" t="s">
        <v>59</v>
      </c>
      <c r="B89">
        <f>_xlfn.IFNA(INDEX(bf!B:B,MATCH(A89,bf!A:A,0),1),0)</f>
        <v>0</v>
      </c>
      <c r="C89">
        <f>INDEX('اسعار الاسهم'!A:L,MATCH(A89,'اسعار الاسهم'!K:K,0),2)</f>
        <v>8.3699999999999992</v>
      </c>
      <c r="G89">
        <f t="shared" si="42"/>
        <v>0</v>
      </c>
      <c r="H89" s="8"/>
      <c r="I89" s="8"/>
      <c r="J89">
        <f t="shared" si="43"/>
        <v>0</v>
      </c>
      <c r="K89">
        <f t="shared" si="44"/>
        <v>0</v>
      </c>
      <c r="L89">
        <f t="shared" si="45"/>
        <v>0</v>
      </c>
      <c r="M89" s="9">
        <f t="shared" si="46"/>
        <v>0</v>
      </c>
      <c r="N89" s="9" t="b">
        <f t="shared" si="47"/>
        <v>0</v>
      </c>
      <c r="O89" s="9"/>
      <c r="P89" s="9" t="str">
        <f t="shared" si="57"/>
        <v/>
      </c>
      <c r="Q89" s="9" t="str">
        <f t="shared" si="48"/>
        <v/>
      </c>
      <c r="R89" s="8" t="str">
        <f t="shared" si="49"/>
        <v/>
      </c>
      <c r="S89" s="9">
        <f t="shared" si="50"/>
        <v>18</v>
      </c>
      <c r="T89" s="9" t="str" cm="1">
        <f t="array" ref="T89">IF(O89,INDEX($AP$2:$AP$21,S89,1),"")</f>
        <v/>
      </c>
      <c r="U89" s="9" t="str">
        <f t="shared" si="51"/>
        <v/>
      </c>
      <c r="V89" s="9"/>
      <c r="W89" s="9" t="str">
        <f t="shared" si="52"/>
        <v/>
      </c>
      <c r="X89" s="9" t="str">
        <f t="shared" si="53"/>
        <v/>
      </c>
      <c r="Y89" s="8" t="str">
        <f t="shared" si="54"/>
        <v/>
      </c>
      <c r="Z89" s="9">
        <f t="shared" si="55"/>
        <v>17</v>
      </c>
      <c r="AA89" s="9" t="str" cm="1">
        <f t="array" ref="AA89">IF(V89,INDEX($AK$2:$AK$20,Z89,1),"")</f>
        <v/>
      </c>
      <c r="AB89" s="9" t="str">
        <f t="shared" si="56"/>
        <v/>
      </c>
    </row>
    <row r="90" spans="1:28" customFormat="1">
      <c r="A90" t="s">
        <v>162</v>
      </c>
      <c r="B90">
        <f>_xlfn.IFNA(INDEX(bf!B:B,MATCH(A90,bf!A:A,0),1),0)</f>
        <v>0</v>
      </c>
      <c r="C90">
        <f>INDEX('اسعار الاسهم'!A:L,MATCH(A90,'اسعار الاسهم'!K:K,0),2)</f>
        <v>47.7</v>
      </c>
      <c r="G90">
        <f t="shared" si="42"/>
        <v>0</v>
      </c>
      <c r="H90" s="4"/>
      <c r="I90" s="8"/>
      <c r="J90">
        <f t="shared" si="43"/>
        <v>0</v>
      </c>
      <c r="K90">
        <f t="shared" si="44"/>
        <v>0</v>
      </c>
      <c r="L90">
        <f t="shared" si="45"/>
        <v>0</v>
      </c>
      <c r="M90" s="9">
        <f t="shared" si="46"/>
        <v>0</v>
      </c>
      <c r="N90" s="9" t="b">
        <f t="shared" si="47"/>
        <v>0</v>
      </c>
      <c r="O90" s="9"/>
      <c r="P90" s="9" t="str">
        <f t="shared" si="57"/>
        <v/>
      </c>
      <c r="Q90" s="9" t="str">
        <f t="shared" si="48"/>
        <v/>
      </c>
      <c r="R90" s="8" t="str">
        <f t="shared" si="49"/>
        <v/>
      </c>
      <c r="S90" s="9">
        <f t="shared" si="50"/>
        <v>18</v>
      </c>
      <c r="T90" s="9" t="str" cm="1">
        <f t="array" ref="T90">IF(O90,INDEX($AP$2:$AP$21,S90,1),"")</f>
        <v/>
      </c>
      <c r="U90" s="9" t="str">
        <f t="shared" si="51"/>
        <v/>
      </c>
      <c r="V90" s="9"/>
      <c r="W90" s="9" t="str">
        <f t="shared" si="52"/>
        <v/>
      </c>
      <c r="X90" s="9" t="str">
        <f t="shared" si="53"/>
        <v/>
      </c>
      <c r="Y90" s="8" t="str">
        <f t="shared" si="54"/>
        <v/>
      </c>
      <c r="Z90" s="9">
        <f t="shared" si="55"/>
        <v>17</v>
      </c>
      <c r="AA90" s="9" t="str" cm="1">
        <f t="array" ref="AA90">IF(V90,INDEX($AK$2:$AK$20,Z90,1),"")</f>
        <v/>
      </c>
      <c r="AB90" s="9" t="str">
        <f t="shared" si="56"/>
        <v/>
      </c>
    </row>
    <row r="91" spans="1:28" customFormat="1">
      <c r="A91" t="s">
        <v>163</v>
      </c>
      <c r="B91">
        <f>_xlfn.IFNA(INDEX(bf!B:B,MATCH(A91,bf!A:A,0),1),0)</f>
        <v>0</v>
      </c>
      <c r="C91">
        <f>INDEX('اسعار الاسهم'!A:L,MATCH(A91,'اسعار الاسهم'!K:K,0),2)</f>
        <v>0.3</v>
      </c>
      <c r="G91">
        <f t="shared" si="42"/>
        <v>0</v>
      </c>
      <c r="H91" s="8"/>
      <c r="I91" s="8"/>
      <c r="J91">
        <f t="shared" si="43"/>
        <v>0</v>
      </c>
      <c r="K91">
        <f t="shared" si="44"/>
        <v>0</v>
      </c>
      <c r="L91">
        <f t="shared" si="45"/>
        <v>0</v>
      </c>
      <c r="M91" s="9">
        <f t="shared" si="46"/>
        <v>0</v>
      </c>
      <c r="N91" s="9" t="b">
        <f t="shared" si="47"/>
        <v>0</v>
      </c>
      <c r="O91" s="9"/>
      <c r="P91" s="9" t="str">
        <f t="shared" si="57"/>
        <v/>
      </c>
      <c r="Q91" s="9" t="str">
        <f t="shared" si="48"/>
        <v/>
      </c>
      <c r="R91" s="8" t="str">
        <f t="shared" si="49"/>
        <v/>
      </c>
      <c r="S91" s="9">
        <f t="shared" si="50"/>
        <v>18</v>
      </c>
      <c r="T91" s="9" t="str" cm="1">
        <f t="array" ref="T91">IF(O91,INDEX($AP$2:$AP$21,S91,1),"")</f>
        <v/>
      </c>
      <c r="U91" s="9" t="str">
        <f t="shared" si="51"/>
        <v/>
      </c>
      <c r="V91" s="9"/>
      <c r="W91" s="9" t="str">
        <f t="shared" si="52"/>
        <v/>
      </c>
      <c r="X91" s="9" t="str">
        <f t="shared" si="53"/>
        <v/>
      </c>
      <c r="Y91" s="8" t="str">
        <f t="shared" si="54"/>
        <v/>
      </c>
      <c r="Z91" s="9">
        <f t="shared" si="55"/>
        <v>17</v>
      </c>
      <c r="AA91" s="9" t="str" cm="1">
        <f t="array" ref="AA91">IF(V91,INDEX($AK$2:$AK$20,Z91,1),"")</f>
        <v/>
      </c>
      <c r="AB91" s="9" t="str">
        <f t="shared" si="56"/>
        <v/>
      </c>
    </row>
    <row r="92" spans="1:28" customFormat="1">
      <c r="A92" t="s">
        <v>170</v>
      </c>
      <c r="B92">
        <f>_xlfn.IFNA(INDEX(bf!B:B,MATCH(A92,bf!A:A,0),1),0)</f>
        <v>0</v>
      </c>
      <c r="C92">
        <f>INDEX('اسعار الاسهم'!A:L,MATCH(A92,'اسعار الاسهم'!K:K,0),2)</f>
        <v>3.08</v>
      </c>
      <c r="G92">
        <f t="shared" si="42"/>
        <v>0</v>
      </c>
      <c r="H92" s="8"/>
      <c r="I92" s="8"/>
      <c r="J92">
        <f t="shared" si="43"/>
        <v>0</v>
      </c>
      <c r="K92">
        <f t="shared" si="44"/>
        <v>0</v>
      </c>
      <c r="L92">
        <f t="shared" si="45"/>
        <v>0</v>
      </c>
      <c r="M92" s="9">
        <f t="shared" si="46"/>
        <v>0</v>
      </c>
      <c r="N92" s="9" t="b">
        <f t="shared" si="47"/>
        <v>0</v>
      </c>
      <c r="O92" s="9"/>
      <c r="P92" s="9" t="str">
        <f t="shared" si="57"/>
        <v/>
      </c>
      <c r="Q92" s="9" t="str">
        <f t="shared" si="48"/>
        <v/>
      </c>
      <c r="R92" s="8" t="str">
        <f t="shared" si="49"/>
        <v/>
      </c>
      <c r="S92" s="9">
        <f t="shared" si="50"/>
        <v>18</v>
      </c>
      <c r="T92" s="9" t="str" cm="1">
        <f t="array" ref="T92">IF(O92,INDEX($AP$2:$AP$21,S92,1),"")</f>
        <v/>
      </c>
      <c r="U92" s="9" t="str">
        <f t="shared" si="51"/>
        <v/>
      </c>
      <c r="V92" s="9"/>
      <c r="W92" s="9" t="str">
        <f t="shared" si="52"/>
        <v/>
      </c>
      <c r="X92" s="9" t="str">
        <f t="shared" si="53"/>
        <v/>
      </c>
      <c r="Y92" s="8" t="str">
        <f t="shared" si="54"/>
        <v/>
      </c>
      <c r="Z92" s="9">
        <f t="shared" si="55"/>
        <v>17</v>
      </c>
      <c r="AA92" s="9" t="str" cm="1">
        <f t="array" ref="AA92">IF(V92,INDEX($AK$2:$AK$20,Z92,1),"")</f>
        <v/>
      </c>
      <c r="AB92" s="9" t="str">
        <f t="shared" si="56"/>
        <v/>
      </c>
    </row>
    <row r="93" spans="1:28" customFormat="1">
      <c r="A93" t="s">
        <v>11</v>
      </c>
      <c r="B93">
        <f>_xlfn.IFNA(INDEX(bf!B:B,MATCH(A93,bf!A:A,0),1),0)</f>
        <v>0</v>
      </c>
      <c r="C93">
        <f>INDEX('اسعار الاسهم'!A:L,MATCH(A93,'اسعار الاسهم'!K:K,0),2)</f>
        <v>34.5</v>
      </c>
      <c r="G93">
        <f t="shared" si="42"/>
        <v>0</v>
      </c>
      <c r="H93" s="8"/>
      <c r="I93" s="8"/>
      <c r="J93">
        <f t="shared" si="43"/>
        <v>0</v>
      </c>
      <c r="K93">
        <f t="shared" si="44"/>
        <v>0</v>
      </c>
      <c r="L93">
        <f t="shared" si="45"/>
        <v>0</v>
      </c>
      <c r="M93" s="9">
        <f t="shared" si="46"/>
        <v>0</v>
      </c>
      <c r="N93" s="9" t="b">
        <f t="shared" si="47"/>
        <v>0</v>
      </c>
      <c r="O93" s="9"/>
      <c r="P93" s="9" t="str">
        <f t="shared" si="57"/>
        <v/>
      </c>
      <c r="Q93" s="9" t="str">
        <f t="shared" si="48"/>
        <v/>
      </c>
      <c r="R93" s="8" t="str">
        <f t="shared" si="49"/>
        <v/>
      </c>
      <c r="S93" s="9">
        <f t="shared" si="50"/>
        <v>18</v>
      </c>
      <c r="T93" s="9" t="str" cm="1">
        <f t="array" ref="T93">IF(O93,INDEX($AP$2:$AP$21,S93,1),"")</f>
        <v/>
      </c>
      <c r="U93" s="9" t="str">
        <f t="shared" si="51"/>
        <v/>
      </c>
      <c r="V93" s="9"/>
      <c r="W93" s="9" t="str">
        <f t="shared" si="52"/>
        <v/>
      </c>
      <c r="X93" s="9" t="str">
        <f t="shared" si="53"/>
        <v/>
      </c>
      <c r="Y93" s="8" t="str">
        <f t="shared" si="54"/>
        <v/>
      </c>
      <c r="Z93" s="9">
        <f t="shared" si="55"/>
        <v>17</v>
      </c>
      <c r="AA93" s="9" t="str" cm="1">
        <f t="array" ref="AA93">IF(V93,INDEX($AK$2:$AK$20,Z93,1),"")</f>
        <v/>
      </c>
      <c r="AB93" s="9" t="str">
        <f t="shared" si="56"/>
        <v/>
      </c>
    </row>
    <row r="94" spans="1:28" customFormat="1">
      <c r="A94" t="s">
        <v>58</v>
      </c>
      <c r="B94">
        <f>_xlfn.IFNA(INDEX(bf!B:B,MATCH(A94,bf!A:A,0),1),0)</f>
        <v>0</v>
      </c>
      <c r="C94">
        <f>INDEX('اسعار الاسهم'!A:L,MATCH(A94,'اسعار الاسهم'!K:K,0),2)</f>
        <v>1.17</v>
      </c>
      <c r="G94">
        <f t="shared" si="42"/>
        <v>0</v>
      </c>
      <c r="H94" s="8"/>
      <c r="I94" s="8"/>
      <c r="J94">
        <f t="shared" si="43"/>
        <v>0</v>
      </c>
      <c r="K94">
        <f t="shared" si="44"/>
        <v>0</v>
      </c>
      <c r="L94">
        <f t="shared" si="45"/>
        <v>0</v>
      </c>
      <c r="M94" s="9">
        <f t="shared" si="46"/>
        <v>0</v>
      </c>
      <c r="N94" s="9" t="b">
        <f t="shared" si="47"/>
        <v>0</v>
      </c>
      <c r="O94" s="9"/>
      <c r="P94" s="9" t="str">
        <f t="shared" si="57"/>
        <v/>
      </c>
      <c r="Q94" s="9" t="str">
        <f t="shared" si="48"/>
        <v/>
      </c>
      <c r="R94" s="8" t="str">
        <f t="shared" si="49"/>
        <v/>
      </c>
      <c r="S94" s="9">
        <f t="shared" si="50"/>
        <v>18</v>
      </c>
      <c r="T94" s="9" t="str" cm="1">
        <f t="array" ref="T94">IF(O94,INDEX($AP$2:$AP$21,S94,1),"")</f>
        <v/>
      </c>
      <c r="U94" s="9" t="str">
        <f t="shared" si="51"/>
        <v/>
      </c>
      <c r="V94" s="9"/>
      <c r="W94" s="9" t="str">
        <f t="shared" si="52"/>
        <v/>
      </c>
      <c r="X94" s="9" t="str">
        <f t="shared" si="53"/>
        <v/>
      </c>
      <c r="Y94" s="8" t="str">
        <f t="shared" si="54"/>
        <v/>
      </c>
      <c r="Z94" s="9">
        <f t="shared" si="55"/>
        <v>17</v>
      </c>
      <c r="AA94" s="9" t="str" cm="1">
        <f t="array" ref="AA94">IF(V94,INDEX($AK$2:$AK$20,Z94,1),"")</f>
        <v/>
      </c>
      <c r="AB94" s="9" t="str">
        <f t="shared" si="56"/>
        <v/>
      </c>
    </row>
    <row r="95" spans="1:28" customFormat="1">
      <c r="A95" t="s">
        <v>68</v>
      </c>
      <c r="B95">
        <f>_xlfn.IFNA(INDEX(bf!B:B,MATCH(A95,bf!A:A,0),1),0)</f>
        <v>0</v>
      </c>
      <c r="C95">
        <f>INDEX('اسعار الاسهم'!A:L,MATCH(A95,'اسعار الاسهم'!K:K,0),2)</f>
        <v>4.62</v>
      </c>
      <c r="G95">
        <f t="shared" si="42"/>
        <v>0</v>
      </c>
      <c r="H95" s="8"/>
      <c r="I95" s="8"/>
      <c r="J95">
        <f t="shared" si="43"/>
        <v>0</v>
      </c>
      <c r="K95">
        <f t="shared" si="44"/>
        <v>0</v>
      </c>
      <c r="L95">
        <f t="shared" si="45"/>
        <v>0</v>
      </c>
      <c r="M95" s="9">
        <f t="shared" si="46"/>
        <v>0</v>
      </c>
      <c r="N95" s="9" t="b">
        <f t="shared" si="47"/>
        <v>0</v>
      </c>
      <c r="O95" s="9"/>
      <c r="P95" s="9" t="str">
        <f t="shared" si="57"/>
        <v/>
      </c>
      <c r="Q95" s="9" t="str">
        <f t="shared" si="48"/>
        <v/>
      </c>
      <c r="R95" s="8" t="str">
        <f t="shared" si="49"/>
        <v/>
      </c>
      <c r="S95" s="9">
        <f t="shared" si="50"/>
        <v>18</v>
      </c>
      <c r="T95" s="9" t="str" cm="1">
        <f t="array" ref="T95">IF(O95,INDEX($AP$2:$AP$21,S95,1),"")</f>
        <v/>
      </c>
      <c r="U95" s="9" t="str">
        <f t="shared" si="51"/>
        <v/>
      </c>
      <c r="V95" s="9"/>
      <c r="W95" s="9" t="str">
        <f t="shared" si="52"/>
        <v/>
      </c>
      <c r="X95" s="9" t="str">
        <f t="shared" si="53"/>
        <v/>
      </c>
      <c r="Y95" s="8" t="str">
        <f t="shared" si="54"/>
        <v/>
      </c>
      <c r="Z95" s="9">
        <f t="shared" si="55"/>
        <v>17</v>
      </c>
      <c r="AA95" s="9" t="str" cm="1">
        <f t="array" ref="AA95">IF(V95,INDEX($AK$2:$AK$20,Z95,1),"")</f>
        <v/>
      </c>
      <c r="AB95" s="9" t="str">
        <f t="shared" si="56"/>
        <v/>
      </c>
    </row>
    <row r="96" spans="1:28" customFormat="1">
      <c r="A96" t="s">
        <v>114</v>
      </c>
      <c r="B96">
        <f>_xlfn.IFNA(INDEX(bf!B:B,MATCH(A96,bf!A:A,0),1),0)</f>
        <v>0</v>
      </c>
      <c r="C96">
        <f>INDEX('اسعار الاسهم'!A:L,MATCH(A96,'اسعار الاسهم'!K:K,0),2)</f>
        <v>0.36</v>
      </c>
      <c r="G96">
        <f t="shared" si="42"/>
        <v>0</v>
      </c>
      <c r="H96" s="8"/>
      <c r="I96" s="8"/>
      <c r="J96">
        <f t="shared" si="43"/>
        <v>0</v>
      </c>
      <c r="K96">
        <f t="shared" si="44"/>
        <v>0</v>
      </c>
      <c r="L96">
        <f t="shared" si="45"/>
        <v>0</v>
      </c>
      <c r="M96" s="9">
        <f t="shared" si="46"/>
        <v>0</v>
      </c>
      <c r="N96" s="9" t="b">
        <f t="shared" si="47"/>
        <v>0</v>
      </c>
      <c r="O96" s="9"/>
      <c r="P96" s="9" t="str">
        <f t="shared" si="57"/>
        <v/>
      </c>
      <c r="Q96" s="9" t="str">
        <f t="shared" si="48"/>
        <v/>
      </c>
      <c r="R96" s="8" t="str">
        <f t="shared" si="49"/>
        <v/>
      </c>
      <c r="S96" s="9">
        <f t="shared" si="50"/>
        <v>18</v>
      </c>
      <c r="T96" s="9" t="str" cm="1">
        <f t="array" ref="T96">IF(O96,INDEX($AP$2:$AP$21,S96,1),"")</f>
        <v/>
      </c>
      <c r="U96" s="9" t="str">
        <f t="shared" si="51"/>
        <v/>
      </c>
      <c r="V96" s="9"/>
      <c r="W96" s="9" t="str">
        <f t="shared" si="52"/>
        <v/>
      </c>
      <c r="X96" s="9" t="str">
        <f t="shared" si="53"/>
        <v/>
      </c>
      <c r="Y96" s="8" t="str">
        <f t="shared" si="54"/>
        <v/>
      </c>
      <c r="Z96" s="9">
        <f t="shared" si="55"/>
        <v>17</v>
      </c>
      <c r="AA96" s="9" t="str" cm="1">
        <f t="array" ref="AA96">IF(V96,INDEX($AK$2:$AK$20,Z96,1),"")</f>
        <v/>
      </c>
      <c r="AB96" s="9" t="str">
        <f t="shared" si="56"/>
        <v/>
      </c>
    </row>
    <row r="97" spans="1:30" customFormat="1">
      <c r="A97" t="s">
        <v>178</v>
      </c>
      <c r="B97">
        <f>_xlfn.IFNA(INDEX(bf!B:B,MATCH(A97,bf!A:A,0),1),0)</f>
        <v>0</v>
      </c>
      <c r="C97">
        <f>INDEX('اسعار الاسهم'!A:L,MATCH(A97,'اسعار الاسهم'!K:K,0),2)</f>
        <v>1.52</v>
      </c>
      <c r="G97">
        <f t="shared" si="42"/>
        <v>0</v>
      </c>
      <c r="H97" s="8"/>
      <c r="I97" s="8"/>
      <c r="J97">
        <f t="shared" si="43"/>
        <v>0</v>
      </c>
      <c r="K97">
        <f t="shared" si="44"/>
        <v>0</v>
      </c>
      <c r="L97">
        <f t="shared" si="45"/>
        <v>0</v>
      </c>
      <c r="M97" s="9">
        <f t="shared" si="46"/>
        <v>0</v>
      </c>
      <c r="N97" s="9" t="b">
        <f t="shared" si="47"/>
        <v>0</v>
      </c>
      <c r="O97" s="9"/>
      <c r="P97" s="9" t="str">
        <f t="shared" si="57"/>
        <v/>
      </c>
      <c r="Q97" s="9" t="str">
        <f t="shared" si="48"/>
        <v/>
      </c>
      <c r="R97" s="8" t="str">
        <f t="shared" si="49"/>
        <v/>
      </c>
      <c r="S97" s="9">
        <f t="shared" si="50"/>
        <v>18</v>
      </c>
      <c r="T97" s="9" t="str" cm="1">
        <f t="array" ref="T97">IF(O97,INDEX($AP$2:$AP$21,S97,1),"")</f>
        <v/>
      </c>
      <c r="U97" s="9" t="str">
        <f t="shared" si="51"/>
        <v/>
      </c>
      <c r="V97" s="9"/>
      <c r="W97" s="9" t="str">
        <f t="shared" si="52"/>
        <v/>
      </c>
      <c r="X97" s="9" t="str">
        <f t="shared" si="53"/>
        <v/>
      </c>
      <c r="Y97" s="8" t="str">
        <f t="shared" si="54"/>
        <v/>
      </c>
      <c r="Z97" s="9">
        <f t="shared" si="55"/>
        <v>17</v>
      </c>
      <c r="AA97" s="9" t="str" cm="1">
        <f t="array" ref="AA97">IF(V97,INDEX($AK$2:$AK$20,Z97,1),"")</f>
        <v/>
      </c>
      <c r="AB97" s="9" t="str">
        <f t="shared" si="56"/>
        <v/>
      </c>
    </row>
    <row r="98" spans="1:30" customFormat="1">
      <c r="A98" t="s">
        <v>1149</v>
      </c>
      <c r="B98">
        <f>_xlfn.IFNA(INDEX(bf!B:B,MATCH(A98,bf!A:A,0),1),0)</f>
        <v>0</v>
      </c>
      <c r="C98">
        <f>INDEX('اسعار الاسهم'!A:L,MATCH(A98,'اسعار الاسهم'!K:K,0),2)</f>
        <v>1.1299999999999999</v>
      </c>
      <c r="G98">
        <f t="shared" ref="G98:G129" si="58">B98/C98</f>
        <v>0</v>
      </c>
      <c r="H98" s="8"/>
      <c r="I98" s="8"/>
      <c r="J98">
        <f t="shared" ref="J98:J129" si="59">1-(_xlfn.RANK.EQ(G98,G:G,)-1)/(COUNTIF(G:G,"&gt;0"))</f>
        <v>0</v>
      </c>
      <c r="K98">
        <f t="shared" ref="K98:K129" si="60">_xlfn.IFNA(1-(_xlfn.RANK.EQ(H98,H:H,)-1)/(COUNTIF(H:H,"&gt;0")),0)</f>
        <v>0</v>
      </c>
      <c r="L98">
        <f t="shared" ref="L98:L129" si="61">_xlfn.IFNA(1-(_xlfn.RANK.EQ(I98,I:I,)-1)/(COUNTIF(I:I,"&gt;0")),0)</f>
        <v>0</v>
      </c>
      <c r="M98" s="9">
        <f t="shared" ref="M98:M129" si="62">$AG$2*J98+K98 *$AG$3+L98*$AG$4+$AG$5*E98+$AG$6*F98</f>
        <v>0</v>
      </c>
      <c r="N98" s="9" t="b">
        <f t="shared" ref="N98:N129" si="63">OR(O98&lt;&gt;"",V98&lt;&gt;"")</f>
        <v>0</v>
      </c>
      <c r="O98" s="9"/>
      <c r="P98" s="9" t="str">
        <f t="shared" si="57"/>
        <v/>
      </c>
      <c r="Q98" s="9" t="str">
        <f t="shared" ref="Q98:Q129" si="64">IF(P98&lt;&gt;"",IF(ABS(P98)/T98&gt;0.1,"Gny",""),"")</f>
        <v/>
      </c>
      <c r="R98" s="8" t="str">
        <f t="shared" ref="R98:R129" si="65">IF(P98&lt;&gt;"",ABS(P98)/T98,"")</f>
        <v/>
      </c>
      <c r="S98" s="9">
        <f t="shared" ref="S98:S113" si="66">_xlfn.NUMBERVALUE(S97)+IF(O98,1,0)</f>
        <v>18</v>
      </c>
      <c r="T98" s="9" t="str" cm="1">
        <f t="array" ref="T98">IF(O98,INDEX($AP$2:$AP$21,S98,1),"")</f>
        <v/>
      </c>
      <c r="U98" s="9" t="str">
        <f t="shared" ref="U98:U129" si="67">IF(P98&lt;&gt;"",ABS(P98),"")</f>
        <v/>
      </c>
      <c r="V98" s="9"/>
      <c r="W98" s="9" t="str">
        <f t="shared" ref="W98:W129" si="68">IFERROR(AA98-V98,"")</f>
        <v/>
      </c>
      <c r="X98" s="9" t="str">
        <f t="shared" ref="X98:X129" si="69">IF(W98&lt;&gt;"",IF(ABS(W98)/AA98&gt;0.1,"Gny",""),"")</f>
        <v/>
      </c>
      <c r="Y98" s="8" t="str">
        <f t="shared" ref="Y98:Y129" si="70">IF(W98&lt;&gt;"",ABS(W98)/AA98,"")</f>
        <v/>
      </c>
      <c r="Z98" s="9">
        <f t="shared" ref="Z98:Z114" si="71">_xlfn.NUMBERVALUE(Z97)+IF(V98,1,0)</f>
        <v>17</v>
      </c>
      <c r="AA98" s="9" t="str" cm="1">
        <f t="array" ref="AA98">IF(V98,INDEX($AK$2:$AK$20,Z98,1),"")</f>
        <v/>
      </c>
      <c r="AB98" s="9" t="str">
        <f t="shared" ref="AB98:AB129" si="72">IF(W98&lt;&gt;"",ABS(W98),"")</f>
        <v/>
      </c>
    </row>
    <row r="99" spans="1:30" customFormat="1">
      <c r="A99" t="s">
        <v>181</v>
      </c>
      <c r="B99">
        <f>_xlfn.IFNA(INDEX(bf!B:B,MATCH(A99,bf!A:A,0),1),0)</f>
        <v>0</v>
      </c>
      <c r="C99">
        <f>INDEX('اسعار الاسهم'!A:L,MATCH(A99,'اسعار الاسهم'!K:K,0),2)</f>
        <v>30.5</v>
      </c>
      <c r="G99">
        <f t="shared" si="58"/>
        <v>0</v>
      </c>
      <c r="H99" s="4"/>
      <c r="I99" s="8"/>
      <c r="J99">
        <f t="shared" si="59"/>
        <v>0</v>
      </c>
      <c r="K99">
        <f t="shared" si="60"/>
        <v>0</v>
      </c>
      <c r="L99">
        <f t="shared" si="61"/>
        <v>0</v>
      </c>
      <c r="M99" s="9">
        <f t="shared" si="62"/>
        <v>0</v>
      </c>
      <c r="N99" s="9" t="b">
        <f t="shared" si="63"/>
        <v>0</v>
      </c>
      <c r="O99" s="9"/>
      <c r="P99" s="9" t="str">
        <f t="shared" si="57"/>
        <v/>
      </c>
      <c r="Q99" s="9" t="str">
        <f t="shared" si="64"/>
        <v/>
      </c>
      <c r="R99" s="8" t="str">
        <f t="shared" si="65"/>
        <v/>
      </c>
      <c r="S99" s="9">
        <f t="shared" si="66"/>
        <v>18</v>
      </c>
      <c r="T99" s="9" t="str" cm="1">
        <f t="array" ref="T99">IF(O99,INDEX($AP$2:$AP$21,S99,1),"")</f>
        <v/>
      </c>
      <c r="U99" s="9" t="str">
        <f t="shared" si="67"/>
        <v/>
      </c>
      <c r="V99" s="9"/>
      <c r="W99" s="9" t="str">
        <f t="shared" si="68"/>
        <v/>
      </c>
      <c r="X99" s="9" t="str">
        <f t="shared" si="69"/>
        <v/>
      </c>
      <c r="Y99" s="8" t="str">
        <f t="shared" si="70"/>
        <v/>
      </c>
      <c r="Z99" s="9">
        <f t="shared" si="71"/>
        <v>17</v>
      </c>
      <c r="AA99" s="9" t="str" cm="1">
        <f t="array" ref="AA99">IF(V99,INDEX($AK$2:$AK$20,Z99,1),"")</f>
        <v/>
      </c>
      <c r="AB99" s="9" t="str">
        <f t="shared" si="72"/>
        <v/>
      </c>
    </row>
    <row r="100" spans="1:30" customFormat="1">
      <c r="A100" t="s">
        <v>61</v>
      </c>
      <c r="B100">
        <f>_xlfn.IFNA(INDEX(bf!B:B,MATCH(A100,bf!A:A,0),1),0)</f>
        <v>0</v>
      </c>
      <c r="C100">
        <f>INDEX('اسعار الاسهم'!A:L,MATCH(A100,'اسعار الاسهم'!K:K,0),2)</f>
        <v>25.11</v>
      </c>
      <c r="G100">
        <f t="shared" si="58"/>
        <v>0</v>
      </c>
      <c r="H100" s="8"/>
      <c r="I100" s="8"/>
      <c r="J100">
        <f t="shared" si="59"/>
        <v>0</v>
      </c>
      <c r="K100">
        <f t="shared" si="60"/>
        <v>0</v>
      </c>
      <c r="L100">
        <f t="shared" si="61"/>
        <v>0</v>
      </c>
      <c r="M100" s="9">
        <f t="shared" si="62"/>
        <v>0</v>
      </c>
      <c r="N100" s="9" t="b">
        <f t="shared" si="63"/>
        <v>0</v>
      </c>
      <c r="O100" s="9"/>
      <c r="P100" s="9" t="str">
        <f t="shared" si="57"/>
        <v/>
      </c>
      <c r="Q100" s="9" t="str">
        <f t="shared" si="64"/>
        <v/>
      </c>
      <c r="R100" s="8" t="str">
        <f t="shared" si="65"/>
        <v/>
      </c>
      <c r="S100" s="9">
        <f t="shared" si="66"/>
        <v>18</v>
      </c>
      <c r="T100" s="9" t="str" cm="1">
        <f t="array" ref="T100">IF(O100,INDEX($AP$2:$AP$21,S100,1),"")</f>
        <v/>
      </c>
      <c r="U100" s="9" t="str">
        <f t="shared" si="67"/>
        <v/>
      </c>
      <c r="V100" s="9"/>
      <c r="W100" s="9" t="str">
        <f t="shared" si="68"/>
        <v/>
      </c>
      <c r="X100" s="9" t="str">
        <f t="shared" si="69"/>
        <v/>
      </c>
      <c r="Y100" s="8" t="str">
        <f t="shared" si="70"/>
        <v/>
      </c>
      <c r="Z100" s="9">
        <f t="shared" si="71"/>
        <v>17</v>
      </c>
      <c r="AA100" s="9" t="str" cm="1">
        <f t="array" ref="AA100">IF(V100,INDEX($AK$2:$AK$20,Z100,1),"")</f>
        <v/>
      </c>
      <c r="AB100" s="9" t="str">
        <f t="shared" si="72"/>
        <v/>
      </c>
    </row>
    <row r="101" spans="1:30" customFormat="1">
      <c r="A101" t="s">
        <v>47</v>
      </c>
      <c r="B101">
        <f>_xlfn.IFNA(INDEX(bf!B:B,MATCH(A101,bf!A:A,0),1),0)</f>
        <v>0</v>
      </c>
      <c r="C101">
        <f>INDEX('اسعار الاسهم'!A:L,MATCH(A101,'اسعار الاسهم'!K:K,0),2)</f>
        <v>130.5</v>
      </c>
      <c r="G101">
        <f t="shared" si="58"/>
        <v>0</v>
      </c>
      <c r="H101" s="8"/>
      <c r="I101" s="8"/>
      <c r="J101">
        <f t="shared" si="59"/>
        <v>0</v>
      </c>
      <c r="K101">
        <f t="shared" si="60"/>
        <v>0</v>
      </c>
      <c r="L101">
        <f t="shared" si="61"/>
        <v>0</v>
      </c>
      <c r="M101" s="9">
        <f t="shared" si="62"/>
        <v>0</v>
      </c>
      <c r="N101" s="9" t="b">
        <f t="shared" si="63"/>
        <v>0</v>
      </c>
      <c r="O101" s="9"/>
      <c r="P101" s="9" t="str">
        <f t="shared" si="57"/>
        <v/>
      </c>
      <c r="Q101" s="9" t="str">
        <f t="shared" si="64"/>
        <v/>
      </c>
      <c r="R101" s="8" t="str">
        <f t="shared" si="65"/>
        <v/>
      </c>
      <c r="S101" s="9">
        <f t="shared" si="66"/>
        <v>18</v>
      </c>
      <c r="T101" s="9" t="str" cm="1">
        <f t="array" ref="T101">IF(O101,INDEX($AP$2:$AP$21,S101,1),"")</f>
        <v/>
      </c>
      <c r="U101" s="9" t="str">
        <f t="shared" si="67"/>
        <v/>
      </c>
      <c r="V101" s="9"/>
      <c r="W101" s="9" t="str">
        <f t="shared" si="68"/>
        <v/>
      </c>
      <c r="X101" s="9" t="str">
        <f t="shared" si="69"/>
        <v/>
      </c>
      <c r="Y101" s="8" t="str">
        <f t="shared" si="70"/>
        <v/>
      </c>
      <c r="Z101" s="9">
        <f t="shared" si="71"/>
        <v>17</v>
      </c>
      <c r="AA101" s="9" t="str" cm="1">
        <f t="array" ref="AA101">IF(V101,INDEX($AK$2:$AK$20,Z101,1),"")</f>
        <v/>
      </c>
      <c r="AB101" s="9" t="str">
        <f t="shared" si="72"/>
        <v/>
      </c>
    </row>
    <row r="102" spans="1:30" customFormat="1">
      <c r="A102" t="s">
        <v>130</v>
      </c>
      <c r="B102">
        <f>_xlfn.IFNA(INDEX(bf!B:B,MATCH(A102,bf!A:A,0),1),0)</f>
        <v>0</v>
      </c>
      <c r="C102">
        <f>INDEX('اسعار الاسهم'!A:L,MATCH(A102,'اسعار الاسهم'!K:K,0),2)</f>
        <v>351.76</v>
      </c>
      <c r="G102">
        <f t="shared" si="58"/>
        <v>0</v>
      </c>
      <c r="H102" s="8"/>
      <c r="I102" s="8"/>
      <c r="J102">
        <f t="shared" si="59"/>
        <v>0</v>
      </c>
      <c r="K102">
        <f t="shared" si="60"/>
        <v>0</v>
      </c>
      <c r="L102">
        <f t="shared" si="61"/>
        <v>0</v>
      </c>
      <c r="M102" s="9">
        <f t="shared" si="62"/>
        <v>0</v>
      </c>
      <c r="N102" s="9" t="b">
        <f t="shared" si="63"/>
        <v>0</v>
      </c>
      <c r="O102" s="9"/>
      <c r="P102" s="9" t="str">
        <f t="shared" si="57"/>
        <v/>
      </c>
      <c r="Q102" s="9" t="str">
        <f t="shared" si="64"/>
        <v/>
      </c>
      <c r="R102" s="8" t="str">
        <f t="shared" si="65"/>
        <v/>
      </c>
      <c r="S102" s="9">
        <f t="shared" si="66"/>
        <v>18</v>
      </c>
      <c r="T102" s="9" t="str" cm="1">
        <f t="array" ref="T102">IF(O102,INDEX($AP$2:$AP$21,S102,1),"")</f>
        <v/>
      </c>
      <c r="U102" s="9" t="str">
        <f t="shared" si="67"/>
        <v/>
      </c>
      <c r="V102" s="9"/>
      <c r="W102" s="9" t="str">
        <f t="shared" si="68"/>
        <v/>
      </c>
      <c r="X102" s="9" t="str">
        <f t="shared" si="69"/>
        <v/>
      </c>
      <c r="Y102" s="8" t="str">
        <f t="shared" si="70"/>
        <v/>
      </c>
      <c r="Z102" s="9">
        <f t="shared" si="71"/>
        <v>17</v>
      </c>
      <c r="AA102" s="9" t="str" cm="1">
        <f t="array" ref="AA102">IF(V102,INDEX($AK$2:$AK$20,Z102,1),"")</f>
        <v/>
      </c>
      <c r="AB102" s="9" t="str">
        <f t="shared" si="72"/>
        <v/>
      </c>
    </row>
    <row r="103" spans="1:30" customFormat="1">
      <c r="A103" t="s">
        <v>97</v>
      </c>
      <c r="B103">
        <f>_xlfn.IFNA(INDEX(bf!B:B,MATCH(A103,bf!A:A,0),1),0)</f>
        <v>0</v>
      </c>
      <c r="C103">
        <f>INDEX('اسعار الاسهم'!A:L,MATCH(A103,'اسعار الاسهم'!K:K,0),2)</f>
        <v>1.66</v>
      </c>
      <c r="G103">
        <f t="shared" si="58"/>
        <v>0</v>
      </c>
      <c r="H103" s="8"/>
      <c r="I103" s="8"/>
      <c r="J103">
        <f t="shared" si="59"/>
        <v>0</v>
      </c>
      <c r="K103">
        <f t="shared" si="60"/>
        <v>0</v>
      </c>
      <c r="L103">
        <f t="shared" si="61"/>
        <v>0</v>
      </c>
      <c r="M103" s="9">
        <f t="shared" si="62"/>
        <v>0</v>
      </c>
      <c r="N103" s="9" t="b">
        <f t="shared" si="63"/>
        <v>0</v>
      </c>
      <c r="O103" s="9"/>
      <c r="P103" s="9" t="str">
        <f t="shared" si="57"/>
        <v/>
      </c>
      <c r="Q103" s="9" t="str">
        <f t="shared" si="64"/>
        <v/>
      </c>
      <c r="R103" s="8" t="str">
        <f t="shared" si="65"/>
        <v/>
      </c>
      <c r="S103" s="9">
        <f t="shared" si="66"/>
        <v>18</v>
      </c>
      <c r="T103" s="9" t="str" cm="1">
        <f t="array" ref="T103">IF(O103,INDEX($AP$2:$AP$21,S103,1),"")</f>
        <v/>
      </c>
      <c r="U103" s="9" t="str">
        <f t="shared" si="67"/>
        <v/>
      </c>
      <c r="V103" s="9"/>
      <c r="W103" s="9" t="str">
        <f t="shared" si="68"/>
        <v/>
      </c>
      <c r="X103" s="9" t="str">
        <f t="shared" si="69"/>
        <v/>
      </c>
      <c r="Y103" s="8" t="str">
        <f t="shared" si="70"/>
        <v/>
      </c>
      <c r="Z103" s="9">
        <f t="shared" si="71"/>
        <v>17</v>
      </c>
      <c r="AA103" s="9" t="str" cm="1">
        <f t="array" ref="AA103">IF(V103,INDEX($AK$2:$AK$20,Z103,1),"")</f>
        <v/>
      </c>
      <c r="AB103" s="9" t="str">
        <f t="shared" si="72"/>
        <v/>
      </c>
    </row>
    <row r="104" spans="1:30" customFormat="1">
      <c r="A104" t="s">
        <v>41</v>
      </c>
      <c r="B104">
        <f>_xlfn.IFNA(INDEX(bf!B:B,MATCH(A104,bf!A:A,0),1),0)</f>
        <v>0</v>
      </c>
      <c r="C104">
        <f>INDEX('اسعار الاسهم'!A:L,MATCH(A104,'اسعار الاسهم'!K:K,0),2)</f>
        <v>29.32</v>
      </c>
      <c r="G104">
        <f t="shared" si="58"/>
        <v>0</v>
      </c>
      <c r="H104" s="8"/>
      <c r="I104" s="8"/>
      <c r="J104">
        <f t="shared" si="59"/>
        <v>0</v>
      </c>
      <c r="K104">
        <f t="shared" si="60"/>
        <v>0</v>
      </c>
      <c r="L104">
        <f t="shared" si="61"/>
        <v>0</v>
      </c>
      <c r="M104" s="9">
        <f t="shared" si="62"/>
        <v>0</v>
      </c>
      <c r="N104" s="9" t="b">
        <f t="shared" si="63"/>
        <v>0</v>
      </c>
      <c r="O104" s="9"/>
      <c r="P104" s="9" t="str">
        <f t="shared" si="57"/>
        <v/>
      </c>
      <c r="Q104" s="9" t="str">
        <f t="shared" si="64"/>
        <v/>
      </c>
      <c r="R104" s="8" t="str">
        <f t="shared" si="65"/>
        <v/>
      </c>
      <c r="S104" s="9">
        <f t="shared" si="66"/>
        <v>18</v>
      </c>
      <c r="T104" s="9" t="str" cm="1">
        <f t="array" ref="T104">IF(O104,INDEX($AP$2:$AP$21,S104,1),"")</f>
        <v/>
      </c>
      <c r="U104" s="9" t="str">
        <f t="shared" si="67"/>
        <v/>
      </c>
      <c r="V104" s="9"/>
      <c r="W104" s="9" t="str">
        <f t="shared" si="68"/>
        <v/>
      </c>
      <c r="X104" s="9" t="str">
        <f t="shared" si="69"/>
        <v/>
      </c>
      <c r="Y104" s="8" t="str">
        <f t="shared" si="70"/>
        <v/>
      </c>
      <c r="Z104" s="9">
        <f t="shared" si="71"/>
        <v>17</v>
      </c>
      <c r="AA104" s="9" t="str" cm="1">
        <f t="array" ref="AA104">IF(V104,INDEX($AK$2:$AK$20,Z104,1),"")</f>
        <v/>
      </c>
      <c r="AB104" s="9" t="str">
        <f t="shared" si="72"/>
        <v/>
      </c>
    </row>
    <row r="105" spans="1:30" customFormat="1">
      <c r="A105" t="s">
        <v>39</v>
      </c>
      <c r="B105">
        <f>_xlfn.IFNA(INDEX(bf!B:B,MATCH(A105,bf!A:A,0),1),0)</f>
        <v>0</v>
      </c>
      <c r="C105">
        <f>INDEX('اسعار الاسهم'!A:L,MATCH(A105,'اسعار الاسهم'!K:K,0),2)</f>
        <v>2.33</v>
      </c>
      <c r="G105">
        <f t="shared" si="58"/>
        <v>0</v>
      </c>
      <c r="H105" s="8"/>
      <c r="I105" s="8"/>
      <c r="J105">
        <f t="shared" si="59"/>
        <v>0</v>
      </c>
      <c r="K105">
        <f t="shared" si="60"/>
        <v>0</v>
      </c>
      <c r="L105">
        <f t="shared" si="61"/>
        <v>0</v>
      </c>
      <c r="M105" s="9">
        <f t="shared" si="62"/>
        <v>0</v>
      </c>
      <c r="N105" s="9" t="b">
        <f t="shared" si="63"/>
        <v>0</v>
      </c>
      <c r="O105" s="9"/>
      <c r="P105" s="9" t="str">
        <f t="shared" si="57"/>
        <v/>
      </c>
      <c r="Q105" s="9" t="str">
        <f t="shared" si="64"/>
        <v/>
      </c>
      <c r="R105" s="8" t="str">
        <f t="shared" si="65"/>
        <v/>
      </c>
      <c r="S105" s="9">
        <f t="shared" si="66"/>
        <v>18</v>
      </c>
      <c r="T105" s="9" t="str" cm="1">
        <f t="array" ref="T105">IF(O105,INDEX($AP$2:$AP$21,S105,1),"")</f>
        <v/>
      </c>
      <c r="U105" s="9" t="str">
        <f t="shared" si="67"/>
        <v/>
      </c>
      <c r="V105" s="9"/>
      <c r="W105" s="9" t="str">
        <f t="shared" si="68"/>
        <v/>
      </c>
      <c r="X105" s="9" t="str">
        <f t="shared" si="69"/>
        <v/>
      </c>
      <c r="Y105" s="8" t="str">
        <f t="shared" si="70"/>
        <v/>
      </c>
      <c r="Z105" s="9">
        <f t="shared" si="71"/>
        <v>17</v>
      </c>
      <c r="AA105" s="9" t="str" cm="1">
        <f t="array" ref="AA105">IF(V105,INDEX($AK$2:$AK$20,Z105,1),"")</f>
        <v/>
      </c>
      <c r="AB105" s="9" t="str">
        <f t="shared" si="72"/>
        <v/>
      </c>
    </row>
    <row r="106" spans="1:30" customFormat="1">
      <c r="A106" t="s">
        <v>62</v>
      </c>
      <c r="B106">
        <f>_xlfn.IFNA(INDEX(bf!B:B,MATCH(A106,bf!A:A,0),1),0)</f>
        <v>0</v>
      </c>
      <c r="C106">
        <f>INDEX('اسعار الاسهم'!A:L,MATCH(A106,'اسعار الاسهم'!K:K,0),2)</f>
        <v>213.98</v>
      </c>
      <c r="G106">
        <f t="shared" si="58"/>
        <v>0</v>
      </c>
      <c r="H106" s="8"/>
      <c r="I106" s="8"/>
      <c r="J106">
        <f t="shared" si="59"/>
        <v>0</v>
      </c>
      <c r="K106">
        <f t="shared" si="60"/>
        <v>0</v>
      </c>
      <c r="L106">
        <f t="shared" si="61"/>
        <v>0</v>
      </c>
      <c r="M106" s="9">
        <f t="shared" si="62"/>
        <v>0</v>
      </c>
      <c r="N106" s="9" t="b">
        <f t="shared" si="63"/>
        <v>0</v>
      </c>
      <c r="O106" s="9"/>
      <c r="P106" s="9" t="str">
        <f t="shared" si="57"/>
        <v/>
      </c>
      <c r="Q106" s="9" t="str">
        <f t="shared" si="64"/>
        <v/>
      </c>
      <c r="R106" s="8" t="str">
        <f t="shared" si="65"/>
        <v/>
      </c>
      <c r="S106" s="9">
        <f t="shared" si="66"/>
        <v>18</v>
      </c>
      <c r="T106" s="9" t="str" cm="1">
        <f t="array" ref="T106">IF(O106,INDEX($AP$2:$AP$21,S106,1),"")</f>
        <v/>
      </c>
      <c r="U106" s="9" t="str">
        <f t="shared" si="67"/>
        <v/>
      </c>
      <c r="V106" s="9"/>
      <c r="W106" s="9" t="str">
        <f t="shared" si="68"/>
        <v/>
      </c>
      <c r="X106" s="9" t="str">
        <f t="shared" si="69"/>
        <v/>
      </c>
      <c r="Y106" s="8" t="str">
        <f t="shared" si="70"/>
        <v/>
      </c>
      <c r="Z106" s="9">
        <f t="shared" si="71"/>
        <v>17</v>
      </c>
      <c r="AA106" s="9" t="str" cm="1">
        <f t="array" ref="AA106">IF(V106,INDEX($AK$2:$AK$20,Z106,1),"")</f>
        <v/>
      </c>
      <c r="AB106" s="9" t="str">
        <f t="shared" si="72"/>
        <v/>
      </c>
    </row>
    <row r="107" spans="1:30" customFormat="1">
      <c r="A107" t="s">
        <v>195</v>
      </c>
      <c r="B107">
        <f>_xlfn.IFNA(INDEX(bf!B:B,MATCH(A107,bf!A:A,0),1),0)</f>
        <v>0</v>
      </c>
      <c r="C107">
        <f>INDEX('اسعار الاسهم'!A:L,MATCH(A107,'اسعار الاسهم'!K:K,0),2)</f>
        <v>331.99</v>
      </c>
      <c r="G107">
        <f t="shared" si="58"/>
        <v>0</v>
      </c>
      <c r="H107" s="8"/>
      <c r="I107" s="8"/>
      <c r="J107">
        <f t="shared" si="59"/>
        <v>0</v>
      </c>
      <c r="K107">
        <f t="shared" si="60"/>
        <v>0</v>
      </c>
      <c r="L107">
        <f t="shared" si="61"/>
        <v>0</v>
      </c>
      <c r="M107" s="9">
        <f t="shared" si="62"/>
        <v>0</v>
      </c>
      <c r="N107" s="9" t="b">
        <f t="shared" si="63"/>
        <v>0</v>
      </c>
      <c r="O107" s="9"/>
      <c r="P107" s="9" t="str">
        <f t="shared" si="57"/>
        <v/>
      </c>
      <c r="Q107" s="9" t="str">
        <f t="shared" si="64"/>
        <v/>
      </c>
      <c r="R107" s="8" t="str">
        <f t="shared" si="65"/>
        <v/>
      </c>
      <c r="S107" s="9">
        <f t="shared" si="66"/>
        <v>18</v>
      </c>
      <c r="T107" s="9" t="str" cm="1">
        <f t="array" ref="T107">IF(O107,INDEX($AP$2:$AP$21,S107,1),"")</f>
        <v/>
      </c>
      <c r="U107" s="9" t="str">
        <f t="shared" si="67"/>
        <v/>
      </c>
      <c r="V107" s="9"/>
      <c r="W107" s="9" t="str">
        <f t="shared" si="68"/>
        <v/>
      </c>
      <c r="X107" s="9" t="str">
        <f t="shared" si="69"/>
        <v/>
      </c>
      <c r="Y107" s="8" t="str">
        <f t="shared" si="70"/>
        <v/>
      </c>
      <c r="Z107" s="9">
        <f t="shared" si="71"/>
        <v>17</v>
      </c>
      <c r="AA107" s="9" t="str" cm="1">
        <f t="array" ref="AA107">IF(V107,INDEX($AK$2:$AK$20,Z107,1),"")</f>
        <v/>
      </c>
      <c r="AB107" s="9" t="str">
        <f t="shared" si="72"/>
        <v/>
      </c>
    </row>
    <row r="108" spans="1:30" customFormat="1">
      <c r="A108" t="s">
        <v>96</v>
      </c>
      <c r="B108">
        <f>_xlfn.IFNA(INDEX(bf!B:B,MATCH(A108,bf!A:A,0),1),0)</f>
        <v>0</v>
      </c>
      <c r="C108">
        <f>INDEX('اسعار الاسهم'!A:L,MATCH(A108,'اسعار الاسهم'!K:K,0),2)</f>
        <v>49</v>
      </c>
      <c r="G108">
        <f t="shared" si="58"/>
        <v>0</v>
      </c>
      <c r="H108" s="8"/>
      <c r="I108" s="8"/>
      <c r="J108">
        <f t="shared" si="59"/>
        <v>0</v>
      </c>
      <c r="K108">
        <f t="shared" si="60"/>
        <v>0</v>
      </c>
      <c r="L108">
        <f t="shared" si="61"/>
        <v>0</v>
      </c>
      <c r="M108" s="9">
        <f t="shared" si="62"/>
        <v>0</v>
      </c>
      <c r="N108" s="9" t="b">
        <f t="shared" si="63"/>
        <v>0</v>
      </c>
      <c r="O108" s="9"/>
      <c r="P108" s="9" t="str">
        <f t="shared" si="57"/>
        <v/>
      </c>
      <c r="Q108" s="9" t="str">
        <f t="shared" si="64"/>
        <v/>
      </c>
      <c r="R108" s="8" t="str">
        <f t="shared" si="65"/>
        <v/>
      </c>
      <c r="S108" s="9">
        <f t="shared" si="66"/>
        <v>18</v>
      </c>
      <c r="T108" s="9" t="str" cm="1">
        <f t="array" ref="T108">IF(O108,INDEX($AP$2:$AP$21,S108,1),"")</f>
        <v/>
      </c>
      <c r="U108" s="9" t="str">
        <f t="shared" si="67"/>
        <v/>
      </c>
      <c r="V108" s="9"/>
      <c r="W108" s="9" t="str">
        <f t="shared" si="68"/>
        <v/>
      </c>
      <c r="X108" s="9" t="str">
        <f t="shared" si="69"/>
        <v/>
      </c>
      <c r="Y108" s="8" t="str">
        <f t="shared" si="70"/>
        <v/>
      </c>
      <c r="Z108" s="9">
        <f t="shared" si="71"/>
        <v>17</v>
      </c>
      <c r="AA108" s="9" t="str" cm="1">
        <f t="array" ref="AA108">IF(V108,INDEX($AK$2:$AK$20,Z108,1),"")</f>
        <v/>
      </c>
      <c r="AB108" s="9" t="str">
        <f t="shared" si="72"/>
        <v/>
      </c>
    </row>
    <row r="109" spans="1:30" customFormat="1">
      <c r="A109" t="s">
        <v>199</v>
      </c>
      <c r="B109">
        <f>_xlfn.IFNA(INDEX(bf!B:B,MATCH(A109,bf!A:A,0),1),0)</f>
        <v>0</v>
      </c>
      <c r="C109">
        <f>INDEX('اسعار الاسهم'!A:L,MATCH(A109,'اسعار الاسهم'!K:K,0),2)</f>
        <v>19.55</v>
      </c>
      <c r="G109">
        <f t="shared" si="58"/>
        <v>0</v>
      </c>
      <c r="H109" s="8"/>
      <c r="I109" s="8"/>
      <c r="J109">
        <f t="shared" si="59"/>
        <v>0</v>
      </c>
      <c r="K109">
        <f t="shared" si="60"/>
        <v>0</v>
      </c>
      <c r="L109">
        <f t="shared" si="61"/>
        <v>0</v>
      </c>
      <c r="M109" s="9">
        <f t="shared" si="62"/>
        <v>0</v>
      </c>
      <c r="N109" s="9" t="b">
        <f t="shared" si="63"/>
        <v>0</v>
      </c>
      <c r="O109" s="9"/>
      <c r="P109" s="9" t="str">
        <f t="shared" si="57"/>
        <v/>
      </c>
      <c r="Q109" s="9" t="str">
        <f t="shared" si="64"/>
        <v/>
      </c>
      <c r="R109" s="8" t="str">
        <f t="shared" si="65"/>
        <v/>
      </c>
      <c r="S109" s="9">
        <f t="shared" si="66"/>
        <v>18</v>
      </c>
      <c r="T109" s="9" t="str" cm="1">
        <f t="array" ref="T109">IF(O109,INDEX($AP$2:$AP$21,S109,1),"")</f>
        <v/>
      </c>
      <c r="U109" s="9" t="str">
        <f t="shared" si="67"/>
        <v/>
      </c>
      <c r="V109" s="9"/>
      <c r="W109" s="9" t="str">
        <f t="shared" si="68"/>
        <v/>
      </c>
      <c r="X109" s="9" t="str">
        <f t="shared" si="69"/>
        <v/>
      </c>
      <c r="Y109" s="8" t="str">
        <f t="shared" si="70"/>
        <v/>
      </c>
      <c r="Z109" s="9">
        <f t="shared" si="71"/>
        <v>17</v>
      </c>
      <c r="AA109" s="9" t="str" cm="1">
        <f t="array" ref="AA109">IF(V109,INDEX($AK$2:$AK$20,Z109,1),"")</f>
        <v/>
      </c>
      <c r="AB109" s="9" t="str">
        <f t="shared" si="72"/>
        <v/>
      </c>
    </row>
    <row r="110" spans="1:30" customFormat="1">
      <c r="A110" t="s">
        <v>55</v>
      </c>
      <c r="B110">
        <f>_xlfn.IFNA(INDEX(bf!B:B,MATCH(A110,bf!A:A,0),1),0)</f>
        <v>0</v>
      </c>
      <c r="C110">
        <f>INDEX('اسعار الاسهم'!A:L,MATCH(A110,'اسعار الاسهم'!K:K,0),2)</f>
        <v>1.1399999999999999</v>
      </c>
      <c r="G110">
        <f t="shared" si="58"/>
        <v>0</v>
      </c>
      <c r="H110" s="8"/>
      <c r="I110" s="8"/>
      <c r="J110">
        <f t="shared" si="59"/>
        <v>0</v>
      </c>
      <c r="K110">
        <f t="shared" si="60"/>
        <v>0</v>
      </c>
      <c r="L110">
        <f t="shared" si="61"/>
        <v>0</v>
      </c>
      <c r="M110" s="9">
        <f t="shared" si="62"/>
        <v>0</v>
      </c>
      <c r="N110" s="9" t="b">
        <f t="shared" si="63"/>
        <v>0</v>
      </c>
      <c r="O110" s="9"/>
      <c r="P110" s="9" t="str">
        <f t="shared" si="57"/>
        <v/>
      </c>
      <c r="Q110" s="9" t="str">
        <f t="shared" si="64"/>
        <v/>
      </c>
      <c r="R110" s="8" t="str">
        <f t="shared" si="65"/>
        <v/>
      </c>
      <c r="S110" s="9">
        <f t="shared" si="66"/>
        <v>18</v>
      </c>
      <c r="T110" s="9" t="str" cm="1">
        <f t="array" ref="T110">IF(O110,INDEX($AP$2:$AP$21,S110,1),"")</f>
        <v/>
      </c>
      <c r="U110" s="9" t="str">
        <f t="shared" si="67"/>
        <v/>
      </c>
      <c r="V110" s="9"/>
      <c r="W110" s="9" t="str">
        <f t="shared" si="68"/>
        <v/>
      </c>
      <c r="X110" s="9" t="str">
        <f t="shared" si="69"/>
        <v/>
      </c>
      <c r="Y110" s="8" t="str">
        <f t="shared" si="70"/>
        <v/>
      </c>
      <c r="Z110" s="9">
        <f t="shared" si="71"/>
        <v>17</v>
      </c>
      <c r="AA110" s="9" t="str" cm="1">
        <f t="array" ref="AA110">IF(V110,INDEX($AK$2:$AK$20,Z110,1),"")</f>
        <v/>
      </c>
      <c r="AB110" s="9" t="str">
        <f t="shared" si="72"/>
        <v/>
      </c>
    </row>
    <row r="111" spans="1:30" customFormat="1">
      <c r="A111" t="s">
        <v>134</v>
      </c>
      <c r="B111">
        <f>_xlfn.IFNA(INDEX(bf!B:B,MATCH(A111,bf!A:A,0),1),0)</f>
        <v>0</v>
      </c>
      <c r="C111">
        <f>INDEX('اسعار الاسهم'!A:L,MATCH(A111,'اسعار الاسهم'!K:K,0),2)</f>
        <v>8.94</v>
      </c>
      <c r="G111">
        <f t="shared" si="58"/>
        <v>0</v>
      </c>
      <c r="H111" s="8"/>
      <c r="I111" s="8"/>
      <c r="J111">
        <f t="shared" si="59"/>
        <v>0</v>
      </c>
      <c r="K111">
        <f t="shared" si="60"/>
        <v>0</v>
      </c>
      <c r="L111">
        <f t="shared" si="61"/>
        <v>0</v>
      </c>
      <c r="M111" s="9">
        <f t="shared" si="62"/>
        <v>0</v>
      </c>
      <c r="N111" s="9" t="b">
        <f t="shared" si="63"/>
        <v>0</v>
      </c>
      <c r="O111" s="9"/>
      <c r="P111" s="9" t="str">
        <f t="shared" si="57"/>
        <v/>
      </c>
      <c r="Q111" s="9" t="str">
        <f t="shared" si="64"/>
        <v/>
      </c>
      <c r="R111" s="8" t="str">
        <f t="shared" si="65"/>
        <v/>
      </c>
      <c r="S111" s="9">
        <f t="shared" si="66"/>
        <v>18</v>
      </c>
      <c r="T111" s="9" t="str" cm="1">
        <f t="array" ref="T111">IF(O111,INDEX($AP$2:$AP$21,S111,1),"")</f>
        <v/>
      </c>
      <c r="U111" s="9" t="str">
        <f t="shared" si="67"/>
        <v/>
      </c>
      <c r="V111" s="9"/>
      <c r="W111" s="9" t="str">
        <f t="shared" si="68"/>
        <v/>
      </c>
      <c r="X111" s="9" t="str">
        <f t="shared" si="69"/>
        <v/>
      </c>
      <c r="Y111" s="8" t="str">
        <f t="shared" si="70"/>
        <v/>
      </c>
      <c r="Z111" s="9">
        <f t="shared" si="71"/>
        <v>17</v>
      </c>
      <c r="AA111" s="9" t="str" cm="1">
        <f t="array" ref="AA111">IF(V111,INDEX($AK$2:$AK$20,Z111,1),"")</f>
        <v/>
      </c>
      <c r="AB111" s="9" t="str">
        <f t="shared" si="72"/>
        <v/>
      </c>
      <c r="AD111">
        <v>1</v>
      </c>
    </row>
    <row r="112" spans="1:30" customFormat="1">
      <c r="A112" t="s">
        <v>212</v>
      </c>
      <c r="B112">
        <f>_xlfn.IFNA(INDEX(bf!B:B,MATCH(A112,bf!A:A,0),1),0)</f>
        <v>0</v>
      </c>
      <c r="C112">
        <f>INDEX('اسعار الاسهم'!A:L,MATCH(A112,'اسعار الاسهم'!K:K,0),2)</f>
        <v>141</v>
      </c>
      <c r="G112">
        <f t="shared" si="58"/>
        <v>0</v>
      </c>
      <c r="H112" s="8"/>
      <c r="I112" s="8"/>
      <c r="J112">
        <f t="shared" si="59"/>
        <v>0</v>
      </c>
      <c r="K112">
        <f t="shared" si="60"/>
        <v>0</v>
      </c>
      <c r="L112">
        <f t="shared" si="61"/>
        <v>0</v>
      </c>
      <c r="M112" s="9">
        <f t="shared" si="62"/>
        <v>0</v>
      </c>
      <c r="N112" s="9" t="b">
        <f t="shared" si="63"/>
        <v>0</v>
      </c>
      <c r="O112" s="9"/>
      <c r="P112" s="9" t="str">
        <f t="shared" si="57"/>
        <v/>
      </c>
      <c r="Q112" s="9" t="str">
        <f t="shared" si="64"/>
        <v/>
      </c>
      <c r="R112" s="8" t="str">
        <f t="shared" si="65"/>
        <v/>
      </c>
      <c r="S112" s="9">
        <f t="shared" si="66"/>
        <v>18</v>
      </c>
      <c r="T112" s="9" t="str" cm="1">
        <f t="array" ref="T112">IF(O112,INDEX($AP$2:$AP$21,S112,1),"")</f>
        <v/>
      </c>
      <c r="U112" s="9" t="str">
        <f t="shared" si="67"/>
        <v/>
      </c>
      <c r="V112" s="9"/>
      <c r="W112" s="9" t="str">
        <f t="shared" si="68"/>
        <v/>
      </c>
      <c r="X112" s="9" t="str">
        <f t="shared" si="69"/>
        <v/>
      </c>
      <c r="Y112" s="8" t="str">
        <f t="shared" si="70"/>
        <v/>
      </c>
      <c r="Z112" s="9">
        <f t="shared" si="71"/>
        <v>17</v>
      </c>
      <c r="AA112" s="9" t="str" cm="1">
        <f t="array" ref="AA112">IF(V112,INDEX($AK$2:$AK$20,Z112,1),"")</f>
        <v/>
      </c>
      <c r="AB112" s="9" t="str">
        <f t="shared" si="72"/>
        <v/>
      </c>
    </row>
    <row r="113" spans="1:41">
      <c r="A113" t="s">
        <v>7</v>
      </c>
      <c r="B113">
        <f>_xlfn.IFNA(INDEX(bf!B:B,MATCH(A113,bf!A:A,0),1),0)</f>
        <v>0</v>
      </c>
      <c r="C113">
        <f>INDEX('اسعار الاسهم'!A:L,MATCH(A113,'اسعار الاسهم'!K:K,0),2)</f>
        <v>37.4</v>
      </c>
      <c r="G113">
        <f t="shared" si="58"/>
        <v>0</v>
      </c>
      <c r="J113">
        <f t="shared" si="59"/>
        <v>0</v>
      </c>
      <c r="K113">
        <f t="shared" si="60"/>
        <v>0</v>
      </c>
      <c r="L113">
        <f t="shared" si="61"/>
        <v>0</v>
      </c>
      <c r="M113" s="9">
        <f t="shared" si="62"/>
        <v>0</v>
      </c>
      <c r="N113" s="9" t="b">
        <f t="shared" si="63"/>
        <v>0</v>
      </c>
      <c r="O113" s="9"/>
      <c r="P113" s="9" t="str">
        <f t="shared" si="57"/>
        <v/>
      </c>
      <c r="Q113" s="9" t="str">
        <f t="shared" si="64"/>
        <v/>
      </c>
      <c r="R113" s="8" t="str">
        <f t="shared" si="65"/>
        <v/>
      </c>
      <c r="S113" s="9">
        <f t="shared" si="66"/>
        <v>18</v>
      </c>
      <c r="T113" s="9" t="str" cm="1">
        <f t="array" ref="T113">IF(O113,INDEX($AP$2:$AP$21,S113,1),"")</f>
        <v/>
      </c>
      <c r="U113" s="9" t="str">
        <f t="shared" si="67"/>
        <v/>
      </c>
      <c r="V113" s="9"/>
      <c r="W113" s="9" t="str">
        <f t="shared" si="68"/>
        <v/>
      </c>
      <c r="X113" s="9" t="str">
        <f t="shared" si="69"/>
        <v/>
      </c>
      <c r="Y113" s="8" t="str">
        <f t="shared" si="70"/>
        <v/>
      </c>
      <c r="Z113" s="9">
        <f t="shared" si="71"/>
        <v>17</v>
      </c>
      <c r="AA113" s="9" t="str" cm="1">
        <f t="array" ref="AA113">IF(V113,INDEX($AK$2:$AK$20,Z113,1),"")</f>
        <v/>
      </c>
      <c r="AB113" s="9" t="str">
        <f t="shared" si="72"/>
        <v/>
      </c>
      <c r="AJ113"/>
      <c r="AO113"/>
    </row>
    <row r="114" spans="1:41">
      <c r="A114" t="s">
        <v>83</v>
      </c>
      <c r="B114">
        <f>_xlfn.IFNA(INDEX(bf!B:B,MATCH(A114,bf!A:A,0),1),0)</f>
        <v>0</v>
      </c>
      <c r="C114">
        <f>INDEX('اسعار الاسهم'!A:L,MATCH(A114,'اسعار الاسهم'!K:K,0),2)</f>
        <v>0.39</v>
      </c>
      <c r="G114">
        <f t="shared" si="58"/>
        <v>0</v>
      </c>
      <c r="J114">
        <f t="shared" si="59"/>
        <v>0</v>
      </c>
      <c r="K114">
        <f t="shared" si="60"/>
        <v>0</v>
      </c>
      <c r="L114">
        <f t="shared" si="61"/>
        <v>0</v>
      </c>
      <c r="M114" s="9">
        <f t="shared" si="62"/>
        <v>0</v>
      </c>
      <c r="N114" s="9" t="b">
        <f t="shared" si="63"/>
        <v>0</v>
      </c>
      <c r="O114" s="9"/>
      <c r="P114" s="9" t="str">
        <f t="shared" si="57"/>
        <v/>
      </c>
      <c r="Q114" s="9" t="str">
        <f t="shared" si="64"/>
        <v/>
      </c>
      <c r="R114" s="8" t="str">
        <f t="shared" si="65"/>
        <v/>
      </c>
      <c r="S114" s="9">
        <f>_xlfn.NUMBERVALUE(S112)+IF(O114,1,0)</f>
        <v>18</v>
      </c>
      <c r="T114" s="9" t="str" cm="1">
        <f t="array" ref="T114">IF(O114,INDEX($AP$2:$AP$21,S114,1),"")</f>
        <v/>
      </c>
      <c r="U114" s="9" t="str">
        <f t="shared" si="67"/>
        <v/>
      </c>
      <c r="V114" s="9"/>
      <c r="W114" s="9" t="str">
        <f t="shared" si="68"/>
        <v/>
      </c>
      <c r="X114" s="9" t="str">
        <f t="shared" si="69"/>
        <v/>
      </c>
      <c r="Y114" s="8" t="str">
        <f t="shared" si="70"/>
        <v/>
      </c>
      <c r="Z114" s="9">
        <f t="shared" si="71"/>
        <v>17</v>
      </c>
      <c r="AA114" s="9" t="str" cm="1">
        <f t="array" ref="AA114">IF(V114,INDEX($AK$2:$AK$20,Z114,1),"")</f>
        <v/>
      </c>
      <c r="AB114" s="9" t="str">
        <f t="shared" si="72"/>
        <v/>
      </c>
      <c r="AJ114"/>
      <c r="AO114"/>
    </row>
    <row r="115" spans="1:41">
      <c r="A115" t="s">
        <v>974</v>
      </c>
      <c r="B115">
        <f>_xlfn.IFNA(INDEX(bf!B:B,MATCH(A115,bf!A:A,0),1),0)</f>
        <v>0</v>
      </c>
      <c r="C115">
        <f>INDEX('اسعار الاسهم'!A:L,MATCH(A115,'اسعار الاسهم'!K:K,0),2)</f>
        <v>1.42</v>
      </c>
      <c r="G115">
        <f t="shared" si="58"/>
        <v>0</v>
      </c>
      <c r="J115">
        <f t="shared" si="59"/>
        <v>0</v>
      </c>
      <c r="K115">
        <f t="shared" si="60"/>
        <v>0</v>
      </c>
      <c r="L115">
        <f t="shared" si="61"/>
        <v>0</v>
      </c>
      <c r="M115" s="9">
        <f t="shared" si="62"/>
        <v>0</v>
      </c>
      <c r="N115" s="9" t="b">
        <f t="shared" si="63"/>
        <v>0</v>
      </c>
      <c r="O115" s="9"/>
      <c r="P115" s="9" t="str">
        <f t="shared" si="57"/>
        <v/>
      </c>
      <c r="Q115" s="9" t="str">
        <f t="shared" si="64"/>
        <v/>
      </c>
      <c r="R115" s="8" t="str">
        <f t="shared" si="65"/>
        <v/>
      </c>
      <c r="S115" s="9">
        <f>_xlfn.NUMBERVALUE(S113)+IF(O115,1,0)</f>
        <v>18</v>
      </c>
      <c r="T115" s="9" t="str" cm="1">
        <f t="array" ref="T115">IF(O115,INDEX($AP$2:$AP$21,S115,1),"")</f>
        <v/>
      </c>
      <c r="U115" s="9" t="str">
        <f t="shared" si="67"/>
        <v/>
      </c>
      <c r="V115" s="9"/>
      <c r="W115" s="9" t="str">
        <f t="shared" si="68"/>
        <v/>
      </c>
      <c r="X115" s="9" t="str">
        <f t="shared" si="69"/>
        <v/>
      </c>
      <c r="Y115" s="8" t="str">
        <f t="shared" si="70"/>
        <v/>
      </c>
      <c r="Z115" s="9">
        <f>_xlfn.NUMBERVALUE(Z113)+IF(V115,1,0)</f>
        <v>17</v>
      </c>
      <c r="AA115" s="9" t="str" cm="1">
        <f t="array" ref="AA115">IF(V115,INDEX($AK$2:$AK$20,Z115,1),"")</f>
        <v/>
      </c>
      <c r="AB115" s="9" t="str">
        <f t="shared" si="72"/>
        <v/>
      </c>
      <c r="AJ115"/>
      <c r="AO115"/>
    </row>
    <row r="116" spans="1:41">
      <c r="A116" t="s">
        <v>975</v>
      </c>
      <c r="B116">
        <f>_xlfn.IFNA(INDEX(bf!B:B,MATCH(A116,bf!A:A,0),1),0)</f>
        <v>0</v>
      </c>
      <c r="C116">
        <f>INDEX('اسعار الاسهم'!A:L,MATCH(A116,'اسعار الاسهم'!K:K,0),2)</f>
        <v>7.92</v>
      </c>
      <c r="G116">
        <f t="shared" si="58"/>
        <v>0</v>
      </c>
      <c r="J116">
        <f t="shared" si="59"/>
        <v>0</v>
      </c>
      <c r="K116">
        <f t="shared" si="60"/>
        <v>0</v>
      </c>
      <c r="L116">
        <f t="shared" si="61"/>
        <v>0</v>
      </c>
      <c r="M116" s="9">
        <f t="shared" si="62"/>
        <v>0</v>
      </c>
      <c r="N116" s="9" t="b">
        <f t="shared" si="63"/>
        <v>1</v>
      </c>
      <c r="O116" s="9">
        <v>3.24</v>
      </c>
      <c r="P116" s="9">
        <f t="shared" si="57"/>
        <v>-0.28000000000000025</v>
      </c>
      <c r="Q116" s="9" t="str">
        <f t="shared" si="64"/>
        <v/>
      </c>
      <c r="R116" s="8">
        <f t="shared" si="65"/>
        <v>9.4594594594594683E-2</v>
      </c>
      <c r="S116" s="9">
        <f t="shared" ref="S116:S147" si="73">_xlfn.NUMBERVALUE(S115)+IF(O116,1,0)</f>
        <v>19</v>
      </c>
      <c r="T116" s="9" cm="1">
        <f t="array" ref="T116">IF(O116,INDEX($AP$2:$AP$21,S116,1),"")</f>
        <v>2.96</v>
      </c>
      <c r="U116" s="9">
        <f t="shared" si="67"/>
        <v>0.28000000000000025</v>
      </c>
      <c r="V116" s="9">
        <v>45.2</v>
      </c>
      <c r="W116" s="9">
        <f t="shared" ca="1" si="68"/>
        <v>-0.20000000000000284</v>
      </c>
      <c r="X116" s="9" t="str">
        <f t="shared" ca="1" si="69"/>
        <v/>
      </c>
      <c r="Y116" s="8">
        <f t="shared" ca="1" si="70"/>
        <v>4.4444444444445078E-3</v>
      </c>
      <c r="Z116" s="9">
        <f t="shared" ref="Z116:Z159" si="74">_xlfn.NUMBERVALUE(Z115)+IF(V116,1,0)</f>
        <v>18</v>
      </c>
      <c r="AA116" s="9" cm="1">
        <f t="array" aca="1" ref="AA116" ca="1">IF(V116,INDEX($AK$2:$AK$20,Z116,1),"")</f>
        <v>45</v>
      </c>
      <c r="AB116" s="9">
        <f t="shared" ca="1" si="72"/>
        <v>0.20000000000000284</v>
      </c>
    </row>
    <row r="117" spans="1:41">
      <c r="A117" t="s">
        <v>221</v>
      </c>
      <c r="B117">
        <f>_xlfn.IFNA(INDEX(bf!B:B,MATCH(A117,bf!A:A,0),1),0)</f>
        <v>0</v>
      </c>
      <c r="C117">
        <f>INDEX('اسعار الاسهم'!A:L,MATCH(A117,'اسعار الاسهم'!K:K,0),2)</f>
        <v>6.43</v>
      </c>
      <c r="G117">
        <f t="shared" si="58"/>
        <v>0</v>
      </c>
      <c r="J117">
        <f t="shared" si="59"/>
        <v>0</v>
      </c>
      <c r="K117">
        <f t="shared" si="60"/>
        <v>0</v>
      </c>
      <c r="L117">
        <f t="shared" si="61"/>
        <v>0</v>
      </c>
      <c r="M117" s="9">
        <f t="shared" si="62"/>
        <v>0</v>
      </c>
      <c r="N117" s="9" t="b">
        <f t="shared" si="63"/>
        <v>0</v>
      </c>
      <c r="O117" s="9"/>
      <c r="P117" s="9" t="str">
        <f t="shared" si="57"/>
        <v/>
      </c>
      <c r="Q117" s="9" t="str">
        <f t="shared" si="64"/>
        <v/>
      </c>
      <c r="R117" s="8" t="str">
        <f t="shared" si="65"/>
        <v/>
      </c>
      <c r="S117" s="9">
        <f t="shared" si="73"/>
        <v>19</v>
      </c>
      <c r="T117" s="9" t="str" cm="1">
        <f t="array" ref="T117">IF(O117,INDEX($AP$2:$AP$21,S117,1),"")</f>
        <v/>
      </c>
      <c r="U117" s="9" t="str">
        <f t="shared" si="67"/>
        <v/>
      </c>
      <c r="V117" s="9"/>
      <c r="W117" s="9" t="str">
        <f t="shared" si="68"/>
        <v/>
      </c>
      <c r="X117" s="9" t="str">
        <f t="shared" si="69"/>
        <v/>
      </c>
      <c r="Y117" s="8" t="str">
        <f t="shared" si="70"/>
        <v/>
      </c>
      <c r="Z117" s="9">
        <f t="shared" si="74"/>
        <v>18</v>
      </c>
      <c r="AA117" s="9" t="str" cm="1">
        <f t="array" ref="AA117">IF(V117,INDEX($AK$2:$AK$20,Z117,1),"")</f>
        <v/>
      </c>
      <c r="AB117" s="9" t="str">
        <f t="shared" si="72"/>
        <v/>
      </c>
      <c r="AJ117"/>
      <c r="AO117"/>
    </row>
    <row r="118" spans="1:41">
      <c r="A118" t="s">
        <v>18</v>
      </c>
      <c r="B118">
        <f>_xlfn.IFNA(INDEX(bf!B:B,MATCH(A118,bf!A:A,0),1),0)</f>
        <v>0</v>
      </c>
      <c r="C118">
        <f>INDEX('اسعار الاسهم'!A:L,MATCH(A118,'اسعار الاسهم'!K:K,0),2)</f>
        <v>15.8</v>
      </c>
      <c r="G118">
        <f t="shared" si="58"/>
        <v>0</v>
      </c>
      <c r="J118">
        <f t="shared" si="59"/>
        <v>0</v>
      </c>
      <c r="K118">
        <f t="shared" si="60"/>
        <v>0</v>
      </c>
      <c r="L118">
        <f t="shared" si="61"/>
        <v>0</v>
      </c>
      <c r="M118" s="9">
        <f t="shared" si="62"/>
        <v>0</v>
      </c>
      <c r="N118" s="9" t="b">
        <f t="shared" si="63"/>
        <v>0</v>
      </c>
      <c r="O118" s="9"/>
      <c r="P118" s="9" t="str">
        <f t="shared" si="57"/>
        <v/>
      </c>
      <c r="Q118" s="9" t="str">
        <f t="shared" si="64"/>
        <v/>
      </c>
      <c r="R118" s="8" t="str">
        <f t="shared" si="65"/>
        <v/>
      </c>
      <c r="S118" s="9">
        <f t="shared" si="73"/>
        <v>19</v>
      </c>
      <c r="T118" s="9" t="str" cm="1">
        <f t="array" ref="T118">IF(O118,INDEX($AP$2:$AP$21,S118,1),"")</f>
        <v/>
      </c>
      <c r="U118" s="9" t="str">
        <f t="shared" si="67"/>
        <v/>
      </c>
      <c r="V118" s="9"/>
      <c r="W118" s="9" t="str">
        <f t="shared" si="68"/>
        <v/>
      </c>
      <c r="X118" s="9" t="str">
        <f t="shared" si="69"/>
        <v/>
      </c>
      <c r="Y118" s="8" t="str">
        <f t="shared" si="70"/>
        <v/>
      </c>
      <c r="Z118" s="9">
        <f t="shared" si="74"/>
        <v>18</v>
      </c>
      <c r="AA118" s="9" t="str" cm="1">
        <f t="array" ref="AA118">IF(V118,INDEX($AK$2:$AK$20,Z118,1),"")</f>
        <v/>
      </c>
      <c r="AB118" s="9" t="str">
        <f t="shared" si="72"/>
        <v/>
      </c>
      <c r="AJ118"/>
      <c r="AO118"/>
    </row>
    <row r="119" spans="1:41">
      <c r="A119" t="s">
        <v>124</v>
      </c>
      <c r="B119">
        <f>_xlfn.IFNA(INDEX(bf!B:B,MATCH(A119,bf!A:A,0),1),0)</f>
        <v>0</v>
      </c>
      <c r="C119">
        <f>INDEX('اسعار الاسهم'!A:L,MATCH(A119,'اسعار الاسهم'!K:K,0),2)</f>
        <v>44.4</v>
      </c>
      <c r="G119">
        <f t="shared" si="58"/>
        <v>0</v>
      </c>
      <c r="J119">
        <f t="shared" si="59"/>
        <v>0</v>
      </c>
      <c r="K119">
        <f t="shared" si="60"/>
        <v>0</v>
      </c>
      <c r="L119">
        <f t="shared" si="61"/>
        <v>0</v>
      </c>
      <c r="M119" s="9">
        <f t="shared" si="62"/>
        <v>0</v>
      </c>
      <c r="N119" s="9" t="b">
        <f t="shared" si="63"/>
        <v>0</v>
      </c>
      <c r="O119" s="9"/>
      <c r="P119" s="9" t="str">
        <f t="shared" si="57"/>
        <v/>
      </c>
      <c r="Q119" s="9" t="str">
        <f t="shared" si="64"/>
        <v/>
      </c>
      <c r="R119" s="8" t="str">
        <f t="shared" si="65"/>
        <v/>
      </c>
      <c r="S119" s="9">
        <f t="shared" si="73"/>
        <v>19</v>
      </c>
      <c r="T119" s="9" t="str" cm="1">
        <f t="array" ref="T119">IF(O119,INDEX($AP$2:$AP$21,S119,1),"")</f>
        <v/>
      </c>
      <c r="U119" s="9" t="str">
        <f t="shared" si="67"/>
        <v/>
      </c>
      <c r="V119" s="9"/>
      <c r="W119" s="9" t="str">
        <f t="shared" si="68"/>
        <v/>
      </c>
      <c r="X119" s="9" t="str">
        <f t="shared" si="69"/>
        <v/>
      </c>
      <c r="Y119" s="8" t="str">
        <f t="shared" si="70"/>
        <v/>
      </c>
      <c r="Z119" s="9">
        <f t="shared" si="74"/>
        <v>18</v>
      </c>
      <c r="AA119" s="9" t="str" cm="1">
        <f t="array" ref="AA119">IF(V119,INDEX($AK$2:$AK$20,Z119,1),"")</f>
        <v/>
      </c>
      <c r="AB119" s="9" t="str">
        <f t="shared" si="72"/>
        <v/>
      </c>
      <c r="AJ119"/>
      <c r="AO119"/>
    </row>
    <row r="120" spans="1:41">
      <c r="A120" t="s">
        <v>99</v>
      </c>
      <c r="B120">
        <f>_xlfn.IFNA(INDEX(bf!B:B,MATCH(A120,bf!A:A,0),1),0)</f>
        <v>0</v>
      </c>
      <c r="C120">
        <f>INDEX('اسعار الاسهم'!A:L,MATCH(A120,'اسعار الاسهم'!K:K,0),2)</f>
        <v>104</v>
      </c>
      <c r="G120">
        <f t="shared" si="58"/>
        <v>0</v>
      </c>
      <c r="J120">
        <f t="shared" si="59"/>
        <v>0</v>
      </c>
      <c r="K120">
        <f t="shared" si="60"/>
        <v>0</v>
      </c>
      <c r="L120">
        <f t="shared" si="61"/>
        <v>0</v>
      </c>
      <c r="M120" s="9">
        <f t="shared" si="62"/>
        <v>0</v>
      </c>
      <c r="N120" s="9" t="b">
        <f t="shared" si="63"/>
        <v>0</v>
      </c>
      <c r="O120" s="9"/>
      <c r="P120" s="9" t="str">
        <f t="shared" ref="P120:P127" si="75">IFERROR(T120-O120,"")</f>
        <v/>
      </c>
      <c r="Q120" s="9" t="str">
        <f t="shared" si="64"/>
        <v/>
      </c>
      <c r="R120" s="8" t="str">
        <f t="shared" si="65"/>
        <v/>
      </c>
      <c r="S120" s="9">
        <f t="shared" si="73"/>
        <v>19</v>
      </c>
      <c r="T120" s="9" t="str" cm="1">
        <f t="array" ref="T120">IF(O120,INDEX($AP$2:$AP$21,S120,1),"")</f>
        <v/>
      </c>
      <c r="U120" s="9" t="str">
        <f t="shared" si="67"/>
        <v/>
      </c>
      <c r="V120" s="9"/>
      <c r="W120" s="9" t="str">
        <f t="shared" si="68"/>
        <v/>
      </c>
      <c r="X120" s="9" t="str">
        <f t="shared" si="69"/>
        <v/>
      </c>
      <c r="Y120" s="8" t="str">
        <f t="shared" si="70"/>
        <v/>
      </c>
      <c r="Z120" s="9">
        <f t="shared" si="74"/>
        <v>18</v>
      </c>
      <c r="AA120" s="9" t="str" cm="1">
        <f t="array" ref="AA120">IF(V120,INDEX($AK$2:$AK$20,Z120,1),"")</f>
        <v/>
      </c>
      <c r="AB120" s="9" t="str">
        <f t="shared" si="72"/>
        <v/>
      </c>
      <c r="AJ120"/>
      <c r="AO120"/>
    </row>
    <row r="121" spans="1:41">
      <c r="A121" t="s">
        <v>228</v>
      </c>
      <c r="B121">
        <f>_xlfn.IFNA(INDEX(bf!B:B,MATCH(A121,bf!A:A,0),1),0)</f>
        <v>0</v>
      </c>
      <c r="C121">
        <f>INDEX('اسعار الاسهم'!A:L,MATCH(A121,'اسعار الاسهم'!K:K,0),2)</f>
        <v>7.33</v>
      </c>
      <c r="G121">
        <f t="shared" si="58"/>
        <v>0</v>
      </c>
      <c r="J121">
        <f t="shared" si="59"/>
        <v>0</v>
      </c>
      <c r="K121">
        <f t="shared" si="60"/>
        <v>0</v>
      </c>
      <c r="L121">
        <f t="shared" si="61"/>
        <v>0</v>
      </c>
      <c r="M121" s="9">
        <f t="shared" si="62"/>
        <v>0</v>
      </c>
      <c r="N121" s="9" t="b">
        <f t="shared" si="63"/>
        <v>0</v>
      </c>
      <c r="O121" s="9"/>
      <c r="P121" s="9" t="str">
        <f t="shared" si="75"/>
        <v/>
      </c>
      <c r="Q121" s="9" t="str">
        <f t="shared" si="64"/>
        <v/>
      </c>
      <c r="R121" s="8" t="str">
        <f t="shared" si="65"/>
        <v/>
      </c>
      <c r="S121" s="9">
        <f t="shared" si="73"/>
        <v>19</v>
      </c>
      <c r="T121" s="9" t="str" cm="1">
        <f t="array" ref="T121">IF(O121,INDEX($AP$2:$AP$21,S121,1),"")</f>
        <v/>
      </c>
      <c r="U121" s="9" t="str">
        <f t="shared" si="67"/>
        <v/>
      </c>
      <c r="V121" s="9"/>
      <c r="W121" s="9" t="str">
        <f t="shared" si="68"/>
        <v/>
      </c>
      <c r="X121" s="9" t="str">
        <f t="shared" si="69"/>
        <v/>
      </c>
      <c r="Y121" s="8" t="str">
        <f t="shared" si="70"/>
        <v/>
      </c>
      <c r="Z121" s="9">
        <f t="shared" si="74"/>
        <v>18</v>
      </c>
      <c r="AA121" s="9" t="str" cm="1">
        <f t="array" ref="AA121">IF(V121,INDEX($AK$2:$AK$20,Z121,1),"")</f>
        <v/>
      </c>
      <c r="AB121" s="9" t="str">
        <f t="shared" si="72"/>
        <v/>
      </c>
      <c r="AJ121"/>
      <c r="AO121"/>
    </row>
    <row r="122" spans="1:41">
      <c r="A122" t="s">
        <v>473</v>
      </c>
      <c r="B122">
        <f>_xlfn.IFNA(INDEX(bf!B:B,MATCH(A122,bf!A:A,0),1),0)</f>
        <v>0</v>
      </c>
      <c r="C122">
        <f>INDEX('اسعار الاسهم'!A:L,MATCH(A122,'اسعار الاسهم'!K:K,0),2)</f>
        <v>0.56000000000000005</v>
      </c>
      <c r="G122">
        <f t="shared" si="58"/>
        <v>0</v>
      </c>
      <c r="J122">
        <f t="shared" si="59"/>
        <v>0</v>
      </c>
      <c r="K122">
        <f t="shared" si="60"/>
        <v>0</v>
      </c>
      <c r="L122">
        <f t="shared" si="61"/>
        <v>0</v>
      </c>
      <c r="M122" s="9">
        <f t="shared" si="62"/>
        <v>0</v>
      </c>
      <c r="N122" s="9" t="b">
        <f t="shared" si="63"/>
        <v>1</v>
      </c>
      <c r="O122" s="9"/>
      <c r="P122" s="9" t="str">
        <f t="shared" si="75"/>
        <v/>
      </c>
      <c r="Q122" s="9" t="str">
        <f t="shared" si="64"/>
        <v/>
      </c>
      <c r="R122" s="8" t="str">
        <f t="shared" si="65"/>
        <v/>
      </c>
      <c r="S122" s="9">
        <f t="shared" si="73"/>
        <v>19</v>
      </c>
      <c r="T122" s="9" t="str" cm="1">
        <f t="array" ref="T122">IF(O122,INDEX($AP$2:$AP$21,S122,1),"")</f>
        <v/>
      </c>
      <c r="U122" s="9" t="str">
        <f t="shared" si="67"/>
        <v/>
      </c>
      <c r="V122" s="9">
        <v>43.7</v>
      </c>
      <c r="W122" s="9">
        <f t="shared" ca="1" si="68"/>
        <v>-1.1000000000000014</v>
      </c>
      <c r="X122" s="9" t="str">
        <f t="shared" ca="1" si="69"/>
        <v/>
      </c>
      <c r="Y122" s="8">
        <f t="shared" ca="1" si="70"/>
        <v>2.5821596244131488E-2</v>
      </c>
      <c r="Z122" s="9">
        <f t="shared" si="74"/>
        <v>19</v>
      </c>
      <c r="AA122" s="9" cm="1">
        <f t="array" aca="1" ref="AA122" ca="1">IF(V122,INDEX($AK$2:$AK$20,Z122,1),"")</f>
        <v>42.6</v>
      </c>
      <c r="AB122" s="9">
        <f t="shared" ca="1" si="72"/>
        <v>1.1000000000000014</v>
      </c>
    </row>
    <row r="123" spans="1:41">
      <c r="A123" t="s">
        <v>90</v>
      </c>
      <c r="B123">
        <f>_xlfn.IFNA(INDEX(bf!B:B,MATCH(A123,bf!A:A,0),1),0)</f>
        <v>0</v>
      </c>
      <c r="C123">
        <f>INDEX('اسعار الاسهم'!A:L,MATCH(A123,'اسعار الاسهم'!K:K,0),2)</f>
        <v>195</v>
      </c>
      <c r="G123">
        <f t="shared" si="58"/>
        <v>0</v>
      </c>
      <c r="J123">
        <f t="shared" si="59"/>
        <v>0</v>
      </c>
      <c r="K123">
        <f t="shared" si="60"/>
        <v>0</v>
      </c>
      <c r="L123">
        <f t="shared" si="61"/>
        <v>0</v>
      </c>
      <c r="M123" s="9">
        <f t="shared" si="62"/>
        <v>0</v>
      </c>
      <c r="N123" s="9" t="b">
        <f t="shared" si="63"/>
        <v>0</v>
      </c>
      <c r="O123" s="9"/>
      <c r="P123" s="9" t="str">
        <f t="shared" si="75"/>
        <v/>
      </c>
      <c r="Q123" s="9" t="str">
        <f t="shared" si="64"/>
        <v/>
      </c>
      <c r="R123" s="8" t="str">
        <f t="shared" si="65"/>
        <v/>
      </c>
      <c r="S123" s="9">
        <f t="shared" si="73"/>
        <v>19</v>
      </c>
      <c r="T123" s="9" t="str" cm="1">
        <f t="array" ref="T123">IF(O123,INDEX($AP$2:$AP$21,S123,1),"")</f>
        <v/>
      </c>
      <c r="U123" s="9" t="str">
        <f t="shared" si="67"/>
        <v/>
      </c>
      <c r="V123" s="9"/>
      <c r="W123" s="9" t="str">
        <f t="shared" si="68"/>
        <v/>
      </c>
      <c r="X123" s="9" t="str">
        <f t="shared" si="69"/>
        <v/>
      </c>
      <c r="Y123" s="8" t="str">
        <f t="shared" si="70"/>
        <v/>
      </c>
      <c r="Z123" s="9">
        <f t="shared" si="74"/>
        <v>19</v>
      </c>
      <c r="AA123" s="9" t="str" cm="1">
        <f t="array" ref="AA123">IF(V123,INDEX($AK$2:$AK$20,Z123,1),"")</f>
        <v/>
      </c>
      <c r="AB123" s="9" t="str">
        <f t="shared" si="72"/>
        <v/>
      </c>
      <c r="AD123">
        <v>1</v>
      </c>
      <c r="AJ123"/>
      <c r="AO123"/>
    </row>
    <row r="124" spans="1:41">
      <c r="A124" t="s">
        <v>236</v>
      </c>
      <c r="B124">
        <f>_xlfn.IFNA(INDEX(bf!B:B,MATCH(A124,bf!A:A,0),1),0)</f>
        <v>0</v>
      </c>
      <c r="C124">
        <f>INDEX('اسعار الاسهم'!A:L,MATCH(A124,'اسعار الاسهم'!K:K,0),2)</f>
        <v>1.23</v>
      </c>
      <c r="G124">
        <f t="shared" si="58"/>
        <v>0</v>
      </c>
      <c r="J124">
        <f t="shared" si="59"/>
        <v>0</v>
      </c>
      <c r="K124">
        <f t="shared" si="60"/>
        <v>0</v>
      </c>
      <c r="L124">
        <f t="shared" si="61"/>
        <v>0</v>
      </c>
      <c r="M124" s="9">
        <f t="shared" si="62"/>
        <v>0</v>
      </c>
      <c r="N124" s="9" t="b">
        <f t="shared" si="63"/>
        <v>0</v>
      </c>
      <c r="O124" s="9"/>
      <c r="P124" s="9" t="str">
        <f t="shared" si="75"/>
        <v/>
      </c>
      <c r="Q124" s="9" t="str">
        <f t="shared" si="64"/>
        <v/>
      </c>
      <c r="R124" s="8" t="str">
        <f t="shared" si="65"/>
        <v/>
      </c>
      <c r="S124" s="9">
        <f t="shared" si="73"/>
        <v>19</v>
      </c>
      <c r="T124" s="9" t="str" cm="1">
        <f t="array" ref="T124">IF(O124,INDEX($AP$2:$AP$21,S124,1),"")</f>
        <v/>
      </c>
      <c r="U124" s="9" t="str">
        <f t="shared" si="67"/>
        <v/>
      </c>
      <c r="V124" s="9"/>
      <c r="W124" s="9" t="str">
        <f t="shared" si="68"/>
        <v/>
      </c>
      <c r="X124" s="9" t="str">
        <f t="shared" si="69"/>
        <v/>
      </c>
      <c r="Y124" s="8" t="str">
        <f t="shared" si="70"/>
        <v/>
      </c>
      <c r="Z124" s="9">
        <f t="shared" si="74"/>
        <v>19</v>
      </c>
      <c r="AA124" s="9" t="str" cm="1">
        <f t="array" ref="AA124">IF(V124,INDEX($AK$2:$AK$20,Z124,1),"")</f>
        <v/>
      </c>
      <c r="AB124" s="9" t="str">
        <f t="shared" si="72"/>
        <v/>
      </c>
      <c r="AJ124"/>
      <c r="AO124"/>
    </row>
    <row r="125" spans="1:41">
      <c r="A125" t="s">
        <v>128</v>
      </c>
      <c r="B125">
        <f>_xlfn.IFNA(INDEX(bf!B:B,MATCH(A125,bf!A:A,0),1),0)</f>
        <v>0</v>
      </c>
      <c r="C125">
        <f>INDEX('اسعار الاسهم'!A:L,MATCH(A125,'اسعار الاسهم'!K:K,0),2)</f>
        <v>6.24</v>
      </c>
      <c r="G125">
        <f t="shared" si="58"/>
        <v>0</v>
      </c>
      <c r="J125">
        <f t="shared" si="59"/>
        <v>0</v>
      </c>
      <c r="K125">
        <f t="shared" si="60"/>
        <v>0</v>
      </c>
      <c r="L125">
        <f t="shared" si="61"/>
        <v>0</v>
      </c>
      <c r="M125" s="9">
        <f t="shared" si="62"/>
        <v>0</v>
      </c>
      <c r="N125" s="9" t="b">
        <f t="shared" si="63"/>
        <v>0</v>
      </c>
      <c r="O125" s="9"/>
      <c r="P125" s="9" t="str">
        <f t="shared" si="75"/>
        <v/>
      </c>
      <c r="Q125" s="9" t="str">
        <f t="shared" si="64"/>
        <v/>
      </c>
      <c r="R125" s="8" t="str">
        <f t="shared" si="65"/>
        <v/>
      </c>
      <c r="S125" s="9">
        <f t="shared" si="73"/>
        <v>19</v>
      </c>
      <c r="T125" s="9" t="str" cm="1">
        <f t="array" ref="T125">IF(O125,INDEX($AP$2:$AP$21,S125,1),"")</f>
        <v/>
      </c>
      <c r="U125" s="9" t="str">
        <f t="shared" si="67"/>
        <v/>
      </c>
      <c r="V125" s="9"/>
      <c r="W125" s="9" t="str">
        <f t="shared" si="68"/>
        <v/>
      </c>
      <c r="X125" s="9" t="str">
        <f t="shared" si="69"/>
        <v/>
      </c>
      <c r="Y125" s="8" t="str">
        <f t="shared" si="70"/>
        <v/>
      </c>
      <c r="Z125" s="9">
        <f t="shared" si="74"/>
        <v>19</v>
      </c>
      <c r="AA125" s="9" t="str" cm="1">
        <f t="array" ref="AA125">IF(V125,INDEX($AK$2:$AK$20,Z125,1),"")</f>
        <v/>
      </c>
      <c r="AB125" s="9" t="str">
        <f t="shared" si="72"/>
        <v/>
      </c>
      <c r="AJ125"/>
      <c r="AO125"/>
    </row>
    <row r="126" spans="1:41">
      <c r="A126" t="s">
        <v>241</v>
      </c>
      <c r="B126">
        <f>_xlfn.IFNA(INDEX(bf!B:B,MATCH(A126,bf!A:A,0),1),0)</f>
        <v>0</v>
      </c>
      <c r="C126">
        <f>INDEX('اسعار الاسهم'!A:L,MATCH(A126,'اسعار الاسهم'!K:K,0),2)</f>
        <v>136.35</v>
      </c>
      <c r="G126">
        <f t="shared" si="58"/>
        <v>0</v>
      </c>
      <c r="J126">
        <f t="shared" si="59"/>
        <v>0</v>
      </c>
      <c r="K126">
        <f t="shared" si="60"/>
        <v>0</v>
      </c>
      <c r="L126">
        <f t="shared" si="61"/>
        <v>0</v>
      </c>
      <c r="M126" s="9">
        <f t="shared" si="62"/>
        <v>0</v>
      </c>
      <c r="N126" s="9" t="b">
        <f t="shared" si="63"/>
        <v>0</v>
      </c>
      <c r="O126" s="9"/>
      <c r="P126" s="9" t="str">
        <f t="shared" si="75"/>
        <v/>
      </c>
      <c r="Q126" s="9" t="str">
        <f t="shared" si="64"/>
        <v/>
      </c>
      <c r="R126" s="8" t="str">
        <f t="shared" si="65"/>
        <v/>
      </c>
      <c r="S126" s="9">
        <f t="shared" si="73"/>
        <v>19</v>
      </c>
      <c r="T126" s="9" t="str" cm="1">
        <f t="array" ref="T126">IF(O126,INDEX($AP$2:$AP$21,S126,1),"")</f>
        <v/>
      </c>
      <c r="U126" s="9" t="str">
        <f t="shared" si="67"/>
        <v/>
      </c>
      <c r="V126" s="9"/>
      <c r="W126" s="9" t="str">
        <f t="shared" si="68"/>
        <v/>
      </c>
      <c r="X126" s="9" t="str">
        <f t="shared" si="69"/>
        <v/>
      </c>
      <c r="Y126" s="8" t="str">
        <f t="shared" si="70"/>
        <v/>
      </c>
      <c r="Z126" s="9">
        <f t="shared" si="74"/>
        <v>19</v>
      </c>
      <c r="AA126" s="9" t="str" cm="1">
        <f t="array" ref="AA126">IF(V126,INDEX($AK$2:$AK$20,Z126,1),"")</f>
        <v/>
      </c>
      <c r="AB126" s="9" t="str">
        <f t="shared" si="72"/>
        <v/>
      </c>
      <c r="AJ126"/>
      <c r="AO126"/>
    </row>
    <row r="127" spans="1:41">
      <c r="A127" t="s">
        <v>244</v>
      </c>
      <c r="B127">
        <f>_xlfn.IFNA(INDEX(bf!B:B,MATCH(A127,bf!A:A,0),1),0)</f>
        <v>0</v>
      </c>
      <c r="C127">
        <f>INDEX('اسعار الاسهم'!A:L,MATCH(A127,'اسعار الاسهم'!K:K,0),2)</f>
        <v>0.7</v>
      </c>
      <c r="G127">
        <f t="shared" si="58"/>
        <v>0</v>
      </c>
      <c r="J127">
        <f t="shared" si="59"/>
        <v>0</v>
      </c>
      <c r="K127">
        <f t="shared" si="60"/>
        <v>0</v>
      </c>
      <c r="L127">
        <f t="shared" si="61"/>
        <v>0</v>
      </c>
      <c r="M127" s="9">
        <f t="shared" si="62"/>
        <v>0</v>
      </c>
      <c r="N127" s="9" t="b">
        <f t="shared" si="63"/>
        <v>0</v>
      </c>
      <c r="O127" s="9"/>
      <c r="P127" s="9" t="str">
        <f t="shared" si="75"/>
        <v/>
      </c>
      <c r="Q127" s="9" t="str">
        <f t="shared" si="64"/>
        <v/>
      </c>
      <c r="R127" s="8" t="str">
        <f t="shared" si="65"/>
        <v/>
      </c>
      <c r="S127" s="9">
        <f t="shared" si="73"/>
        <v>19</v>
      </c>
      <c r="T127" s="9" t="str" cm="1">
        <f t="array" ref="T127">IF(O127,INDEX($AP$2:$AP$21,S127,1),"")</f>
        <v/>
      </c>
      <c r="U127" s="9" t="str">
        <f t="shared" si="67"/>
        <v/>
      </c>
      <c r="V127" s="9"/>
      <c r="W127" s="9" t="str">
        <f t="shared" si="68"/>
        <v/>
      </c>
      <c r="X127" s="9" t="str">
        <f t="shared" si="69"/>
        <v/>
      </c>
      <c r="Y127" s="8" t="str">
        <f t="shared" si="70"/>
        <v/>
      </c>
      <c r="Z127" s="9">
        <f t="shared" si="74"/>
        <v>19</v>
      </c>
      <c r="AA127" s="9" t="str" cm="1">
        <f t="array" ref="AA127">IF(V127,INDEX($AK$2:$AK$20,Z127,1),"")</f>
        <v/>
      </c>
      <c r="AB127" s="9" t="str">
        <f t="shared" si="72"/>
        <v/>
      </c>
      <c r="AJ127"/>
      <c r="AO127"/>
    </row>
    <row r="128" spans="1:41">
      <c r="A128" t="s">
        <v>91</v>
      </c>
      <c r="B128">
        <f>_xlfn.IFNA(INDEX(bf!B:B,MATCH(A128,bf!A:A,0),1),0)</f>
        <v>0</v>
      </c>
      <c r="C128">
        <f>INDEX('اسعار الاسهم'!A:L,MATCH(A128,'اسعار الاسهم'!K:K,0),2)</f>
        <v>25</v>
      </c>
      <c r="G128">
        <f t="shared" si="58"/>
        <v>0</v>
      </c>
      <c r="J128">
        <f t="shared" si="59"/>
        <v>0</v>
      </c>
      <c r="K128">
        <f t="shared" si="60"/>
        <v>0</v>
      </c>
      <c r="L128">
        <f t="shared" si="61"/>
        <v>0</v>
      </c>
      <c r="M128" s="9">
        <f t="shared" si="62"/>
        <v>0</v>
      </c>
      <c r="N128" s="9" t="b">
        <f t="shared" si="63"/>
        <v>0</v>
      </c>
      <c r="O128" s="9"/>
      <c r="P128" s="9"/>
      <c r="Q128" s="9" t="str">
        <f t="shared" si="64"/>
        <v/>
      </c>
      <c r="R128" s="8" t="str">
        <f t="shared" si="65"/>
        <v/>
      </c>
      <c r="S128" s="9">
        <f t="shared" si="73"/>
        <v>19</v>
      </c>
      <c r="T128" s="9"/>
      <c r="U128" s="9" t="str">
        <f t="shared" si="67"/>
        <v/>
      </c>
      <c r="V128" s="9"/>
      <c r="W128" s="9" t="str">
        <f t="shared" si="68"/>
        <v/>
      </c>
      <c r="X128" s="9" t="str">
        <f t="shared" si="69"/>
        <v/>
      </c>
      <c r="Y128" s="8" t="str">
        <f t="shared" si="70"/>
        <v/>
      </c>
      <c r="Z128" s="9">
        <f t="shared" si="74"/>
        <v>19</v>
      </c>
      <c r="AA128" s="9" t="str" cm="1">
        <f t="array" ref="AA128">IF(V128,INDEX($AK$2:$AK$20,Z128,1),"")</f>
        <v/>
      </c>
      <c r="AB128" s="9" t="str">
        <f t="shared" si="72"/>
        <v/>
      </c>
      <c r="AJ128"/>
      <c r="AO128"/>
    </row>
    <row r="129" spans="1:28" customFormat="1">
      <c r="A129" t="s">
        <v>108</v>
      </c>
      <c r="B129">
        <f>_xlfn.IFNA(INDEX(bf!B:B,MATCH(A129,bf!A:A,0),1),0)</f>
        <v>0</v>
      </c>
      <c r="C129">
        <f>INDEX('اسعار الاسهم'!A:L,MATCH(A129,'اسعار الاسهم'!K:K,0),2)</f>
        <v>5.18</v>
      </c>
      <c r="G129">
        <f t="shared" si="58"/>
        <v>0</v>
      </c>
      <c r="H129" s="8"/>
      <c r="I129" s="8"/>
      <c r="J129">
        <f t="shared" si="59"/>
        <v>0</v>
      </c>
      <c r="K129">
        <f t="shared" si="60"/>
        <v>0</v>
      </c>
      <c r="L129">
        <f t="shared" si="61"/>
        <v>0</v>
      </c>
      <c r="M129" s="9">
        <f t="shared" si="62"/>
        <v>0</v>
      </c>
      <c r="N129" s="9" t="b">
        <f t="shared" si="63"/>
        <v>0</v>
      </c>
      <c r="O129" s="9"/>
      <c r="P129" s="9" t="str">
        <f t="shared" ref="P129:P173" si="76">IFERROR(T129-O129,"")</f>
        <v/>
      </c>
      <c r="Q129" s="9" t="str">
        <f t="shared" si="64"/>
        <v/>
      </c>
      <c r="R129" s="8" t="str">
        <f t="shared" si="65"/>
        <v/>
      </c>
      <c r="S129" s="9">
        <f t="shared" si="73"/>
        <v>19</v>
      </c>
      <c r="T129" s="9" t="str" cm="1">
        <f t="array" ref="T129">IF(O129,INDEX($AP$2:$AP$21,S129,1),"")</f>
        <v/>
      </c>
      <c r="U129" s="9" t="str">
        <f t="shared" si="67"/>
        <v/>
      </c>
      <c r="V129" s="9"/>
      <c r="W129" s="9" t="str">
        <f t="shared" si="68"/>
        <v/>
      </c>
      <c r="X129" s="9" t="str">
        <f t="shared" si="69"/>
        <v/>
      </c>
      <c r="Y129" s="8" t="str">
        <f t="shared" si="70"/>
        <v/>
      </c>
      <c r="Z129" s="9">
        <f t="shared" si="74"/>
        <v>19</v>
      </c>
      <c r="AA129" s="9" t="str" cm="1">
        <f t="array" ref="AA129">IF(V129,INDEX($AK$2:$AK$20,Z129,1),"")</f>
        <v/>
      </c>
      <c r="AB129" s="9" t="str">
        <f t="shared" si="72"/>
        <v/>
      </c>
    </row>
    <row r="130" spans="1:28" customFormat="1">
      <c r="A130" t="s">
        <v>122</v>
      </c>
      <c r="B130">
        <f>_xlfn.IFNA(INDEX(bf!B:B,MATCH(A130,bf!A:A,0),1),0)</f>
        <v>0</v>
      </c>
      <c r="C130">
        <f>INDEX('اسعار الاسهم'!A:L,MATCH(A130,'اسعار الاسهم'!K:K,0),2)</f>
        <v>2.73</v>
      </c>
      <c r="G130">
        <f t="shared" ref="G130:G153" si="77">B130/C130</f>
        <v>0</v>
      </c>
      <c r="H130" s="8"/>
      <c r="I130" s="8"/>
      <c r="J130">
        <f t="shared" ref="J130:J161" si="78">1-(_xlfn.RANK.EQ(G130,G:G,)-1)/(COUNTIF(G:G,"&gt;0"))</f>
        <v>0</v>
      </c>
      <c r="K130">
        <f t="shared" ref="K130:K161" si="79">_xlfn.IFNA(1-(_xlfn.RANK.EQ(H130,H:H,)-1)/(COUNTIF(H:H,"&gt;0")),0)</f>
        <v>0</v>
      </c>
      <c r="L130">
        <f t="shared" ref="L130:L161" si="80">_xlfn.IFNA(1-(_xlfn.RANK.EQ(I130,I:I,)-1)/(COUNTIF(I:I,"&gt;0")),0)</f>
        <v>0</v>
      </c>
      <c r="M130" s="9">
        <f t="shared" ref="M130:M153" si="81">$AG$2*J130+K130 *$AG$3+L130*$AG$4+$AG$5*E130+$AG$6*F130</f>
        <v>0</v>
      </c>
      <c r="N130" s="9" t="b">
        <f t="shared" ref="N130:N153" si="82">OR(O130&lt;&gt;"",V130&lt;&gt;"")</f>
        <v>0</v>
      </c>
      <c r="O130" s="9"/>
      <c r="P130" s="9" t="str">
        <f t="shared" si="76"/>
        <v/>
      </c>
      <c r="Q130" s="9" t="str">
        <f t="shared" ref="Q130:Q161" si="83">IF(P130&lt;&gt;"",IF(ABS(P130)/T130&gt;0.1,"Gny",""),"")</f>
        <v/>
      </c>
      <c r="R130" s="8" t="str">
        <f t="shared" ref="R130:R161" si="84">IF(P130&lt;&gt;"",ABS(P130)/T130,"")</f>
        <v/>
      </c>
      <c r="S130" s="9">
        <f t="shared" si="73"/>
        <v>19</v>
      </c>
      <c r="T130" s="9" t="str" cm="1">
        <f t="array" ref="T130">IF(O130,INDEX($AP$2:$AP$21,S130,1),"")</f>
        <v/>
      </c>
      <c r="U130" s="9" t="str">
        <f t="shared" ref="U130:U153" si="85">IF(P130&lt;&gt;"",ABS(P130),"")</f>
        <v/>
      </c>
      <c r="V130" s="9"/>
      <c r="W130" s="9" t="str">
        <f t="shared" ref="W130:W153" si="86">IFERROR(AA130-V130,"")</f>
        <v/>
      </c>
      <c r="X130" s="9" t="str">
        <f t="shared" ref="X130:X153" si="87">IF(W130&lt;&gt;"",IF(ABS(W130)/AA130&gt;0.1,"Gny",""),"")</f>
        <v/>
      </c>
      <c r="Y130" s="8" t="str">
        <f t="shared" ref="Y130:Y163" si="88">IF(W130&lt;&gt;"",ABS(W130)/AA130,"")</f>
        <v/>
      </c>
      <c r="Z130" s="9">
        <f t="shared" si="74"/>
        <v>19</v>
      </c>
      <c r="AA130" s="9" t="str" cm="1">
        <f t="array" ref="AA130">IF(V130,INDEX($AK$2:$AK$20,Z130,1),"")</f>
        <v/>
      </c>
      <c r="AB130" s="9" t="str">
        <f t="shared" ref="AB130:AB153" si="89">IF(W130&lt;&gt;"",ABS(W130),"")</f>
        <v/>
      </c>
    </row>
    <row r="131" spans="1:28" customFormat="1">
      <c r="A131" t="s">
        <v>254</v>
      </c>
      <c r="B131">
        <f>_xlfn.IFNA(INDEX(bf!B:B,MATCH(A131,bf!A:A,0),1),0)</f>
        <v>0</v>
      </c>
      <c r="C131">
        <f>INDEX('اسعار الاسهم'!A:L,MATCH(A131,'اسعار الاسهم'!K:K,0),2)</f>
        <v>156.04</v>
      </c>
      <c r="G131">
        <f t="shared" si="77"/>
        <v>0</v>
      </c>
      <c r="H131" s="8"/>
      <c r="I131" s="8"/>
      <c r="J131">
        <f t="shared" si="78"/>
        <v>0</v>
      </c>
      <c r="K131">
        <f t="shared" si="79"/>
        <v>0</v>
      </c>
      <c r="L131">
        <f t="shared" si="80"/>
        <v>0</v>
      </c>
      <c r="M131" s="9">
        <f t="shared" si="81"/>
        <v>0</v>
      </c>
      <c r="N131" s="9" t="b">
        <f t="shared" si="82"/>
        <v>0</v>
      </c>
      <c r="O131" s="9"/>
      <c r="P131" s="9" t="str">
        <f t="shared" si="76"/>
        <v/>
      </c>
      <c r="Q131" s="9" t="str">
        <f t="shared" si="83"/>
        <v/>
      </c>
      <c r="R131" s="8" t="str">
        <f t="shared" si="84"/>
        <v/>
      </c>
      <c r="S131" s="9">
        <f t="shared" si="73"/>
        <v>19</v>
      </c>
      <c r="T131" s="9" t="str" cm="1">
        <f t="array" ref="T131">IF(O131,INDEX($AP$2:$AP$21,S131,1),"")</f>
        <v/>
      </c>
      <c r="U131" s="9" t="str">
        <f t="shared" si="85"/>
        <v/>
      </c>
      <c r="V131" s="9"/>
      <c r="W131" s="9" t="str">
        <f t="shared" si="86"/>
        <v/>
      </c>
      <c r="X131" s="9" t="str">
        <f t="shared" si="87"/>
        <v/>
      </c>
      <c r="Y131" s="8" t="str">
        <f t="shared" si="88"/>
        <v/>
      </c>
      <c r="Z131" s="9">
        <f t="shared" si="74"/>
        <v>19</v>
      </c>
      <c r="AA131" s="9" t="str" cm="1">
        <f t="array" ref="AA131">IF(V131,INDEX($AK$2:$AK$20,Z131,1),"")</f>
        <v/>
      </c>
      <c r="AB131" s="9" t="str">
        <f t="shared" si="89"/>
        <v/>
      </c>
    </row>
    <row r="132" spans="1:28" customFormat="1">
      <c r="A132" t="s">
        <v>256</v>
      </c>
      <c r="B132">
        <f>_xlfn.IFNA(INDEX(bf!B:B,MATCH(A132,bf!A:A,0),1),0)</f>
        <v>0</v>
      </c>
      <c r="C132">
        <f>INDEX('اسعار الاسهم'!A:L,MATCH(A132,'اسعار الاسهم'!K:K,0),2)</f>
        <v>1.92</v>
      </c>
      <c r="G132">
        <f t="shared" si="77"/>
        <v>0</v>
      </c>
      <c r="H132" s="8"/>
      <c r="I132" s="8"/>
      <c r="J132">
        <f t="shared" si="78"/>
        <v>0</v>
      </c>
      <c r="K132">
        <f t="shared" si="79"/>
        <v>0</v>
      </c>
      <c r="L132">
        <f t="shared" si="80"/>
        <v>0</v>
      </c>
      <c r="M132" s="9">
        <f t="shared" si="81"/>
        <v>0</v>
      </c>
      <c r="N132" s="9" t="b">
        <f t="shared" si="82"/>
        <v>0</v>
      </c>
      <c r="O132" s="9"/>
      <c r="P132" s="9" t="str">
        <f t="shared" si="76"/>
        <v/>
      </c>
      <c r="Q132" s="9" t="str">
        <f t="shared" si="83"/>
        <v/>
      </c>
      <c r="R132" s="8" t="str">
        <f t="shared" si="84"/>
        <v/>
      </c>
      <c r="S132" s="9">
        <f t="shared" si="73"/>
        <v>19</v>
      </c>
      <c r="T132" s="9" t="str" cm="1">
        <f t="array" ref="T132">IF(O132,INDEX($AP$2:$AP$21,S132,1),"")</f>
        <v/>
      </c>
      <c r="U132" s="9" t="str">
        <f t="shared" si="85"/>
        <v/>
      </c>
      <c r="V132" s="9"/>
      <c r="W132" s="9" t="str">
        <f t="shared" si="86"/>
        <v/>
      </c>
      <c r="X132" s="9" t="str">
        <f t="shared" si="87"/>
        <v/>
      </c>
      <c r="Y132" s="8" t="str">
        <f t="shared" si="88"/>
        <v/>
      </c>
      <c r="Z132" s="9">
        <f t="shared" si="74"/>
        <v>19</v>
      </c>
      <c r="AA132" s="9" t="str" cm="1">
        <f t="array" ref="AA132">IF(V132,INDEX($AK$2:$AK$20,Z132,1),"")</f>
        <v/>
      </c>
      <c r="AB132" s="9" t="str">
        <f t="shared" si="89"/>
        <v/>
      </c>
    </row>
    <row r="133" spans="1:28" customFormat="1">
      <c r="A133" t="s">
        <v>258</v>
      </c>
      <c r="B133">
        <f>_xlfn.IFNA(INDEX(bf!B:B,MATCH(A133,bf!A:A,0),1),0)</f>
        <v>0</v>
      </c>
      <c r="C133">
        <f>INDEX('اسعار الاسهم'!A:L,MATCH(A133,'اسعار الاسهم'!K:K,0),2)</f>
        <v>1.46</v>
      </c>
      <c r="G133">
        <f t="shared" si="77"/>
        <v>0</v>
      </c>
      <c r="H133" s="8"/>
      <c r="I133" s="8"/>
      <c r="J133">
        <f t="shared" si="78"/>
        <v>0</v>
      </c>
      <c r="K133">
        <f t="shared" si="79"/>
        <v>0</v>
      </c>
      <c r="L133">
        <f t="shared" si="80"/>
        <v>0</v>
      </c>
      <c r="M133" s="9">
        <f t="shared" si="81"/>
        <v>0</v>
      </c>
      <c r="N133" s="9" t="b">
        <f t="shared" si="82"/>
        <v>0</v>
      </c>
      <c r="O133" s="9"/>
      <c r="P133" s="9" t="str">
        <f t="shared" si="76"/>
        <v/>
      </c>
      <c r="Q133" s="9" t="str">
        <f t="shared" si="83"/>
        <v/>
      </c>
      <c r="R133" s="8" t="str">
        <f t="shared" si="84"/>
        <v/>
      </c>
      <c r="S133" s="9">
        <f t="shared" si="73"/>
        <v>19</v>
      </c>
      <c r="T133" s="9" t="str" cm="1">
        <f t="array" ref="T133">IF(O133,INDEX($AP$2:$AP$21,S133,1),"")</f>
        <v/>
      </c>
      <c r="U133" s="9" t="str">
        <f t="shared" si="85"/>
        <v/>
      </c>
      <c r="V133" s="9"/>
      <c r="W133" s="9" t="str">
        <f t="shared" si="86"/>
        <v/>
      </c>
      <c r="X133" s="9" t="str">
        <f t="shared" si="87"/>
        <v/>
      </c>
      <c r="Y133" s="8" t="str">
        <f t="shared" si="88"/>
        <v/>
      </c>
      <c r="Z133" s="9">
        <f t="shared" si="74"/>
        <v>19</v>
      </c>
      <c r="AA133" s="9" t="str" cm="1">
        <f t="array" ref="AA133">IF(V133,INDEX($AK$2:$AK$20,Z133,1),"")</f>
        <v/>
      </c>
      <c r="AB133" s="9" t="str">
        <f t="shared" si="89"/>
        <v/>
      </c>
    </row>
    <row r="134" spans="1:28" customFormat="1">
      <c r="A134" t="s">
        <v>844</v>
      </c>
      <c r="B134">
        <f>_xlfn.IFNA(INDEX(bf!B:B,MATCH(A134,bf!A:A,0),1),0)</f>
        <v>0</v>
      </c>
      <c r="C134">
        <f>INDEX('اسعار الاسهم'!A:L,MATCH(A134,'اسعار الاسهم'!K:K,0),2)</f>
        <v>0.09</v>
      </c>
      <c r="G134">
        <f t="shared" si="77"/>
        <v>0</v>
      </c>
      <c r="H134" s="8"/>
      <c r="I134" s="8"/>
      <c r="J134">
        <f t="shared" si="78"/>
        <v>0</v>
      </c>
      <c r="K134">
        <f t="shared" si="79"/>
        <v>0</v>
      </c>
      <c r="L134">
        <f t="shared" si="80"/>
        <v>0</v>
      </c>
      <c r="M134" s="9">
        <f t="shared" si="81"/>
        <v>0</v>
      </c>
      <c r="N134" s="9" t="b">
        <f t="shared" si="82"/>
        <v>0</v>
      </c>
      <c r="O134" s="9"/>
      <c r="P134" s="9" t="str">
        <f t="shared" si="76"/>
        <v/>
      </c>
      <c r="Q134" s="9" t="str">
        <f t="shared" si="83"/>
        <v/>
      </c>
      <c r="R134" s="8" t="str">
        <f t="shared" si="84"/>
        <v/>
      </c>
      <c r="S134" s="9">
        <f t="shared" si="73"/>
        <v>19</v>
      </c>
      <c r="T134" s="9" t="str" cm="1">
        <f t="array" ref="T134">IF(O134,INDEX($AP$2:$AP$21,S134,1),"")</f>
        <v/>
      </c>
      <c r="U134" s="9" t="str">
        <f t="shared" si="85"/>
        <v/>
      </c>
      <c r="V134" s="9"/>
      <c r="W134" s="9" t="str">
        <f t="shared" si="86"/>
        <v/>
      </c>
      <c r="X134" s="9" t="str">
        <f t="shared" si="87"/>
        <v/>
      </c>
      <c r="Y134" s="8" t="str">
        <f t="shared" si="88"/>
        <v/>
      </c>
      <c r="Z134" s="9">
        <f t="shared" si="74"/>
        <v>19</v>
      </c>
      <c r="AA134" s="9" t="str" cm="1">
        <f t="array" ref="AA134">IF(V134,INDEX($AK$2:$AK$20,Z134,1),"")</f>
        <v/>
      </c>
      <c r="AB134" s="9" t="str">
        <f t="shared" si="89"/>
        <v/>
      </c>
    </row>
    <row r="135" spans="1:28" customFormat="1">
      <c r="A135" t="s">
        <v>265</v>
      </c>
      <c r="B135">
        <f>_xlfn.IFNA(INDEX(bf!B:B,MATCH(A135,bf!A:A,0),1),0)</f>
        <v>0</v>
      </c>
      <c r="C135">
        <f>INDEX('اسعار الاسهم'!A:L,MATCH(A135,'اسعار الاسهم'!K:K,0),2)</f>
        <v>22.1</v>
      </c>
      <c r="G135">
        <f t="shared" si="77"/>
        <v>0</v>
      </c>
      <c r="H135" s="8"/>
      <c r="I135" s="8"/>
      <c r="J135">
        <f t="shared" si="78"/>
        <v>0</v>
      </c>
      <c r="K135">
        <f t="shared" si="79"/>
        <v>0</v>
      </c>
      <c r="L135">
        <f t="shared" si="80"/>
        <v>0</v>
      </c>
      <c r="M135" s="9">
        <f t="shared" si="81"/>
        <v>0</v>
      </c>
      <c r="N135" s="9" t="b">
        <f t="shared" si="82"/>
        <v>0</v>
      </c>
      <c r="O135" s="9"/>
      <c r="P135" s="9" t="str">
        <f t="shared" si="76"/>
        <v/>
      </c>
      <c r="Q135" s="9" t="str">
        <f t="shared" si="83"/>
        <v/>
      </c>
      <c r="R135" s="8" t="str">
        <f t="shared" si="84"/>
        <v/>
      </c>
      <c r="S135" s="9">
        <f t="shared" si="73"/>
        <v>19</v>
      </c>
      <c r="T135" s="9" t="str" cm="1">
        <f t="array" ref="T135">IF(O135,INDEX($AP$2:$AP$21,S135,1),"")</f>
        <v/>
      </c>
      <c r="U135" s="9" t="str">
        <f t="shared" si="85"/>
        <v/>
      </c>
      <c r="V135" s="9"/>
      <c r="W135" s="9" t="str">
        <f t="shared" si="86"/>
        <v/>
      </c>
      <c r="X135" s="9" t="str">
        <f t="shared" si="87"/>
        <v/>
      </c>
      <c r="Y135" s="8" t="str">
        <f t="shared" si="88"/>
        <v/>
      </c>
      <c r="Z135" s="9">
        <f t="shared" si="74"/>
        <v>19</v>
      </c>
      <c r="AA135" s="9" t="str" cm="1">
        <f t="array" ref="AA135">IF(V135,INDEX($AK$2:$AK$20,Z135,1),"")</f>
        <v/>
      </c>
      <c r="AB135" s="9" t="str">
        <f t="shared" si="89"/>
        <v/>
      </c>
    </row>
    <row r="136" spans="1:28" customFormat="1">
      <c r="A136" t="s">
        <v>35</v>
      </c>
      <c r="B136">
        <f>_xlfn.IFNA(INDEX(bf!B:B,MATCH(A136,bf!A:A,0),1),0)</f>
        <v>0</v>
      </c>
      <c r="C136">
        <f>INDEX('اسعار الاسهم'!A:L,MATCH(A136,'اسعار الاسهم'!K:K,0),2)</f>
        <v>5.45</v>
      </c>
      <c r="G136">
        <f t="shared" si="77"/>
        <v>0</v>
      </c>
      <c r="H136" s="8"/>
      <c r="I136" s="8"/>
      <c r="J136">
        <f t="shared" si="78"/>
        <v>0</v>
      </c>
      <c r="K136">
        <f t="shared" si="79"/>
        <v>0</v>
      </c>
      <c r="L136">
        <f t="shared" si="80"/>
        <v>0</v>
      </c>
      <c r="M136" s="9">
        <f t="shared" si="81"/>
        <v>0</v>
      </c>
      <c r="N136" s="9" t="b">
        <f t="shared" si="82"/>
        <v>0</v>
      </c>
      <c r="O136" s="9"/>
      <c r="P136" s="9" t="str">
        <f t="shared" si="76"/>
        <v/>
      </c>
      <c r="Q136" s="9" t="str">
        <f t="shared" si="83"/>
        <v/>
      </c>
      <c r="R136" s="8" t="str">
        <f t="shared" si="84"/>
        <v/>
      </c>
      <c r="S136" s="9">
        <f t="shared" si="73"/>
        <v>19</v>
      </c>
      <c r="T136" s="9" t="str" cm="1">
        <f t="array" ref="T136">IF(O136,INDEX($AP$2:$AP$21,S136,1),"")</f>
        <v/>
      </c>
      <c r="U136" s="9" t="str">
        <f t="shared" si="85"/>
        <v/>
      </c>
      <c r="V136" s="9"/>
      <c r="W136" s="9" t="str">
        <f t="shared" si="86"/>
        <v/>
      </c>
      <c r="X136" s="9" t="str">
        <f t="shared" si="87"/>
        <v/>
      </c>
      <c r="Y136" s="8" t="str">
        <f t="shared" si="88"/>
        <v/>
      </c>
      <c r="Z136" s="9">
        <f t="shared" si="74"/>
        <v>19</v>
      </c>
      <c r="AA136" s="9" t="str" cm="1">
        <f t="array" ref="AA136">IF(V136,INDEX($AK$2:$AK$20,Z136,1),"")</f>
        <v/>
      </c>
      <c r="AB136" s="9" t="str">
        <f t="shared" si="89"/>
        <v/>
      </c>
    </row>
    <row r="137" spans="1:28" customFormat="1">
      <c r="A137" t="s">
        <v>72</v>
      </c>
      <c r="B137">
        <f>_xlfn.IFNA(INDEX(bf!B:B,MATCH(A137,bf!A:A,0),1),0)</f>
        <v>0</v>
      </c>
      <c r="C137">
        <f>INDEX('اسعار الاسهم'!A:L,MATCH(A137,'اسعار الاسهم'!K:K,0),2)</f>
        <v>2.25</v>
      </c>
      <c r="G137">
        <f t="shared" si="77"/>
        <v>0</v>
      </c>
      <c r="H137" s="8"/>
      <c r="I137" s="8"/>
      <c r="J137">
        <f t="shared" si="78"/>
        <v>0</v>
      </c>
      <c r="K137">
        <f t="shared" si="79"/>
        <v>0</v>
      </c>
      <c r="L137">
        <f t="shared" si="80"/>
        <v>0</v>
      </c>
      <c r="M137" s="9">
        <f t="shared" si="81"/>
        <v>0</v>
      </c>
      <c r="N137" s="9" t="b">
        <f t="shared" si="82"/>
        <v>0</v>
      </c>
      <c r="O137" s="9"/>
      <c r="P137" s="9" t="str">
        <f t="shared" si="76"/>
        <v/>
      </c>
      <c r="Q137" s="9" t="str">
        <f t="shared" si="83"/>
        <v/>
      </c>
      <c r="R137" s="8" t="str">
        <f t="shared" si="84"/>
        <v/>
      </c>
      <c r="S137" s="9">
        <f t="shared" si="73"/>
        <v>19</v>
      </c>
      <c r="T137" s="9" t="str" cm="1">
        <f t="array" ref="T137">IF(O137,INDEX($AP$2:$AP$21,S137,1),"")</f>
        <v/>
      </c>
      <c r="U137" s="9" t="str">
        <f t="shared" si="85"/>
        <v/>
      </c>
      <c r="V137" s="9"/>
      <c r="W137" s="9" t="str">
        <f t="shared" si="86"/>
        <v/>
      </c>
      <c r="X137" s="9" t="str">
        <f t="shared" si="87"/>
        <v/>
      </c>
      <c r="Y137" s="8" t="str">
        <f t="shared" si="88"/>
        <v/>
      </c>
      <c r="Z137" s="9">
        <f t="shared" si="74"/>
        <v>19</v>
      </c>
      <c r="AA137" s="9" t="str" cm="1">
        <f t="array" ref="AA137">IF(V137,INDEX($AK$2:$AK$20,Z137,1),"")</f>
        <v/>
      </c>
      <c r="AB137" s="9" t="str">
        <f t="shared" si="89"/>
        <v/>
      </c>
    </row>
    <row r="138" spans="1:28" customFormat="1">
      <c r="A138" t="s">
        <v>272</v>
      </c>
      <c r="B138">
        <f>_xlfn.IFNA(INDEX(bf!B:B,MATCH(A138,bf!A:A,0),1),0)</f>
        <v>0</v>
      </c>
      <c r="C138">
        <f>INDEX('اسعار الاسهم'!A:L,MATCH(A138,'اسعار الاسهم'!K:K,0),2)</f>
        <v>33.380000000000003</v>
      </c>
      <c r="G138">
        <f t="shared" si="77"/>
        <v>0</v>
      </c>
      <c r="H138" s="8"/>
      <c r="I138" s="8"/>
      <c r="J138">
        <f t="shared" si="78"/>
        <v>0</v>
      </c>
      <c r="K138">
        <f t="shared" si="79"/>
        <v>0</v>
      </c>
      <c r="L138">
        <f t="shared" si="80"/>
        <v>0</v>
      </c>
      <c r="M138" s="9">
        <f t="shared" si="81"/>
        <v>0</v>
      </c>
      <c r="N138" s="9" t="b">
        <f t="shared" si="82"/>
        <v>0</v>
      </c>
      <c r="O138" s="9"/>
      <c r="P138" s="9" t="str">
        <f t="shared" si="76"/>
        <v/>
      </c>
      <c r="Q138" s="9" t="str">
        <f t="shared" si="83"/>
        <v/>
      </c>
      <c r="R138" s="8" t="str">
        <f t="shared" si="84"/>
        <v/>
      </c>
      <c r="S138" s="9">
        <f t="shared" si="73"/>
        <v>19</v>
      </c>
      <c r="T138" s="9" t="str" cm="1">
        <f t="array" ref="T138">IF(O138,INDEX($AP$2:$AP$21,S138,1),"")</f>
        <v/>
      </c>
      <c r="U138" s="9" t="str">
        <f t="shared" si="85"/>
        <v/>
      </c>
      <c r="V138" s="9"/>
      <c r="W138" s="9" t="str">
        <f t="shared" si="86"/>
        <v/>
      </c>
      <c r="X138" s="9" t="str">
        <f t="shared" si="87"/>
        <v/>
      </c>
      <c r="Y138" s="8" t="str">
        <f t="shared" si="88"/>
        <v/>
      </c>
      <c r="Z138" s="9">
        <f t="shared" si="74"/>
        <v>19</v>
      </c>
      <c r="AA138" s="9" t="str" cm="1">
        <f t="array" ref="AA138">IF(V138,INDEX($AK$2:$AK$20,Z138,1),"")</f>
        <v/>
      </c>
      <c r="AB138" s="9" t="str">
        <f t="shared" si="89"/>
        <v/>
      </c>
    </row>
    <row r="139" spans="1:28" customFormat="1">
      <c r="A139" t="s">
        <v>274</v>
      </c>
      <c r="B139">
        <f>_xlfn.IFNA(INDEX(bf!B:B,MATCH(A139,bf!A:A,0),1),0)</f>
        <v>0</v>
      </c>
      <c r="C139">
        <f>INDEX('اسعار الاسهم'!A:L,MATCH(A139,'اسعار الاسهم'!K:K,0),2)</f>
        <v>3.38</v>
      </c>
      <c r="G139">
        <f t="shared" si="77"/>
        <v>0</v>
      </c>
      <c r="H139" s="8"/>
      <c r="I139" s="8"/>
      <c r="J139">
        <f t="shared" si="78"/>
        <v>0</v>
      </c>
      <c r="K139">
        <f t="shared" si="79"/>
        <v>0</v>
      </c>
      <c r="L139">
        <f t="shared" si="80"/>
        <v>0</v>
      </c>
      <c r="M139" s="9">
        <f t="shared" si="81"/>
        <v>0</v>
      </c>
      <c r="N139" s="9" t="b">
        <f t="shared" si="82"/>
        <v>0</v>
      </c>
      <c r="O139" s="9"/>
      <c r="P139" s="9" t="str">
        <f t="shared" si="76"/>
        <v/>
      </c>
      <c r="Q139" s="9" t="str">
        <f t="shared" si="83"/>
        <v/>
      </c>
      <c r="R139" s="8" t="str">
        <f t="shared" si="84"/>
        <v/>
      </c>
      <c r="S139" s="9">
        <f t="shared" si="73"/>
        <v>19</v>
      </c>
      <c r="T139" s="9" t="str" cm="1">
        <f t="array" ref="T139">IF(O139,INDEX($AP$2:$AP$21,S139,1),"")</f>
        <v/>
      </c>
      <c r="U139" s="9" t="str">
        <f t="shared" si="85"/>
        <v/>
      </c>
      <c r="V139" s="9"/>
      <c r="W139" s="9" t="str">
        <f t="shared" si="86"/>
        <v/>
      </c>
      <c r="X139" s="9" t="str">
        <f t="shared" si="87"/>
        <v/>
      </c>
      <c r="Y139" s="8" t="str">
        <f t="shared" si="88"/>
        <v/>
      </c>
      <c r="Z139" s="9">
        <f t="shared" si="74"/>
        <v>19</v>
      </c>
      <c r="AA139" s="9" t="str" cm="1">
        <f t="array" ref="AA139">IF(V139,INDEX($AK$2:$AK$20,Z139,1),"")</f>
        <v/>
      </c>
      <c r="AB139" s="9" t="str">
        <f t="shared" si="89"/>
        <v/>
      </c>
    </row>
    <row r="140" spans="1:28" customFormat="1">
      <c r="A140" t="s">
        <v>279</v>
      </c>
      <c r="B140">
        <f>_xlfn.IFNA(INDEX(bf!B:B,MATCH(A140,bf!A:A,0),1),0)</f>
        <v>0</v>
      </c>
      <c r="C140">
        <f>INDEX('اسعار الاسهم'!A:L,MATCH(A140,'اسعار الاسهم'!K:K,0),2)</f>
        <v>64.3</v>
      </c>
      <c r="G140">
        <f t="shared" si="77"/>
        <v>0</v>
      </c>
      <c r="H140" s="8"/>
      <c r="I140" s="8"/>
      <c r="J140">
        <f t="shared" si="78"/>
        <v>0</v>
      </c>
      <c r="K140">
        <f t="shared" si="79"/>
        <v>0</v>
      </c>
      <c r="L140">
        <f t="shared" si="80"/>
        <v>0</v>
      </c>
      <c r="M140" s="9">
        <f t="shared" si="81"/>
        <v>0</v>
      </c>
      <c r="N140" s="9" t="b">
        <f t="shared" si="82"/>
        <v>0</v>
      </c>
      <c r="O140" s="9"/>
      <c r="P140" s="9" t="str">
        <f t="shared" si="76"/>
        <v/>
      </c>
      <c r="Q140" s="9" t="str">
        <f t="shared" si="83"/>
        <v/>
      </c>
      <c r="R140" s="8" t="str">
        <f t="shared" si="84"/>
        <v/>
      </c>
      <c r="S140" s="9">
        <f t="shared" si="73"/>
        <v>19</v>
      </c>
      <c r="T140" s="9" t="str" cm="1">
        <f t="array" ref="T140">IF(O140,INDEX($AP$2:$AP$21,S140,1),"")</f>
        <v/>
      </c>
      <c r="U140" s="9" t="str">
        <f t="shared" si="85"/>
        <v/>
      </c>
      <c r="V140" s="9"/>
      <c r="W140" s="9" t="str">
        <f t="shared" si="86"/>
        <v/>
      </c>
      <c r="X140" s="9" t="str">
        <f t="shared" si="87"/>
        <v/>
      </c>
      <c r="Y140" s="8" t="str">
        <f t="shared" si="88"/>
        <v/>
      </c>
      <c r="Z140" s="9">
        <f t="shared" si="74"/>
        <v>19</v>
      </c>
      <c r="AA140" s="9" t="str" cm="1">
        <f t="array" ref="AA140">IF(V140,INDEX($AK$2:$AK$20,Z140,1),"")</f>
        <v/>
      </c>
      <c r="AB140" s="9" t="str">
        <f t="shared" si="89"/>
        <v/>
      </c>
    </row>
    <row r="141" spans="1:28" customFormat="1">
      <c r="A141" t="s">
        <v>282</v>
      </c>
      <c r="B141">
        <f>_xlfn.IFNA(INDEX(bf!B:B,MATCH(A141,bf!A:A,0),1),0)</f>
        <v>0</v>
      </c>
      <c r="C141">
        <f>INDEX('اسعار الاسهم'!A:L,MATCH(A141,'اسعار الاسهم'!K:K,0),2)</f>
        <v>43.88</v>
      </c>
      <c r="G141">
        <f t="shared" si="77"/>
        <v>0</v>
      </c>
      <c r="H141" s="8"/>
      <c r="I141" s="8"/>
      <c r="J141">
        <f t="shared" si="78"/>
        <v>0</v>
      </c>
      <c r="K141">
        <f t="shared" si="79"/>
        <v>0</v>
      </c>
      <c r="L141">
        <f t="shared" si="80"/>
        <v>0</v>
      </c>
      <c r="M141" s="9">
        <f t="shared" si="81"/>
        <v>0</v>
      </c>
      <c r="N141" s="9" t="b">
        <f t="shared" si="82"/>
        <v>0</v>
      </c>
      <c r="O141" s="9"/>
      <c r="P141" s="9" t="str">
        <f t="shared" si="76"/>
        <v/>
      </c>
      <c r="Q141" s="9" t="str">
        <f t="shared" si="83"/>
        <v/>
      </c>
      <c r="R141" s="8" t="str">
        <f t="shared" si="84"/>
        <v/>
      </c>
      <c r="S141" s="9">
        <f t="shared" si="73"/>
        <v>19</v>
      </c>
      <c r="T141" s="9" t="str" cm="1">
        <f t="array" ref="T141">IF(O141,INDEX($AP$2:$AP$21,S141,1),"")</f>
        <v/>
      </c>
      <c r="U141" s="9" t="str">
        <f t="shared" si="85"/>
        <v/>
      </c>
      <c r="V141" s="9"/>
      <c r="W141" s="9" t="str">
        <f t="shared" si="86"/>
        <v/>
      </c>
      <c r="X141" s="9" t="str">
        <f t="shared" si="87"/>
        <v/>
      </c>
      <c r="Y141" s="8" t="str">
        <f t="shared" si="88"/>
        <v/>
      </c>
      <c r="Z141" s="9">
        <f t="shared" si="74"/>
        <v>19</v>
      </c>
      <c r="AA141" s="9" t="str" cm="1">
        <f t="array" ref="AA141">IF(V141,INDEX($AK$2:$AK$20,Z141,1),"")</f>
        <v/>
      </c>
      <c r="AB141" s="9" t="str">
        <f t="shared" si="89"/>
        <v/>
      </c>
    </row>
    <row r="142" spans="1:28" customFormat="1">
      <c r="A142" t="s">
        <v>468</v>
      </c>
      <c r="B142">
        <f>_xlfn.IFNA(INDEX(bf!B:B,MATCH(A142,bf!A:A,0),1),0)</f>
        <v>0</v>
      </c>
      <c r="C142">
        <f>INDEX('اسعار الاسهم'!A:L,MATCH(A142,'اسعار الاسهم'!K:K,0),2)</f>
        <v>3.43</v>
      </c>
      <c r="G142">
        <f t="shared" si="77"/>
        <v>0</v>
      </c>
      <c r="H142" s="8"/>
      <c r="I142" s="8"/>
      <c r="J142">
        <f t="shared" si="78"/>
        <v>0</v>
      </c>
      <c r="K142">
        <f t="shared" si="79"/>
        <v>0</v>
      </c>
      <c r="L142">
        <f t="shared" si="80"/>
        <v>0</v>
      </c>
      <c r="M142" s="9">
        <f t="shared" si="81"/>
        <v>0</v>
      </c>
      <c r="N142" s="9" t="b">
        <f t="shared" si="82"/>
        <v>0</v>
      </c>
      <c r="O142" s="9"/>
      <c r="P142" s="9" t="str">
        <f t="shared" si="76"/>
        <v/>
      </c>
      <c r="Q142" s="9" t="str">
        <f t="shared" si="83"/>
        <v/>
      </c>
      <c r="R142" s="8" t="str">
        <f t="shared" si="84"/>
        <v/>
      </c>
      <c r="S142" s="9">
        <f t="shared" si="73"/>
        <v>19</v>
      </c>
      <c r="T142" s="9" t="str" cm="1">
        <f t="array" ref="T142">IF(O142,INDEX($AP$2:$AP$21,S142,1),"")</f>
        <v/>
      </c>
      <c r="U142" s="9" t="str">
        <f t="shared" si="85"/>
        <v/>
      </c>
      <c r="V142" s="9"/>
      <c r="W142" s="9" t="str">
        <f t="shared" si="86"/>
        <v/>
      </c>
      <c r="X142" s="9" t="str">
        <f t="shared" si="87"/>
        <v/>
      </c>
      <c r="Y142" s="8" t="str">
        <f t="shared" si="88"/>
        <v/>
      </c>
      <c r="Z142" s="9">
        <f t="shared" si="74"/>
        <v>19</v>
      </c>
      <c r="AA142" s="9" t="str" cm="1">
        <f t="array" ref="AA142">IF(V142,INDEX($AK$2:$AK$20,Z142,1),"")</f>
        <v/>
      </c>
      <c r="AB142" s="9" t="str">
        <f t="shared" si="89"/>
        <v/>
      </c>
    </row>
    <row r="143" spans="1:28" customFormat="1">
      <c r="A143" t="s">
        <v>135</v>
      </c>
      <c r="B143">
        <f>_xlfn.IFNA(INDEX(bf!B:B,MATCH(A143,bf!A:A,0),1),0)</f>
        <v>0</v>
      </c>
      <c r="C143">
        <f>INDEX('اسعار الاسهم'!A:L,MATCH(A143,'اسعار الاسهم'!K:K,0),2)</f>
        <v>12.29</v>
      </c>
      <c r="G143">
        <f t="shared" si="77"/>
        <v>0</v>
      </c>
      <c r="H143" s="8"/>
      <c r="I143" s="8"/>
      <c r="J143">
        <f t="shared" si="78"/>
        <v>0</v>
      </c>
      <c r="K143">
        <f t="shared" si="79"/>
        <v>0</v>
      </c>
      <c r="L143">
        <f t="shared" si="80"/>
        <v>0</v>
      </c>
      <c r="M143" s="9">
        <f t="shared" si="81"/>
        <v>0</v>
      </c>
      <c r="N143" s="9" t="b">
        <f t="shared" si="82"/>
        <v>0</v>
      </c>
      <c r="O143" s="9"/>
      <c r="P143" s="9" t="str">
        <f t="shared" si="76"/>
        <v/>
      </c>
      <c r="Q143" s="9" t="str">
        <f t="shared" si="83"/>
        <v/>
      </c>
      <c r="R143" s="8" t="str">
        <f t="shared" si="84"/>
        <v/>
      </c>
      <c r="S143" s="9">
        <f t="shared" si="73"/>
        <v>19</v>
      </c>
      <c r="T143" s="9" t="str" cm="1">
        <f t="array" ref="T143">IF(O143,INDEX($AP$2:$AP$21,S143,1),"")</f>
        <v/>
      </c>
      <c r="U143" s="9" t="str">
        <f t="shared" si="85"/>
        <v/>
      </c>
      <c r="V143" s="9"/>
      <c r="W143" s="9" t="str">
        <f t="shared" si="86"/>
        <v/>
      </c>
      <c r="X143" s="9" t="str">
        <f t="shared" si="87"/>
        <v/>
      </c>
      <c r="Y143" s="8" t="str">
        <f t="shared" si="88"/>
        <v/>
      </c>
      <c r="Z143" s="9">
        <f t="shared" si="74"/>
        <v>19</v>
      </c>
      <c r="AA143" s="9" t="str" cm="1">
        <f t="array" ref="AA143">IF(V143,INDEX($AK$2:$AK$20,Z143,1),"")</f>
        <v/>
      </c>
      <c r="AB143" s="9" t="str">
        <f t="shared" si="89"/>
        <v/>
      </c>
    </row>
    <row r="144" spans="1:28" customFormat="1">
      <c r="A144" t="s">
        <v>27</v>
      </c>
      <c r="B144">
        <f>_xlfn.IFNA(INDEX(bf!B:B,MATCH(A144,bf!A:A,0),1),0)</f>
        <v>0</v>
      </c>
      <c r="C144">
        <f>INDEX('اسعار الاسهم'!A:L,MATCH(A144,'اسعار الاسهم'!K:K,0),2)</f>
        <v>48.78</v>
      </c>
      <c r="G144">
        <f t="shared" si="77"/>
        <v>0</v>
      </c>
      <c r="H144" s="8"/>
      <c r="I144" s="8"/>
      <c r="J144">
        <f t="shared" si="78"/>
        <v>0</v>
      </c>
      <c r="K144">
        <f t="shared" si="79"/>
        <v>0</v>
      </c>
      <c r="L144">
        <f t="shared" si="80"/>
        <v>0</v>
      </c>
      <c r="M144" s="9">
        <f t="shared" si="81"/>
        <v>0</v>
      </c>
      <c r="N144" s="9" t="b">
        <f t="shared" si="82"/>
        <v>0</v>
      </c>
      <c r="O144" s="9"/>
      <c r="P144" s="9" t="str">
        <f t="shared" si="76"/>
        <v/>
      </c>
      <c r="Q144" s="9" t="str">
        <f t="shared" si="83"/>
        <v/>
      </c>
      <c r="R144" s="8" t="str">
        <f t="shared" si="84"/>
        <v/>
      </c>
      <c r="S144" s="9">
        <f t="shared" si="73"/>
        <v>19</v>
      </c>
      <c r="T144" s="9" t="str" cm="1">
        <f t="array" ref="T144">IF(O144,INDEX($AP$2:$AP$21,S144,1),"")</f>
        <v/>
      </c>
      <c r="U144" s="9" t="str">
        <f t="shared" si="85"/>
        <v/>
      </c>
      <c r="V144" s="9"/>
      <c r="W144" s="9" t="str">
        <f t="shared" si="86"/>
        <v/>
      </c>
      <c r="X144" s="9" t="str">
        <f t="shared" si="87"/>
        <v/>
      </c>
      <c r="Y144" s="8" t="str">
        <f t="shared" si="88"/>
        <v/>
      </c>
      <c r="Z144" s="9">
        <f t="shared" si="74"/>
        <v>19</v>
      </c>
      <c r="AA144" s="9" t="str" cm="1">
        <f t="array" ref="AA144">IF(V144,INDEX($AK$2:$AK$20,Z144,1),"")</f>
        <v/>
      </c>
      <c r="AB144" s="9" t="str">
        <f t="shared" si="89"/>
        <v/>
      </c>
    </row>
    <row r="145" spans="1:28" customFormat="1">
      <c r="A145" t="s">
        <v>289</v>
      </c>
      <c r="B145">
        <f>_xlfn.IFNA(INDEX(bf!B:B,MATCH(A145,bf!A:A,0),1),0)</f>
        <v>0</v>
      </c>
      <c r="C145">
        <f>INDEX('اسعار الاسهم'!A:L,MATCH(A145,'اسعار الاسهم'!K:K,0),2)</f>
        <v>9.3000000000000007</v>
      </c>
      <c r="G145">
        <f t="shared" si="77"/>
        <v>0</v>
      </c>
      <c r="H145" s="8"/>
      <c r="I145" s="8"/>
      <c r="J145">
        <f t="shared" si="78"/>
        <v>0</v>
      </c>
      <c r="K145">
        <f t="shared" si="79"/>
        <v>0</v>
      </c>
      <c r="L145">
        <f t="shared" si="80"/>
        <v>0</v>
      </c>
      <c r="M145" s="9">
        <f t="shared" si="81"/>
        <v>0</v>
      </c>
      <c r="N145" s="9" t="b">
        <f t="shared" si="82"/>
        <v>0</v>
      </c>
      <c r="O145" s="9"/>
      <c r="P145" s="9" t="str">
        <f t="shared" si="76"/>
        <v/>
      </c>
      <c r="Q145" s="9" t="str">
        <f t="shared" si="83"/>
        <v/>
      </c>
      <c r="R145" s="8" t="str">
        <f t="shared" si="84"/>
        <v/>
      </c>
      <c r="S145" s="9">
        <f t="shared" si="73"/>
        <v>19</v>
      </c>
      <c r="T145" s="9" t="str" cm="1">
        <f t="array" ref="T145">IF(O145,INDEX($AP$2:$AP$21,S145,1),"")</f>
        <v/>
      </c>
      <c r="U145" s="9" t="str">
        <f t="shared" si="85"/>
        <v/>
      </c>
      <c r="V145" s="9"/>
      <c r="W145" s="9" t="str">
        <f t="shared" si="86"/>
        <v/>
      </c>
      <c r="X145" s="9" t="str">
        <f t="shared" si="87"/>
        <v/>
      </c>
      <c r="Y145" s="8" t="str">
        <f t="shared" si="88"/>
        <v/>
      </c>
      <c r="Z145" s="9">
        <f t="shared" si="74"/>
        <v>19</v>
      </c>
      <c r="AA145" s="9" t="str" cm="1">
        <f t="array" ref="AA145">IF(V145,INDEX($AK$2:$AK$20,Z145,1),"")</f>
        <v/>
      </c>
      <c r="AB145" s="9" t="str">
        <f t="shared" si="89"/>
        <v/>
      </c>
    </row>
    <row r="146" spans="1:28" customFormat="1">
      <c r="A146" t="s">
        <v>92</v>
      </c>
      <c r="B146">
        <f>_xlfn.IFNA(INDEX(bf!B:B,MATCH(A146,bf!A:A,0),1),0)</f>
        <v>0</v>
      </c>
      <c r="C146">
        <f>INDEX('اسعار الاسهم'!A:L,MATCH(A146,'اسعار الاسهم'!K:K,0),2)</f>
        <v>4.7300000000000004</v>
      </c>
      <c r="G146">
        <f t="shared" si="77"/>
        <v>0</v>
      </c>
      <c r="H146" s="8"/>
      <c r="I146" s="8"/>
      <c r="J146">
        <f t="shared" si="78"/>
        <v>0</v>
      </c>
      <c r="K146">
        <f t="shared" si="79"/>
        <v>0</v>
      </c>
      <c r="L146">
        <f t="shared" si="80"/>
        <v>0</v>
      </c>
      <c r="M146" s="9">
        <f t="shared" si="81"/>
        <v>0</v>
      </c>
      <c r="N146" s="9" t="b">
        <f t="shared" si="82"/>
        <v>0</v>
      </c>
      <c r="O146" s="9"/>
      <c r="P146" s="9" t="str">
        <f t="shared" si="76"/>
        <v/>
      </c>
      <c r="Q146" s="9" t="str">
        <f t="shared" si="83"/>
        <v/>
      </c>
      <c r="R146" s="8" t="str">
        <f t="shared" si="84"/>
        <v/>
      </c>
      <c r="S146" s="9">
        <f t="shared" si="73"/>
        <v>19</v>
      </c>
      <c r="T146" s="9" t="str" cm="1">
        <f t="array" ref="T146">IF(O146,INDEX($AP$2:$AP$21,S146,1),"")</f>
        <v/>
      </c>
      <c r="U146" s="9" t="str">
        <f t="shared" si="85"/>
        <v/>
      </c>
      <c r="V146" s="9"/>
      <c r="W146" s="9" t="str">
        <f t="shared" si="86"/>
        <v/>
      </c>
      <c r="X146" s="9" t="str">
        <f t="shared" si="87"/>
        <v/>
      </c>
      <c r="Y146" s="8" t="str">
        <f t="shared" si="88"/>
        <v/>
      </c>
      <c r="Z146" s="9">
        <f t="shared" si="74"/>
        <v>19</v>
      </c>
      <c r="AA146" s="9" t="str" cm="1">
        <f t="array" ref="AA146">IF(V146,INDEX($AK$2:$AK$20,Z146,1),"")</f>
        <v/>
      </c>
      <c r="AB146" s="9" t="str">
        <f t="shared" si="89"/>
        <v/>
      </c>
    </row>
    <row r="147" spans="1:28" customFormat="1">
      <c r="A147" t="s">
        <v>92</v>
      </c>
      <c r="B147">
        <f>_xlfn.IFNA(INDEX(bf!B:B,MATCH(A147,bf!A:A,0),1),0)</f>
        <v>0</v>
      </c>
      <c r="C147">
        <f>INDEX('اسعار الاسهم'!A:L,MATCH(A147,'اسعار الاسهم'!K:K,0),2)</f>
        <v>4.7300000000000004</v>
      </c>
      <c r="G147">
        <f t="shared" si="77"/>
        <v>0</v>
      </c>
      <c r="H147" s="8"/>
      <c r="I147" s="8"/>
      <c r="J147">
        <f t="shared" si="78"/>
        <v>0</v>
      </c>
      <c r="K147">
        <f t="shared" si="79"/>
        <v>0</v>
      </c>
      <c r="L147">
        <f t="shared" si="80"/>
        <v>0</v>
      </c>
      <c r="M147" s="9">
        <f t="shared" si="81"/>
        <v>0</v>
      </c>
      <c r="N147" s="9" t="b">
        <f t="shared" si="82"/>
        <v>0</v>
      </c>
      <c r="O147" s="9"/>
      <c r="P147" s="9" t="str">
        <f t="shared" si="76"/>
        <v/>
      </c>
      <c r="Q147" s="9" t="str">
        <f t="shared" si="83"/>
        <v/>
      </c>
      <c r="R147" s="8" t="str">
        <f t="shared" si="84"/>
        <v/>
      </c>
      <c r="S147" s="9">
        <f t="shared" si="73"/>
        <v>19</v>
      </c>
      <c r="T147" s="9" t="str" cm="1">
        <f t="array" ref="T147">IF(O147,INDEX($AP$2:$AP$21,S147,1),"")</f>
        <v/>
      </c>
      <c r="U147" s="9" t="str">
        <f t="shared" si="85"/>
        <v/>
      </c>
      <c r="V147" s="9"/>
      <c r="W147" s="9" t="str">
        <f t="shared" si="86"/>
        <v/>
      </c>
      <c r="X147" s="9" t="str">
        <f t="shared" si="87"/>
        <v/>
      </c>
      <c r="Y147" s="8" t="str">
        <f t="shared" si="88"/>
        <v/>
      </c>
      <c r="Z147" s="9">
        <f t="shared" si="74"/>
        <v>19</v>
      </c>
      <c r="AA147" s="9" t="str" cm="1">
        <f t="array" ref="AA147">IF(V147,INDEX($AK$2:$AK$20,Z147,1),"")</f>
        <v/>
      </c>
      <c r="AB147" s="9" t="str">
        <f t="shared" si="89"/>
        <v/>
      </c>
    </row>
    <row r="148" spans="1:28" customFormat="1">
      <c r="A148" t="s">
        <v>637</v>
      </c>
      <c r="B148">
        <f>_xlfn.IFNA(INDEX(bf!B:B,MATCH(A148,bf!A:A,0),1),0)</f>
        <v>0</v>
      </c>
      <c r="C148">
        <f>INDEX('اسعار الاسهم'!A:L,MATCH(A148,'اسعار الاسهم'!K:K,0),2)</f>
        <v>0.06</v>
      </c>
      <c r="G148">
        <f t="shared" si="77"/>
        <v>0</v>
      </c>
      <c r="H148" s="8"/>
      <c r="I148" s="8"/>
      <c r="J148">
        <f t="shared" si="78"/>
        <v>0</v>
      </c>
      <c r="K148">
        <f t="shared" si="79"/>
        <v>0</v>
      </c>
      <c r="L148">
        <f t="shared" si="80"/>
        <v>0</v>
      </c>
      <c r="M148" s="9">
        <f t="shared" si="81"/>
        <v>0</v>
      </c>
      <c r="N148" s="9" t="b">
        <f t="shared" si="82"/>
        <v>0</v>
      </c>
      <c r="O148" s="9"/>
      <c r="P148" s="9" t="str">
        <f t="shared" si="76"/>
        <v/>
      </c>
      <c r="Q148" s="9" t="str">
        <f t="shared" si="83"/>
        <v/>
      </c>
      <c r="R148" s="8" t="str">
        <f t="shared" si="84"/>
        <v/>
      </c>
      <c r="S148" s="9">
        <f t="shared" ref="S148:S173" si="90">_xlfn.NUMBERVALUE(S147)+IF(O148,1,0)</f>
        <v>19</v>
      </c>
      <c r="T148" s="9" t="str" cm="1">
        <f t="array" ref="T148">IF(O148,INDEX($AP$2:$AP$21,S148,1),"")</f>
        <v/>
      </c>
      <c r="U148" s="9" t="str">
        <f t="shared" si="85"/>
        <v/>
      </c>
      <c r="V148" s="9"/>
      <c r="W148" s="9" t="str">
        <f t="shared" si="86"/>
        <v/>
      </c>
      <c r="X148" s="9" t="str">
        <f t="shared" si="87"/>
        <v/>
      </c>
      <c r="Y148" s="8" t="str">
        <f t="shared" si="88"/>
        <v/>
      </c>
      <c r="Z148" s="9">
        <f t="shared" si="74"/>
        <v>19</v>
      </c>
      <c r="AA148" s="9" t="str" cm="1">
        <f t="array" ref="AA148">IF(V148,INDEX($AK$2:$AK$20,Z148,1),"")</f>
        <v/>
      </c>
      <c r="AB148" s="9" t="str">
        <f t="shared" si="89"/>
        <v/>
      </c>
    </row>
    <row r="149" spans="1:28" customFormat="1">
      <c r="A149" t="s">
        <v>29</v>
      </c>
      <c r="B149">
        <f>_xlfn.IFNA(INDEX(bf!B:B,MATCH(A149,bf!A:A,0),1),0)</f>
        <v>0</v>
      </c>
      <c r="C149">
        <f>INDEX('اسعار الاسهم'!A:L,MATCH(A149,'اسعار الاسهم'!K:K,0),2)</f>
        <v>1.31</v>
      </c>
      <c r="G149">
        <f t="shared" si="77"/>
        <v>0</v>
      </c>
      <c r="H149" s="8"/>
      <c r="I149" s="8"/>
      <c r="J149">
        <f t="shared" si="78"/>
        <v>0</v>
      </c>
      <c r="K149">
        <f t="shared" si="79"/>
        <v>0</v>
      </c>
      <c r="L149">
        <f t="shared" si="80"/>
        <v>0</v>
      </c>
      <c r="M149" s="9">
        <f t="shared" si="81"/>
        <v>0</v>
      </c>
      <c r="N149" s="9" t="b">
        <f t="shared" si="82"/>
        <v>0</v>
      </c>
      <c r="O149" s="9"/>
      <c r="P149" s="9" t="str">
        <f t="shared" si="76"/>
        <v/>
      </c>
      <c r="Q149" s="9" t="str">
        <f t="shared" si="83"/>
        <v/>
      </c>
      <c r="R149" s="8" t="str">
        <f t="shared" si="84"/>
        <v/>
      </c>
      <c r="S149" s="9">
        <f t="shared" si="90"/>
        <v>19</v>
      </c>
      <c r="T149" s="9" t="str" cm="1">
        <f t="array" ref="T149">IF(O149,INDEX($AP$2:$AP$21,S149,1),"")</f>
        <v/>
      </c>
      <c r="U149" s="9" t="str">
        <f t="shared" si="85"/>
        <v/>
      </c>
      <c r="V149" s="9"/>
      <c r="W149" s="9" t="str">
        <f t="shared" si="86"/>
        <v/>
      </c>
      <c r="X149" s="9" t="str">
        <f t="shared" si="87"/>
        <v/>
      </c>
      <c r="Y149" s="8" t="str">
        <f t="shared" si="88"/>
        <v/>
      </c>
      <c r="Z149" s="9">
        <f t="shared" si="74"/>
        <v>19</v>
      </c>
      <c r="AA149" s="9" t="str" cm="1">
        <f t="array" ref="AA149">IF(V149,INDEX($AK$2:$AK$20,Z149,1),"")</f>
        <v/>
      </c>
      <c r="AB149" s="9" t="str">
        <f t="shared" si="89"/>
        <v/>
      </c>
    </row>
    <row r="150" spans="1:28" customFormat="1">
      <c r="A150" t="s">
        <v>592</v>
      </c>
      <c r="B150">
        <f>_xlfn.IFNA(INDEX(bf!B:B,MATCH(A150,bf!A:A,0),1),0)</f>
        <v>0</v>
      </c>
      <c r="C150">
        <f>INDEX('اسعار الاسهم'!A:L,MATCH(A150,'اسعار الاسهم'!K:K,0),2)</f>
        <v>0.28000000000000003</v>
      </c>
      <c r="G150">
        <f t="shared" si="77"/>
        <v>0</v>
      </c>
      <c r="H150" s="8"/>
      <c r="I150" s="8"/>
      <c r="J150">
        <f t="shared" si="78"/>
        <v>0</v>
      </c>
      <c r="K150">
        <f t="shared" si="79"/>
        <v>0</v>
      </c>
      <c r="L150">
        <f t="shared" si="80"/>
        <v>0</v>
      </c>
      <c r="M150" s="9">
        <f t="shared" si="81"/>
        <v>0</v>
      </c>
      <c r="N150" s="9" t="b">
        <f t="shared" si="82"/>
        <v>0</v>
      </c>
      <c r="O150" s="9"/>
      <c r="P150" s="9" t="str">
        <f t="shared" si="76"/>
        <v/>
      </c>
      <c r="Q150" s="9" t="str">
        <f t="shared" si="83"/>
        <v/>
      </c>
      <c r="R150" s="8" t="str">
        <f t="shared" si="84"/>
        <v/>
      </c>
      <c r="S150" s="9">
        <f t="shared" si="90"/>
        <v>19</v>
      </c>
      <c r="T150" s="9" t="str" cm="1">
        <f t="array" ref="T150">IF(O150,INDEX($AP$2:$AP$21,S150,1),"")</f>
        <v/>
      </c>
      <c r="U150" s="9" t="str">
        <f t="shared" si="85"/>
        <v/>
      </c>
      <c r="V150" s="9"/>
      <c r="W150" s="9" t="str">
        <f t="shared" si="86"/>
        <v/>
      </c>
      <c r="X150" s="9" t="str">
        <f t="shared" si="87"/>
        <v/>
      </c>
      <c r="Y150" s="8" t="str">
        <f t="shared" si="88"/>
        <v/>
      </c>
      <c r="Z150" s="9">
        <f t="shared" si="74"/>
        <v>19</v>
      </c>
      <c r="AA150" s="9" t="str" cm="1">
        <f t="array" ref="AA150">IF(V150,INDEX($AK$2:$AK$20,Z150,1),"")</f>
        <v/>
      </c>
      <c r="AB150" s="9" t="str">
        <f t="shared" si="89"/>
        <v/>
      </c>
    </row>
    <row r="151" spans="1:28" customFormat="1">
      <c r="A151" t="s">
        <v>1127</v>
      </c>
      <c r="B151">
        <f>_xlfn.IFNA(INDEX(bf!B:B,MATCH(A151,bf!A:A,0),1),0)</f>
        <v>0</v>
      </c>
      <c r="C151">
        <f>INDEX('اسعار الاسهم'!A:L,MATCH(A151,'اسعار الاسهم'!K:K,0),2)</f>
        <v>11.31</v>
      </c>
      <c r="G151">
        <f t="shared" si="77"/>
        <v>0</v>
      </c>
      <c r="H151" s="8"/>
      <c r="I151" s="8"/>
      <c r="J151">
        <f t="shared" si="78"/>
        <v>0</v>
      </c>
      <c r="K151">
        <f t="shared" si="79"/>
        <v>0</v>
      </c>
      <c r="L151">
        <f t="shared" si="80"/>
        <v>0</v>
      </c>
      <c r="M151" s="9">
        <f t="shared" si="81"/>
        <v>0</v>
      </c>
      <c r="N151" s="9" t="b">
        <f t="shared" si="82"/>
        <v>0</v>
      </c>
      <c r="O151" s="9"/>
      <c r="P151" s="9" t="str">
        <f t="shared" si="76"/>
        <v/>
      </c>
      <c r="Q151" s="9" t="str">
        <f t="shared" si="83"/>
        <v/>
      </c>
      <c r="R151" s="8" t="str">
        <f t="shared" si="84"/>
        <v/>
      </c>
      <c r="S151" s="9">
        <f t="shared" si="90"/>
        <v>19</v>
      </c>
      <c r="T151" s="9" t="str" cm="1">
        <f t="array" ref="T151">IF(O151,INDEX($AP$2:$AP$21,S151,1),"")</f>
        <v/>
      </c>
      <c r="U151" s="9" t="str">
        <f t="shared" si="85"/>
        <v/>
      </c>
      <c r="V151" s="9"/>
      <c r="W151" s="9" t="str">
        <f t="shared" si="86"/>
        <v/>
      </c>
      <c r="X151" s="9" t="str">
        <f t="shared" si="87"/>
        <v/>
      </c>
      <c r="Y151" s="8" t="str">
        <f t="shared" si="88"/>
        <v/>
      </c>
      <c r="Z151" s="9">
        <f t="shared" si="74"/>
        <v>19</v>
      </c>
      <c r="AA151" s="9" t="str" cm="1">
        <f t="array" ref="AA151">IF(V151,INDEX($AK$2:$AK$20,Z151,1),"")</f>
        <v/>
      </c>
      <c r="AB151" s="9" t="str">
        <f t="shared" si="89"/>
        <v/>
      </c>
    </row>
    <row r="152" spans="1:28" customFormat="1">
      <c r="A152" t="s">
        <v>297</v>
      </c>
      <c r="B152">
        <f>_xlfn.IFNA(INDEX(bf!B:B,MATCH(A152,bf!A:A,0),1),0)</f>
        <v>0</v>
      </c>
      <c r="C152">
        <f>INDEX('اسعار الاسهم'!A:L,MATCH(A152,'اسعار الاسهم'!K:K,0),2)</f>
        <v>293</v>
      </c>
      <c r="G152">
        <f t="shared" si="77"/>
        <v>0</v>
      </c>
      <c r="H152" s="8"/>
      <c r="I152" s="8"/>
      <c r="J152">
        <f t="shared" si="78"/>
        <v>0</v>
      </c>
      <c r="K152">
        <f t="shared" si="79"/>
        <v>0</v>
      </c>
      <c r="L152">
        <f t="shared" si="80"/>
        <v>0</v>
      </c>
      <c r="M152" s="9">
        <f t="shared" si="81"/>
        <v>0</v>
      </c>
      <c r="N152" s="9" t="b">
        <f t="shared" si="82"/>
        <v>0</v>
      </c>
      <c r="O152" s="9"/>
      <c r="P152" s="9" t="str">
        <f t="shared" si="76"/>
        <v/>
      </c>
      <c r="Q152" s="9" t="str">
        <f t="shared" si="83"/>
        <v/>
      </c>
      <c r="R152" s="8" t="str">
        <f t="shared" si="84"/>
        <v/>
      </c>
      <c r="S152" s="9">
        <f t="shared" si="90"/>
        <v>19</v>
      </c>
      <c r="T152" s="9" t="str" cm="1">
        <f t="array" ref="T152">IF(O152,INDEX($AP$2:$AP$21,S152,1),"")</f>
        <v/>
      </c>
      <c r="U152" s="9" t="str">
        <f t="shared" si="85"/>
        <v/>
      </c>
      <c r="V152" s="9"/>
      <c r="W152" s="9" t="str">
        <f t="shared" si="86"/>
        <v/>
      </c>
      <c r="X152" s="9" t="str">
        <f t="shared" si="87"/>
        <v/>
      </c>
      <c r="Y152" s="8" t="str">
        <f t="shared" si="88"/>
        <v/>
      </c>
      <c r="Z152" s="9">
        <f t="shared" si="74"/>
        <v>19</v>
      </c>
      <c r="AA152" s="9" t="str" cm="1">
        <f t="array" ref="AA152">IF(V152,INDEX($AK$2:$AK$20,Z152,1),"")</f>
        <v/>
      </c>
      <c r="AB152" s="9" t="str">
        <f t="shared" si="89"/>
        <v/>
      </c>
    </row>
    <row r="153" spans="1:28" customFormat="1">
      <c r="A153" t="s">
        <v>299</v>
      </c>
      <c r="B153">
        <f>_xlfn.IFNA(INDEX(bf!B:B,MATCH(A153,bf!A:A,0),1),0)</f>
        <v>0</v>
      </c>
      <c r="C153">
        <f>INDEX('اسعار الاسهم'!A:L,MATCH(A153,'اسعار الاسهم'!K:K,0),2)</f>
        <v>8.6999999999999993</v>
      </c>
      <c r="G153">
        <f t="shared" si="77"/>
        <v>0</v>
      </c>
      <c r="H153" s="8"/>
      <c r="I153" s="8"/>
      <c r="J153">
        <f t="shared" si="78"/>
        <v>0</v>
      </c>
      <c r="K153">
        <f t="shared" si="79"/>
        <v>0</v>
      </c>
      <c r="L153">
        <f t="shared" si="80"/>
        <v>0</v>
      </c>
      <c r="M153" s="9">
        <f t="shared" si="81"/>
        <v>0</v>
      </c>
      <c r="N153" s="9" t="b">
        <f t="shared" si="82"/>
        <v>0</v>
      </c>
      <c r="O153" s="9"/>
      <c r="P153" s="9" t="str">
        <f t="shared" si="76"/>
        <v/>
      </c>
      <c r="Q153" s="9" t="str">
        <f t="shared" si="83"/>
        <v/>
      </c>
      <c r="R153" s="8" t="str">
        <f t="shared" si="84"/>
        <v/>
      </c>
      <c r="S153" s="9">
        <f t="shared" si="90"/>
        <v>19</v>
      </c>
      <c r="T153" s="9" t="str" cm="1">
        <f t="array" ref="T153">IF(O153,INDEX($AP$2:$AP$21,S153,1),"")</f>
        <v/>
      </c>
      <c r="U153" s="9" t="str">
        <f t="shared" si="85"/>
        <v/>
      </c>
      <c r="V153" s="9"/>
      <c r="W153" s="9" t="str">
        <f t="shared" si="86"/>
        <v/>
      </c>
      <c r="X153" s="9" t="str">
        <f t="shared" si="87"/>
        <v/>
      </c>
      <c r="Y153" s="8" t="str">
        <f t="shared" si="88"/>
        <v/>
      </c>
      <c r="Z153" s="9">
        <f t="shared" si="74"/>
        <v>19</v>
      </c>
      <c r="AA153" s="9" t="str" cm="1">
        <f t="array" ref="AA153">IF(V153,INDEX($AK$2:$AK$20,Z153,1),"")</f>
        <v/>
      </c>
      <c r="AB153" s="9" t="str">
        <f t="shared" si="89"/>
        <v/>
      </c>
    </row>
    <row r="154" spans="1:28" customFormat="1">
      <c r="H154" s="8"/>
      <c r="I154" s="8"/>
      <c r="J154">
        <f t="shared" si="78"/>
        <v>0</v>
      </c>
      <c r="K154">
        <f t="shared" si="79"/>
        <v>0</v>
      </c>
      <c r="L154">
        <f t="shared" si="80"/>
        <v>0</v>
      </c>
      <c r="P154" s="9" t="str">
        <f t="shared" si="76"/>
        <v/>
      </c>
      <c r="Q154" s="9" t="str">
        <f t="shared" si="83"/>
        <v/>
      </c>
      <c r="R154" s="8" t="str">
        <f t="shared" si="84"/>
        <v/>
      </c>
      <c r="S154" s="9">
        <f t="shared" si="90"/>
        <v>19</v>
      </c>
      <c r="T154" s="9" t="str" cm="1">
        <f t="array" ref="T154">IF(O154,INDEX($AP$2:$AP$21,S154,1),"")</f>
        <v/>
      </c>
      <c r="U154" s="9"/>
      <c r="Y154" s="8" t="str">
        <f t="shared" si="88"/>
        <v/>
      </c>
      <c r="Z154" s="9">
        <f t="shared" si="74"/>
        <v>19</v>
      </c>
      <c r="AA154" s="9" t="str" cm="1">
        <f t="array" ref="AA154">IF(V154,INDEX($AK$2:$AK$20,Z154,1),"")</f>
        <v/>
      </c>
    </row>
    <row r="155" spans="1:28" customFormat="1">
      <c r="H155" s="8"/>
      <c r="I155" s="8"/>
      <c r="J155">
        <f t="shared" si="78"/>
        <v>0</v>
      </c>
      <c r="K155">
        <f t="shared" si="79"/>
        <v>0</v>
      </c>
      <c r="L155">
        <f t="shared" si="80"/>
        <v>0</v>
      </c>
      <c r="P155" s="9" t="str">
        <f t="shared" si="76"/>
        <v/>
      </c>
      <c r="Q155" s="9" t="str">
        <f t="shared" si="83"/>
        <v/>
      </c>
      <c r="R155" s="8" t="str">
        <f t="shared" si="84"/>
        <v/>
      </c>
      <c r="S155" s="9">
        <f t="shared" si="90"/>
        <v>19</v>
      </c>
      <c r="T155" s="9" t="str" cm="1">
        <f t="array" ref="T155">IF(O155,INDEX($AP$2:$AP$21,S155,1),"")</f>
        <v/>
      </c>
      <c r="U155" s="9"/>
      <c r="Y155" s="8" t="str">
        <f t="shared" si="88"/>
        <v/>
      </c>
      <c r="Z155" s="9">
        <f t="shared" si="74"/>
        <v>19</v>
      </c>
      <c r="AA155" s="9" t="str" cm="1">
        <f t="array" ref="AA155">IF(V155,INDEX($AK$2:$AK$20,Z155,1),"")</f>
        <v/>
      </c>
    </row>
    <row r="156" spans="1:28" customFormat="1">
      <c r="H156" s="8"/>
      <c r="I156" s="8"/>
      <c r="J156">
        <f t="shared" si="78"/>
        <v>0</v>
      </c>
      <c r="K156">
        <f t="shared" si="79"/>
        <v>0</v>
      </c>
      <c r="L156">
        <f t="shared" si="80"/>
        <v>0</v>
      </c>
      <c r="P156" s="9" t="str">
        <f t="shared" si="76"/>
        <v/>
      </c>
      <c r="Q156" s="9" t="str">
        <f t="shared" si="83"/>
        <v/>
      </c>
      <c r="R156" s="8" t="str">
        <f t="shared" si="84"/>
        <v/>
      </c>
      <c r="S156" s="9">
        <f t="shared" si="90"/>
        <v>19</v>
      </c>
      <c r="T156" s="9" t="str" cm="1">
        <f t="array" ref="T156">IF(O156,INDEX($AP$2:$AP$21,S156,1),"")</f>
        <v/>
      </c>
      <c r="U156" s="9"/>
      <c r="Y156" s="8" t="str">
        <f t="shared" si="88"/>
        <v/>
      </c>
      <c r="Z156" s="9">
        <f t="shared" si="74"/>
        <v>19</v>
      </c>
      <c r="AA156" s="9" t="str" cm="1">
        <f t="array" ref="AA156">IF(V156,INDEX($AK$2:$AK$20,Z156,1),"")</f>
        <v/>
      </c>
    </row>
    <row r="157" spans="1:28" customFormat="1">
      <c r="H157" s="8"/>
      <c r="I157" s="8"/>
      <c r="J157">
        <f t="shared" si="78"/>
        <v>0</v>
      </c>
      <c r="K157">
        <f t="shared" si="79"/>
        <v>0</v>
      </c>
      <c r="L157">
        <f t="shared" si="80"/>
        <v>0</v>
      </c>
      <c r="P157" s="9" t="str">
        <f t="shared" si="76"/>
        <v/>
      </c>
      <c r="Q157" s="9" t="str">
        <f t="shared" si="83"/>
        <v/>
      </c>
      <c r="R157" s="8" t="str">
        <f t="shared" si="84"/>
        <v/>
      </c>
      <c r="S157" s="9">
        <f t="shared" si="90"/>
        <v>19</v>
      </c>
      <c r="T157" s="9" t="str" cm="1">
        <f t="array" ref="T157">IF(O157,INDEX($AP$2:$AP$21,S157,1),"")</f>
        <v/>
      </c>
      <c r="U157" s="9"/>
      <c r="Y157" s="8" t="str">
        <f t="shared" si="88"/>
        <v/>
      </c>
      <c r="Z157" s="9">
        <f t="shared" si="74"/>
        <v>19</v>
      </c>
      <c r="AA157" s="9" t="str" cm="1">
        <f t="array" ref="AA157">IF(V157,INDEX($AK$2:$AK$20,Z157,1),"")</f>
        <v/>
      </c>
    </row>
    <row r="158" spans="1:28" customFormat="1">
      <c r="H158" s="8"/>
      <c r="I158" s="8"/>
      <c r="J158">
        <f t="shared" si="78"/>
        <v>0</v>
      </c>
      <c r="K158">
        <f t="shared" si="79"/>
        <v>0</v>
      </c>
      <c r="L158">
        <f t="shared" si="80"/>
        <v>0</v>
      </c>
      <c r="P158" s="9" t="str">
        <f t="shared" si="76"/>
        <v/>
      </c>
      <c r="Q158" s="9" t="str">
        <f t="shared" si="83"/>
        <v/>
      </c>
      <c r="R158" s="8" t="str">
        <f t="shared" si="84"/>
        <v/>
      </c>
      <c r="S158" s="9">
        <f t="shared" si="90"/>
        <v>19</v>
      </c>
      <c r="T158" s="9" t="str" cm="1">
        <f t="array" ref="T158">IF(O158,INDEX($AP$2:$AP$21,S158,1),"")</f>
        <v/>
      </c>
      <c r="U158" s="9"/>
      <c r="Y158" s="8" t="str">
        <f t="shared" si="88"/>
        <v/>
      </c>
      <c r="Z158" s="9">
        <f t="shared" si="74"/>
        <v>19</v>
      </c>
      <c r="AA158" s="9" t="str" cm="1">
        <f t="array" ref="AA158">IF(V158,INDEX($AK$2:$AK$20,Z158,1),"")</f>
        <v/>
      </c>
    </row>
    <row r="159" spans="1:28" customFormat="1">
      <c r="H159" s="8"/>
      <c r="I159" s="8"/>
      <c r="J159">
        <f t="shared" si="78"/>
        <v>0</v>
      </c>
      <c r="K159">
        <f t="shared" si="79"/>
        <v>0</v>
      </c>
      <c r="L159">
        <f t="shared" si="80"/>
        <v>0</v>
      </c>
      <c r="P159" s="9" t="str">
        <f t="shared" si="76"/>
        <v/>
      </c>
      <c r="Q159" s="9" t="str">
        <f t="shared" si="83"/>
        <v/>
      </c>
      <c r="R159" s="8" t="str">
        <f t="shared" si="84"/>
        <v/>
      </c>
      <c r="S159" s="9">
        <f t="shared" si="90"/>
        <v>19</v>
      </c>
      <c r="T159" s="9" t="str" cm="1">
        <f t="array" ref="T159">IF(O159,INDEX($AP$2:$AP$21,S159,1),"")</f>
        <v/>
      </c>
      <c r="U159" s="9"/>
      <c r="Y159" s="8" t="str">
        <f t="shared" si="88"/>
        <v/>
      </c>
      <c r="Z159" s="9">
        <f t="shared" si="74"/>
        <v>19</v>
      </c>
      <c r="AA159" s="9" t="str" cm="1">
        <f t="array" ref="AA159">IF(V159,INDEX($AK$2:$AK$20,Z159,1),"")</f>
        <v/>
      </c>
    </row>
    <row r="160" spans="1:28" customFormat="1">
      <c r="H160" s="8"/>
      <c r="I160" s="8"/>
      <c r="J160">
        <f t="shared" si="78"/>
        <v>0</v>
      </c>
      <c r="K160">
        <f t="shared" si="79"/>
        <v>0</v>
      </c>
      <c r="L160">
        <f t="shared" si="80"/>
        <v>0</v>
      </c>
      <c r="P160" s="9" t="str">
        <f t="shared" si="76"/>
        <v/>
      </c>
      <c r="Q160" s="9" t="str">
        <f t="shared" si="83"/>
        <v/>
      </c>
      <c r="R160" s="8" t="str">
        <f t="shared" si="84"/>
        <v/>
      </c>
      <c r="S160" s="9">
        <f t="shared" si="90"/>
        <v>19</v>
      </c>
      <c r="T160" s="9" t="str" cm="1">
        <f t="array" ref="T160">IF(O160,INDEX($AP$2:$AP$21,S160,1),"")</f>
        <v/>
      </c>
      <c r="U160" s="9"/>
      <c r="Y160" s="8" t="str">
        <f t="shared" si="88"/>
        <v/>
      </c>
      <c r="AA160" t="str" cm="1">
        <f t="array" ref="AA160">IF(V160,INDEX($AK$2:$AK$16,Z160,1),"")</f>
        <v/>
      </c>
    </row>
    <row r="161" spans="8:27" customFormat="1">
      <c r="H161" s="8"/>
      <c r="I161" s="8"/>
      <c r="J161">
        <f t="shared" si="78"/>
        <v>0</v>
      </c>
      <c r="K161">
        <f t="shared" si="79"/>
        <v>0</v>
      </c>
      <c r="L161">
        <f t="shared" si="80"/>
        <v>0</v>
      </c>
      <c r="P161" s="9" t="str">
        <f t="shared" si="76"/>
        <v/>
      </c>
      <c r="Q161" s="9" t="str">
        <f t="shared" si="83"/>
        <v/>
      </c>
      <c r="R161" s="8" t="str">
        <f t="shared" si="84"/>
        <v/>
      </c>
      <c r="S161" s="9">
        <f t="shared" si="90"/>
        <v>19</v>
      </c>
      <c r="T161" s="9" t="str" cm="1">
        <f t="array" ref="T161">IF(O161,INDEX($AP$2:$AP$21,S161,1),"")</f>
        <v/>
      </c>
      <c r="U161" s="9"/>
      <c r="Y161" s="8" t="str">
        <f t="shared" si="88"/>
        <v/>
      </c>
      <c r="AA161" t="str" cm="1">
        <f t="array" ref="AA161">IF(V161,INDEX($AK$2:$AK$16,Z161,1),"")</f>
        <v/>
      </c>
    </row>
    <row r="162" spans="8:27" customFormat="1">
      <c r="H162" s="8"/>
      <c r="I162" s="8"/>
      <c r="J162">
        <f t="shared" ref="J162:J174" si="91">1-(_xlfn.RANK.EQ(G162,G:G,)-1)/(COUNTIF(G:G,"&gt;0"))</f>
        <v>0</v>
      </c>
      <c r="K162">
        <f t="shared" ref="K162:K174" si="92">_xlfn.IFNA(1-(_xlfn.RANK.EQ(H162,H:H,)-1)/(COUNTIF(H:H,"&gt;0")),0)</f>
        <v>0</v>
      </c>
      <c r="L162">
        <f t="shared" ref="L162:L174" si="93">_xlfn.IFNA(1-(_xlfn.RANK.EQ(I162,I:I,)-1)/(COUNTIF(I:I,"&gt;0")),0)</f>
        <v>0</v>
      </c>
      <c r="P162" s="9" t="str">
        <f t="shared" si="76"/>
        <v/>
      </c>
      <c r="Q162" s="9" t="str">
        <f t="shared" ref="Q162:Q173" si="94">IF(P162&lt;&gt;"",IF(ABS(P162)/T162&gt;0.1,"Gny",""),"")</f>
        <v/>
      </c>
      <c r="R162" s="8" t="str">
        <f t="shared" ref="R162:R174" si="95">IF(P162&lt;&gt;"",ABS(P162)/T162,"")</f>
        <v/>
      </c>
      <c r="S162" s="9">
        <f t="shared" si="90"/>
        <v>19</v>
      </c>
      <c r="T162" s="9" t="str" cm="1">
        <f t="array" ref="T162">IF(O162,INDEX($AP$2:$AP$21,S162,1),"")</f>
        <v/>
      </c>
      <c r="U162" s="9"/>
      <c r="Y162" s="8" t="str">
        <f t="shared" si="88"/>
        <v/>
      </c>
      <c r="AA162" t="str" cm="1">
        <f t="array" ref="AA162">IF(V162,INDEX($AK$2:$AK$16,Z162,1),"")</f>
        <v/>
      </c>
    </row>
    <row r="163" spans="8:27" customFormat="1">
      <c r="H163" s="8"/>
      <c r="I163" s="8"/>
      <c r="J163">
        <f t="shared" si="91"/>
        <v>0</v>
      </c>
      <c r="K163">
        <f t="shared" si="92"/>
        <v>0</v>
      </c>
      <c r="L163">
        <f t="shared" si="93"/>
        <v>0</v>
      </c>
      <c r="P163" s="9" t="str">
        <f t="shared" si="76"/>
        <v/>
      </c>
      <c r="Q163" s="9" t="str">
        <f t="shared" si="94"/>
        <v/>
      </c>
      <c r="R163" s="8" t="str">
        <f t="shared" si="95"/>
        <v/>
      </c>
      <c r="S163" s="9">
        <f t="shared" si="90"/>
        <v>19</v>
      </c>
      <c r="T163" s="9" t="str" cm="1">
        <f t="array" ref="T163">IF(O163,INDEX($AP$2:$AP$21,S163,1),"")</f>
        <v/>
      </c>
      <c r="U163" s="9"/>
      <c r="Y163" s="8" t="str">
        <f t="shared" si="88"/>
        <v/>
      </c>
      <c r="AA163" t="str" cm="1">
        <f t="array" ref="AA163">IF(V163,INDEX($AK$2:$AK$16,Z163,1),"")</f>
        <v/>
      </c>
    </row>
    <row r="164" spans="8:27" customFormat="1">
      <c r="H164" s="8"/>
      <c r="I164" s="8"/>
      <c r="J164">
        <f t="shared" si="91"/>
        <v>0</v>
      </c>
      <c r="K164">
        <f t="shared" si="92"/>
        <v>0</v>
      </c>
      <c r="L164">
        <f t="shared" si="93"/>
        <v>0</v>
      </c>
      <c r="P164" s="9" t="str">
        <f t="shared" si="76"/>
        <v/>
      </c>
      <c r="Q164" s="9" t="str">
        <f t="shared" si="94"/>
        <v/>
      </c>
      <c r="R164" s="9" t="str">
        <f t="shared" si="95"/>
        <v/>
      </c>
      <c r="S164" s="9">
        <f t="shared" si="90"/>
        <v>19</v>
      </c>
      <c r="T164" s="9" t="str" cm="1">
        <f t="array" ref="T164">IF(O164,INDEX($AP$2:$AP$21,S164,1),"")</f>
        <v/>
      </c>
      <c r="U164" s="9"/>
      <c r="Y164" s="9"/>
      <c r="AA164" t="str" cm="1">
        <f t="array" ref="AA164">IF(V164,INDEX($AK$2:$AK$16,Z164,1),"")</f>
        <v/>
      </c>
    </row>
    <row r="165" spans="8:27" customFormat="1">
      <c r="H165" s="8"/>
      <c r="I165" s="8"/>
      <c r="J165">
        <f t="shared" si="91"/>
        <v>0</v>
      </c>
      <c r="K165">
        <f t="shared" si="92"/>
        <v>0</v>
      </c>
      <c r="L165">
        <f t="shared" si="93"/>
        <v>0</v>
      </c>
      <c r="P165" s="9" t="str">
        <f t="shared" si="76"/>
        <v/>
      </c>
      <c r="Q165" s="9" t="str">
        <f t="shared" si="94"/>
        <v/>
      </c>
      <c r="R165" s="9" t="str">
        <f t="shared" si="95"/>
        <v/>
      </c>
      <c r="S165" s="9">
        <f t="shared" si="90"/>
        <v>19</v>
      </c>
      <c r="T165" s="9" t="str" cm="1">
        <f t="array" ref="T165">IF(O165,INDEX($AP$2:$AP$21,S165,1),"")</f>
        <v/>
      </c>
      <c r="U165" s="9"/>
      <c r="Y165" s="9"/>
      <c r="AA165" t="str" cm="1">
        <f t="array" ref="AA165">IF(V165,INDEX($AK$2:$AK$16,Z165,1),"")</f>
        <v/>
      </c>
    </row>
    <row r="166" spans="8:27" customFormat="1">
      <c r="H166" s="8"/>
      <c r="I166" s="8"/>
      <c r="J166">
        <f t="shared" si="91"/>
        <v>0</v>
      </c>
      <c r="K166">
        <f t="shared" si="92"/>
        <v>0</v>
      </c>
      <c r="L166">
        <f t="shared" si="93"/>
        <v>0</v>
      </c>
      <c r="P166" s="9" t="str">
        <f t="shared" si="76"/>
        <v/>
      </c>
      <c r="Q166" s="9" t="str">
        <f t="shared" si="94"/>
        <v/>
      </c>
      <c r="R166" s="9" t="str">
        <f t="shared" si="95"/>
        <v/>
      </c>
      <c r="S166" s="9">
        <f t="shared" si="90"/>
        <v>19</v>
      </c>
      <c r="T166" s="9" t="str" cm="1">
        <f t="array" ref="T166">IF(O166,INDEX($AP$2:$AP$21,S166,1),"")</f>
        <v/>
      </c>
      <c r="U166" s="9"/>
      <c r="Y166" s="9"/>
      <c r="AA166" t="str" cm="1">
        <f t="array" ref="AA166">IF(V166,INDEX($AK$2:$AK$16,Z166,1),"")</f>
        <v/>
      </c>
    </row>
    <row r="167" spans="8:27" customFormat="1">
      <c r="H167" s="8"/>
      <c r="I167" s="8"/>
      <c r="J167">
        <f t="shared" si="91"/>
        <v>0</v>
      </c>
      <c r="K167">
        <f t="shared" si="92"/>
        <v>0</v>
      </c>
      <c r="L167">
        <f t="shared" si="93"/>
        <v>0</v>
      </c>
      <c r="P167" s="9" t="str">
        <f t="shared" si="76"/>
        <v/>
      </c>
      <c r="Q167" s="9" t="str">
        <f t="shared" si="94"/>
        <v/>
      </c>
      <c r="R167" s="9" t="str">
        <f t="shared" si="95"/>
        <v/>
      </c>
      <c r="S167" s="9">
        <f t="shared" si="90"/>
        <v>19</v>
      </c>
      <c r="T167" s="9" t="str" cm="1">
        <f t="array" ref="T167">IF(O167,INDEX($AP$2:$AP$21,S167,1),"")</f>
        <v/>
      </c>
      <c r="U167" s="9"/>
      <c r="Y167" s="9"/>
    </row>
    <row r="168" spans="8:27" customFormat="1">
      <c r="H168" s="8"/>
      <c r="I168" s="8"/>
      <c r="J168">
        <f t="shared" si="91"/>
        <v>0</v>
      </c>
      <c r="K168">
        <f t="shared" si="92"/>
        <v>0</v>
      </c>
      <c r="L168">
        <f t="shared" si="93"/>
        <v>0</v>
      </c>
      <c r="P168" s="9" t="str">
        <f t="shared" si="76"/>
        <v/>
      </c>
      <c r="Q168" s="9" t="str">
        <f t="shared" si="94"/>
        <v/>
      </c>
      <c r="R168" s="9" t="str">
        <f t="shared" si="95"/>
        <v/>
      </c>
      <c r="S168" s="9">
        <f t="shared" si="90"/>
        <v>19</v>
      </c>
      <c r="T168" s="9" t="str" cm="1">
        <f t="array" ref="T168">IF(O168,INDEX($AP$2:$AP$21,S168,1),"")</f>
        <v/>
      </c>
      <c r="U168" s="9"/>
      <c r="Y168" s="9"/>
    </row>
    <row r="169" spans="8:27" customFormat="1">
      <c r="H169" s="8"/>
      <c r="I169" s="8"/>
      <c r="J169">
        <f t="shared" si="91"/>
        <v>0</v>
      </c>
      <c r="K169">
        <f t="shared" si="92"/>
        <v>0</v>
      </c>
      <c r="L169">
        <f t="shared" si="93"/>
        <v>0</v>
      </c>
      <c r="P169" s="9" t="str">
        <f t="shared" si="76"/>
        <v/>
      </c>
      <c r="Q169" s="9" t="str">
        <f t="shared" si="94"/>
        <v/>
      </c>
      <c r="R169" s="9" t="str">
        <f t="shared" si="95"/>
        <v/>
      </c>
      <c r="S169" s="9">
        <f t="shared" si="90"/>
        <v>19</v>
      </c>
      <c r="T169" s="9" t="str" cm="1">
        <f t="array" ref="T169">IF(O169,INDEX($AP$2:$AP$21,S169,1),"")</f>
        <v/>
      </c>
      <c r="U169" s="9"/>
      <c r="Y169" s="9"/>
    </row>
    <row r="170" spans="8:27" customFormat="1">
      <c r="H170" s="8"/>
      <c r="I170" s="8"/>
      <c r="J170">
        <f t="shared" si="91"/>
        <v>0</v>
      </c>
      <c r="K170">
        <f t="shared" si="92"/>
        <v>0</v>
      </c>
      <c r="L170">
        <f t="shared" si="93"/>
        <v>0</v>
      </c>
      <c r="P170" s="9" t="str">
        <f t="shared" si="76"/>
        <v/>
      </c>
      <c r="Q170" s="9" t="str">
        <f t="shared" si="94"/>
        <v/>
      </c>
      <c r="R170" s="9" t="str">
        <f t="shared" si="95"/>
        <v/>
      </c>
      <c r="S170" s="9">
        <f t="shared" si="90"/>
        <v>19</v>
      </c>
      <c r="T170" s="9" t="str" cm="1">
        <f t="array" ref="T170">IF(O170,INDEX($AP$2:$AP$21,S170,1),"")</f>
        <v/>
      </c>
      <c r="U170" s="9"/>
      <c r="Y170" s="9"/>
    </row>
    <row r="171" spans="8:27" customFormat="1">
      <c r="H171" s="8"/>
      <c r="I171" s="8"/>
      <c r="J171">
        <f t="shared" si="91"/>
        <v>0</v>
      </c>
      <c r="K171">
        <f t="shared" si="92"/>
        <v>0</v>
      </c>
      <c r="L171">
        <f t="shared" si="93"/>
        <v>0</v>
      </c>
      <c r="P171" s="9" t="str">
        <f t="shared" si="76"/>
        <v/>
      </c>
      <c r="Q171" s="9" t="str">
        <f t="shared" si="94"/>
        <v/>
      </c>
      <c r="R171" s="9" t="str">
        <f t="shared" si="95"/>
        <v/>
      </c>
      <c r="S171" s="9">
        <f t="shared" si="90"/>
        <v>19</v>
      </c>
      <c r="T171" s="9" t="str" cm="1">
        <f t="array" ref="T171">IF(O171,INDEX($AP$2:$AP$21,S171,1),"")</f>
        <v/>
      </c>
      <c r="U171" s="9"/>
      <c r="Y171" s="9"/>
    </row>
    <row r="172" spans="8:27" customFormat="1">
      <c r="H172" s="8"/>
      <c r="I172" s="8"/>
      <c r="J172">
        <f t="shared" si="91"/>
        <v>0</v>
      </c>
      <c r="K172">
        <f t="shared" si="92"/>
        <v>0</v>
      </c>
      <c r="L172">
        <f t="shared" si="93"/>
        <v>0</v>
      </c>
      <c r="P172" s="9" t="str">
        <f t="shared" si="76"/>
        <v/>
      </c>
      <c r="Q172" s="9" t="str">
        <f t="shared" si="94"/>
        <v/>
      </c>
      <c r="R172" s="9" t="str">
        <f t="shared" si="95"/>
        <v/>
      </c>
      <c r="S172" s="9">
        <f t="shared" si="90"/>
        <v>19</v>
      </c>
      <c r="T172" s="9" t="str" cm="1">
        <f t="array" ref="T172">IF(O172,INDEX($AP$2:$AP$21,S172,1),"")</f>
        <v/>
      </c>
      <c r="U172" s="9"/>
      <c r="Y172" s="9"/>
    </row>
    <row r="173" spans="8:27" customFormat="1">
      <c r="H173" s="8"/>
      <c r="I173" s="8"/>
      <c r="J173">
        <f t="shared" si="91"/>
        <v>0</v>
      </c>
      <c r="K173">
        <f t="shared" si="92"/>
        <v>0</v>
      </c>
      <c r="L173">
        <f t="shared" si="93"/>
        <v>0</v>
      </c>
      <c r="P173" s="9" t="str">
        <f t="shared" si="76"/>
        <v/>
      </c>
      <c r="Q173" s="9" t="str">
        <f t="shared" si="94"/>
        <v/>
      </c>
      <c r="R173" s="9" t="str">
        <f t="shared" si="95"/>
        <v/>
      </c>
      <c r="S173" s="9">
        <f t="shared" si="90"/>
        <v>19</v>
      </c>
      <c r="T173" s="9" t="str" cm="1">
        <f t="array" ref="T173">IF(O173,INDEX(AP173:AP192,S173,1),"")</f>
        <v/>
      </c>
      <c r="U173" s="9"/>
      <c r="Y173" s="9"/>
    </row>
    <row r="174" spans="8:27" customFormat="1">
      <c r="H174" s="8"/>
      <c r="I174" s="8"/>
      <c r="J174">
        <f t="shared" si="91"/>
        <v>0</v>
      </c>
      <c r="K174">
        <f t="shared" si="92"/>
        <v>0</v>
      </c>
      <c r="L174">
        <f t="shared" si="93"/>
        <v>0</v>
      </c>
      <c r="R174" t="str">
        <f t="shared" si="95"/>
        <v/>
      </c>
    </row>
  </sheetData>
  <autoFilter ref="A1:AD174" xr:uid="{9C275DD7-B126-4430-8FB4-DD9FCBFBBE98}">
    <sortState xmlns:xlrd2="http://schemas.microsoft.com/office/spreadsheetml/2017/richdata2" ref="A2:AD174">
      <sortCondition descending="1" ref="M1:M174"/>
    </sortState>
  </autoFilter>
  <phoneticPr fontId="3" alignment="center"/>
  <conditionalFormatting sqref="H78:H80 G1:G1048576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3:I92 H1:I77 H81:I1048576">
    <cfRule type="colorScale" priority="7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N153">
    <cfRule type="colorScale" priority="7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:O153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:Q1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2:R173">
    <cfRule type="colorScale" priority="8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:S17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:T17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:U173 P2:P173">
    <cfRule type="colorScale" priority="7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2:V15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2:Y17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2:Z159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2:AA159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2:AB153 W2:X153">
    <cfRule type="colorScale" priority="8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C5D1-7F06-AC4B-9B45-1DCD9D06C274}">
  <dimension ref="A1:K40"/>
  <sheetViews>
    <sheetView zoomScaleNormal="60" zoomScaleSheetLayoutView="100" workbookViewId="0">
      <selection activeCell="K5" sqref="K5"/>
    </sheetView>
  </sheetViews>
  <sheetFormatPr defaultRowHeight="14.4"/>
  <cols>
    <col min="8" max="8" width="12" bestFit="1" customWidth="1"/>
    <col min="9" max="9" width="12.21875" bestFit="1" customWidth="1"/>
    <col min="11" max="11" width="12.5546875" bestFit="1" customWidth="1"/>
  </cols>
  <sheetData>
    <row r="1" spans="1:11">
      <c r="A1" t="s">
        <v>797</v>
      </c>
      <c r="B1" t="s">
        <v>1004</v>
      </c>
      <c r="C1" t="s">
        <v>800</v>
      </c>
      <c r="D1" s="4" t="s">
        <v>1005</v>
      </c>
      <c r="E1" s="4"/>
      <c r="F1" t="s">
        <v>1094</v>
      </c>
      <c r="G1" t="s">
        <v>797</v>
      </c>
      <c r="H1" s="11">
        <v>45764</v>
      </c>
      <c r="I1" s="11" t="s">
        <v>1096</v>
      </c>
      <c r="J1" t="s">
        <v>1095</v>
      </c>
      <c r="K1" t="s">
        <v>1093</v>
      </c>
    </row>
    <row r="2" spans="1:11">
      <c r="A2" t="s">
        <v>1006</v>
      </c>
      <c r="B2">
        <v>1.29</v>
      </c>
      <c r="C2">
        <f>INDEX('اسعار الاسهم'!A:B,MATCH(A2,'اسعار الاسهم'!K:K,0),2)</f>
        <v>1.66</v>
      </c>
      <c r="D2" s="8">
        <f t="shared" ref="D2:D17" si="0">1-C2/B2</f>
        <v>-0.28682170542635643</v>
      </c>
      <c r="E2" s="8"/>
      <c r="F2">
        <v>5</v>
      </c>
      <c r="G2" t="s">
        <v>795</v>
      </c>
      <c r="H2" s="12">
        <v>50.79</v>
      </c>
      <c r="I2">
        <f>5+8</f>
        <v>13</v>
      </c>
      <c r="J2">
        <f>I2+INDEX('اسعار الاسهم'!A:B,MATCH(G2,'اسعار الاسهم'!K:K,0),2)</f>
        <v>156.44999999999999</v>
      </c>
      <c r="K2" s="8">
        <f t="shared" ref="K2:K9" si="1">J2/H2-1</f>
        <v>2.080330773774365</v>
      </c>
    </row>
    <row r="3" spans="1:11">
      <c r="A3" t="s">
        <v>785</v>
      </c>
      <c r="B3">
        <v>79.25</v>
      </c>
      <c r="C3">
        <f>INDEX('اسعار الاسهم'!A:B,MATCH(A3,'اسعار الاسهم'!K:K,0),2)</f>
        <v>87.9</v>
      </c>
      <c r="D3" s="8">
        <f t="shared" si="0"/>
        <v>-0.10914826498422725</v>
      </c>
      <c r="E3" s="8"/>
      <c r="F3">
        <v>1</v>
      </c>
      <c r="G3" t="s">
        <v>783</v>
      </c>
      <c r="H3" s="12">
        <f>41.46/2/1.25</f>
        <v>16.584</v>
      </c>
      <c r="J3">
        <f>I3+INDEX('اسعار الاسهم'!A:B,MATCH(G3,'اسعار الاسهم'!K:K,0),2)</f>
        <v>46.1</v>
      </c>
      <c r="K3" s="8">
        <f t="shared" si="1"/>
        <v>1.7797877472262424</v>
      </c>
    </row>
    <row r="4" spans="1:11">
      <c r="A4" s="3" t="s">
        <v>761</v>
      </c>
      <c r="B4">
        <v>3.35</v>
      </c>
      <c r="C4">
        <f>INDEX('اسعار الاسهم'!A:B,MATCH(A4,'اسعار الاسهم'!K:K,0),2)</f>
        <v>5.86</v>
      </c>
      <c r="D4" s="8">
        <f t="shared" si="0"/>
        <v>-0.74925373134328366</v>
      </c>
      <c r="E4" s="8"/>
      <c r="F4">
        <v>2</v>
      </c>
      <c r="G4" t="s">
        <v>984</v>
      </c>
      <c r="H4" s="12">
        <v>28.31</v>
      </c>
      <c r="I4">
        <f>2+1.5</f>
        <v>3.5</v>
      </c>
      <c r="J4">
        <f>I4+INDEX('اسعار الاسهم'!A:B,MATCH(G4,'اسعار الاسهم'!K:K,0),2)</f>
        <v>56.89</v>
      </c>
      <c r="K4" s="8">
        <f t="shared" si="1"/>
        <v>1.0095372659837514</v>
      </c>
    </row>
    <row r="5" spans="1:11">
      <c r="A5" t="s">
        <v>786</v>
      </c>
      <c r="B5">
        <v>80.31</v>
      </c>
      <c r="C5">
        <f>INDEX('اسعار الاسهم'!A:B,MATCH(A5,'اسعار الاسهم'!K:K,0),2)</f>
        <v>132.35</v>
      </c>
      <c r="D5" s="8">
        <f t="shared" si="0"/>
        <v>-0.64798904246046551</v>
      </c>
      <c r="E5" s="8"/>
      <c r="F5">
        <v>4</v>
      </c>
      <c r="G5" t="s">
        <v>730</v>
      </c>
      <c r="H5" s="12">
        <f>27.3/2</f>
        <v>13.65</v>
      </c>
      <c r="I5">
        <f>1.142/2</f>
        <v>0.57099999999999995</v>
      </c>
      <c r="J5">
        <f>I5+INDEX('اسعار الاسهم'!A:B,MATCH(G5,'اسعار الاسهم'!K:K,0),2)</f>
        <v>28.491000000000003</v>
      </c>
      <c r="K5" s="8">
        <f t="shared" si="1"/>
        <v>1.0872527472527476</v>
      </c>
    </row>
    <row r="6" spans="1:11">
      <c r="A6" s="3" t="s">
        <v>837</v>
      </c>
      <c r="B6">
        <v>28.13</v>
      </c>
      <c r="C6">
        <f>INDEX('اسعار الاسهم'!A:B,MATCH(A6,'اسعار الاسهم'!K:K,0),2)</f>
        <v>35.5</v>
      </c>
      <c r="D6" s="8">
        <f t="shared" si="0"/>
        <v>-0.26199786704585848</v>
      </c>
      <c r="E6" s="8"/>
      <c r="F6">
        <v>3</v>
      </c>
      <c r="G6" t="s">
        <v>823</v>
      </c>
      <c r="H6" s="12">
        <v>23.35</v>
      </c>
      <c r="I6">
        <v>1.25</v>
      </c>
      <c r="J6">
        <f>I6+INDEX('اسعار الاسهم'!A:B,MATCH(G6,'اسعار الاسهم'!K:K,0),2)</f>
        <v>34.01</v>
      </c>
      <c r="K6" s="8">
        <f t="shared" si="1"/>
        <v>0.45653104925053523</v>
      </c>
    </row>
    <row r="7" spans="1:11">
      <c r="A7" s="3" t="s">
        <v>760</v>
      </c>
      <c r="B7">
        <v>28.82</v>
      </c>
      <c r="C7">
        <f>INDEX('اسعار الاسهم'!A:B,MATCH(A7,'اسعار الاسهم'!K:K,0),2)</f>
        <v>41.67</v>
      </c>
      <c r="D7" s="8">
        <f t="shared" si="0"/>
        <v>-0.44587092297015962</v>
      </c>
      <c r="E7" s="8"/>
      <c r="F7">
        <v>6</v>
      </c>
      <c r="G7" t="s">
        <v>847</v>
      </c>
      <c r="H7" s="12">
        <v>16.72</v>
      </c>
      <c r="I7">
        <v>1.75</v>
      </c>
      <c r="J7">
        <f>I7+INDEX('اسعار الاسهم'!A:B,MATCH(G7,'اسعار الاسهم'!K:K,0),2)</f>
        <v>22.9</v>
      </c>
      <c r="K7" s="8">
        <f t="shared" si="1"/>
        <v>0.36961722488038284</v>
      </c>
    </row>
    <row r="8" spans="1:11">
      <c r="A8" t="s">
        <v>791</v>
      </c>
      <c r="B8">
        <v>0.39</v>
      </c>
      <c r="C8">
        <f>INDEX('اسعار الاسهم'!A:B,MATCH(A8,'اسعار الاسهم'!K:K,0),2)</f>
        <v>0.2</v>
      </c>
      <c r="D8" s="8">
        <f t="shared" si="0"/>
        <v>0.48717948717948711</v>
      </c>
      <c r="E8" s="8"/>
      <c r="F8">
        <v>7</v>
      </c>
      <c r="G8" t="s">
        <v>780</v>
      </c>
      <c r="H8" s="12">
        <v>22.94</v>
      </c>
      <c r="I8">
        <v>0.38434600000000002</v>
      </c>
      <c r="J8">
        <f>I8+INDEX('اسعار الاسهم'!A:B,MATCH(G8,'اسعار الاسهم'!K:K,0),2)</f>
        <v>34.934345999999998</v>
      </c>
      <c r="K8" s="8">
        <f t="shared" si="1"/>
        <v>0.52285727986050556</v>
      </c>
    </row>
    <row r="9" spans="1:11">
      <c r="A9" t="s">
        <v>788</v>
      </c>
      <c r="B9">
        <v>8.57</v>
      </c>
      <c r="C9">
        <f>INDEX('اسعار الاسهم'!A:B,MATCH(A9,'اسعار الاسهم'!K:K,0),2)</f>
        <v>19.32</v>
      </c>
      <c r="D9" s="8">
        <f t="shared" si="0"/>
        <v>-1.2543757292882147</v>
      </c>
      <c r="E9" s="8"/>
      <c r="F9">
        <v>8</v>
      </c>
      <c r="G9" t="s">
        <v>1153</v>
      </c>
      <c r="H9" s="12">
        <f>29.18/1.05046</f>
        <v>27.778306646611963</v>
      </c>
      <c r="I9">
        <f>0.035*50/1.05046+0.045*50</f>
        <v>3.9159368276754947</v>
      </c>
      <c r="J9">
        <f>I9+INDEX('اسعار الاسهم'!A:B,MATCH(G9,'اسعار الاسهم'!K:K,0),2)</f>
        <v>34.315936827675493</v>
      </c>
      <c r="K9" s="8">
        <f t="shared" si="1"/>
        <v>0.23535020562028763</v>
      </c>
    </row>
    <row r="10" spans="1:11">
      <c r="A10" s="3" t="s">
        <v>782</v>
      </c>
      <c r="B10">
        <v>18.02</v>
      </c>
      <c r="C10">
        <f>INDEX('اسعار الاسهم'!A:B,MATCH(A10,'اسعار الاسهم'!K:K,0),2)</f>
        <v>21.76</v>
      </c>
      <c r="D10" s="8">
        <f t="shared" si="0"/>
        <v>-0.20754716981132093</v>
      </c>
      <c r="E10" s="8"/>
    </row>
    <row r="11" spans="1:11">
      <c r="A11" t="s">
        <v>747</v>
      </c>
      <c r="B11">
        <v>54.74</v>
      </c>
      <c r="C11">
        <f>INDEX('اسعار الاسهم'!A:B,MATCH(A11,'اسعار الاسهم'!K:K,0),2)</f>
        <v>99.48</v>
      </c>
      <c r="D11" s="8">
        <f t="shared" si="0"/>
        <v>-0.81731823164048234</v>
      </c>
      <c r="E11" s="8"/>
    </row>
    <row r="12" spans="1:11">
      <c r="A12" t="s">
        <v>1007</v>
      </c>
      <c r="B12">
        <v>1.2</v>
      </c>
      <c r="C12">
        <f>INDEX('اسعار الاسهم'!A:B,MATCH(A12,'اسعار الاسهم'!K:K,0),2)</f>
        <v>0.09</v>
      </c>
      <c r="D12" s="8">
        <f t="shared" si="0"/>
        <v>0.92500000000000004</v>
      </c>
      <c r="E12" s="8"/>
    </row>
    <row r="13" spans="1:11">
      <c r="A13" t="s">
        <v>974</v>
      </c>
      <c r="B13">
        <v>1.89</v>
      </c>
      <c r="C13">
        <f>INDEX('اسعار الاسهم'!A:B,MATCH(A13,'اسعار الاسهم'!K:K,0),2)</f>
        <v>1.42</v>
      </c>
      <c r="D13" s="8">
        <f t="shared" si="0"/>
        <v>0.24867724867724872</v>
      </c>
      <c r="E13" s="8"/>
    </row>
    <row r="14" spans="1:11">
      <c r="C14" t="e">
        <f>INDEX('اسعار الاسهم'!A:B,MATCH(A14,'اسعار الاسهم'!K:K,0),2)</f>
        <v>#N/A</v>
      </c>
      <c r="D14" s="8" t="e">
        <f t="shared" si="0"/>
        <v>#N/A</v>
      </c>
      <c r="E14" s="8"/>
    </row>
    <row r="15" spans="1:11">
      <c r="C15" t="e">
        <f>INDEX('اسعار الاسهم'!A:B,MATCH(A15,'اسعار الاسهم'!K:K,0),2)</f>
        <v>#N/A</v>
      </c>
      <c r="D15" s="8" t="e">
        <f t="shared" si="0"/>
        <v>#N/A</v>
      </c>
      <c r="E15" s="8"/>
    </row>
    <row r="16" spans="1:11">
      <c r="C16" t="e">
        <f>INDEX('اسعار الاسهم'!A:B,MATCH(A16,'اسعار الاسهم'!K:K,0),2)</f>
        <v>#N/A</v>
      </c>
      <c r="D16" s="8" t="e">
        <f t="shared" si="0"/>
        <v>#N/A</v>
      </c>
      <c r="E16" s="8"/>
    </row>
    <row r="17" spans="3:5">
      <c r="C17" t="e">
        <f>INDEX('اسعار الاسهم'!A:B,MATCH(A17,'اسعار الاسهم'!K:K,0),2)</f>
        <v>#N/A</v>
      </c>
      <c r="D17" s="8" t="e">
        <f t="shared" si="0"/>
        <v>#N/A</v>
      </c>
      <c r="E17" s="8"/>
    </row>
    <row r="18" spans="3:5">
      <c r="D18" s="8"/>
      <c r="E18" s="8"/>
    </row>
    <row r="19" spans="3:5">
      <c r="D19" s="8"/>
      <c r="E19" s="8"/>
    </row>
    <row r="20" spans="3:5">
      <c r="D20" s="8"/>
      <c r="E20" s="8"/>
    </row>
    <row r="21" spans="3:5">
      <c r="D21" s="8"/>
      <c r="E21" s="8"/>
    </row>
    <row r="22" spans="3:5">
      <c r="D22" s="8"/>
      <c r="E22" s="8"/>
    </row>
    <row r="23" spans="3:5">
      <c r="D23" s="8"/>
      <c r="E23" s="8"/>
    </row>
    <row r="24" spans="3:5">
      <c r="D24" s="8"/>
      <c r="E24" s="8"/>
    </row>
    <row r="25" spans="3:5">
      <c r="D25" s="8"/>
      <c r="E25" s="8"/>
    </row>
    <row r="26" spans="3:5">
      <c r="D26" s="8"/>
      <c r="E26" s="8"/>
    </row>
    <row r="27" spans="3:5">
      <c r="D27" s="8"/>
      <c r="E27" s="8"/>
    </row>
    <row r="28" spans="3:5">
      <c r="D28" s="8"/>
      <c r="E28" s="8"/>
    </row>
    <row r="29" spans="3:5">
      <c r="D29" s="8"/>
      <c r="E29" s="8"/>
    </row>
    <row r="30" spans="3:5">
      <c r="D30" s="8"/>
      <c r="E30" s="8"/>
    </row>
    <row r="31" spans="3:5">
      <c r="D31" s="8"/>
      <c r="E31" s="8"/>
    </row>
    <row r="32" spans="3:5">
      <c r="D32" s="8"/>
      <c r="E32" s="8"/>
    </row>
    <row r="33" spans="4:5">
      <c r="D33" s="8"/>
      <c r="E33" s="8"/>
    </row>
    <row r="34" spans="4:5">
      <c r="D34" s="8"/>
      <c r="E34" s="8"/>
    </row>
    <row r="35" spans="4:5">
      <c r="D35" s="8"/>
      <c r="E35" s="8"/>
    </row>
    <row r="36" spans="4:5">
      <c r="D36" s="8"/>
      <c r="E36" s="8"/>
    </row>
    <row r="37" spans="4:5">
      <c r="D37" s="8"/>
      <c r="E37" s="8"/>
    </row>
    <row r="38" spans="4:5">
      <c r="D38" s="8"/>
      <c r="E38" s="8"/>
    </row>
    <row r="39" spans="4:5">
      <c r="D39" s="8"/>
      <c r="E39" s="8"/>
    </row>
    <row r="40" spans="4:5">
      <c r="D40" s="8"/>
      <c r="E40" s="8"/>
    </row>
  </sheetData>
  <autoFilter ref="F1:K9" xr:uid="{FDFCC5D1-7F06-AC4B-9B45-1DCD9D06C274}">
    <sortState xmlns:xlrd2="http://schemas.microsoft.com/office/spreadsheetml/2017/richdata2" ref="F2:K9">
      <sortCondition descending="1" ref="K1:K9"/>
    </sortState>
  </autoFilter>
  <conditionalFormatting sqref="D2:E40">
    <cfRule type="colorScale" priority="3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:K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EA5F9-3AB5-B040-B004-F525D5651FC8}">
  <dimension ref="A1:H18"/>
  <sheetViews>
    <sheetView zoomScaleNormal="60" zoomScaleSheetLayoutView="100" workbookViewId="0">
      <selection activeCell="D22" sqref="D22"/>
    </sheetView>
  </sheetViews>
  <sheetFormatPr defaultRowHeight="14.4"/>
  <sheetData>
    <row r="1" spans="1:8">
      <c r="B1" t="s">
        <v>708</v>
      </c>
      <c r="C1" t="s">
        <v>1125</v>
      </c>
    </row>
    <row r="2" spans="1:8">
      <c r="A2" t="s">
        <v>784</v>
      </c>
      <c r="B2">
        <v>500</v>
      </c>
      <c r="C2" cm="1">
        <f t="array" ref="C2">IF(B2&lt;&gt;"",INDEX(H:H,MATCH(B2,H:H)+1),"")</f>
        <v>900</v>
      </c>
      <c r="G2" s="4"/>
      <c r="H2">
        <v>500</v>
      </c>
    </row>
    <row r="3" spans="1:8">
      <c r="A3" t="s">
        <v>752</v>
      </c>
      <c r="B3">
        <v>500</v>
      </c>
      <c r="C3" cm="1">
        <f t="array" ref="C3">IF(B3&lt;&gt;"",INDEX(H:H,MATCH(B3,H:H)+1),"")</f>
        <v>900</v>
      </c>
      <c r="H3">
        <v>900</v>
      </c>
    </row>
    <row r="4" spans="1:8">
      <c r="A4" t="s">
        <v>761</v>
      </c>
      <c r="B4">
        <v>500</v>
      </c>
      <c r="C4" cm="1">
        <f t="array" ref="C4">IF(B4&lt;&gt;"",INDEX(H:H,MATCH(B4,H:H)+1),"")</f>
        <v>900</v>
      </c>
      <c r="H4">
        <v>1600</v>
      </c>
    </row>
    <row r="5" spans="1:8">
      <c r="A5" t="s">
        <v>860</v>
      </c>
      <c r="B5">
        <v>500</v>
      </c>
      <c r="C5" cm="1">
        <f t="array" ref="C5">IF(B5&lt;&gt;"",INDEX(H:H,MATCH(B5,H:H)+1),"")</f>
        <v>900</v>
      </c>
      <c r="H5">
        <v>2800</v>
      </c>
    </row>
    <row r="6" spans="1:8">
      <c r="A6" t="s">
        <v>885</v>
      </c>
      <c r="B6">
        <v>500</v>
      </c>
      <c r="C6" cm="1">
        <f t="array" ref="C6">IF(B6&lt;&gt;"",INDEX(H:H,MATCH(B6,H:H)+1),"")</f>
        <v>900</v>
      </c>
      <c r="E6" t="s">
        <v>1126</v>
      </c>
      <c r="H6">
        <v>4800</v>
      </c>
    </row>
    <row r="7" spans="1:8">
      <c r="A7" t="s">
        <v>725</v>
      </c>
      <c r="B7">
        <v>500</v>
      </c>
      <c r="C7" cm="1">
        <f t="array" ref="C7">IF(B7&lt;&gt;"",INDEX(H:H,MATCH(B7,H:H)+1),"")</f>
        <v>900</v>
      </c>
      <c r="E7" s="47">
        <f>SUM(C2:C28)/4</f>
        <v>1575</v>
      </c>
      <c r="H7">
        <v>8000</v>
      </c>
    </row>
    <row r="8" spans="1:8">
      <c r="A8" t="s">
        <v>742</v>
      </c>
      <c r="B8">
        <v>500</v>
      </c>
      <c r="C8" cm="1">
        <f t="array" ref="C8">IF(B8&lt;&gt;"",INDEX(H:H,MATCH(B8,H:H)+1),"")</f>
        <v>900</v>
      </c>
      <c r="H8">
        <v>12800</v>
      </c>
    </row>
    <row r="9" spans="1:8">
      <c r="C9" t="str" cm="1">
        <f t="array" ref="C9">IF(B9&lt;&gt;"",INDEX(H:H,MATCH(B9,H:H)+1),"")</f>
        <v/>
      </c>
      <c r="H9">
        <v>25600</v>
      </c>
    </row>
    <row r="10" spans="1:8">
      <c r="C10" t="str" cm="1">
        <f t="array" ref="C10">IF(B10&lt;&gt;"",INDEX(H:H,MATCH(B10,H:H)+1),"")</f>
        <v/>
      </c>
      <c r="H10">
        <v>25600</v>
      </c>
    </row>
    <row r="11" spans="1:8">
      <c r="C11" t="str" cm="1">
        <f t="array" ref="C11">IF(B11&lt;&gt;"",INDEX(H:H,MATCH(B11,H:H)+1),"")</f>
        <v/>
      </c>
    </row>
    <row r="12" spans="1:8">
      <c r="C12" t="str" cm="1">
        <f t="array" ref="C12">IF(B12&lt;&gt;"",INDEX(H:H,MATCH(B12,H:H)+1),"")</f>
        <v/>
      </c>
    </row>
    <row r="13" spans="1:8">
      <c r="C13" t="str" cm="1">
        <f t="array" ref="C13">IF(B13&lt;&gt;"",INDEX(H:H,MATCH(B13,H:H)+1),"")</f>
        <v/>
      </c>
    </row>
    <row r="14" spans="1:8">
      <c r="C14" t="str" cm="1">
        <f t="array" ref="C14">IF(B14&lt;&gt;"",INDEX(H:H,MATCH(B14,H:H)+1),"")</f>
        <v/>
      </c>
    </row>
    <row r="15" spans="1:8">
      <c r="C15" t="str" cm="1">
        <f t="array" ref="C15">IF(B15&lt;&gt;"",INDEX(H:H,MATCH(B15,H:H)+1),"")</f>
        <v/>
      </c>
    </row>
    <row r="16" spans="1:8">
      <c r="C16" t="str" cm="1">
        <f t="array" ref="C16">IF(B16&lt;&gt;"",INDEX(H:H,MATCH(B16,H:H)+1),"")</f>
        <v/>
      </c>
    </row>
    <row r="17" spans="3:3">
      <c r="C17" t="str" cm="1">
        <f t="array" ref="C17">IF(B17&lt;&gt;"",INDEX(H:H,MATCH(B17,H:H)+1),"")</f>
        <v/>
      </c>
    </row>
    <row r="18" spans="3:3">
      <c r="C18" t="str" cm="1">
        <f t="array" ref="C18">IF(B18&lt;&gt;"",INDEX(H:H,MATCH(B18,H:H)+1),"")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BDE5-B1E6-1643-B698-AFE75BAA56C6}">
  <sheetPr filterMode="1"/>
  <dimension ref="A1:T509"/>
  <sheetViews>
    <sheetView zoomScaleNormal="60" zoomScaleSheetLayoutView="100" workbookViewId="0">
      <pane xSplit="2" ySplit="1" topLeftCell="L37" activePane="bottomRight" state="frozen"/>
      <selection activeCell="K20" sqref="K20"/>
      <selection pane="topRight" activeCell="B1" sqref="B1"/>
      <selection pane="bottomLeft" activeCell="A16" sqref="A16"/>
      <selection pane="bottomRight" activeCell="O55" sqref="O55"/>
    </sheetView>
  </sheetViews>
  <sheetFormatPr defaultRowHeight="14.4"/>
  <cols>
    <col min="2" max="2" width="8.21875" bestFit="1" customWidth="1"/>
    <col min="3" max="3" width="12.5546875" bestFit="1" customWidth="1"/>
    <col min="4" max="4" width="8.109375" customWidth="1"/>
    <col min="5" max="5" width="8.33203125" customWidth="1"/>
    <col min="6" max="6" width="7.5546875" customWidth="1"/>
    <col min="8" max="8" width="8.5546875" style="4"/>
    <col min="9" max="9" width="10.6640625" style="4" customWidth="1"/>
    <col min="10" max="10" width="11.88671875" style="4" customWidth="1"/>
    <col min="11" max="11" width="8.44140625" style="4" bestFit="1" customWidth="1"/>
    <col min="12" max="12" width="8.5546875" style="12"/>
    <col min="13" max="13" width="7.6640625" bestFit="1" customWidth="1"/>
    <col min="14" max="14" width="11.88671875" customWidth="1"/>
    <col min="15" max="15" width="12.5546875" bestFit="1" customWidth="1"/>
    <col min="16" max="16" width="12.5546875" customWidth="1"/>
    <col min="17" max="17" width="11.88671875" style="4" bestFit="1" customWidth="1"/>
  </cols>
  <sheetData>
    <row r="1" spans="1:20">
      <c r="A1" t="s">
        <v>806</v>
      </c>
      <c r="B1" t="s">
        <v>797</v>
      </c>
      <c r="C1" t="s">
        <v>827</v>
      </c>
      <c r="D1" t="s">
        <v>735</v>
      </c>
      <c r="E1" t="s">
        <v>798</v>
      </c>
      <c r="F1" t="s">
        <v>799</v>
      </c>
      <c r="G1" t="s">
        <v>800</v>
      </c>
      <c r="H1" s="4" t="s">
        <v>804</v>
      </c>
      <c r="I1" s="4" t="s">
        <v>801</v>
      </c>
      <c r="J1" s="4" t="s">
        <v>802</v>
      </c>
      <c r="K1" s="4" t="s">
        <v>842</v>
      </c>
      <c r="L1" s="12" t="s">
        <v>719</v>
      </c>
      <c r="M1" t="s">
        <v>803</v>
      </c>
      <c r="N1" t="s">
        <v>836</v>
      </c>
      <c r="O1" t="s">
        <v>805</v>
      </c>
      <c r="P1" t="s">
        <v>809</v>
      </c>
      <c r="Q1" s="4" t="s">
        <v>804</v>
      </c>
    </row>
    <row r="2" spans="1:20">
      <c r="A2">
        <v>362</v>
      </c>
      <c r="B2" t="s">
        <v>747</v>
      </c>
      <c r="C2" s="11">
        <v>45652</v>
      </c>
      <c r="D2">
        <v>56.75</v>
      </c>
      <c r="E2">
        <v>61.6</v>
      </c>
      <c r="F2">
        <v>55.5</v>
      </c>
      <c r="G2">
        <f>INDEX('اسعار الاسهم'!A:B,MATCH(B2,'اسعار الاسهم'!K:K,0),2)</f>
        <v>99.48</v>
      </c>
      <c r="H2" s="8">
        <f t="shared" ref="H2:H65" si="0">IF(O2="", G2/D2-1,"")</f>
        <v>0.7529515418502204</v>
      </c>
      <c r="I2" s="8">
        <f t="shared" ref="I2:I65" si="1">IF(O2="", E2/G2-1,"")</f>
        <v>-0.38078005629272216</v>
      </c>
      <c r="J2" s="8">
        <f t="shared" ref="J2:J65" si="2">IF(O2="",  1-F2/G2,"")</f>
        <v>0.44209891435464421</v>
      </c>
      <c r="K2" s="8">
        <f t="shared" ref="K2:K65" si="3">E2/F2-1</f>
        <v>0.1099099099099099</v>
      </c>
      <c r="L2" s="13">
        <f t="shared" ref="L2:L65" si="4">IF( P2="",I2/J2,"")</f>
        <v>-0.86130059117780799</v>
      </c>
      <c r="M2" t="str">
        <f t="shared" ref="M2:M65" si="5">IF(O2="",IF(I2&lt;J2,"up","down"),"")</f>
        <v>up</v>
      </c>
      <c r="N2">
        <f t="shared" ref="N2:N65" si="6">COUNTIFS(B:B,B2,O:O,"")</f>
        <v>5</v>
      </c>
      <c r="Q2" s="8" t="str">
        <f t="shared" ref="Q2:Q65" si="7">IF(NOT( P2=""),IF(O2=1,E2/D2-1,F2/D2-1),"")</f>
        <v/>
      </c>
      <c r="S2" s="4">
        <f>AVERAGE(Q:Q)</f>
        <v>6.5718837568088826E-4</v>
      </c>
      <c r="T2">
        <f>MAX(P:P)</f>
        <v>204</v>
      </c>
    </row>
    <row r="3" spans="1:20">
      <c r="A3">
        <v>363</v>
      </c>
      <c r="B3" t="s">
        <v>839</v>
      </c>
      <c r="C3" s="11">
        <v>45652</v>
      </c>
      <c r="D3">
        <v>5.58</v>
      </c>
      <c r="E3">
        <v>6.15</v>
      </c>
      <c r="F3">
        <v>5.25</v>
      </c>
      <c r="G3">
        <f>INDEX('اسعار الاسهم'!A:B,MATCH(B3,'اسعار الاسهم'!K:K,0),2)</f>
        <v>12.29</v>
      </c>
      <c r="H3" s="8">
        <f t="shared" si="0"/>
        <v>1.2025089605734767</v>
      </c>
      <c r="I3" s="8">
        <f t="shared" si="1"/>
        <v>-0.4995931651749389</v>
      </c>
      <c r="J3" s="8">
        <f t="shared" si="2"/>
        <v>0.57282343368592348</v>
      </c>
      <c r="K3" s="8">
        <f t="shared" si="3"/>
        <v>0.17142857142857149</v>
      </c>
      <c r="L3" s="13">
        <f t="shared" si="4"/>
        <v>-0.87215909090909083</v>
      </c>
      <c r="M3" t="str">
        <f t="shared" si="5"/>
        <v>up</v>
      </c>
      <c r="N3">
        <f t="shared" si="6"/>
        <v>2</v>
      </c>
      <c r="Q3" s="8" t="str">
        <f t="shared" si="7"/>
        <v/>
      </c>
    </row>
    <row r="4" spans="1:20">
      <c r="A4">
        <v>364</v>
      </c>
      <c r="B4" t="s">
        <v>878</v>
      </c>
      <c r="C4" s="11">
        <v>45652</v>
      </c>
      <c r="D4">
        <v>7.94</v>
      </c>
      <c r="E4">
        <v>9.35</v>
      </c>
      <c r="F4">
        <v>7.55</v>
      </c>
      <c r="G4">
        <f>INDEX('اسعار الاسهم'!A:B,MATCH(B4,'اسعار الاسهم'!K:K,0),2)</f>
        <v>15.19</v>
      </c>
      <c r="H4" s="8">
        <f t="shared" si="0"/>
        <v>0.91309823677581847</v>
      </c>
      <c r="I4" s="8">
        <f t="shared" si="1"/>
        <v>-0.38446346280447663</v>
      </c>
      <c r="J4" s="8">
        <f t="shared" si="2"/>
        <v>0.50296247531270577</v>
      </c>
      <c r="K4" s="8">
        <f t="shared" si="3"/>
        <v>0.23841059602648995</v>
      </c>
      <c r="L4" s="13">
        <f t="shared" si="4"/>
        <v>-0.76439790575916222</v>
      </c>
      <c r="M4" t="str">
        <f t="shared" si="5"/>
        <v>up</v>
      </c>
      <c r="N4">
        <f t="shared" si="6"/>
        <v>2</v>
      </c>
      <c r="Q4" s="8" t="str">
        <f t="shared" si="7"/>
        <v/>
      </c>
    </row>
    <row r="5" spans="1:20">
      <c r="A5">
        <v>365</v>
      </c>
      <c r="B5" t="s">
        <v>731</v>
      </c>
      <c r="C5" s="11">
        <v>45652</v>
      </c>
      <c r="D5">
        <v>6.26</v>
      </c>
      <c r="E5">
        <v>6.9</v>
      </c>
      <c r="F5">
        <v>5.9</v>
      </c>
      <c r="G5">
        <f>INDEX('اسعار الاسهم'!A:B,MATCH(B5,'اسعار الاسهم'!K:K,0),2)</f>
        <v>13.61</v>
      </c>
      <c r="H5" s="8">
        <f t="shared" si="0"/>
        <v>1.1741214057507987</v>
      </c>
      <c r="I5" s="8">
        <f t="shared" si="1"/>
        <v>-0.49301983835415131</v>
      </c>
      <c r="J5" s="8">
        <f t="shared" si="2"/>
        <v>0.56649522409992648</v>
      </c>
      <c r="K5" s="8">
        <f t="shared" si="3"/>
        <v>0.16949152542372881</v>
      </c>
      <c r="L5" s="13">
        <f t="shared" si="4"/>
        <v>-0.87029831387808043</v>
      </c>
      <c r="M5" t="str">
        <f t="shared" si="5"/>
        <v>up</v>
      </c>
      <c r="N5">
        <f t="shared" si="6"/>
        <v>4</v>
      </c>
      <c r="Q5" s="8" t="str">
        <f t="shared" si="7"/>
        <v/>
      </c>
    </row>
    <row r="6" spans="1:20">
      <c r="A6">
        <v>366</v>
      </c>
      <c r="B6" t="s">
        <v>750</v>
      </c>
      <c r="C6" s="11">
        <v>45652</v>
      </c>
      <c r="D6">
        <v>3.82</v>
      </c>
      <c r="E6">
        <v>4.1500000000000004</v>
      </c>
      <c r="F6">
        <v>3.5</v>
      </c>
      <c r="G6">
        <f>INDEX('اسعار الاسهم'!A:B,MATCH(B6,'اسعار الاسهم'!K:K,0),2)</f>
        <v>6.11</v>
      </c>
      <c r="H6" s="8">
        <f t="shared" si="0"/>
        <v>0.59947643979057608</v>
      </c>
      <c r="I6" s="8">
        <f t="shared" si="1"/>
        <v>-0.32078559738134205</v>
      </c>
      <c r="J6" s="8">
        <f t="shared" si="2"/>
        <v>0.42716857610474634</v>
      </c>
      <c r="K6" s="8">
        <f t="shared" si="3"/>
        <v>0.18571428571428572</v>
      </c>
      <c r="L6" s="13">
        <f t="shared" si="4"/>
        <v>-0.75095785440613017</v>
      </c>
      <c r="M6" t="str">
        <f t="shared" si="5"/>
        <v>up</v>
      </c>
      <c r="N6">
        <f t="shared" si="6"/>
        <v>1</v>
      </c>
      <c r="Q6" s="8" t="str">
        <f t="shared" si="7"/>
        <v/>
      </c>
    </row>
    <row r="7" spans="1:20" hidden="1">
      <c r="A7">
        <v>263</v>
      </c>
      <c r="B7" t="s">
        <v>746</v>
      </c>
      <c r="C7" s="11">
        <v>45638</v>
      </c>
      <c r="D7">
        <v>3.52</v>
      </c>
      <c r="E7">
        <v>4</v>
      </c>
      <c r="F7">
        <v>3.15</v>
      </c>
      <c r="G7">
        <f>INDEX('اسعار الاسهم'!A:B,MATCH(B7,'اسعار الاسهم'!K:K,0),2)</f>
        <v>7.15</v>
      </c>
      <c r="H7" s="8" t="str">
        <f t="shared" si="0"/>
        <v/>
      </c>
      <c r="I7" s="8" t="str">
        <f t="shared" si="1"/>
        <v/>
      </c>
      <c r="J7" s="8" t="str">
        <f t="shared" si="2"/>
        <v/>
      </c>
      <c r="K7" s="8">
        <f t="shared" si="3"/>
        <v>0.26984126984126977</v>
      </c>
      <c r="L7" s="13" t="str">
        <f t="shared" si="4"/>
        <v/>
      </c>
      <c r="M7" t="str">
        <f t="shared" si="5"/>
        <v/>
      </c>
      <c r="N7">
        <f t="shared" si="6"/>
        <v>3</v>
      </c>
      <c r="O7">
        <v>0</v>
      </c>
      <c r="P7">
        <v>202</v>
      </c>
      <c r="Q7" s="8">
        <f t="shared" si="7"/>
        <v>-0.10511363636363635</v>
      </c>
    </row>
    <row r="8" spans="1:20">
      <c r="A8">
        <v>367</v>
      </c>
      <c r="B8" t="s">
        <v>786</v>
      </c>
      <c r="C8" s="11">
        <v>45652</v>
      </c>
      <c r="D8">
        <v>81.599999999999994</v>
      </c>
      <c r="E8">
        <v>84</v>
      </c>
      <c r="F8">
        <v>80</v>
      </c>
      <c r="G8">
        <f>INDEX('اسعار الاسهم'!A:B,MATCH(B8,'اسعار الاسهم'!K:K,0),2)</f>
        <v>132.35</v>
      </c>
      <c r="H8" s="8">
        <f t="shared" si="0"/>
        <v>0.62193627450980404</v>
      </c>
      <c r="I8" s="8">
        <f t="shared" si="1"/>
        <v>-0.36531922931620697</v>
      </c>
      <c r="J8" s="8">
        <f t="shared" si="2"/>
        <v>0.3955421231582924</v>
      </c>
      <c r="K8" s="8">
        <f t="shared" si="3"/>
        <v>5.0000000000000044E-2</v>
      </c>
      <c r="L8" s="13">
        <f t="shared" si="4"/>
        <v>-0.92359121298949365</v>
      </c>
      <c r="M8" t="str">
        <f t="shared" si="5"/>
        <v>up</v>
      </c>
      <c r="N8">
        <f t="shared" si="6"/>
        <v>5</v>
      </c>
      <c r="Q8" s="8" t="str">
        <f t="shared" si="7"/>
        <v/>
      </c>
    </row>
    <row r="9" spans="1:20" hidden="1">
      <c r="A9">
        <v>305</v>
      </c>
      <c r="B9" t="s">
        <v>746</v>
      </c>
      <c r="C9" s="11">
        <v>45644</v>
      </c>
      <c r="D9">
        <v>3.43</v>
      </c>
      <c r="E9">
        <v>4.07</v>
      </c>
      <c r="F9">
        <v>3.12</v>
      </c>
      <c r="G9">
        <f>INDEX('اسعار الاسهم'!A:B,MATCH(B9,'اسعار الاسهم'!K:K,0),2)</f>
        <v>7.15</v>
      </c>
      <c r="H9" s="8" t="str">
        <f t="shared" si="0"/>
        <v/>
      </c>
      <c r="I9" s="8" t="str">
        <f t="shared" si="1"/>
        <v/>
      </c>
      <c r="J9" s="8" t="str">
        <f t="shared" si="2"/>
        <v/>
      </c>
      <c r="K9" s="8">
        <f t="shared" si="3"/>
        <v>0.30448717948717952</v>
      </c>
      <c r="L9" s="13" t="str">
        <f t="shared" si="4"/>
        <v/>
      </c>
      <c r="M9" t="str">
        <f t="shared" si="5"/>
        <v/>
      </c>
      <c r="N9">
        <f t="shared" si="6"/>
        <v>3</v>
      </c>
      <c r="O9">
        <v>0</v>
      </c>
      <c r="P9">
        <v>204</v>
      </c>
      <c r="Q9" s="8">
        <f t="shared" si="7"/>
        <v>-9.0379008746355738E-2</v>
      </c>
    </row>
    <row r="10" spans="1:20">
      <c r="A10">
        <v>368</v>
      </c>
      <c r="B10" t="s">
        <v>825</v>
      </c>
      <c r="C10" s="11">
        <v>45652</v>
      </c>
      <c r="D10">
        <v>281.63</v>
      </c>
      <c r="E10">
        <v>300</v>
      </c>
      <c r="F10">
        <v>275</v>
      </c>
      <c r="G10">
        <f>INDEX('اسعار الاسهم'!A:B,MATCH(B10,'اسعار الاسهم'!K:K,0),2)</f>
        <v>708.01</v>
      </c>
      <c r="H10" s="8">
        <f t="shared" si="0"/>
        <v>1.5139722330717609</v>
      </c>
      <c r="I10" s="8">
        <f t="shared" si="1"/>
        <v>-0.5762771712263951</v>
      </c>
      <c r="J10" s="8">
        <f t="shared" si="2"/>
        <v>0.61158740695752889</v>
      </c>
      <c r="K10" s="8">
        <f t="shared" si="3"/>
        <v>9.0909090909090828E-2</v>
      </c>
      <c r="L10" s="13">
        <f t="shared" si="4"/>
        <v>-0.94226461282649354</v>
      </c>
      <c r="M10" t="str">
        <f t="shared" si="5"/>
        <v>up</v>
      </c>
      <c r="N10">
        <f t="shared" si="6"/>
        <v>1</v>
      </c>
      <c r="Q10" s="8" t="str">
        <f t="shared" si="7"/>
        <v/>
      </c>
    </row>
    <row r="11" spans="1:20">
      <c r="A11">
        <v>369</v>
      </c>
      <c r="B11" t="s">
        <v>847</v>
      </c>
      <c r="C11" s="11">
        <v>45652</v>
      </c>
      <c r="D11">
        <v>17.62</v>
      </c>
      <c r="E11">
        <v>20.5</v>
      </c>
      <c r="F11">
        <v>16.8</v>
      </c>
      <c r="G11">
        <f>INDEX('اسعار الاسهم'!A:B,MATCH(B11,'اسعار الاسهم'!K:K,0),2)</f>
        <v>21.15</v>
      </c>
      <c r="H11" s="8">
        <f t="shared" si="0"/>
        <v>0.20034052213393849</v>
      </c>
      <c r="I11" s="8">
        <f t="shared" si="1"/>
        <v>-3.0732860520094496E-2</v>
      </c>
      <c r="J11" s="8">
        <f t="shared" si="2"/>
        <v>0.20567375886524819</v>
      </c>
      <c r="K11" s="8">
        <f t="shared" si="3"/>
        <v>0.22023809523809512</v>
      </c>
      <c r="L11" s="13">
        <f t="shared" si="4"/>
        <v>-0.14942528735632155</v>
      </c>
      <c r="M11" t="str">
        <f t="shared" si="5"/>
        <v>up</v>
      </c>
      <c r="N11">
        <f t="shared" si="6"/>
        <v>2</v>
      </c>
      <c r="Q11" s="8" t="str">
        <f t="shared" si="7"/>
        <v/>
      </c>
    </row>
    <row r="12" spans="1:20">
      <c r="A12">
        <v>352</v>
      </c>
      <c r="B12" t="s">
        <v>789</v>
      </c>
      <c r="C12" s="11">
        <v>45651</v>
      </c>
      <c r="D12">
        <v>3.31</v>
      </c>
      <c r="E12">
        <v>3.65</v>
      </c>
      <c r="F12">
        <v>3.1</v>
      </c>
      <c r="G12">
        <f>INDEX('اسعار الاسهم'!A:B,MATCH(B12,'اسعار الاسهم'!K:K,0),2)</f>
        <v>9.3000000000000007</v>
      </c>
      <c r="H12" s="8">
        <f t="shared" si="0"/>
        <v>1.8096676737160124</v>
      </c>
      <c r="I12" s="8">
        <f t="shared" si="1"/>
        <v>-0.60752688172043012</v>
      </c>
      <c r="J12" s="8">
        <f t="shared" si="2"/>
        <v>0.66666666666666674</v>
      </c>
      <c r="K12" s="8">
        <f t="shared" si="3"/>
        <v>0.17741935483870952</v>
      </c>
      <c r="L12" s="13">
        <f t="shared" si="4"/>
        <v>-0.91129032258064513</v>
      </c>
      <c r="M12" t="str">
        <f t="shared" si="5"/>
        <v>up</v>
      </c>
      <c r="N12">
        <f t="shared" si="6"/>
        <v>3</v>
      </c>
      <c r="Q12" s="8" t="str">
        <f t="shared" si="7"/>
        <v/>
      </c>
    </row>
    <row r="13" spans="1:20">
      <c r="A13">
        <v>353</v>
      </c>
      <c r="B13" t="s">
        <v>762</v>
      </c>
      <c r="C13" s="11">
        <v>45651</v>
      </c>
      <c r="D13">
        <v>5.75</v>
      </c>
      <c r="E13">
        <v>6.65</v>
      </c>
      <c r="F13">
        <v>5.25</v>
      </c>
      <c r="G13">
        <f>INDEX('اسعار الاسهم'!A:B,MATCH(B13,'اسعار الاسهم'!K:K,0),2)</f>
        <v>7.59</v>
      </c>
      <c r="H13" s="8">
        <f t="shared" si="0"/>
        <v>0.32000000000000006</v>
      </c>
      <c r="I13" s="8">
        <f t="shared" si="1"/>
        <v>-0.12384716732542811</v>
      </c>
      <c r="J13" s="8">
        <f t="shared" si="2"/>
        <v>0.30830039525691699</v>
      </c>
      <c r="K13" s="8">
        <f t="shared" si="3"/>
        <v>0.26666666666666683</v>
      </c>
      <c r="L13" s="13">
        <f t="shared" si="4"/>
        <v>-0.40170940170940145</v>
      </c>
      <c r="M13" t="str">
        <f t="shared" si="5"/>
        <v>up</v>
      </c>
      <c r="N13">
        <f t="shared" si="6"/>
        <v>3</v>
      </c>
      <c r="Q13" s="8" t="str">
        <f t="shared" si="7"/>
        <v/>
      </c>
    </row>
    <row r="14" spans="1:20">
      <c r="A14">
        <v>354</v>
      </c>
      <c r="B14" t="s">
        <v>770</v>
      </c>
      <c r="C14" s="11">
        <v>45651</v>
      </c>
      <c r="D14">
        <v>3.86</v>
      </c>
      <c r="E14">
        <v>4.2</v>
      </c>
      <c r="F14">
        <v>3.8</v>
      </c>
      <c r="G14">
        <f>INDEX('اسعار الاسهم'!A:B,MATCH(B14,'اسعار الاسهم'!K:K,0),2)</f>
        <v>6.79</v>
      </c>
      <c r="H14" s="8">
        <f t="shared" si="0"/>
        <v>0.7590673575129534</v>
      </c>
      <c r="I14" s="8">
        <f t="shared" si="1"/>
        <v>-0.38144329896907214</v>
      </c>
      <c r="J14" s="8">
        <f t="shared" si="2"/>
        <v>0.44035346097201766</v>
      </c>
      <c r="K14" s="8">
        <f t="shared" si="3"/>
        <v>0.10526315789473695</v>
      </c>
      <c r="L14" s="13">
        <f t="shared" si="4"/>
        <v>-0.86622073578595316</v>
      </c>
      <c r="M14" t="str">
        <f t="shared" si="5"/>
        <v>up</v>
      </c>
      <c r="N14">
        <f t="shared" si="6"/>
        <v>4</v>
      </c>
      <c r="Q14" s="8" t="str">
        <f t="shared" si="7"/>
        <v/>
      </c>
    </row>
    <row r="15" spans="1:20">
      <c r="A15">
        <v>355</v>
      </c>
      <c r="B15" t="s">
        <v>789</v>
      </c>
      <c r="C15" s="11">
        <v>45651</v>
      </c>
      <c r="D15">
        <v>3.31</v>
      </c>
      <c r="E15">
        <v>3.6</v>
      </c>
      <c r="F15">
        <v>3.07</v>
      </c>
      <c r="G15">
        <f>INDEX('اسعار الاسهم'!A:B,MATCH(B15,'اسعار الاسهم'!K:K,0),2)</f>
        <v>9.3000000000000007</v>
      </c>
      <c r="H15" s="8">
        <f t="shared" si="0"/>
        <v>1.8096676737160124</v>
      </c>
      <c r="I15" s="8">
        <f t="shared" si="1"/>
        <v>-0.61290322580645162</v>
      </c>
      <c r="J15" s="8">
        <f t="shared" si="2"/>
        <v>0.6698924731182796</v>
      </c>
      <c r="K15" s="8">
        <f t="shared" si="3"/>
        <v>0.17263843648208477</v>
      </c>
      <c r="L15" s="13">
        <f t="shared" si="4"/>
        <v>-0.9149277688603531</v>
      </c>
      <c r="M15" t="str">
        <f t="shared" si="5"/>
        <v>up</v>
      </c>
      <c r="N15">
        <f t="shared" si="6"/>
        <v>3</v>
      </c>
      <c r="Q15" s="8" t="str">
        <f t="shared" si="7"/>
        <v/>
      </c>
    </row>
    <row r="16" spans="1:20">
      <c r="A16">
        <v>356</v>
      </c>
      <c r="B16" t="s">
        <v>762</v>
      </c>
      <c r="C16" s="11">
        <v>45651</v>
      </c>
      <c r="D16">
        <v>5.75</v>
      </c>
      <c r="E16">
        <v>6.1</v>
      </c>
      <c r="F16">
        <v>5.3</v>
      </c>
      <c r="G16">
        <f>INDEX('اسعار الاسهم'!A:B,MATCH(B16,'اسعار الاسهم'!K:K,0),2)</f>
        <v>7.59</v>
      </c>
      <c r="H16" s="8">
        <f t="shared" si="0"/>
        <v>0.32000000000000006</v>
      </c>
      <c r="I16" s="8">
        <f t="shared" si="1"/>
        <v>-0.19631093544137024</v>
      </c>
      <c r="J16" s="8">
        <f t="shared" si="2"/>
        <v>0.30171277997364954</v>
      </c>
      <c r="K16" s="8">
        <f t="shared" si="3"/>
        <v>0.15094339622641506</v>
      </c>
      <c r="L16" s="13">
        <f t="shared" si="4"/>
        <v>-0.65065502183406121</v>
      </c>
      <c r="M16" t="str">
        <f t="shared" si="5"/>
        <v>up</v>
      </c>
      <c r="N16">
        <f t="shared" si="6"/>
        <v>3</v>
      </c>
      <c r="Q16" s="8" t="str">
        <f t="shared" si="7"/>
        <v/>
      </c>
    </row>
    <row r="17" spans="1:17">
      <c r="A17">
        <v>357</v>
      </c>
      <c r="B17" t="s">
        <v>933</v>
      </c>
      <c r="C17" s="11">
        <v>45651</v>
      </c>
      <c r="D17">
        <v>10</v>
      </c>
      <c r="E17">
        <v>11.5</v>
      </c>
      <c r="F17">
        <v>8.6999999999999993</v>
      </c>
      <c r="G17">
        <f>INDEX('اسعار الاسهم'!A:B,MATCH(B17,'اسعار الاسهم'!K:K,0),2)</f>
        <v>12.63</v>
      </c>
      <c r="H17" s="8">
        <f t="shared" si="0"/>
        <v>0.26300000000000012</v>
      </c>
      <c r="I17" s="8">
        <f t="shared" si="1"/>
        <v>-8.9469517022961242E-2</v>
      </c>
      <c r="J17" s="8">
        <f t="shared" si="2"/>
        <v>0.31116389548693602</v>
      </c>
      <c r="K17" s="8">
        <f t="shared" si="3"/>
        <v>0.32183908045977017</v>
      </c>
      <c r="L17" s="13">
        <f t="shared" si="4"/>
        <v>-0.28753180661577604</v>
      </c>
      <c r="M17" t="str">
        <f t="shared" si="5"/>
        <v>up</v>
      </c>
      <c r="N17">
        <f t="shared" si="6"/>
        <v>1</v>
      </c>
      <c r="Q17" s="8" t="str">
        <f t="shared" si="7"/>
        <v/>
      </c>
    </row>
    <row r="18" spans="1:17">
      <c r="A18">
        <v>358</v>
      </c>
      <c r="B18" t="s">
        <v>770</v>
      </c>
      <c r="C18" s="11">
        <v>45651</v>
      </c>
      <c r="D18">
        <v>3.9</v>
      </c>
      <c r="E18">
        <v>4.18</v>
      </c>
      <c r="F18">
        <v>3.8</v>
      </c>
      <c r="G18">
        <f>INDEX('اسعار الاسهم'!A:B,MATCH(B18,'اسعار الاسهم'!K:K,0),2)</f>
        <v>6.79</v>
      </c>
      <c r="H18" s="8">
        <f t="shared" si="0"/>
        <v>0.74102564102564106</v>
      </c>
      <c r="I18" s="8">
        <f t="shared" si="1"/>
        <v>-0.38438880706921952</v>
      </c>
      <c r="J18" s="8">
        <f t="shared" si="2"/>
        <v>0.44035346097201766</v>
      </c>
      <c r="K18" s="8">
        <f t="shared" si="3"/>
        <v>9.9999999999999867E-2</v>
      </c>
      <c r="L18" s="13">
        <f t="shared" si="4"/>
        <v>-0.87290969899665571</v>
      </c>
      <c r="M18" t="str">
        <f t="shared" si="5"/>
        <v>up</v>
      </c>
      <c r="N18">
        <f t="shared" si="6"/>
        <v>4</v>
      </c>
      <c r="Q18" s="8" t="str">
        <f t="shared" si="7"/>
        <v/>
      </c>
    </row>
    <row r="19" spans="1:17">
      <c r="A19">
        <v>359</v>
      </c>
      <c r="B19" t="s">
        <v>858</v>
      </c>
      <c r="C19" s="11">
        <v>45651</v>
      </c>
      <c r="D19">
        <v>1.7</v>
      </c>
      <c r="E19">
        <v>2.02</v>
      </c>
      <c r="F19">
        <v>1.59</v>
      </c>
      <c r="G19">
        <f>INDEX('اسعار الاسهم'!A:B,MATCH(B19,'اسعار الاسهم'!K:K,0),2)</f>
        <v>3.38</v>
      </c>
      <c r="H19" s="8">
        <f t="shared" si="0"/>
        <v>0.9882352941176471</v>
      </c>
      <c r="I19" s="8">
        <f t="shared" si="1"/>
        <v>-0.40236686390532539</v>
      </c>
      <c r="J19" s="8">
        <f t="shared" si="2"/>
        <v>0.52958579881656798</v>
      </c>
      <c r="K19" s="8">
        <f t="shared" si="3"/>
        <v>0.27044025157232698</v>
      </c>
      <c r="L19" s="13">
        <f t="shared" si="4"/>
        <v>-0.75977653631284914</v>
      </c>
      <c r="M19" t="str">
        <f t="shared" si="5"/>
        <v>up</v>
      </c>
      <c r="N19">
        <f t="shared" si="6"/>
        <v>2</v>
      </c>
      <c r="Q19" s="8" t="str">
        <f t="shared" si="7"/>
        <v/>
      </c>
    </row>
    <row r="20" spans="1:17">
      <c r="A20">
        <v>360</v>
      </c>
      <c r="B20" t="s">
        <v>845</v>
      </c>
      <c r="C20" s="11">
        <v>45651</v>
      </c>
      <c r="D20">
        <v>2.5499999999999998</v>
      </c>
      <c r="E20">
        <v>2.75</v>
      </c>
      <c r="F20">
        <v>2.42</v>
      </c>
      <c r="G20">
        <f>INDEX('اسعار الاسهم'!A:B,MATCH(B20,'اسعار الاسهم'!K:K,0),2)</f>
        <v>8.6999999999999993</v>
      </c>
      <c r="H20" s="8">
        <f t="shared" si="0"/>
        <v>2.4117647058823528</v>
      </c>
      <c r="I20" s="8">
        <f t="shared" si="1"/>
        <v>-0.68390804597701149</v>
      </c>
      <c r="J20" s="8">
        <f t="shared" si="2"/>
        <v>0.72183908045977008</v>
      </c>
      <c r="K20" s="8">
        <f t="shared" si="3"/>
        <v>0.13636363636363646</v>
      </c>
      <c r="L20" s="13">
        <f t="shared" si="4"/>
        <v>-0.94745222929936312</v>
      </c>
      <c r="M20" t="str">
        <f t="shared" si="5"/>
        <v>up</v>
      </c>
      <c r="N20">
        <f t="shared" si="6"/>
        <v>1</v>
      </c>
      <c r="Q20" s="8" t="str">
        <f t="shared" si="7"/>
        <v/>
      </c>
    </row>
    <row r="21" spans="1:17">
      <c r="A21">
        <v>361</v>
      </c>
      <c r="B21" t="s">
        <v>751</v>
      </c>
      <c r="C21" s="11">
        <v>45651</v>
      </c>
      <c r="D21">
        <v>21.7</v>
      </c>
      <c r="E21">
        <v>24.5</v>
      </c>
      <c r="F21">
        <v>21.1</v>
      </c>
      <c r="G21">
        <f>INDEX('اسعار الاسهم'!A:B,MATCH(B21,'اسعار الاسهم'!K:K,0),2)</f>
        <v>28.85</v>
      </c>
      <c r="H21" s="8">
        <f t="shared" si="0"/>
        <v>0.32949308755760387</v>
      </c>
      <c r="I21" s="8">
        <f t="shared" si="1"/>
        <v>-0.15077989601386488</v>
      </c>
      <c r="J21" s="8">
        <f t="shared" si="2"/>
        <v>0.26863084922010394</v>
      </c>
      <c r="K21" s="8">
        <f t="shared" si="3"/>
        <v>0.16113744075829373</v>
      </c>
      <c r="L21" s="13">
        <f t="shared" si="4"/>
        <v>-0.56129032258064548</v>
      </c>
      <c r="M21" t="str">
        <f t="shared" si="5"/>
        <v>up</v>
      </c>
      <c r="N21">
        <f t="shared" si="6"/>
        <v>3</v>
      </c>
      <c r="Q21" s="8" t="str">
        <f t="shared" si="7"/>
        <v/>
      </c>
    </row>
    <row r="22" spans="1:17">
      <c r="A22">
        <v>343</v>
      </c>
      <c r="B22" t="s">
        <v>726</v>
      </c>
      <c r="C22" s="11">
        <v>45650</v>
      </c>
      <c r="D22">
        <v>109.99</v>
      </c>
      <c r="E22">
        <v>114.7</v>
      </c>
      <c r="F22">
        <v>103</v>
      </c>
      <c r="G22">
        <f>INDEX('اسعار الاسهم'!A:B,MATCH(B22,'اسعار الاسهم'!K:K,0),2)</f>
        <v>141</v>
      </c>
      <c r="H22" s="8">
        <f t="shared" si="0"/>
        <v>0.28193472133830344</v>
      </c>
      <c r="I22" s="8">
        <f t="shared" si="1"/>
        <v>-0.18652482269503545</v>
      </c>
      <c r="J22" s="8">
        <f t="shared" si="2"/>
        <v>0.26950354609929073</v>
      </c>
      <c r="K22" s="8">
        <f t="shared" si="3"/>
        <v>0.11359223300970878</v>
      </c>
      <c r="L22" s="13">
        <f t="shared" si="4"/>
        <v>-0.69210526315789489</v>
      </c>
      <c r="M22" t="str">
        <f t="shared" si="5"/>
        <v>up</v>
      </c>
      <c r="N22">
        <f t="shared" si="6"/>
        <v>2</v>
      </c>
      <c r="Q22" s="8" t="str">
        <f t="shared" si="7"/>
        <v/>
      </c>
    </row>
    <row r="23" spans="1:17">
      <c r="A23">
        <v>344</v>
      </c>
      <c r="B23" t="s">
        <v>826</v>
      </c>
      <c r="C23" s="11">
        <v>45650</v>
      </c>
      <c r="D23">
        <v>7.7</v>
      </c>
      <c r="E23">
        <v>8.1999999999999993</v>
      </c>
      <c r="F23">
        <v>7.5</v>
      </c>
      <c r="G23">
        <f>INDEX('اسعار الاسهم'!A:B,MATCH(B23,'اسعار الاسهم'!K:K,0),2)</f>
        <v>8.35</v>
      </c>
      <c r="H23" s="8">
        <f t="shared" si="0"/>
        <v>8.4415584415584277E-2</v>
      </c>
      <c r="I23" s="8">
        <f t="shared" si="1"/>
        <v>-1.7964071856287456E-2</v>
      </c>
      <c r="J23" s="8">
        <f t="shared" si="2"/>
        <v>0.10179640718562866</v>
      </c>
      <c r="K23" s="8">
        <f t="shared" si="3"/>
        <v>9.3333333333333268E-2</v>
      </c>
      <c r="L23" s="13">
        <f t="shared" si="4"/>
        <v>-0.17647058823529457</v>
      </c>
      <c r="M23" t="str">
        <f t="shared" si="5"/>
        <v>up</v>
      </c>
      <c r="N23">
        <f t="shared" si="6"/>
        <v>2</v>
      </c>
      <c r="Q23" s="8" t="str">
        <f t="shared" si="7"/>
        <v/>
      </c>
    </row>
    <row r="24" spans="1:17">
      <c r="A24">
        <v>345</v>
      </c>
      <c r="B24" t="s">
        <v>772</v>
      </c>
      <c r="C24" s="11">
        <v>45650</v>
      </c>
      <c r="D24">
        <v>117.36</v>
      </c>
      <c r="E24">
        <v>126.3</v>
      </c>
      <c r="F24">
        <v>112.8</v>
      </c>
      <c r="G24">
        <f>INDEX('اسعار الاسهم'!A:B,MATCH(B24,'اسعار الاسهم'!K:K,0),2)</f>
        <v>331.99</v>
      </c>
      <c r="H24" s="8">
        <f t="shared" si="0"/>
        <v>1.8288173142467623</v>
      </c>
      <c r="I24" s="8">
        <f t="shared" si="1"/>
        <v>-0.61956685442332604</v>
      </c>
      <c r="J24" s="8">
        <f t="shared" si="2"/>
        <v>0.6602307298412603</v>
      </c>
      <c r="K24" s="8">
        <f t="shared" si="3"/>
        <v>0.11968085106382986</v>
      </c>
      <c r="L24" s="13">
        <f t="shared" si="4"/>
        <v>-0.93840959897805565</v>
      </c>
      <c r="M24" t="str">
        <f t="shared" si="5"/>
        <v>up</v>
      </c>
      <c r="N24">
        <f t="shared" si="6"/>
        <v>4</v>
      </c>
      <c r="Q24" s="8" t="str">
        <f t="shared" si="7"/>
        <v/>
      </c>
    </row>
    <row r="25" spans="1:17">
      <c r="A25">
        <v>346</v>
      </c>
      <c r="B25" t="s">
        <v>819</v>
      </c>
      <c r="C25" s="11">
        <v>45650</v>
      </c>
      <c r="D25">
        <v>2.35</v>
      </c>
      <c r="E25">
        <v>2.65</v>
      </c>
      <c r="F25">
        <v>2.2000000000000002</v>
      </c>
      <c r="G25">
        <f>INDEX('اسعار الاسهم'!A:B,MATCH(B25,'اسعار الاسهم'!K:K,0),2)</f>
        <v>2.73</v>
      </c>
      <c r="H25" s="8">
        <f t="shared" si="0"/>
        <v>0.16170212765957448</v>
      </c>
      <c r="I25" s="8">
        <f t="shared" si="1"/>
        <v>-2.9304029304029311E-2</v>
      </c>
      <c r="J25" s="8">
        <f t="shared" si="2"/>
        <v>0.19413919413919412</v>
      </c>
      <c r="K25" s="8">
        <f t="shared" si="3"/>
        <v>0.20454545454545436</v>
      </c>
      <c r="L25" s="13">
        <f t="shared" si="4"/>
        <v>-0.15094339622641514</v>
      </c>
      <c r="M25" t="str">
        <f t="shared" si="5"/>
        <v>up</v>
      </c>
      <c r="N25">
        <f t="shared" si="6"/>
        <v>3</v>
      </c>
      <c r="Q25" s="8" t="str">
        <f t="shared" si="7"/>
        <v/>
      </c>
    </row>
    <row r="26" spans="1:17">
      <c r="A26">
        <v>347</v>
      </c>
      <c r="B26" t="s">
        <v>857</v>
      </c>
      <c r="C26" s="11">
        <v>45650</v>
      </c>
      <c r="D26">
        <v>45</v>
      </c>
      <c r="E26">
        <v>50</v>
      </c>
      <c r="F26">
        <v>44</v>
      </c>
      <c r="G26">
        <f>INDEX('اسعار الاسهم'!A:B,MATCH(B26,'اسعار الاسهم'!K:K,0),2)</f>
        <v>84.5</v>
      </c>
      <c r="H26" s="8">
        <f t="shared" si="0"/>
        <v>0.87777777777777777</v>
      </c>
      <c r="I26" s="8">
        <f t="shared" si="1"/>
        <v>-0.40828402366863903</v>
      </c>
      <c r="J26" s="8">
        <f t="shared" si="2"/>
        <v>0.47928994082840237</v>
      </c>
      <c r="K26" s="8">
        <f t="shared" si="3"/>
        <v>0.13636363636363646</v>
      </c>
      <c r="L26" s="13">
        <f t="shared" si="4"/>
        <v>-0.85185185185185175</v>
      </c>
      <c r="M26" t="str">
        <f t="shared" si="5"/>
        <v>up</v>
      </c>
      <c r="N26">
        <f t="shared" si="6"/>
        <v>2</v>
      </c>
      <c r="Q26" s="8" t="str">
        <f t="shared" si="7"/>
        <v/>
      </c>
    </row>
    <row r="27" spans="1:17">
      <c r="A27">
        <v>348</v>
      </c>
      <c r="B27" t="s">
        <v>826</v>
      </c>
      <c r="C27" s="11">
        <v>45650</v>
      </c>
      <c r="D27">
        <v>7.7</v>
      </c>
      <c r="E27">
        <v>8.85</v>
      </c>
      <c r="F27">
        <v>7.5</v>
      </c>
      <c r="G27">
        <f>INDEX('اسعار الاسهم'!A:B,MATCH(B27,'اسعار الاسهم'!K:K,0),2)</f>
        <v>8.35</v>
      </c>
      <c r="H27" s="8">
        <f t="shared" si="0"/>
        <v>8.4415584415584277E-2</v>
      </c>
      <c r="I27" s="8">
        <f t="shared" si="1"/>
        <v>5.9880239520958112E-2</v>
      </c>
      <c r="J27" s="8">
        <f t="shared" si="2"/>
        <v>0.10179640718562866</v>
      </c>
      <c r="K27" s="8">
        <f t="shared" si="3"/>
        <v>0.17999999999999994</v>
      </c>
      <c r="L27" s="13">
        <f t="shared" si="4"/>
        <v>0.58823529411764786</v>
      </c>
      <c r="M27" t="str">
        <f t="shared" si="5"/>
        <v>up</v>
      </c>
      <c r="N27">
        <f t="shared" si="6"/>
        <v>2</v>
      </c>
      <c r="Q27" s="8" t="str">
        <f t="shared" si="7"/>
        <v/>
      </c>
    </row>
    <row r="28" spans="1:17">
      <c r="A28">
        <v>349</v>
      </c>
      <c r="B28" t="s">
        <v>776</v>
      </c>
      <c r="C28" s="11">
        <v>45650</v>
      </c>
      <c r="D28">
        <v>6.6</v>
      </c>
      <c r="E28">
        <v>7</v>
      </c>
      <c r="F28">
        <v>6.45</v>
      </c>
      <c r="G28">
        <f>INDEX('اسعار الاسهم'!A:B,MATCH(B28,'اسعار الاسهم'!K:K,0),2)</f>
        <v>11.27</v>
      </c>
      <c r="H28" s="8">
        <f t="shared" si="0"/>
        <v>0.70757575757575752</v>
      </c>
      <c r="I28" s="8">
        <f t="shared" si="1"/>
        <v>-0.37888198757763969</v>
      </c>
      <c r="J28" s="8">
        <f t="shared" si="2"/>
        <v>0.4276841171251109</v>
      </c>
      <c r="K28" s="8">
        <f t="shared" si="3"/>
        <v>8.5271317829457294E-2</v>
      </c>
      <c r="L28" s="13">
        <f t="shared" si="4"/>
        <v>-0.88589211618257246</v>
      </c>
      <c r="M28" t="str">
        <f t="shared" si="5"/>
        <v>up</v>
      </c>
      <c r="N28">
        <f t="shared" si="6"/>
        <v>2</v>
      </c>
      <c r="Q28" s="8" t="str">
        <f t="shared" si="7"/>
        <v/>
      </c>
    </row>
    <row r="29" spans="1:17">
      <c r="A29">
        <v>350</v>
      </c>
      <c r="B29" t="s">
        <v>747</v>
      </c>
      <c r="C29" s="11">
        <v>45650</v>
      </c>
      <c r="D29">
        <v>56.2</v>
      </c>
      <c r="E29">
        <v>63.5</v>
      </c>
      <c r="F29">
        <v>55</v>
      </c>
      <c r="G29">
        <f>INDEX('اسعار الاسهم'!A:B,MATCH(B29,'اسعار الاسهم'!K:K,0),2)</f>
        <v>99.48</v>
      </c>
      <c r="H29" s="8">
        <f t="shared" si="0"/>
        <v>0.77010676156583635</v>
      </c>
      <c r="I29" s="8">
        <f t="shared" si="1"/>
        <v>-0.3616807398472055</v>
      </c>
      <c r="J29" s="8">
        <f t="shared" si="2"/>
        <v>0.44712505026135907</v>
      </c>
      <c r="K29" s="8">
        <f t="shared" si="3"/>
        <v>0.15454545454545454</v>
      </c>
      <c r="L29" s="13">
        <f t="shared" si="4"/>
        <v>-0.80890287769784175</v>
      </c>
      <c r="M29" t="str">
        <f t="shared" si="5"/>
        <v>up</v>
      </c>
      <c r="N29">
        <f t="shared" si="6"/>
        <v>5</v>
      </c>
      <c r="Q29" s="8" t="str">
        <f t="shared" si="7"/>
        <v/>
      </c>
    </row>
    <row r="30" spans="1:17">
      <c r="A30">
        <v>351</v>
      </c>
      <c r="B30" t="s">
        <v>784</v>
      </c>
      <c r="C30" s="11">
        <v>45650</v>
      </c>
      <c r="D30">
        <v>20.2</v>
      </c>
      <c r="E30">
        <v>22.05</v>
      </c>
      <c r="F30">
        <v>19.989999999999998</v>
      </c>
      <c r="G30">
        <f>INDEX('اسعار الاسهم'!A:B,MATCH(B30,'اسعار الاسهم'!K:K,0),2)</f>
        <v>26.32</v>
      </c>
      <c r="H30" s="8">
        <f t="shared" si="0"/>
        <v>0.30297029702970302</v>
      </c>
      <c r="I30" s="8">
        <f t="shared" si="1"/>
        <v>-0.16223404255319152</v>
      </c>
      <c r="J30" s="8">
        <f t="shared" si="2"/>
        <v>0.24050151975683898</v>
      </c>
      <c r="K30" s="8">
        <f t="shared" si="3"/>
        <v>0.10305152576288146</v>
      </c>
      <c r="L30" s="13">
        <f t="shared" si="4"/>
        <v>-0.67456556082148489</v>
      </c>
      <c r="M30" t="str">
        <f t="shared" si="5"/>
        <v>up</v>
      </c>
      <c r="N30">
        <f t="shared" si="6"/>
        <v>2</v>
      </c>
      <c r="Q30" s="8" t="str">
        <f t="shared" si="7"/>
        <v/>
      </c>
    </row>
    <row r="31" spans="1:17">
      <c r="A31">
        <v>331</v>
      </c>
      <c r="B31" t="s">
        <v>726</v>
      </c>
      <c r="C31" s="11">
        <v>45649</v>
      </c>
      <c r="D31">
        <v>108</v>
      </c>
      <c r="E31">
        <v>114.7</v>
      </c>
      <c r="F31">
        <v>103</v>
      </c>
      <c r="G31">
        <f>INDEX('اسعار الاسهم'!A:B,MATCH(B31,'اسعار الاسهم'!K:K,0),2)</f>
        <v>141</v>
      </c>
      <c r="H31" s="8">
        <f t="shared" si="0"/>
        <v>0.30555555555555558</v>
      </c>
      <c r="I31" s="8">
        <f t="shared" si="1"/>
        <v>-0.18652482269503545</v>
      </c>
      <c r="J31" s="8">
        <f t="shared" si="2"/>
        <v>0.26950354609929073</v>
      </c>
      <c r="K31" s="8">
        <f t="shared" si="3"/>
        <v>0.11359223300970878</v>
      </c>
      <c r="L31" s="13">
        <f t="shared" si="4"/>
        <v>-0.69210526315789489</v>
      </c>
      <c r="M31" t="str">
        <f t="shared" si="5"/>
        <v>up</v>
      </c>
      <c r="N31">
        <f t="shared" si="6"/>
        <v>2</v>
      </c>
      <c r="Q31" s="8" t="str">
        <f t="shared" si="7"/>
        <v/>
      </c>
    </row>
    <row r="32" spans="1:17">
      <c r="A32">
        <v>332</v>
      </c>
      <c r="B32" t="s">
        <v>791</v>
      </c>
      <c r="C32" s="11">
        <v>45649</v>
      </c>
      <c r="D32">
        <v>0.35799999999999998</v>
      </c>
      <c r="E32">
        <v>0.4</v>
      </c>
      <c r="F32">
        <v>0.32</v>
      </c>
      <c r="G32">
        <f>INDEX('اسعار الاسهم'!A:B,MATCH(B32,'اسعار الاسهم'!K:K,0),2)</f>
        <v>0.2</v>
      </c>
      <c r="H32" s="8">
        <f t="shared" si="0"/>
        <v>-0.44134078212290495</v>
      </c>
      <c r="I32" s="8">
        <f t="shared" si="1"/>
        <v>1</v>
      </c>
      <c r="J32" s="8">
        <f t="shared" si="2"/>
        <v>-0.59999999999999987</v>
      </c>
      <c r="K32" s="8">
        <f t="shared" si="3"/>
        <v>0.25</v>
      </c>
      <c r="L32" s="13">
        <f t="shared" si="4"/>
        <v>-1.666666666666667</v>
      </c>
      <c r="M32" t="str">
        <f t="shared" si="5"/>
        <v>down</v>
      </c>
      <c r="N32">
        <f t="shared" si="6"/>
        <v>1</v>
      </c>
      <c r="Q32" s="8" t="str">
        <f t="shared" si="7"/>
        <v/>
      </c>
    </row>
    <row r="33" spans="1:17">
      <c r="A33">
        <v>333</v>
      </c>
      <c r="B33" t="s">
        <v>922</v>
      </c>
      <c r="C33" s="11">
        <v>45649</v>
      </c>
      <c r="D33">
        <v>1.47</v>
      </c>
      <c r="E33">
        <v>1.7</v>
      </c>
      <c r="F33">
        <v>1.35</v>
      </c>
      <c r="G33">
        <f>INDEX('اسعار الاسهم'!A:B,MATCH(B33,'اسعار الاسهم'!K:K,0),2)</f>
        <v>1.57</v>
      </c>
      <c r="H33" s="8">
        <f t="shared" si="0"/>
        <v>6.8027210884353817E-2</v>
      </c>
      <c r="I33" s="8">
        <f t="shared" si="1"/>
        <v>8.2802547770700619E-2</v>
      </c>
      <c r="J33" s="8">
        <f t="shared" si="2"/>
        <v>0.14012738853503182</v>
      </c>
      <c r="K33" s="8">
        <f t="shared" si="3"/>
        <v>0.25925925925925908</v>
      </c>
      <c r="L33" s="13">
        <f t="shared" si="4"/>
        <v>0.59090909090909094</v>
      </c>
      <c r="M33" t="str">
        <f t="shared" si="5"/>
        <v>up</v>
      </c>
      <c r="N33">
        <f t="shared" si="6"/>
        <v>3</v>
      </c>
      <c r="Q33" s="8" t="str">
        <f t="shared" si="7"/>
        <v/>
      </c>
    </row>
    <row r="34" spans="1:17">
      <c r="A34">
        <v>334</v>
      </c>
      <c r="B34" t="s">
        <v>734</v>
      </c>
      <c r="C34" s="11">
        <v>45649</v>
      </c>
      <c r="D34">
        <v>24.7</v>
      </c>
      <c r="E34">
        <v>28</v>
      </c>
      <c r="F34">
        <v>23.15</v>
      </c>
      <c r="G34">
        <f>INDEX('اسعار الاسهم'!A:B,MATCH(B34,'اسعار الاسهم'!K:K,0),2)</f>
        <v>29.32</v>
      </c>
      <c r="H34" s="8">
        <f t="shared" si="0"/>
        <v>0.18704453441295543</v>
      </c>
      <c r="I34" s="8">
        <f t="shared" si="1"/>
        <v>-4.5020463847203263E-2</v>
      </c>
      <c r="J34" s="8">
        <f t="shared" si="2"/>
        <v>0.2104365620736699</v>
      </c>
      <c r="K34" s="8">
        <f t="shared" si="3"/>
        <v>0.20950323974082075</v>
      </c>
      <c r="L34" s="13">
        <f t="shared" si="4"/>
        <v>-0.21393841166936781</v>
      </c>
      <c r="M34" t="str">
        <f t="shared" si="5"/>
        <v>up</v>
      </c>
      <c r="N34">
        <f t="shared" si="6"/>
        <v>2</v>
      </c>
      <c r="Q34" s="8" t="str">
        <f t="shared" si="7"/>
        <v/>
      </c>
    </row>
    <row r="35" spans="1:17">
      <c r="A35">
        <v>335</v>
      </c>
      <c r="B35" t="s">
        <v>795</v>
      </c>
      <c r="C35" s="11">
        <v>45649</v>
      </c>
      <c r="D35">
        <v>53.5</v>
      </c>
      <c r="E35">
        <v>60</v>
      </c>
      <c r="F35">
        <v>50.6</v>
      </c>
      <c r="G35">
        <f>INDEX('اسعار الاسهم'!A:B,MATCH(B35,'اسعار الاسهم'!K:K,0),2)</f>
        <v>143.44999999999999</v>
      </c>
      <c r="H35" s="8">
        <f t="shared" si="0"/>
        <v>1.6813084112149532</v>
      </c>
      <c r="I35" s="8">
        <f t="shared" si="1"/>
        <v>-0.58173579644475426</v>
      </c>
      <c r="J35" s="8">
        <f t="shared" si="2"/>
        <v>0.64726385500174266</v>
      </c>
      <c r="K35" s="8">
        <f t="shared" si="3"/>
        <v>0.18577075098814233</v>
      </c>
      <c r="L35" s="13">
        <f t="shared" si="4"/>
        <v>-0.89876144318793771</v>
      </c>
      <c r="M35" t="str">
        <f t="shared" si="5"/>
        <v>up</v>
      </c>
      <c r="N35">
        <f t="shared" si="6"/>
        <v>3</v>
      </c>
      <c r="Q35" s="8" t="str">
        <f t="shared" si="7"/>
        <v/>
      </c>
    </row>
    <row r="36" spans="1:17">
      <c r="A36">
        <v>336</v>
      </c>
      <c r="B36" t="s">
        <v>728</v>
      </c>
      <c r="C36" s="11">
        <v>45649</v>
      </c>
      <c r="D36">
        <v>18.600000000000001</v>
      </c>
      <c r="E36">
        <v>20.5</v>
      </c>
      <c r="F36">
        <v>17.2</v>
      </c>
      <c r="G36">
        <f>INDEX('اسعار الاسهم'!A:B,MATCH(B36,'اسعار الاسهم'!K:K,0),2)</f>
        <v>19.68</v>
      </c>
      <c r="H36" s="8">
        <f t="shared" si="0"/>
        <v>5.8064516129032073E-2</v>
      </c>
      <c r="I36" s="8">
        <f t="shared" si="1"/>
        <v>4.1666666666666741E-2</v>
      </c>
      <c r="J36" s="8">
        <f t="shared" si="2"/>
        <v>0.1260162601626017</v>
      </c>
      <c r="K36" s="8">
        <f t="shared" si="3"/>
        <v>0.19186046511627919</v>
      </c>
      <c r="L36" s="13">
        <f t="shared" si="4"/>
        <v>0.33064516129032295</v>
      </c>
      <c r="M36" t="str">
        <f t="shared" si="5"/>
        <v>up</v>
      </c>
      <c r="N36">
        <f t="shared" si="6"/>
        <v>3</v>
      </c>
      <c r="Q36" s="8" t="str">
        <f t="shared" si="7"/>
        <v/>
      </c>
    </row>
    <row r="37" spans="1:17">
      <c r="A37">
        <v>337</v>
      </c>
      <c r="B37" t="s">
        <v>777</v>
      </c>
      <c r="C37" s="11">
        <v>45649</v>
      </c>
      <c r="D37">
        <v>23.5</v>
      </c>
      <c r="E37">
        <v>27</v>
      </c>
      <c r="F37">
        <v>22.2</v>
      </c>
      <c r="G37">
        <f>INDEX('اسعار الاسهم'!A:B,MATCH(B37,'اسعار الاسهم'!K:K,0),2)</f>
        <v>31.55</v>
      </c>
      <c r="H37" s="8">
        <f t="shared" si="0"/>
        <v>0.34255319148936181</v>
      </c>
      <c r="I37" s="8">
        <f t="shared" si="1"/>
        <v>-0.14421553090332806</v>
      </c>
      <c r="J37" s="8">
        <f t="shared" si="2"/>
        <v>0.29635499207606975</v>
      </c>
      <c r="K37" s="8">
        <f t="shared" si="3"/>
        <v>0.21621621621621623</v>
      </c>
      <c r="L37" s="13">
        <f t="shared" si="4"/>
        <v>-0.48663101604278075</v>
      </c>
      <c r="M37" t="str">
        <f t="shared" si="5"/>
        <v>up</v>
      </c>
      <c r="N37">
        <f t="shared" si="6"/>
        <v>2</v>
      </c>
      <c r="Q37" s="8" t="str">
        <f t="shared" si="7"/>
        <v/>
      </c>
    </row>
    <row r="38" spans="1:17">
      <c r="A38">
        <v>338</v>
      </c>
      <c r="B38" t="s">
        <v>830</v>
      </c>
      <c r="C38" s="11">
        <v>45649</v>
      </c>
      <c r="D38">
        <v>10.89</v>
      </c>
      <c r="E38">
        <v>12.8</v>
      </c>
      <c r="F38">
        <v>10.3</v>
      </c>
      <c r="G38">
        <f>INDEX('اسعار الاسهم'!A:B,MATCH(B38,'اسعار الاسهم'!K:K,0),2)</f>
        <v>22.1</v>
      </c>
      <c r="H38" s="8">
        <f t="shared" si="0"/>
        <v>1.0293847566574841</v>
      </c>
      <c r="I38" s="8">
        <f t="shared" si="1"/>
        <v>-0.42081447963800911</v>
      </c>
      <c r="J38" s="8">
        <f t="shared" si="2"/>
        <v>0.5339366515837104</v>
      </c>
      <c r="K38" s="8">
        <f t="shared" si="3"/>
        <v>0.24271844660194164</v>
      </c>
      <c r="L38" s="13">
        <f t="shared" si="4"/>
        <v>-0.7881355932203391</v>
      </c>
      <c r="M38" t="str">
        <f t="shared" si="5"/>
        <v>up</v>
      </c>
      <c r="N38">
        <f t="shared" si="6"/>
        <v>1</v>
      </c>
      <c r="Q38" s="8" t="str">
        <f t="shared" si="7"/>
        <v/>
      </c>
    </row>
    <row r="39" spans="1:17">
      <c r="A39">
        <v>339</v>
      </c>
      <c r="B39" t="s">
        <v>922</v>
      </c>
      <c r="C39" s="11">
        <v>45649</v>
      </c>
      <c r="D39">
        <v>1.47</v>
      </c>
      <c r="E39">
        <v>1.65</v>
      </c>
      <c r="F39">
        <v>1.37</v>
      </c>
      <c r="G39">
        <f>INDEX('اسعار الاسهم'!A:B,MATCH(B39,'اسعار الاسهم'!K:K,0),2)</f>
        <v>1.57</v>
      </c>
      <c r="H39" s="8">
        <f t="shared" si="0"/>
        <v>6.8027210884353817E-2</v>
      </c>
      <c r="I39" s="8">
        <f t="shared" si="1"/>
        <v>5.0955414012738842E-2</v>
      </c>
      <c r="J39" s="8">
        <f t="shared" si="2"/>
        <v>0.12738853503184711</v>
      </c>
      <c r="K39" s="8">
        <f t="shared" si="3"/>
        <v>0.20437956204379537</v>
      </c>
      <c r="L39" s="13">
        <f t="shared" si="4"/>
        <v>0.4</v>
      </c>
      <c r="M39" t="str">
        <f t="shared" si="5"/>
        <v>up</v>
      </c>
      <c r="N39">
        <f t="shared" si="6"/>
        <v>3</v>
      </c>
      <c r="Q39" s="8" t="str">
        <f t="shared" si="7"/>
        <v/>
      </c>
    </row>
    <row r="40" spans="1:17">
      <c r="A40">
        <v>340</v>
      </c>
      <c r="B40" t="s">
        <v>832</v>
      </c>
      <c r="C40" s="11">
        <v>45649</v>
      </c>
      <c r="D40">
        <v>17.3</v>
      </c>
      <c r="E40">
        <v>19.5</v>
      </c>
      <c r="F40">
        <v>16.5</v>
      </c>
      <c r="G40">
        <f>INDEX('اسعار الاسهم'!A:B,MATCH(B40,'اسعار الاسهم'!K:K,0),2)</f>
        <v>54.2</v>
      </c>
      <c r="H40" s="8">
        <f t="shared" si="0"/>
        <v>2.1329479768786128</v>
      </c>
      <c r="I40" s="8">
        <f t="shared" si="1"/>
        <v>-0.64022140221402224</v>
      </c>
      <c r="J40" s="8">
        <f t="shared" si="2"/>
        <v>0.69557195571955721</v>
      </c>
      <c r="K40" s="8">
        <f t="shared" si="3"/>
        <v>0.18181818181818188</v>
      </c>
      <c r="L40" s="13">
        <f t="shared" si="4"/>
        <v>-0.92042440318302399</v>
      </c>
      <c r="M40" t="str">
        <f t="shared" si="5"/>
        <v>up</v>
      </c>
      <c r="N40">
        <f t="shared" si="6"/>
        <v>6</v>
      </c>
      <c r="Q40" s="8" t="str">
        <f t="shared" si="7"/>
        <v/>
      </c>
    </row>
    <row r="41" spans="1:17">
      <c r="A41">
        <v>341</v>
      </c>
      <c r="B41" t="s">
        <v>752</v>
      </c>
      <c r="C41" s="11">
        <v>45649</v>
      </c>
      <c r="D41">
        <v>5.3</v>
      </c>
      <c r="E41">
        <v>5.85</v>
      </c>
      <c r="F41">
        <v>5.0999999999999996</v>
      </c>
      <c r="G41">
        <f>INDEX('اسعار الاسهم'!A:B,MATCH(B41,'اسعار الاسهم'!K:K,0),2)</f>
        <v>9.4600000000000009</v>
      </c>
      <c r="H41" s="8">
        <f t="shared" si="0"/>
        <v>0.78490566037735876</v>
      </c>
      <c r="I41" s="8">
        <f t="shared" si="1"/>
        <v>-0.38160676532769566</v>
      </c>
      <c r="J41" s="8">
        <f t="shared" si="2"/>
        <v>0.4608879492600424</v>
      </c>
      <c r="K41" s="8">
        <f t="shared" si="3"/>
        <v>0.14705882352941169</v>
      </c>
      <c r="L41" s="13">
        <f t="shared" si="4"/>
        <v>-0.82798165137614677</v>
      </c>
      <c r="M41" t="str">
        <f t="shared" si="5"/>
        <v>up</v>
      </c>
      <c r="N41">
        <f t="shared" si="6"/>
        <v>4</v>
      </c>
      <c r="Q41" s="8" t="str">
        <f t="shared" si="7"/>
        <v/>
      </c>
    </row>
    <row r="42" spans="1:17">
      <c r="A42">
        <v>342</v>
      </c>
      <c r="B42" t="s">
        <v>819</v>
      </c>
      <c r="C42" s="11">
        <v>45649</v>
      </c>
      <c r="D42">
        <v>2.4</v>
      </c>
      <c r="E42">
        <v>3</v>
      </c>
      <c r="F42">
        <v>2.2000000000000002</v>
      </c>
      <c r="G42">
        <f>INDEX('اسعار الاسهم'!A:B,MATCH(B42,'اسعار الاسهم'!K:K,0),2)</f>
        <v>2.73</v>
      </c>
      <c r="H42" s="8">
        <f t="shared" si="0"/>
        <v>0.13749999999999996</v>
      </c>
      <c r="I42" s="8">
        <f t="shared" si="1"/>
        <v>9.8901098901098994E-2</v>
      </c>
      <c r="J42" s="8">
        <f t="shared" si="2"/>
        <v>0.19413919413919412</v>
      </c>
      <c r="K42" s="8">
        <f t="shared" si="3"/>
        <v>0.36363636363636354</v>
      </c>
      <c r="L42" s="13">
        <f t="shared" si="4"/>
        <v>0.5094339622641515</v>
      </c>
      <c r="M42" t="str">
        <f t="shared" si="5"/>
        <v>up</v>
      </c>
      <c r="N42">
        <f t="shared" si="6"/>
        <v>3</v>
      </c>
      <c r="Q42" s="8" t="str">
        <f t="shared" si="7"/>
        <v/>
      </c>
    </row>
    <row r="43" spans="1:17">
      <c r="A43">
        <v>319</v>
      </c>
      <c r="B43" t="s">
        <v>783</v>
      </c>
      <c r="C43" s="11">
        <v>45648</v>
      </c>
      <c r="D43">
        <v>39.51</v>
      </c>
      <c r="E43">
        <v>45</v>
      </c>
      <c r="F43">
        <v>37.6</v>
      </c>
      <c r="G43">
        <f>INDEX('اسعار الاسهم'!A:B,MATCH(B43,'اسعار الاسهم'!K:K,0),2)</f>
        <v>46.1</v>
      </c>
      <c r="H43" s="8">
        <f t="shared" si="0"/>
        <v>0.16679321690711224</v>
      </c>
      <c r="I43" s="8">
        <f t="shared" si="1"/>
        <v>-2.386117136659438E-2</v>
      </c>
      <c r="J43" s="8">
        <f t="shared" si="2"/>
        <v>0.18438177874186545</v>
      </c>
      <c r="K43" s="8">
        <f t="shared" si="3"/>
        <v>0.19680851063829774</v>
      </c>
      <c r="L43" s="13">
        <f t="shared" si="4"/>
        <v>-0.1294117647058825</v>
      </c>
      <c r="M43" t="str">
        <f t="shared" si="5"/>
        <v>up</v>
      </c>
      <c r="N43">
        <f t="shared" si="6"/>
        <v>1</v>
      </c>
      <c r="Q43" s="8" t="str">
        <f t="shared" si="7"/>
        <v/>
      </c>
    </row>
    <row r="44" spans="1:17">
      <c r="A44">
        <v>320</v>
      </c>
      <c r="B44" t="s">
        <v>911</v>
      </c>
      <c r="C44" s="11">
        <v>45648</v>
      </c>
      <c r="D44">
        <v>50.51</v>
      </c>
      <c r="E44">
        <v>55</v>
      </c>
      <c r="F44">
        <v>48.5</v>
      </c>
      <c r="G44">
        <f>INDEX('اسعار الاسهم'!A:B,MATCH(B44,'اسعار الاسهم'!K:K,0),2)</f>
        <v>86.56</v>
      </c>
      <c r="H44" s="8">
        <f t="shared" si="0"/>
        <v>0.71372005543456751</v>
      </c>
      <c r="I44" s="8">
        <f t="shared" si="1"/>
        <v>-0.36460258780036969</v>
      </c>
      <c r="J44" s="8">
        <f t="shared" si="2"/>
        <v>0.43969500924214422</v>
      </c>
      <c r="K44" s="8">
        <f t="shared" si="3"/>
        <v>0.134020618556701</v>
      </c>
      <c r="L44" s="13">
        <f t="shared" si="4"/>
        <v>-0.82921702574881762</v>
      </c>
      <c r="M44" t="str">
        <f t="shared" si="5"/>
        <v>up</v>
      </c>
      <c r="N44">
        <f t="shared" si="6"/>
        <v>2</v>
      </c>
      <c r="Q44" s="8" t="str">
        <f t="shared" si="7"/>
        <v/>
      </c>
    </row>
    <row r="45" spans="1:17">
      <c r="A45">
        <v>321</v>
      </c>
      <c r="B45" t="s">
        <v>733</v>
      </c>
      <c r="C45" s="11">
        <v>45648</v>
      </c>
      <c r="D45">
        <v>32.01</v>
      </c>
      <c r="E45">
        <v>37</v>
      </c>
      <c r="F45">
        <v>28.5</v>
      </c>
      <c r="G45">
        <f>INDEX('اسعار الاسهم'!A:B,MATCH(B45,'اسعار الاسهم'!K:K,0),2)</f>
        <v>26.64</v>
      </c>
      <c r="H45" s="8">
        <f t="shared" si="0"/>
        <v>-0.16776007497656975</v>
      </c>
      <c r="I45" s="8">
        <f t="shared" si="1"/>
        <v>0.38888888888888884</v>
      </c>
      <c r="J45" s="8">
        <f t="shared" si="2"/>
        <v>-6.9819819819819884E-2</v>
      </c>
      <c r="K45" s="8">
        <f t="shared" si="3"/>
        <v>0.29824561403508776</v>
      </c>
      <c r="L45" s="13">
        <f t="shared" si="4"/>
        <v>-5.5698924731182737</v>
      </c>
      <c r="M45" t="str">
        <f t="shared" si="5"/>
        <v>down</v>
      </c>
      <c r="N45">
        <f t="shared" si="6"/>
        <v>1</v>
      </c>
      <c r="Q45" s="8" t="str">
        <f t="shared" si="7"/>
        <v/>
      </c>
    </row>
    <row r="46" spans="1:17">
      <c r="A46">
        <v>322</v>
      </c>
      <c r="B46" t="s">
        <v>921</v>
      </c>
      <c r="C46" s="11">
        <v>45648</v>
      </c>
      <c r="D46">
        <v>1.1000000000000001</v>
      </c>
      <c r="E46">
        <v>1.3</v>
      </c>
      <c r="F46">
        <v>1.02</v>
      </c>
      <c r="G46">
        <f>INDEX('اسعار الاسهم'!A:B,MATCH(B46,'اسعار الاسهم'!K:K,0),2)</f>
        <v>7.28</v>
      </c>
      <c r="H46" s="8">
        <f t="shared" si="0"/>
        <v>5.6181818181818182</v>
      </c>
      <c r="I46" s="8">
        <f t="shared" si="1"/>
        <v>-0.8214285714285714</v>
      </c>
      <c r="J46" s="8">
        <f t="shared" si="2"/>
        <v>0.85989010989010994</v>
      </c>
      <c r="K46" s="8">
        <f t="shared" si="3"/>
        <v>0.27450980392156854</v>
      </c>
      <c r="L46" s="13">
        <f t="shared" si="4"/>
        <v>-0.95527156549520753</v>
      </c>
      <c r="M46" t="str">
        <f t="shared" si="5"/>
        <v>up</v>
      </c>
      <c r="N46">
        <f t="shared" si="6"/>
        <v>1</v>
      </c>
      <c r="Q46" s="8" t="str">
        <f t="shared" si="7"/>
        <v/>
      </c>
    </row>
    <row r="47" spans="1:17">
      <c r="A47">
        <v>323</v>
      </c>
      <c r="B47" t="s">
        <v>895</v>
      </c>
      <c r="C47" s="11">
        <v>45648</v>
      </c>
      <c r="D47">
        <v>3.8</v>
      </c>
      <c r="E47">
        <v>4.45</v>
      </c>
      <c r="F47">
        <v>3.45</v>
      </c>
      <c r="G47">
        <f>INDEX('اسعار الاسهم'!A:B,MATCH(B47,'اسعار الاسهم'!K:K,0),2)</f>
        <v>8.6999999999999993</v>
      </c>
      <c r="H47" s="8">
        <f t="shared" si="0"/>
        <v>1.2894736842105261</v>
      </c>
      <c r="I47" s="8">
        <f t="shared" si="1"/>
        <v>-0.48850574712643668</v>
      </c>
      <c r="J47" s="8">
        <f t="shared" si="2"/>
        <v>0.60344827586206895</v>
      </c>
      <c r="K47" s="8">
        <f t="shared" si="3"/>
        <v>0.28985507246376807</v>
      </c>
      <c r="L47" s="13">
        <f t="shared" si="4"/>
        <v>-0.80952380952380942</v>
      </c>
      <c r="M47" t="str">
        <f t="shared" si="5"/>
        <v>up</v>
      </c>
      <c r="N47">
        <f t="shared" si="6"/>
        <v>1</v>
      </c>
      <c r="Q47" s="8" t="str">
        <f t="shared" si="7"/>
        <v/>
      </c>
    </row>
    <row r="48" spans="1:17">
      <c r="A48">
        <v>324</v>
      </c>
      <c r="B48" t="s">
        <v>892</v>
      </c>
      <c r="C48" s="11">
        <v>45648</v>
      </c>
      <c r="D48">
        <v>8.24</v>
      </c>
      <c r="E48">
        <v>9.5500000000000007</v>
      </c>
      <c r="F48">
        <v>7.35</v>
      </c>
      <c r="G48">
        <f>INDEX('اسعار الاسهم'!A:B,MATCH(B48,'اسعار الاسهم'!K:K,0),2)</f>
        <v>10.43</v>
      </c>
      <c r="H48" s="8">
        <f t="shared" si="0"/>
        <v>0.26577669902912615</v>
      </c>
      <c r="I48" s="8">
        <f t="shared" si="1"/>
        <v>-8.4372003835091025E-2</v>
      </c>
      <c r="J48" s="8">
        <f t="shared" si="2"/>
        <v>0.29530201342281881</v>
      </c>
      <c r="K48" s="8">
        <f t="shared" si="3"/>
        <v>0.29931972789115657</v>
      </c>
      <c r="L48" s="13">
        <f t="shared" si="4"/>
        <v>-0.28571428571428548</v>
      </c>
      <c r="M48" t="str">
        <f t="shared" si="5"/>
        <v>up</v>
      </c>
      <c r="N48">
        <f t="shared" si="6"/>
        <v>1</v>
      </c>
      <c r="Q48" s="8" t="str">
        <f t="shared" si="7"/>
        <v/>
      </c>
    </row>
    <row r="49" spans="1:17">
      <c r="A49">
        <v>325</v>
      </c>
      <c r="B49" t="s">
        <v>786</v>
      </c>
      <c r="C49" s="11">
        <v>45648</v>
      </c>
      <c r="D49">
        <v>83.99</v>
      </c>
      <c r="E49">
        <v>89</v>
      </c>
      <c r="F49">
        <v>80.5</v>
      </c>
      <c r="G49">
        <f>INDEX('اسعار الاسهم'!A:B,MATCH(B49,'اسعار الاسهم'!K:K,0),2)</f>
        <v>132.35</v>
      </c>
      <c r="H49" s="8">
        <f t="shared" si="0"/>
        <v>0.5757828312894393</v>
      </c>
      <c r="I49" s="8">
        <f t="shared" si="1"/>
        <v>-0.3275406120136003</v>
      </c>
      <c r="J49" s="8">
        <f t="shared" si="2"/>
        <v>0.39176426142803167</v>
      </c>
      <c r="K49" s="8">
        <f t="shared" si="3"/>
        <v>0.10559006211180133</v>
      </c>
      <c r="L49" s="13">
        <f t="shared" si="4"/>
        <v>-0.83606557377049195</v>
      </c>
      <c r="M49" t="str">
        <f t="shared" si="5"/>
        <v>up</v>
      </c>
      <c r="N49">
        <f t="shared" si="6"/>
        <v>5</v>
      </c>
      <c r="Q49" s="8" t="str">
        <f t="shared" si="7"/>
        <v/>
      </c>
    </row>
    <row r="50" spans="1:17">
      <c r="A50">
        <v>326</v>
      </c>
      <c r="B50" t="s">
        <v>734</v>
      </c>
      <c r="C50" s="11">
        <v>45648</v>
      </c>
      <c r="D50">
        <v>24.5</v>
      </c>
      <c r="E50">
        <v>28</v>
      </c>
      <c r="F50">
        <v>23.7</v>
      </c>
      <c r="G50">
        <f>INDEX('اسعار الاسهم'!A:B,MATCH(B50,'اسعار الاسهم'!K:K,0),2)</f>
        <v>29.32</v>
      </c>
      <c r="H50" s="8">
        <f t="shared" si="0"/>
        <v>0.19673469387755094</v>
      </c>
      <c r="I50" s="8">
        <f t="shared" si="1"/>
        <v>-4.5020463847203263E-2</v>
      </c>
      <c r="J50" s="8">
        <f t="shared" si="2"/>
        <v>0.19167803547066853</v>
      </c>
      <c r="K50" s="8">
        <f t="shared" si="3"/>
        <v>0.18143459915611815</v>
      </c>
      <c r="L50" s="13">
        <f t="shared" si="4"/>
        <v>-0.23487544483985753</v>
      </c>
      <c r="M50" t="str">
        <f t="shared" si="5"/>
        <v>up</v>
      </c>
      <c r="N50">
        <f t="shared" si="6"/>
        <v>2</v>
      </c>
      <c r="Q50" s="8" t="str">
        <f t="shared" si="7"/>
        <v/>
      </c>
    </row>
    <row r="51" spans="1:17">
      <c r="A51">
        <v>327</v>
      </c>
      <c r="B51" t="s">
        <v>904</v>
      </c>
      <c r="C51" s="11">
        <v>45648</v>
      </c>
      <c r="D51">
        <v>27.3</v>
      </c>
      <c r="E51">
        <v>29.5</v>
      </c>
      <c r="F51">
        <v>26.9</v>
      </c>
      <c r="G51">
        <f>INDEX('اسعار الاسهم'!A:B,MATCH(B51,'اسعار الاسهم'!K:K,0),2)</f>
        <v>25.11</v>
      </c>
      <c r="H51" s="8">
        <f t="shared" si="0"/>
        <v>-8.0219780219780268E-2</v>
      </c>
      <c r="I51" s="8">
        <f t="shared" si="1"/>
        <v>0.1748307447232178</v>
      </c>
      <c r="J51" s="8">
        <f t="shared" si="2"/>
        <v>-7.1286340103544399E-2</v>
      </c>
      <c r="K51" s="8">
        <f t="shared" si="3"/>
        <v>9.6654275092936892E-2</v>
      </c>
      <c r="L51" s="13">
        <f t="shared" si="4"/>
        <v>-2.4525139664804465</v>
      </c>
      <c r="M51" t="str">
        <f t="shared" si="5"/>
        <v>down</v>
      </c>
      <c r="N51">
        <f t="shared" si="6"/>
        <v>2</v>
      </c>
      <c r="Q51" s="8" t="str">
        <f t="shared" si="7"/>
        <v/>
      </c>
    </row>
    <row r="52" spans="1:17">
      <c r="A52">
        <v>328</v>
      </c>
      <c r="B52" t="s">
        <v>777</v>
      </c>
      <c r="C52" s="11">
        <v>45648</v>
      </c>
      <c r="D52">
        <v>23</v>
      </c>
      <c r="E52">
        <v>25.5</v>
      </c>
      <c r="F52">
        <v>21.7</v>
      </c>
      <c r="G52">
        <f>INDEX('اسعار الاسهم'!A:B,MATCH(B52,'اسعار الاسهم'!K:K,0),2)</f>
        <v>31.55</v>
      </c>
      <c r="H52" s="8">
        <f t="shared" si="0"/>
        <v>0.37173913043478257</v>
      </c>
      <c r="I52" s="8">
        <f t="shared" si="1"/>
        <v>-0.19175911251980982</v>
      </c>
      <c r="J52" s="8">
        <f t="shared" si="2"/>
        <v>0.312202852614897</v>
      </c>
      <c r="K52" s="8">
        <f t="shared" si="3"/>
        <v>0.17511520737327202</v>
      </c>
      <c r="L52" s="13">
        <f t="shared" si="4"/>
        <v>-0.6142131979695431</v>
      </c>
      <c r="M52" t="str">
        <f t="shared" si="5"/>
        <v>up</v>
      </c>
      <c r="N52">
        <f t="shared" si="6"/>
        <v>2</v>
      </c>
      <c r="Q52" s="8" t="str">
        <f t="shared" si="7"/>
        <v/>
      </c>
    </row>
    <row r="53" spans="1:17">
      <c r="A53">
        <v>329</v>
      </c>
      <c r="B53" t="s">
        <v>911</v>
      </c>
      <c r="C53" s="11">
        <v>45648</v>
      </c>
      <c r="D53">
        <v>49.9</v>
      </c>
      <c r="E53">
        <v>52</v>
      </c>
      <c r="F53">
        <v>49.5</v>
      </c>
      <c r="G53">
        <f>INDEX('اسعار الاسهم'!A:B,MATCH(B53,'اسعار الاسهم'!K:K,0),2)</f>
        <v>86.56</v>
      </c>
      <c r="H53" s="8">
        <f t="shared" si="0"/>
        <v>0.73466933867735484</v>
      </c>
      <c r="I53" s="8">
        <f t="shared" si="1"/>
        <v>-0.39926062846580412</v>
      </c>
      <c r="J53" s="8">
        <f t="shared" si="2"/>
        <v>0.42814232902033278</v>
      </c>
      <c r="K53" s="8">
        <f t="shared" si="3"/>
        <v>5.0505050505050608E-2</v>
      </c>
      <c r="L53" s="13">
        <f t="shared" si="4"/>
        <v>-0.93254182406907715</v>
      </c>
      <c r="M53" t="str">
        <f t="shared" si="5"/>
        <v>up</v>
      </c>
      <c r="N53">
        <f t="shared" si="6"/>
        <v>2</v>
      </c>
      <c r="Q53" s="8" t="str">
        <f t="shared" si="7"/>
        <v/>
      </c>
    </row>
    <row r="54" spans="1:17">
      <c r="A54">
        <v>330</v>
      </c>
      <c r="B54" t="s">
        <v>922</v>
      </c>
      <c r="C54" s="11">
        <v>45648</v>
      </c>
      <c r="D54">
        <v>1.42</v>
      </c>
      <c r="E54">
        <v>1.7</v>
      </c>
      <c r="F54">
        <v>1.35</v>
      </c>
      <c r="G54">
        <f>INDEX('اسعار الاسهم'!A:B,MATCH(B54,'اسعار الاسهم'!K:K,0),2)</f>
        <v>1.57</v>
      </c>
      <c r="H54" s="8">
        <f t="shared" si="0"/>
        <v>0.10563380281690149</v>
      </c>
      <c r="I54" s="8">
        <f t="shared" si="1"/>
        <v>8.2802547770700619E-2</v>
      </c>
      <c r="J54" s="8">
        <f t="shared" si="2"/>
        <v>0.14012738853503182</v>
      </c>
      <c r="K54" s="8">
        <f t="shared" si="3"/>
        <v>0.25925925925925908</v>
      </c>
      <c r="L54" s="13">
        <f t="shared" si="4"/>
        <v>0.59090909090909094</v>
      </c>
      <c r="M54" t="str">
        <f t="shared" si="5"/>
        <v>up</v>
      </c>
      <c r="N54">
        <f t="shared" si="6"/>
        <v>3</v>
      </c>
      <c r="Q54" s="8" t="str">
        <f t="shared" si="7"/>
        <v/>
      </c>
    </row>
    <row r="55" spans="1:17">
      <c r="A55">
        <v>311</v>
      </c>
      <c r="B55" t="s">
        <v>786</v>
      </c>
      <c r="C55" s="11">
        <v>45645</v>
      </c>
      <c r="D55">
        <v>83.1</v>
      </c>
      <c r="E55">
        <v>85</v>
      </c>
      <c r="F55">
        <v>80.8</v>
      </c>
      <c r="G55">
        <f>INDEX('اسعار الاسهم'!A:B,MATCH(B55,'اسعار الاسهم'!K:K,0),2)</f>
        <v>132.35</v>
      </c>
      <c r="H55" s="8">
        <f t="shared" si="0"/>
        <v>0.5926594464500603</v>
      </c>
      <c r="I55" s="8">
        <f t="shared" si="1"/>
        <v>-0.35776350585568562</v>
      </c>
      <c r="J55" s="8">
        <f t="shared" si="2"/>
        <v>0.38949754438987527</v>
      </c>
      <c r="K55" s="8">
        <f t="shared" si="3"/>
        <v>5.1980198019802026E-2</v>
      </c>
      <c r="L55" s="13">
        <f t="shared" si="4"/>
        <v>-0.91852570320077587</v>
      </c>
      <c r="M55" t="str">
        <f t="shared" si="5"/>
        <v>up</v>
      </c>
      <c r="N55">
        <f t="shared" si="6"/>
        <v>5</v>
      </c>
      <c r="Q55" s="8" t="str">
        <f t="shared" si="7"/>
        <v/>
      </c>
    </row>
    <row r="56" spans="1:17">
      <c r="A56">
        <v>312</v>
      </c>
      <c r="B56" t="s">
        <v>764</v>
      </c>
      <c r="C56" s="11">
        <v>45645</v>
      </c>
      <c r="D56">
        <v>26.79</v>
      </c>
      <c r="E56">
        <v>31.25</v>
      </c>
      <c r="F56">
        <v>25.3</v>
      </c>
      <c r="G56">
        <f>INDEX('اسعار الاسهم'!A:B,MATCH(B56,'اسعار الاسهم'!K:K,0),2)</f>
        <v>21.84</v>
      </c>
      <c r="H56" s="8">
        <f t="shared" si="0"/>
        <v>-0.18477043673012317</v>
      </c>
      <c r="I56" s="8">
        <f t="shared" si="1"/>
        <v>0.43086080586080588</v>
      </c>
      <c r="J56" s="8">
        <f t="shared" si="2"/>
        <v>-0.15842490842490853</v>
      </c>
      <c r="K56" s="8">
        <f t="shared" si="3"/>
        <v>0.2351778656126482</v>
      </c>
      <c r="L56" s="13">
        <f t="shared" si="4"/>
        <v>-2.7196531791907499</v>
      </c>
      <c r="M56" t="str">
        <f t="shared" si="5"/>
        <v>down</v>
      </c>
      <c r="N56">
        <f t="shared" si="6"/>
        <v>4</v>
      </c>
      <c r="Q56" s="8" t="str">
        <f t="shared" si="7"/>
        <v/>
      </c>
    </row>
    <row r="57" spans="1:17">
      <c r="A57" s="3">
        <v>314</v>
      </c>
      <c r="B57" t="s">
        <v>782</v>
      </c>
      <c r="C57" s="11">
        <v>45645</v>
      </c>
      <c r="D57">
        <v>20.399999999999999</v>
      </c>
      <c r="E57">
        <v>23.8</v>
      </c>
      <c r="F57">
        <v>19.649999999999999</v>
      </c>
      <c r="G57">
        <f>INDEX('اسعار الاسهم'!A:B,MATCH(B57,'اسعار الاسهم'!K:K,0),2)</f>
        <v>21.76</v>
      </c>
      <c r="H57" s="8">
        <f t="shared" si="0"/>
        <v>6.6666666666666874E-2</v>
      </c>
      <c r="I57" s="8">
        <f t="shared" si="1"/>
        <v>9.375E-2</v>
      </c>
      <c r="J57" s="8">
        <f t="shared" si="2"/>
        <v>9.6966911764706065E-2</v>
      </c>
      <c r="K57" s="8">
        <f t="shared" si="3"/>
        <v>0.21119592875318083</v>
      </c>
      <c r="L57" s="13" t="str">
        <f t="shared" si="4"/>
        <v/>
      </c>
      <c r="M57" t="str">
        <f t="shared" si="5"/>
        <v>up</v>
      </c>
      <c r="N57">
        <f t="shared" si="6"/>
        <v>2</v>
      </c>
      <c r="P57">
        <v>203</v>
      </c>
      <c r="Q57" s="8">
        <f t="shared" si="7"/>
        <v>-3.6764705882352922E-2</v>
      </c>
    </row>
    <row r="58" spans="1:17">
      <c r="A58">
        <v>317</v>
      </c>
      <c r="B58" t="s">
        <v>749</v>
      </c>
      <c r="C58" s="11">
        <v>45645</v>
      </c>
      <c r="D58">
        <v>39.65</v>
      </c>
      <c r="E58">
        <v>43.35</v>
      </c>
      <c r="F58">
        <v>39</v>
      </c>
      <c r="G58">
        <f>INDEX('اسعار الاسهم'!A:B,MATCH(B58,'اسعار الاسهم'!K:K,0),2)</f>
        <v>43.48</v>
      </c>
      <c r="H58" s="8">
        <f t="shared" si="0"/>
        <v>9.6595208070617833E-2</v>
      </c>
      <c r="I58" s="8">
        <f t="shared" si="1"/>
        <v>-2.9898804047836514E-3</v>
      </c>
      <c r="J58" s="8">
        <f t="shared" si="2"/>
        <v>0.1030358785648573</v>
      </c>
      <c r="K58" s="8">
        <f t="shared" si="3"/>
        <v>0.11153846153846159</v>
      </c>
      <c r="L58" s="13">
        <f t="shared" si="4"/>
        <v>-2.9017857142855649E-2</v>
      </c>
      <c r="M58" t="str">
        <f t="shared" si="5"/>
        <v>up</v>
      </c>
      <c r="N58">
        <f t="shared" si="6"/>
        <v>1</v>
      </c>
      <c r="Q58" s="8" t="str">
        <f t="shared" si="7"/>
        <v/>
      </c>
    </row>
    <row r="59" spans="1:17">
      <c r="A59">
        <v>317</v>
      </c>
      <c r="B59" t="s">
        <v>850</v>
      </c>
      <c r="C59" s="11">
        <v>45645</v>
      </c>
      <c r="D59">
        <v>0.253</v>
      </c>
      <c r="E59">
        <v>0.27500000000000002</v>
      </c>
      <c r="F59">
        <v>0.24</v>
      </c>
      <c r="G59" t="e">
        <f>INDEX('اسعار الاسهم'!A:B,MATCH(B59,'اسعار الاسهم'!K:K,0),2)</f>
        <v>#N/A</v>
      </c>
      <c r="H59" s="8" t="e">
        <f t="shared" si="0"/>
        <v>#N/A</v>
      </c>
      <c r="I59" s="8" t="e">
        <f t="shared" si="1"/>
        <v>#N/A</v>
      </c>
      <c r="J59" s="8" t="e">
        <f t="shared" si="2"/>
        <v>#N/A</v>
      </c>
      <c r="K59" s="8">
        <f t="shared" si="3"/>
        <v>0.14583333333333348</v>
      </c>
      <c r="L59" s="13" t="e">
        <f t="shared" si="4"/>
        <v>#N/A</v>
      </c>
      <c r="M59" t="e">
        <f t="shared" si="5"/>
        <v>#N/A</v>
      </c>
      <c r="N59">
        <f t="shared" si="6"/>
        <v>3</v>
      </c>
      <c r="Q59" s="8" t="str">
        <f t="shared" si="7"/>
        <v/>
      </c>
    </row>
    <row r="60" spans="1:17">
      <c r="A60">
        <v>303</v>
      </c>
      <c r="B60" t="s">
        <v>747</v>
      </c>
      <c r="C60" s="11">
        <v>45644</v>
      </c>
      <c r="D60">
        <v>57.5</v>
      </c>
      <c r="E60">
        <v>63.5</v>
      </c>
      <c r="F60">
        <v>51.2</v>
      </c>
      <c r="G60">
        <f>INDEX('اسعار الاسهم'!A:B,MATCH(B60,'اسعار الاسهم'!K:K,0),2)</f>
        <v>99.48</v>
      </c>
      <c r="H60" s="8">
        <f t="shared" si="0"/>
        <v>0.73008695652173916</v>
      </c>
      <c r="I60" s="8">
        <f t="shared" si="1"/>
        <v>-0.3616807398472055</v>
      </c>
      <c r="J60" s="8">
        <f t="shared" si="2"/>
        <v>0.48532368315239238</v>
      </c>
      <c r="K60" s="8">
        <f t="shared" si="3"/>
        <v>0.240234375</v>
      </c>
      <c r="L60" s="13">
        <f t="shared" si="4"/>
        <v>-0.74523612261806149</v>
      </c>
      <c r="M60" t="str">
        <f t="shared" si="5"/>
        <v>up</v>
      </c>
      <c r="N60">
        <f t="shared" si="6"/>
        <v>5</v>
      </c>
      <c r="Q60" s="8" t="str">
        <f t="shared" si="7"/>
        <v/>
      </c>
    </row>
    <row r="61" spans="1:17">
      <c r="A61">
        <v>304</v>
      </c>
      <c r="B61" t="s">
        <v>787</v>
      </c>
      <c r="C61" s="11">
        <v>45644</v>
      </c>
      <c r="D61">
        <v>17.489999999999998</v>
      </c>
      <c r="E61">
        <v>24</v>
      </c>
      <c r="F61">
        <v>15.55</v>
      </c>
      <c r="G61">
        <f>INDEX('اسعار الاسهم'!A:B,MATCH(B61,'اسعار الاسهم'!K:K,0),2)</f>
        <v>25.67</v>
      </c>
      <c r="H61" s="8">
        <f t="shared" si="0"/>
        <v>0.46769582618639238</v>
      </c>
      <c r="I61" s="8">
        <f t="shared" si="1"/>
        <v>-6.5056486170627204E-2</v>
      </c>
      <c r="J61" s="8">
        <f t="shared" si="2"/>
        <v>0.39423451499805218</v>
      </c>
      <c r="K61" s="8">
        <f t="shared" si="3"/>
        <v>0.54340836012861726</v>
      </c>
      <c r="L61" s="13">
        <f t="shared" si="4"/>
        <v>-0.16501976284584985</v>
      </c>
      <c r="M61" t="str">
        <f t="shared" si="5"/>
        <v>up</v>
      </c>
      <c r="N61">
        <f t="shared" si="6"/>
        <v>3</v>
      </c>
      <c r="Q61" s="8" t="str">
        <f t="shared" si="7"/>
        <v/>
      </c>
    </row>
    <row r="62" spans="1:17">
      <c r="A62">
        <v>306</v>
      </c>
      <c r="B62" t="s">
        <v>840</v>
      </c>
      <c r="C62" s="11">
        <v>45644</v>
      </c>
      <c r="D62">
        <v>0.58599999999999997</v>
      </c>
      <c r="E62">
        <v>0.747</v>
      </c>
      <c r="F62">
        <v>0.55000000000000004</v>
      </c>
      <c r="G62">
        <f>INDEX('اسعار الاسهم'!A:B,MATCH(B62,'اسعار الاسهم'!K:K,0),2)</f>
        <v>1.46</v>
      </c>
      <c r="H62" s="8">
        <f t="shared" si="0"/>
        <v>1.4914675767918091</v>
      </c>
      <c r="I62" s="8">
        <f t="shared" si="1"/>
        <v>-0.48835616438356166</v>
      </c>
      <c r="J62" s="8">
        <f t="shared" si="2"/>
        <v>0.62328767123287665</v>
      </c>
      <c r="K62" s="8">
        <f t="shared" si="3"/>
        <v>0.35818181818181816</v>
      </c>
      <c r="L62" s="13">
        <f t="shared" si="4"/>
        <v>-0.78351648351648362</v>
      </c>
      <c r="M62" t="str">
        <f t="shared" si="5"/>
        <v>up</v>
      </c>
      <c r="N62">
        <f t="shared" si="6"/>
        <v>2</v>
      </c>
      <c r="Q62" s="8" t="str">
        <f t="shared" si="7"/>
        <v/>
      </c>
    </row>
    <row r="63" spans="1:17">
      <c r="A63">
        <v>307</v>
      </c>
      <c r="B63" t="s">
        <v>764</v>
      </c>
      <c r="C63" s="11">
        <v>45644</v>
      </c>
      <c r="D63">
        <v>26.48</v>
      </c>
      <c r="E63">
        <v>28.85</v>
      </c>
      <c r="F63">
        <v>25.3</v>
      </c>
      <c r="G63">
        <f>INDEX('اسعار الاسهم'!A:B,MATCH(B63,'اسعار الاسهم'!K:K,0),2)</f>
        <v>21.84</v>
      </c>
      <c r="H63" s="8">
        <f t="shared" si="0"/>
        <v>-0.17522658610271902</v>
      </c>
      <c r="I63" s="8">
        <f t="shared" si="1"/>
        <v>0.32097069597069594</v>
      </c>
      <c r="J63" s="8">
        <f t="shared" si="2"/>
        <v>-0.15842490842490853</v>
      </c>
      <c r="K63" s="8">
        <f t="shared" si="3"/>
        <v>0.14031620553359692</v>
      </c>
      <c r="L63" s="13">
        <f t="shared" si="4"/>
        <v>-2.02601156069364</v>
      </c>
      <c r="M63" t="str">
        <f t="shared" si="5"/>
        <v>down</v>
      </c>
      <c r="N63">
        <f t="shared" si="6"/>
        <v>4</v>
      </c>
      <c r="Q63" s="8" t="str">
        <f t="shared" si="7"/>
        <v/>
      </c>
    </row>
    <row r="64" spans="1:17">
      <c r="A64">
        <v>308</v>
      </c>
      <c r="B64" t="s">
        <v>773</v>
      </c>
      <c r="C64" s="11">
        <v>45644</v>
      </c>
      <c r="D64">
        <v>1.98</v>
      </c>
      <c r="E64">
        <v>2.2000000000000002</v>
      </c>
      <c r="F64">
        <v>1.8</v>
      </c>
      <c r="G64">
        <f>INDEX('اسعار الاسهم'!A:B,MATCH(B64,'اسعار الاسهم'!K:K,0),2)</f>
        <v>1.92</v>
      </c>
      <c r="H64" s="8">
        <f t="shared" si="0"/>
        <v>-3.0303030303030276E-2</v>
      </c>
      <c r="I64" s="8">
        <f t="shared" si="1"/>
        <v>0.14583333333333348</v>
      </c>
      <c r="J64" s="8">
        <f t="shared" si="2"/>
        <v>6.2499999999999889E-2</v>
      </c>
      <c r="K64" s="8">
        <f t="shared" si="3"/>
        <v>0.22222222222222232</v>
      </c>
      <c r="L64" s="13">
        <f t="shared" si="4"/>
        <v>2.3333333333333397</v>
      </c>
      <c r="M64" t="str">
        <f t="shared" si="5"/>
        <v>down</v>
      </c>
      <c r="N64">
        <f t="shared" si="6"/>
        <v>1</v>
      </c>
      <c r="Q64" s="8" t="str">
        <f t="shared" si="7"/>
        <v/>
      </c>
    </row>
    <row r="65" spans="1:17">
      <c r="A65">
        <v>309</v>
      </c>
      <c r="B65" t="s">
        <v>764</v>
      </c>
      <c r="C65" s="11">
        <v>45644</v>
      </c>
      <c r="D65">
        <v>26.48</v>
      </c>
      <c r="E65">
        <v>28</v>
      </c>
      <c r="F65">
        <v>25.3</v>
      </c>
      <c r="G65">
        <f>INDEX('اسعار الاسهم'!A:B,MATCH(B65,'اسعار الاسهم'!K:K,0),2)</f>
        <v>21.84</v>
      </c>
      <c r="H65" s="8">
        <f t="shared" si="0"/>
        <v>-0.17522658610271902</v>
      </c>
      <c r="I65" s="8">
        <f t="shared" si="1"/>
        <v>0.28205128205128216</v>
      </c>
      <c r="J65" s="8">
        <f t="shared" si="2"/>
        <v>-0.15842490842490853</v>
      </c>
      <c r="K65" s="8">
        <f t="shared" si="3"/>
        <v>0.10671936758893286</v>
      </c>
      <c r="L65" s="13">
        <f t="shared" si="4"/>
        <v>-1.7803468208092481</v>
      </c>
      <c r="M65" t="str">
        <f t="shared" si="5"/>
        <v>down</v>
      </c>
      <c r="N65">
        <f t="shared" si="6"/>
        <v>4</v>
      </c>
      <c r="Q65" s="8" t="str">
        <f t="shared" si="7"/>
        <v/>
      </c>
    </row>
    <row r="66" spans="1:17">
      <c r="A66">
        <v>310</v>
      </c>
      <c r="B66" t="s">
        <v>906</v>
      </c>
      <c r="C66" s="11">
        <v>45644</v>
      </c>
      <c r="D66">
        <v>1.41</v>
      </c>
      <c r="E66">
        <v>1.7</v>
      </c>
      <c r="F66">
        <v>1.28</v>
      </c>
      <c r="G66">
        <f>INDEX('اسعار الاسهم'!A:B,MATCH(B66,'اسعار الاسهم'!K:K,0),2)</f>
        <v>1.66</v>
      </c>
      <c r="H66" s="8">
        <f t="shared" ref="H66:H129" si="8">IF(O66="", G66/D66-1,"")</f>
        <v>0.17730496453900702</v>
      </c>
      <c r="I66" s="8">
        <f t="shared" ref="I66:I129" si="9">IF(O66="", E66/G66-1,"")</f>
        <v>2.4096385542168752E-2</v>
      </c>
      <c r="J66" s="8">
        <f t="shared" ref="J66:J129" si="10">IF(O66="",  1-F66/G66,"")</f>
        <v>0.22891566265060237</v>
      </c>
      <c r="K66" s="8">
        <f t="shared" ref="K66:K129" si="11">E66/F66-1</f>
        <v>0.328125</v>
      </c>
      <c r="L66" s="13">
        <f t="shared" ref="L66:L129" si="12">IF( P66="",I66/J66,"")</f>
        <v>0.1052631578947372</v>
      </c>
      <c r="M66" t="str">
        <f t="shared" ref="M66:M129" si="13">IF(O66="",IF(I66&lt;J66,"up","down"),"")</f>
        <v>up</v>
      </c>
      <c r="N66">
        <f t="shared" ref="N66:N129" si="14">COUNTIFS(B:B,B66,O:O,"")</f>
        <v>1</v>
      </c>
      <c r="Q66" s="8" t="str">
        <f t="shared" ref="Q66:Q129" si="15">IF(NOT( P66=""),IF(O66=1,E66/D66-1,F66/D66-1),"")</f>
        <v/>
      </c>
    </row>
    <row r="67" spans="1:17">
      <c r="A67" s="3">
        <v>293</v>
      </c>
      <c r="B67" t="s">
        <v>760</v>
      </c>
      <c r="C67" s="11">
        <v>45643</v>
      </c>
      <c r="D67">
        <v>34.14</v>
      </c>
      <c r="E67">
        <v>36.799999999999997</v>
      </c>
      <c r="F67">
        <v>30</v>
      </c>
      <c r="G67">
        <f>INDEX('اسعار الاسهم'!A:B,MATCH(B67,'اسعار الاسهم'!K:K,0),2)</f>
        <v>41.67</v>
      </c>
      <c r="H67" s="8">
        <f t="shared" si="8"/>
        <v>0.22056239015817236</v>
      </c>
      <c r="I67" s="8">
        <f t="shared" si="9"/>
        <v>-0.11687065034797228</v>
      </c>
      <c r="J67" s="8">
        <f t="shared" si="10"/>
        <v>0.28005759539236863</v>
      </c>
      <c r="K67" s="8">
        <f t="shared" si="11"/>
        <v>0.22666666666666657</v>
      </c>
      <c r="L67" s="13">
        <f t="shared" si="12"/>
        <v>-0.41730934018851795</v>
      </c>
      <c r="M67" t="str">
        <f t="shared" si="13"/>
        <v>up</v>
      </c>
      <c r="N67">
        <f t="shared" si="14"/>
        <v>2</v>
      </c>
      <c r="Q67" s="8" t="str">
        <f t="shared" si="15"/>
        <v/>
      </c>
    </row>
    <row r="68" spans="1:17">
      <c r="A68">
        <v>294</v>
      </c>
      <c r="B68" t="s">
        <v>763</v>
      </c>
      <c r="C68" s="11">
        <v>45643</v>
      </c>
      <c r="D68">
        <v>8.0299999999999994</v>
      </c>
      <c r="E68">
        <v>8.75</v>
      </c>
      <c r="F68">
        <v>7.5</v>
      </c>
      <c r="G68">
        <f>INDEX('اسعار الاسهم'!A:B,MATCH(B68,'اسعار الاسهم'!K:K,0),2)</f>
        <v>10.11</v>
      </c>
      <c r="H68" s="8">
        <f t="shared" si="8"/>
        <v>0.25902864259028635</v>
      </c>
      <c r="I68" s="8">
        <f t="shared" si="9"/>
        <v>-0.13452027695351132</v>
      </c>
      <c r="J68" s="8">
        <f t="shared" si="10"/>
        <v>0.25816023738872396</v>
      </c>
      <c r="K68" s="8">
        <f t="shared" si="11"/>
        <v>0.16666666666666674</v>
      </c>
      <c r="L68" s="13">
        <f t="shared" si="12"/>
        <v>-0.52107279693486586</v>
      </c>
      <c r="M68" t="str">
        <f t="shared" si="13"/>
        <v>up</v>
      </c>
      <c r="N68">
        <f t="shared" si="14"/>
        <v>3</v>
      </c>
      <c r="Q68" s="8" t="str">
        <f t="shared" si="15"/>
        <v/>
      </c>
    </row>
    <row r="69" spans="1:17">
      <c r="A69">
        <v>295</v>
      </c>
      <c r="B69" t="s">
        <v>787</v>
      </c>
      <c r="C69" s="11">
        <v>45643</v>
      </c>
      <c r="D69">
        <v>15.89</v>
      </c>
      <c r="E69">
        <v>18</v>
      </c>
      <c r="F69">
        <v>14.8</v>
      </c>
      <c r="G69">
        <f>INDEX('اسعار الاسهم'!A:B,MATCH(B69,'اسعار الاسهم'!K:K,0),2)</f>
        <v>25.67</v>
      </c>
      <c r="H69" s="8">
        <f t="shared" si="8"/>
        <v>0.61548143486469487</v>
      </c>
      <c r="I69" s="8">
        <f t="shared" si="9"/>
        <v>-0.29879236462797043</v>
      </c>
      <c r="J69" s="8">
        <f t="shared" si="10"/>
        <v>0.42345149980522012</v>
      </c>
      <c r="K69" s="8">
        <f t="shared" si="11"/>
        <v>0.21621621621621623</v>
      </c>
      <c r="L69" s="13">
        <f t="shared" si="12"/>
        <v>-0.70561177552897891</v>
      </c>
      <c r="M69" t="str">
        <f t="shared" si="13"/>
        <v>up</v>
      </c>
      <c r="N69">
        <f t="shared" si="14"/>
        <v>3</v>
      </c>
      <c r="Q69" s="8" t="str">
        <f t="shared" si="15"/>
        <v/>
      </c>
    </row>
    <row r="70" spans="1:17">
      <c r="A70">
        <v>296</v>
      </c>
      <c r="B70" t="s">
        <v>834</v>
      </c>
      <c r="C70" s="11">
        <v>45643</v>
      </c>
      <c r="D70">
        <v>3.47</v>
      </c>
      <c r="E70">
        <v>4.05</v>
      </c>
      <c r="F70">
        <v>3.2</v>
      </c>
      <c r="G70">
        <f>INDEX('اسعار الاسهم'!A:B,MATCH(B70,'اسعار الاسهم'!K:K,0),2)</f>
        <v>3.95</v>
      </c>
      <c r="H70" s="8">
        <f t="shared" si="8"/>
        <v>0.13832853025936598</v>
      </c>
      <c r="I70" s="8">
        <f t="shared" si="9"/>
        <v>2.5316455696202445E-2</v>
      </c>
      <c r="J70" s="8">
        <f t="shared" si="10"/>
        <v>0.189873417721519</v>
      </c>
      <c r="K70" s="8">
        <f t="shared" si="11"/>
        <v>0.26562499999999978</v>
      </c>
      <c r="L70" s="13">
        <f t="shared" si="12"/>
        <v>0.13333333333333286</v>
      </c>
      <c r="M70" t="str">
        <f t="shared" si="13"/>
        <v>up</v>
      </c>
      <c r="N70">
        <f t="shared" si="14"/>
        <v>2</v>
      </c>
      <c r="Q70" s="8" t="str">
        <f t="shared" si="15"/>
        <v/>
      </c>
    </row>
    <row r="71" spans="1:17">
      <c r="A71">
        <v>298</v>
      </c>
      <c r="B71" t="s">
        <v>747</v>
      </c>
      <c r="C71" s="11">
        <v>45643</v>
      </c>
      <c r="D71">
        <v>56.88</v>
      </c>
      <c r="E71">
        <v>61.45</v>
      </c>
      <c r="F71">
        <v>55.5</v>
      </c>
      <c r="G71">
        <f>INDEX('اسعار الاسهم'!A:B,MATCH(B71,'اسعار الاسهم'!K:K,0),2)</f>
        <v>99.48</v>
      </c>
      <c r="H71" s="8">
        <f t="shared" si="8"/>
        <v>0.74894514767932496</v>
      </c>
      <c r="I71" s="8">
        <f t="shared" si="9"/>
        <v>-0.38228789706473665</v>
      </c>
      <c r="J71" s="8">
        <f t="shared" si="10"/>
        <v>0.44209891435464421</v>
      </c>
      <c r="K71" s="8">
        <f t="shared" si="11"/>
        <v>0.10720720720720722</v>
      </c>
      <c r="L71" s="13">
        <f t="shared" si="12"/>
        <v>-0.86471123237835368</v>
      </c>
      <c r="M71" t="str">
        <f t="shared" si="13"/>
        <v>up</v>
      </c>
      <c r="N71">
        <f t="shared" si="14"/>
        <v>5</v>
      </c>
      <c r="Q71" s="8" t="str">
        <f t="shared" si="15"/>
        <v/>
      </c>
    </row>
    <row r="72" spans="1:17">
      <c r="A72">
        <v>300</v>
      </c>
      <c r="B72" t="s">
        <v>907</v>
      </c>
      <c r="C72" s="11">
        <v>45643</v>
      </c>
      <c r="D72">
        <v>4.5199999999999996</v>
      </c>
      <c r="E72">
        <v>5.55</v>
      </c>
      <c r="F72">
        <v>4</v>
      </c>
      <c r="G72">
        <f>INDEX('اسعار الاسهم'!A:B,MATCH(B72,'اسعار الاسهم'!K:K,0),2)</f>
        <v>8.3699999999999992</v>
      </c>
      <c r="H72" s="8">
        <f t="shared" si="8"/>
        <v>0.85176991150442483</v>
      </c>
      <c r="I72" s="8">
        <f t="shared" si="9"/>
        <v>-0.3369175627240143</v>
      </c>
      <c r="J72" s="8">
        <f t="shared" si="10"/>
        <v>0.52210274790919953</v>
      </c>
      <c r="K72" s="8">
        <f t="shared" si="11"/>
        <v>0.38749999999999996</v>
      </c>
      <c r="L72" s="13">
        <f t="shared" si="12"/>
        <v>-0.64530892448512578</v>
      </c>
      <c r="M72" t="str">
        <f t="shared" si="13"/>
        <v>up</v>
      </c>
      <c r="N72">
        <f t="shared" si="14"/>
        <v>1</v>
      </c>
      <c r="Q72" s="8" t="str">
        <f t="shared" si="15"/>
        <v/>
      </c>
    </row>
    <row r="73" spans="1:17">
      <c r="A73">
        <v>301</v>
      </c>
      <c r="B73" t="s">
        <v>768</v>
      </c>
      <c r="C73" s="11">
        <v>45643</v>
      </c>
      <c r="D73">
        <v>1.46</v>
      </c>
      <c r="E73">
        <v>1.595</v>
      </c>
      <c r="F73">
        <v>1.38</v>
      </c>
      <c r="G73">
        <f>INDEX('اسعار الاسهم'!A:B,MATCH(B73,'اسعار الاسهم'!K:K,0),2)</f>
        <v>2.33</v>
      </c>
      <c r="H73" s="8">
        <f t="shared" si="8"/>
        <v>0.59589041095890427</v>
      </c>
      <c r="I73" s="8">
        <f t="shared" si="9"/>
        <v>-0.31545064377682408</v>
      </c>
      <c r="J73" s="8">
        <f t="shared" si="10"/>
        <v>0.40772532188841204</v>
      </c>
      <c r="K73" s="8">
        <f t="shared" si="11"/>
        <v>0.15579710144927539</v>
      </c>
      <c r="L73" s="13">
        <f t="shared" si="12"/>
        <v>-0.77368421052631586</v>
      </c>
      <c r="M73" t="str">
        <f t="shared" si="13"/>
        <v>up</v>
      </c>
      <c r="N73">
        <f t="shared" si="14"/>
        <v>4</v>
      </c>
      <c r="Q73" s="8" t="str">
        <f t="shared" si="15"/>
        <v/>
      </c>
    </row>
    <row r="74" spans="1:17">
      <c r="A74">
        <v>284</v>
      </c>
      <c r="B74" t="s">
        <v>904</v>
      </c>
      <c r="C74" s="11">
        <v>45642</v>
      </c>
      <c r="D74">
        <v>27.27</v>
      </c>
      <c r="E74">
        <v>28.15</v>
      </c>
      <c r="F74">
        <v>25.95</v>
      </c>
      <c r="G74">
        <f>INDEX('اسعار الاسهم'!A:B,MATCH(B74,'اسعار الاسهم'!K:K,0),2)</f>
        <v>25.11</v>
      </c>
      <c r="H74" s="8">
        <f t="shared" si="8"/>
        <v>-7.9207920792079167E-2</v>
      </c>
      <c r="I74" s="8">
        <f t="shared" si="9"/>
        <v>0.1210673038630028</v>
      </c>
      <c r="J74" s="8">
        <f t="shared" si="10"/>
        <v>-3.3452807646356053E-2</v>
      </c>
      <c r="K74" s="8">
        <f t="shared" si="11"/>
        <v>8.4778420038535529E-2</v>
      </c>
      <c r="L74" s="13">
        <f t="shared" si="12"/>
        <v>-3.6190476190476173</v>
      </c>
      <c r="M74" t="str">
        <f t="shared" si="13"/>
        <v>down</v>
      </c>
      <c r="N74">
        <f t="shared" si="14"/>
        <v>2</v>
      </c>
      <c r="Q74" s="8" t="str">
        <f t="shared" si="15"/>
        <v/>
      </c>
    </row>
    <row r="75" spans="1:17">
      <c r="A75">
        <v>287</v>
      </c>
      <c r="B75" t="s">
        <v>763</v>
      </c>
      <c r="C75" s="11">
        <v>45642</v>
      </c>
      <c r="D75">
        <v>7.89</v>
      </c>
      <c r="E75">
        <v>8.6999999999999993</v>
      </c>
      <c r="F75">
        <v>7.35</v>
      </c>
      <c r="G75">
        <f>INDEX('اسعار الاسهم'!A:B,MATCH(B75,'اسعار الاسهم'!K:K,0),2)</f>
        <v>10.11</v>
      </c>
      <c r="H75" s="8">
        <f t="shared" si="8"/>
        <v>0.28136882129277563</v>
      </c>
      <c r="I75" s="8">
        <f t="shared" si="9"/>
        <v>-0.13946587537091992</v>
      </c>
      <c r="J75" s="8">
        <f t="shared" si="10"/>
        <v>0.27299703264094954</v>
      </c>
      <c r="K75" s="8">
        <f t="shared" si="11"/>
        <v>0.18367346938775508</v>
      </c>
      <c r="L75" s="13">
        <f t="shared" si="12"/>
        <v>-0.51086956521739146</v>
      </c>
      <c r="M75" t="str">
        <f t="shared" si="13"/>
        <v>up</v>
      </c>
      <c r="N75">
        <f t="shared" si="14"/>
        <v>3</v>
      </c>
      <c r="Q75" s="8" t="str">
        <f t="shared" si="15"/>
        <v/>
      </c>
    </row>
    <row r="76" spans="1:17">
      <c r="A76">
        <v>288</v>
      </c>
      <c r="B76" t="s">
        <v>743</v>
      </c>
      <c r="C76" s="11">
        <v>45642</v>
      </c>
      <c r="D76">
        <v>3.5</v>
      </c>
      <c r="E76">
        <v>4.05</v>
      </c>
      <c r="F76">
        <v>3.2</v>
      </c>
      <c r="G76">
        <f>INDEX('اسعار الاسهم'!A:B,MATCH(B76,'اسعار الاسهم'!K:K,0),2)</f>
        <v>5.0599999999999996</v>
      </c>
      <c r="H76" s="8">
        <f t="shared" si="8"/>
        <v>0.44571428571428551</v>
      </c>
      <c r="I76" s="8">
        <f t="shared" si="9"/>
        <v>-0.19960474308300391</v>
      </c>
      <c r="J76" s="8">
        <f t="shared" si="10"/>
        <v>0.36758893280632399</v>
      </c>
      <c r="K76" s="8">
        <f t="shared" si="11"/>
        <v>0.26562499999999978</v>
      </c>
      <c r="L76" s="13">
        <f t="shared" si="12"/>
        <v>-0.54301075268817212</v>
      </c>
      <c r="M76" t="str">
        <f t="shared" si="13"/>
        <v>up</v>
      </c>
      <c r="N76">
        <f t="shared" si="14"/>
        <v>4</v>
      </c>
      <c r="Q76" s="8" t="str">
        <f t="shared" si="15"/>
        <v/>
      </c>
    </row>
    <row r="77" spans="1:17">
      <c r="A77">
        <v>289</v>
      </c>
      <c r="B77" t="s">
        <v>776</v>
      </c>
      <c r="C77" s="11">
        <v>45642</v>
      </c>
      <c r="D77">
        <v>6.45</v>
      </c>
      <c r="E77">
        <v>7.5</v>
      </c>
      <c r="F77">
        <v>6.15</v>
      </c>
      <c r="G77">
        <f>INDEX('اسعار الاسهم'!A:B,MATCH(B77,'اسعار الاسهم'!K:K,0),2)</f>
        <v>11.27</v>
      </c>
      <c r="H77" s="8">
        <f t="shared" si="8"/>
        <v>0.74728682170542626</v>
      </c>
      <c r="I77" s="8">
        <f t="shared" si="9"/>
        <v>-0.33451641526175691</v>
      </c>
      <c r="J77" s="8">
        <f t="shared" si="10"/>
        <v>0.45430346051464054</v>
      </c>
      <c r="K77" s="8">
        <f t="shared" si="11"/>
        <v>0.21951219512195119</v>
      </c>
      <c r="L77" s="13">
        <f t="shared" si="12"/>
        <v>-0.73632812500000022</v>
      </c>
      <c r="M77" t="str">
        <f t="shared" si="13"/>
        <v>up</v>
      </c>
      <c r="N77">
        <f t="shared" si="14"/>
        <v>2</v>
      </c>
      <c r="Q77" s="8" t="str">
        <f t="shared" si="15"/>
        <v/>
      </c>
    </row>
    <row r="78" spans="1:17">
      <c r="A78">
        <v>290</v>
      </c>
      <c r="B78" t="s">
        <v>834</v>
      </c>
      <c r="C78" s="11">
        <v>45642</v>
      </c>
      <c r="D78">
        <v>3.35</v>
      </c>
      <c r="E78">
        <v>3.7</v>
      </c>
      <c r="F78">
        <v>3.15</v>
      </c>
      <c r="G78">
        <f>INDEX('اسعار الاسهم'!A:B,MATCH(B78,'اسعار الاسهم'!K:K,0),2)</f>
        <v>3.95</v>
      </c>
      <c r="H78" s="8">
        <f t="shared" si="8"/>
        <v>0.17910447761194037</v>
      </c>
      <c r="I78" s="8">
        <f t="shared" si="9"/>
        <v>-6.3291139240506333E-2</v>
      </c>
      <c r="J78" s="8">
        <f t="shared" si="10"/>
        <v>0.20253164556962033</v>
      </c>
      <c r="K78" s="8">
        <f t="shared" si="11"/>
        <v>0.17460317460317465</v>
      </c>
      <c r="L78" s="13">
        <f t="shared" si="12"/>
        <v>-0.31249999999999989</v>
      </c>
      <c r="M78" t="str">
        <f t="shared" si="13"/>
        <v>up</v>
      </c>
      <c r="N78">
        <f t="shared" si="14"/>
        <v>2</v>
      </c>
      <c r="Q78" s="8" t="str">
        <f t="shared" si="15"/>
        <v/>
      </c>
    </row>
    <row r="79" spans="1:17">
      <c r="A79">
        <v>271</v>
      </c>
      <c r="B79" t="s">
        <v>813</v>
      </c>
      <c r="C79" s="11">
        <v>45641</v>
      </c>
      <c r="D79">
        <v>0.38300000000000001</v>
      </c>
      <c r="E79">
        <v>0.46500000000000002</v>
      </c>
      <c r="F79">
        <v>0.36</v>
      </c>
      <c r="G79">
        <f>INDEX('اسعار الاسهم'!A:B,MATCH(B79,'اسعار الاسهم'!K:K,0),2)</f>
        <v>0.39</v>
      </c>
      <c r="H79" s="8">
        <f t="shared" si="8"/>
        <v>1.8276762402088753E-2</v>
      </c>
      <c r="I79" s="8">
        <f t="shared" si="9"/>
        <v>0.19230769230769229</v>
      </c>
      <c r="J79" s="8">
        <f t="shared" si="10"/>
        <v>7.6923076923076983E-2</v>
      </c>
      <c r="K79" s="8">
        <f t="shared" si="11"/>
        <v>0.29166666666666674</v>
      </c>
      <c r="L79" s="13">
        <f t="shared" si="12"/>
        <v>2.4999999999999978</v>
      </c>
      <c r="M79" t="str">
        <f t="shared" si="13"/>
        <v>down</v>
      </c>
      <c r="N79">
        <f t="shared" si="14"/>
        <v>1</v>
      </c>
      <c r="Q79" s="8" t="str">
        <f t="shared" si="15"/>
        <v/>
      </c>
    </row>
    <row r="80" spans="1:17">
      <c r="A80">
        <v>272</v>
      </c>
      <c r="B80" t="s">
        <v>820</v>
      </c>
      <c r="C80" s="11">
        <v>45641</v>
      </c>
      <c r="D80">
        <v>0.57099999999999995</v>
      </c>
      <c r="E80">
        <v>0.64500000000000002</v>
      </c>
      <c r="F80">
        <v>0.55000000000000004</v>
      </c>
      <c r="G80">
        <f>INDEX('اسعار الاسهم'!A:B,MATCH(B80,'اسعار الاسهم'!K:K,0),2)</f>
        <v>0.34</v>
      </c>
      <c r="H80" s="8">
        <f t="shared" si="8"/>
        <v>-0.40455341506129583</v>
      </c>
      <c r="I80" s="8">
        <f t="shared" si="9"/>
        <v>0.89705882352941169</v>
      </c>
      <c r="J80" s="8">
        <f t="shared" si="10"/>
        <v>-0.61764705882352944</v>
      </c>
      <c r="K80" s="8">
        <f t="shared" si="11"/>
        <v>0.17272727272727262</v>
      </c>
      <c r="L80" s="13">
        <f t="shared" si="12"/>
        <v>-1.4523809523809521</v>
      </c>
      <c r="M80" t="str">
        <f t="shared" si="13"/>
        <v>down</v>
      </c>
      <c r="N80">
        <f t="shared" si="14"/>
        <v>2</v>
      </c>
      <c r="Q80" s="8" t="str">
        <f t="shared" si="15"/>
        <v/>
      </c>
    </row>
    <row r="81" spans="1:17">
      <c r="A81">
        <v>273</v>
      </c>
      <c r="B81" t="s">
        <v>901</v>
      </c>
      <c r="C81" s="11">
        <v>45641</v>
      </c>
      <c r="D81">
        <v>9.3800000000000008</v>
      </c>
      <c r="E81">
        <v>10.8</v>
      </c>
      <c r="F81">
        <v>8.6999999999999993</v>
      </c>
      <c r="G81">
        <f>INDEX('اسعار الاسهم'!A:B,MATCH(B81,'اسعار الاسهم'!K:K,0),2)</f>
        <v>35.840000000000003</v>
      </c>
      <c r="H81" s="8">
        <f t="shared" si="8"/>
        <v>2.8208955223880596</v>
      </c>
      <c r="I81" s="8">
        <f t="shared" si="9"/>
        <v>-0.6986607142857143</v>
      </c>
      <c r="J81" s="8">
        <f t="shared" si="10"/>
        <v>0.7572544642857143</v>
      </c>
      <c r="K81" s="8">
        <f t="shared" si="11"/>
        <v>0.24137931034482785</v>
      </c>
      <c r="L81" s="13">
        <f t="shared" si="12"/>
        <v>-0.92262343404568903</v>
      </c>
      <c r="M81" t="str">
        <f t="shared" si="13"/>
        <v>up</v>
      </c>
      <c r="N81">
        <f t="shared" si="14"/>
        <v>1</v>
      </c>
      <c r="Q81" s="8" t="str">
        <f t="shared" si="15"/>
        <v/>
      </c>
    </row>
    <row r="82" spans="1:17">
      <c r="A82">
        <v>274</v>
      </c>
      <c r="B82" t="s">
        <v>772</v>
      </c>
      <c r="C82" s="11">
        <v>45641</v>
      </c>
      <c r="D82">
        <v>116.37</v>
      </c>
      <c r="E82">
        <v>125</v>
      </c>
      <c r="F82">
        <v>112.5</v>
      </c>
      <c r="G82">
        <f>INDEX('اسعار الاسهم'!A:B,MATCH(B82,'اسعار الاسهم'!K:K,0),2)</f>
        <v>331.99</v>
      </c>
      <c r="H82" s="8">
        <f t="shared" si="8"/>
        <v>1.8528830454584515</v>
      </c>
      <c r="I82" s="8">
        <f t="shared" si="9"/>
        <v>-0.62348263501912715</v>
      </c>
      <c r="J82" s="8">
        <f t="shared" si="10"/>
        <v>0.66113437151721444</v>
      </c>
      <c r="K82" s="8">
        <f t="shared" si="11"/>
        <v>0.11111111111111116</v>
      </c>
      <c r="L82" s="13">
        <f t="shared" si="12"/>
        <v>-0.94304979725727822</v>
      </c>
      <c r="M82" t="str">
        <f t="shared" si="13"/>
        <v>up</v>
      </c>
      <c r="N82">
        <f t="shared" si="14"/>
        <v>4</v>
      </c>
      <c r="Q82" s="8" t="str">
        <f t="shared" si="15"/>
        <v/>
      </c>
    </row>
    <row r="83" spans="1:17">
      <c r="A83">
        <v>275</v>
      </c>
      <c r="B83" t="s">
        <v>832</v>
      </c>
      <c r="C83" s="11">
        <v>45641</v>
      </c>
      <c r="D83">
        <v>16.36</v>
      </c>
      <c r="E83">
        <v>18</v>
      </c>
      <c r="F83">
        <v>15.45</v>
      </c>
      <c r="G83">
        <f>INDEX('اسعار الاسهم'!A:B,MATCH(B83,'اسعار الاسهم'!K:K,0),2)</f>
        <v>54.2</v>
      </c>
      <c r="H83" s="8">
        <f t="shared" si="8"/>
        <v>2.3129584352078241</v>
      </c>
      <c r="I83" s="8">
        <f t="shared" si="9"/>
        <v>-0.66789667896678973</v>
      </c>
      <c r="J83" s="8">
        <f t="shared" si="10"/>
        <v>0.7149446494464945</v>
      </c>
      <c r="K83" s="8">
        <f t="shared" si="11"/>
        <v>0.16504854368932054</v>
      </c>
      <c r="L83" s="13">
        <f t="shared" si="12"/>
        <v>-0.93419354838709678</v>
      </c>
      <c r="M83" t="str">
        <f t="shared" si="13"/>
        <v>up</v>
      </c>
      <c r="N83">
        <f t="shared" si="14"/>
        <v>6</v>
      </c>
      <c r="Q83" s="8" t="str">
        <f t="shared" si="15"/>
        <v/>
      </c>
    </row>
    <row r="84" spans="1:17">
      <c r="A84">
        <v>276</v>
      </c>
      <c r="B84" t="s">
        <v>786</v>
      </c>
      <c r="C84" s="11">
        <v>45641</v>
      </c>
      <c r="D84">
        <v>82.99</v>
      </c>
      <c r="E84">
        <v>90</v>
      </c>
      <c r="F84">
        <v>78</v>
      </c>
      <c r="G84">
        <f>INDEX('اسعار الاسهم'!A:B,MATCH(B84,'اسعار الاسهم'!K:K,0),2)</f>
        <v>132.35</v>
      </c>
      <c r="H84" s="8">
        <f t="shared" si="8"/>
        <v>0.59477045427159903</v>
      </c>
      <c r="I84" s="8">
        <f t="shared" si="9"/>
        <v>-0.31998488855307894</v>
      </c>
      <c r="J84" s="8">
        <f t="shared" si="10"/>
        <v>0.41065357007933512</v>
      </c>
      <c r="K84" s="8">
        <f t="shared" si="11"/>
        <v>0.15384615384615374</v>
      </c>
      <c r="L84" s="13">
        <f t="shared" si="12"/>
        <v>-0.77920883164673405</v>
      </c>
      <c r="M84" t="str">
        <f t="shared" si="13"/>
        <v>up</v>
      </c>
      <c r="N84">
        <f t="shared" si="14"/>
        <v>5</v>
      </c>
      <c r="Q84" s="8" t="str">
        <f t="shared" si="15"/>
        <v/>
      </c>
    </row>
    <row r="85" spans="1:17">
      <c r="A85">
        <v>277</v>
      </c>
      <c r="B85" t="s">
        <v>893</v>
      </c>
      <c r="C85" s="11">
        <v>45641</v>
      </c>
      <c r="D85">
        <v>0.41</v>
      </c>
      <c r="E85">
        <v>0.51</v>
      </c>
      <c r="F85">
        <v>0.36499999999999999</v>
      </c>
      <c r="G85">
        <f>INDEX('اسعار الاسهم'!A:B,MATCH(B85,'اسعار الاسهم'!K:K,0),2)</f>
        <v>2.2599999999999998</v>
      </c>
      <c r="H85" s="8">
        <f t="shared" si="8"/>
        <v>4.5121951219512191</v>
      </c>
      <c r="I85" s="8">
        <f t="shared" si="9"/>
        <v>-0.77433628318584069</v>
      </c>
      <c r="J85" s="8">
        <f t="shared" si="10"/>
        <v>0.83849557522123896</v>
      </c>
      <c r="K85" s="8">
        <f t="shared" si="11"/>
        <v>0.39726027397260277</v>
      </c>
      <c r="L85" s="13">
        <f t="shared" si="12"/>
        <v>-0.92348284960422156</v>
      </c>
      <c r="M85" t="str">
        <f t="shared" si="13"/>
        <v>up</v>
      </c>
      <c r="N85">
        <f t="shared" si="14"/>
        <v>1</v>
      </c>
      <c r="Q85" s="8" t="str">
        <f t="shared" si="15"/>
        <v/>
      </c>
    </row>
    <row r="86" spans="1:17">
      <c r="A86">
        <v>278</v>
      </c>
      <c r="B86" t="s">
        <v>840</v>
      </c>
      <c r="C86" s="11">
        <v>45641</v>
      </c>
      <c r="D86">
        <v>0.53600000000000003</v>
      </c>
      <c r="E86">
        <v>0.64</v>
      </c>
      <c r="F86">
        <v>0.47</v>
      </c>
      <c r="G86">
        <f>INDEX('اسعار الاسهم'!A:B,MATCH(B86,'اسعار الاسهم'!K:K,0),2)</f>
        <v>1.46</v>
      </c>
      <c r="H86" s="8">
        <f t="shared" si="8"/>
        <v>1.7238805970149254</v>
      </c>
      <c r="I86" s="8">
        <f t="shared" si="9"/>
        <v>-0.56164383561643838</v>
      </c>
      <c r="J86" s="8">
        <f t="shared" si="10"/>
        <v>0.67808219178082196</v>
      </c>
      <c r="K86" s="8">
        <f t="shared" si="11"/>
        <v>0.36170212765957466</v>
      </c>
      <c r="L86" s="13">
        <f t="shared" si="12"/>
        <v>-0.82828282828282829</v>
      </c>
      <c r="M86" t="str">
        <f t="shared" si="13"/>
        <v>up</v>
      </c>
      <c r="N86">
        <f t="shared" si="14"/>
        <v>2</v>
      </c>
      <c r="Q86" s="8" t="str">
        <f t="shared" si="15"/>
        <v/>
      </c>
    </row>
    <row r="87" spans="1:17">
      <c r="A87">
        <v>280</v>
      </c>
      <c r="B87" t="s">
        <v>839</v>
      </c>
      <c r="C87" s="11">
        <v>45641</v>
      </c>
      <c r="D87">
        <v>5.58</v>
      </c>
      <c r="E87">
        <v>5.98</v>
      </c>
      <c r="F87">
        <v>5.05</v>
      </c>
      <c r="G87">
        <f>INDEX('اسعار الاسهم'!A:B,MATCH(B87,'اسعار الاسهم'!K:K,0),2)</f>
        <v>12.29</v>
      </c>
      <c r="H87" s="8">
        <f t="shared" si="8"/>
        <v>1.2025089605734767</v>
      </c>
      <c r="I87" s="8">
        <f t="shared" si="9"/>
        <v>-0.51342554922701378</v>
      </c>
      <c r="J87" s="8">
        <f t="shared" si="10"/>
        <v>0.58909682668836449</v>
      </c>
      <c r="K87" s="8">
        <f t="shared" si="11"/>
        <v>0.18415841584158432</v>
      </c>
      <c r="L87" s="13">
        <f t="shared" si="12"/>
        <v>-0.87154696132596676</v>
      </c>
      <c r="M87" t="str">
        <f t="shared" si="13"/>
        <v>up</v>
      </c>
      <c r="N87">
        <f t="shared" si="14"/>
        <v>2</v>
      </c>
      <c r="Q87" s="8" t="str">
        <f t="shared" si="15"/>
        <v/>
      </c>
    </row>
    <row r="88" spans="1:17">
      <c r="A88">
        <v>265</v>
      </c>
      <c r="B88" t="s">
        <v>792</v>
      </c>
      <c r="C88" s="11">
        <v>45638</v>
      </c>
      <c r="D88">
        <v>8.33</v>
      </c>
      <c r="E88">
        <v>9.6999999999999993</v>
      </c>
      <c r="F88">
        <v>7.5</v>
      </c>
      <c r="G88">
        <f>INDEX('اسعار الاسهم'!A:B,MATCH(B88,'اسعار الاسهم'!K:K,0),2)</f>
        <v>10.1</v>
      </c>
      <c r="H88" s="8">
        <f t="shared" si="8"/>
        <v>0.21248499399759901</v>
      </c>
      <c r="I88" s="8">
        <f t="shared" si="9"/>
        <v>-3.9603960396039639E-2</v>
      </c>
      <c r="J88" s="8">
        <f t="shared" si="10"/>
        <v>0.25742574257425743</v>
      </c>
      <c r="K88" s="8">
        <f t="shared" si="11"/>
        <v>0.29333333333333322</v>
      </c>
      <c r="L88" s="13">
        <f t="shared" si="12"/>
        <v>-0.15384615384615397</v>
      </c>
      <c r="M88" t="str">
        <f t="shared" si="13"/>
        <v>up</v>
      </c>
      <c r="N88">
        <f t="shared" si="14"/>
        <v>4</v>
      </c>
      <c r="Q88" s="8" t="str">
        <f t="shared" si="15"/>
        <v/>
      </c>
    </row>
    <row r="89" spans="1:17">
      <c r="A89">
        <v>266</v>
      </c>
      <c r="B89" t="s">
        <v>786</v>
      </c>
      <c r="C89" s="11">
        <v>45638</v>
      </c>
      <c r="D89">
        <v>81.99</v>
      </c>
      <c r="E89">
        <v>84.5</v>
      </c>
      <c r="F89">
        <v>79</v>
      </c>
      <c r="G89">
        <f>INDEX('اسعار الاسهم'!A:B,MATCH(B89,'اسعار الاسهم'!K:K,0),2)</f>
        <v>132.35</v>
      </c>
      <c r="H89" s="8">
        <f t="shared" si="8"/>
        <v>0.61422124649347487</v>
      </c>
      <c r="I89" s="8">
        <f t="shared" si="9"/>
        <v>-0.36154136758594635</v>
      </c>
      <c r="J89" s="8">
        <f t="shared" si="10"/>
        <v>0.40309784661881376</v>
      </c>
      <c r="K89" s="8">
        <f t="shared" si="11"/>
        <v>6.9620253164556889E-2</v>
      </c>
      <c r="L89" s="13">
        <f t="shared" si="12"/>
        <v>-0.89690721649484528</v>
      </c>
      <c r="M89" t="str">
        <f t="shared" si="13"/>
        <v>up</v>
      </c>
      <c r="N89">
        <f t="shared" si="14"/>
        <v>5</v>
      </c>
      <c r="Q89" s="8" t="str">
        <f t="shared" si="15"/>
        <v/>
      </c>
    </row>
    <row r="90" spans="1:17">
      <c r="A90">
        <v>268</v>
      </c>
      <c r="B90" t="s">
        <v>818</v>
      </c>
      <c r="C90" s="11">
        <v>45638</v>
      </c>
      <c r="D90">
        <v>88.65</v>
      </c>
      <c r="E90">
        <v>105</v>
      </c>
      <c r="F90">
        <v>84</v>
      </c>
      <c r="G90">
        <f>INDEX('اسعار الاسهم'!A:B,MATCH(B90,'اسعار الاسهم'!K:K,0),2)</f>
        <v>133.5</v>
      </c>
      <c r="H90" s="8">
        <f t="shared" si="8"/>
        <v>0.50592216582064298</v>
      </c>
      <c r="I90" s="8">
        <f t="shared" si="9"/>
        <v>-0.2134831460674157</v>
      </c>
      <c r="J90" s="8">
        <f t="shared" si="10"/>
        <v>0.3707865168539326</v>
      </c>
      <c r="K90" s="8">
        <f t="shared" si="11"/>
        <v>0.25</v>
      </c>
      <c r="L90" s="13">
        <f t="shared" si="12"/>
        <v>-0.57575757575757569</v>
      </c>
      <c r="M90" t="str">
        <f t="shared" si="13"/>
        <v>up</v>
      </c>
      <c r="N90">
        <f t="shared" si="14"/>
        <v>1</v>
      </c>
      <c r="Q90" s="8" t="str">
        <f t="shared" si="15"/>
        <v/>
      </c>
    </row>
    <row r="91" spans="1:17">
      <c r="A91">
        <v>269</v>
      </c>
      <c r="B91" t="s">
        <v>831</v>
      </c>
      <c r="C91" s="11">
        <v>45638</v>
      </c>
      <c r="D91">
        <v>7.59</v>
      </c>
      <c r="E91">
        <v>8</v>
      </c>
      <c r="F91">
        <v>7.1</v>
      </c>
      <c r="G91">
        <f>INDEX('اسعار الاسهم'!A:B,MATCH(B91,'اسعار الاسهم'!K:K,0),2)</f>
        <v>9.6999999999999993</v>
      </c>
      <c r="H91" s="8">
        <f t="shared" si="8"/>
        <v>0.27799736495388672</v>
      </c>
      <c r="I91" s="8">
        <f t="shared" si="9"/>
        <v>-0.17525773195876282</v>
      </c>
      <c r="J91" s="8">
        <f t="shared" si="10"/>
        <v>0.268041237113402</v>
      </c>
      <c r="K91" s="8">
        <f t="shared" si="11"/>
        <v>0.12676056338028174</v>
      </c>
      <c r="L91" s="13">
        <f t="shared" si="12"/>
        <v>-0.65384615384615374</v>
      </c>
      <c r="M91" t="str">
        <f t="shared" si="13"/>
        <v>up</v>
      </c>
      <c r="N91">
        <f t="shared" si="14"/>
        <v>2</v>
      </c>
      <c r="Q91" s="8" t="str">
        <f t="shared" si="15"/>
        <v/>
      </c>
    </row>
    <row r="92" spans="1:17">
      <c r="A92">
        <v>270</v>
      </c>
      <c r="B92" t="s">
        <v>857</v>
      </c>
      <c r="C92" s="11">
        <v>45638</v>
      </c>
      <c r="D92">
        <v>46.46</v>
      </c>
      <c r="E92">
        <v>50</v>
      </c>
      <c r="F92">
        <v>44</v>
      </c>
      <c r="G92">
        <f>INDEX('اسعار الاسهم'!A:B,MATCH(B92,'اسعار الاسهم'!K:K,0),2)</f>
        <v>84.5</v>
      </c>
      <c r="H92" s="8">
        <f t="shared" si="8"/>
        <v>0.81876883340507955</v>
      </c>
      <c r="I92" s="8">
        <f t="shared" si="9"/>
        <v>-0.40828402366863903</v>
      </c>
      <c r="J92" s="8">
        <f t="shared" si="10"/>
        <v>0.47928994082840237</v>
      </c>
      <c r="K92" s="8">
        <f t="shared" si="11"/>
        <v>0.13636363636363646</v>
      </c>
      <c r="L92" s="13">
        <f t="shared" si="12"/>
        <v>-0.85185185185185175</v>
      </c>
      <c r="M92" t="str">
        <f t="shared" si="13"/>
        <v>up</v>
      </c>
      <c r="N92">
        <f t="shared" si="14"/>
        <v>2</v>
      </c>
      <c r="Q92" s="8" t="str">
        <f t="shared" si="15"/>
        <v/>
      </c>
    </row>
    <row r="93" spans="1:17">
      <c r="A93">
        <v>255</v>
      </c>
      <c r="B93" t="s">
        <v>896</v>
      </c>
      <c r="C93" s="11">
        <v>45637</v>
      </c>
      <c r="D93">
        <v>0.27</v>
      </c>
      <c r="E93">
        <v>0.3</v>
      </c>
      <c r="F93">
        <v>0.25</v>
      </c>
      <c r="G93">
        <f>INDEX('اسعار الاسهم'!A:B,MATCH(B93,'اسعار الاسهم'!K:K,0),2)</f>
        <v>0.45</v>
      </c>
      <c r="H93" s="8">
        <f t="shared" si="8"/>
        <v>0.66666666666666652</v>
      </c>
      <c r="I93" s="8">
        <f t="shared" si="9"/>
        <v>-0.33333333333333337</v>
      </c>
      <c r="J93" s="8">
        <f t="shared" si="10"/>
        <v>0.44444444444444442</v>
      </c>
      <c r="K93" s="8">
        <f t="shared" si="11"/>
        <v>0.19999999999999996</v>
      </c>
      <c r="L93" s="13">
        <f t="shared" si="12"/>
        <v>-0.75000000000000011</v>
      </c>
      <c r="M93" t="str">
        <f t="shared" si="13"/>
        <v>up</v>
      </c>
      <c r="N93">
        <f t="shared" si="14"/>
        <v>1</v>
      </c>
      <c r="Q93" s="8" t="str">
        <f t="shared" si="15"/>
        <v/>
      </c>
    </row>
    <row r="94" spans="1:17">
      <c r="A94">
        <v>258</v>
      </c>
      <c r="B94" t="s">
        <v>725</v>
      </c>
      <c r="C94" s="11">
        <v>45637</v>
      </c>
      <c r="D94">
        <v>1.22</v>
      </c>
      <c r="E94">
        <v>1.34</v>
      </c>
      <c r="F94">
        <v>1.125</v>
      </c>
      <c r="G94">
        <f>INDEX('اسعار الاسهم'!A:B,MATCH(B94,'اسعار الاسهم'!K:K,0),2)</f>
        <v>2.57</v>
      </c>
      <c r="H94" s="8">
        <f t="shared" si="8"/>
        <v>1.1065573770491803</v>
      </c>
      <c r="I94" s="8">
        <f t="shared" si="9"/>
        <v>-0.47859922178988323</v>
      </c>
      <c r="J94" s="8">
        <f t="shared" si="10"/>
        <v>0.5622568093385214</v>
      </c>
      <c r="K94" s="8">
        <f t="shared" si="11"/>
        <v>0.19111111111111123</v>
      </c>
      <c r="L94" s="13">
        <f t="shared" si="12"/>
        <v>-0.8512110726643598</v>
      </c>
      <c r="M94" t="str">
        <f t="shared" si="13"/>
        <v>up</v>
      </c>
      <c r="N94">
        <f t="shared" si="14"/>
        <v>1</v>
      </c>
      <c r="Q94" s="8" t="str">
        <f t="shared" si="15"/>
        <v/>
      </c>
    </row>
    <row r="95" spans="1:17">
      <c r="A95">
        <v>261</v>
      </c>
      <c r="B95" t="s">
        <v>858</v>
      </c>
      <c r="C95" s="11">
        <v>45637</v>
      </c>
      <c r="D95">
        <v>1.82</v>
      </c>
      <c r="E95">
        <v>2.15</v>
      </c>
      <c r="F95">
        <v>1.7</v>
      </c>
      <c r="G95">
        <f>INDEX('اسعار الاسهم'!A:B,MATCH(B95,'اسعار الاسهم'!K:K,0),2)</f>
        <v>3.38</v>
      </c>
      <c r="H95" s="8">
        <f t="shared" si="8"/>
        <v>0.85714285714285698</v>
      </c>
      <c r="I95" s="8">
        <f t="shared" si="9"/>
        <v>-0.36390532544378695</v>
      </c>
      <c r="J95" s="8">
        <f t="shared" si="10"/>
        <v>0.49704142011834318</v>
      </c>
      <c r="K95" s="8">
        <f t="shared" si="11"/>
        <v>0.26470588235294112</v>
      </c>
      <c r="L95" s="13">
        <f t="shared" si="12"/>
        <v>-0.7321428571428571</v>
      </c>
      <c r="M95" t="str">
        <f t="shared" si="13"/>
        <v>up</v>
      </c>
      <c r="N95">
        <f t="shared" si="14"/>
        <v>2</v>
      </c>
      <c r="Q95" s="8" t="str">
        <f t="shared" si="15"/>
        <v/>
      </c>
    </row>
    <row r="96" spans="1:17">
      <c r="A96">
        <v>248</v>
      </c>
      <c r="B96" t="s">
        <v>751</v>
      </c>
      <c r="C96" s="11">
        <v>45636</v>
      </c>
      <c r="D96">
        <v>23.15</v>
      </c>
      <c r="E96">
        <v>25</v>
      </c>
      <c r="F96">
        <v>21.3</v>
      </c>
      <c r="G96">
        <f>INDEX('اسعار الاسهم'!A:B,MATCH(B96,'اسعار الاسهم'!K:K,0),2)</f>
        <v>28.85</v>
      </c>
      <c r="H96" s="8">
        <f t="shared" si="8"/>
        <v>0.24622030237581005</v>
      </c>
      <c r="I96" s="8">
        <f t="shared" si="9"/>
        <v>-0.13344887348353562</v>
      </c>
      <c r="J96" s="8">
        <f t="shared" si="10"/>
        <v>0.26169844020797228</v>
      </c>
      <c r="K96" s="8">
        <f t="shared" si="11"/>
        <v>0.17370892018779349</v>
      </c>
      <c r="L96" s="13">
        <f t="shared" si="12"/>
        <v>-0.50993377483443747</v>
      </c>
      <c r="M96" t="str">
        <f t="shared" si="13"/>
        <v>up</v>
      </c>
      <c r="N96">
        <f t="shared" si="14"/>
        <v>3</v>
      </c>
      <c r="Q96" s="8" t="str">
        <f t="shared" si="15"/>
        <v/>
      </c>
    </row>
    <row r="97" spans="1:17">
      <c r="A97">
        <v>250</v>
      </c>
      <c r="B97" t="s">
        <v>731</v>
      </c>
      <c r="C97" s="11">
        <v>45636</v>
      </c>
      <c r="D97">
        <v>6.5</v>
      </c>
      <c r="E97">
        <v>8.0500000000000007</v>
      </c>
      <c r="F97">
        <v>5.95</v>
      </c>
      <c r="G97">
        <f>INDEX('اسعار الاسهم'!A:B,MATCH(B97,'اسعار الاسهم'!K:K,0),2)</f>
        <v>13.61</v>
      </c>
      <c r="H97" s="8">
        <f t="shared" si="8"/>
        <v>1.0938461538461537</v>
      </c>
      <c r="I97" s="8">
        <f t="shared" si="9"/>
        <v>-0.40852314474650986</v>
      </c>
      <c r="J97" s="8">
        <f t="shared" si="10"/>
        <v>0.56282145481263779</v>
      </c>
      <c r="K97" s="8">
        <f t="shared" si="11"/>
        <v>0.35294117647058831</v>
      </c>
      <c r="L97" s="13">
        <f t="shared" si="12"/>
        <v>-0.72584856396866826</v>
      </c>
      <c r="M97" t="str">
        <f t="shared" si="13"/>
        <v>up</v>
      </c>
      <c r="N97">
        <f t="shared" si="14"/>
        <v>4</v>
      </c>
      <c r="Q97" s="8" t="str">
        <f t="shared" si="15"/>
        <v/>
      </c>
    </row>
    <row r="98" spans="1:17">
      <c r="A98">
        <v>251</v>
      </c>
      <c r="B98" t="s">
        <v>762</v>
      </c>
      <c r="C98" s="11">
        <v>45636</v>
      </c>
      <c r="D98">
        <v>5.61</v>
      </c>
      <c r="E98">
        <v>7</v>
      </c>
      <c r="F98">
        <v>5.25</v>
      </c>
      <c r="G98">
        <f>INDEX('اسعار الاسهم'!A:B,MATCH(B98,'اسعار الاسهم'!K:K,0),2)</f>
        <v>7.59</v>
      </c>
      <c r="H98" s="8">
        <f t="shared" si="8"/>
        <v>0.35294117647058809</v>
      </c>
      <c r="I98" s="8">
        <f t="shared" si="9"/>
        <v>-7.7733860342556027E-2</v>
      </c>
      <c r="J98" s="8">
        <f t="shared" si="10"/>
        <v>0.30830039525691699</v>
      </c>
      <c r="K98" s="8">
        <f t="shared" si="11"/>
        <v>0.33333333333333326</v>
      </c>
      <c r="L98" s="13">
        <f t="shared" si="12"/>
        <v>-0.25213675213675224</v>
      </c>
      <c r="M98" t="str">
        <f t="shared" si="13"/>
        <v>up</v>
      </c>
      <c r="N98">
        <f t="shared" si="14"/>
        <v>3</v>
      </c>
      <c r="Q98" s="8" t="str">
        <f t="shared" si="15"/>
        <v/>
      </c>
    </row>
    <row r="99" spans="1:17">
      <c r="A99">
        <v>252</v>
      </c>
      <c r="B99" t="s">
        <v>831</v>
      </c>
      <c r="C99" s="11">
        <v>45636</v>
      </c>
      <c r="D99">
        <v>7.24</v>
      </c>
      <c r="E99">
        <v>8.5</v>
      </c>
      <c r="F99">
        <v>6.75</v>
      </c>
      <c r="G99">
        <f>INDEX('اسعار الاسهم'!A:B,MATCH(B99,'اسعار الاسهم'!K:K,0),2)</f>
        <v>9.6999999999999993</v>
      </c>
      <c r="H99" s="8">
        <f t="shared" si="8"/>
        <v>0.33977900552486173</v>
      </c>
      <c r="I99" s="8">
        <f t="shared" si="9"/>
        <v>-0.12371134020618546</v>
      </c>
      <c r="J99" s="8">
        <f t="shared" si="10"/>
        <v>0.3041237113402061</v>
      </c>
      <c r="K99" s="8">
        <f t="shared" si="11"/>
        <v>0.2592592592592593</v>
      </c>
      <c r="L99" s="13">
        <f t="shared" si="12"/>
        <v>-0.4067796610169489</v>
      </c>
      <c r="M99" t="str">
        <f t="shared" si="13"/>
        <v>up</v>
      </c>
      <c r="N99">
        <f t="shared" si="14"/>
        <v>2</v>
      </c>
      <c r="Q99" s="8" t="str">
        <f t="shared" si="15"/>
        <v/>
      </c>
    </row>
    <row r="100" spans="1:17">
      <c r="A100">
        <v>236</v>
      </c>
      <c r="B100" t="s">
        <v>731</v>
      </c>
      <c r="C100" s="11">
        <v>45635</v>
      </c>
      <c r="D100">
        <v>6.45</v>
      </c>
      <c r="E100">
        <v>7.95</v>
      </c>
      <c r="F100">
        <v>5.15</v>
      </c>
      <c r="G100">
        <f>INDEX('اسعار الاسهم'!A:B,MATCH(B100,'اسعار الاسهم'!K:K,0),2)</f>
        <v>13.61</v>
      </c>
      <c r="H100" s="8">
        <f t="shared" si="8"/>
        <v>1.1100775193798449</v>
      </c>
      <c r="I100" s="8">
        <f t="shared" si="9"/>
        <v>-0.41587068332108745</v>
      </c>
      <c r="J100" s="8">
        <f t="shared" si="10"/>
        <v>0.62160176340925788</v>
      </c>
      <c r="K100" s="8">
        <f t="shared" si="11"/>
        <v>0.5436893203883495</v>
      </c>
      <c r="L100" s="13">
        <f t="shared" si="12"/>
        <v>-0.66903073286052017</v>
      </c>
      <c r="M100" t="str">
        <f t="shared" si="13"/>
        <v>up</v>
      </c>
      <c r="N100">
        <f t="shared" si="14"/>
        <v>4</v>
      </c>
      <c r="Q100" s="8" t="str">
        <f t="shared" si="15"/>
        <v/>
      </c>
    </row>
    <row r="101" spans="1:17">
      <c r="A101">
        <v>237</v>
      </c>
      <c r="B101" t="s">
        <v>746</v>
      </c>
      <c r="C101" s="11">
        <v>45635</v>
      </c>
      <c r="D101">
        <v>3.46</v>
      </c>
      <c r="E101">
        <v>4</v>
      </c>
      <c r="F101">
        <v>3</v>
      </c>
      <c r="G101">
        <f>INDEX('اسعار الاسهم'!A:B,MATCH(B101,'اسعار الاسهم'!K:K,0),2)</f>
        <v>7.15</v>
      </c>
      <c r="H101" s="8">
        <f t="shared" si="8"/>
        <v>1.0664739884393066</v>
      </c>
      <c r="I101" s="8">
        <f t="shared" si="9"/>
        <v>-0.44055944055944063</v>
      </c>
      <c r="J101" s="8">
        <f t="shared" si="10"/>
        <v>0.58041958041958042</v>
      </c>
      <c r="K101" s="8">
        <f t="shared" si="11"/>
        <v>0.33333333333333326</v>
      </c>
      <c r="L101" s="13">
        <f t="shared" si="12"/>
        <v>-0.75903614457831337</v>
      </c>
      <c r="M101" t="str">
        <f t="shared" si="13"/>
        <v>up</v>
      </c>
      <c r="N101">
        <f t="shared" si="14"/>
        <v>3</v>
      </c>
      <c r="Q101" s="8" t="str">
        <f t="shared" si="15"/>
        <v/>
      </c>
    </row>
    <row r="102" spans="1:17">
      <c r="A102">
        <v>238</v>
      </c>
      <c r="B102" t="s">
        <v>781</v>
      </c>
      <c r="C102" s="11">
        <v>45635</v>
      </c>
      <c r="D102">
        <v>34.409999999999997</v>
      </c>
      <c r="E102">
        <v>39</v>
      </c>
      <c r="F102">
        <v>32.4</v>
      </c>
      <c r="G102">
        <f>INDEX('اسعار الاسهم'!A:B,MATCH(B102,'اسعار الاسهم'!K:K,0),2)</f>
        <v>95.5</v>
      </c>
      <c r="H102" s="8">
        <f t="shared" si="8"/>
        <v>1.7753560011624532</v>
      </c>
      <c r="I102" s="8">
        <f t="shared" si="9"/>
        <v>-0.59162303664921467</v>
      </c>
      <c r="J102" s="8">
        <f t="shared" si="10"/>
        <v>0.66073298429319371</v>
      </c>
      <c r="K102" s="8">
        <f t="shared" si="11"/>
        <v>0.20370370370370372</v>
      </c>
      <c r="L102" s="13">
        <f t="shared" si="12"/>
        <v>-0.89540412044374007</v>
      </c>
      <c r="M102" t="str">
        <f t="shared" si="13"/>
        <v>up</v>
      </c>
      <c r="N102">
        <f t="shared" si="14"/>
        <v>2</v>
      </c>
      <c r="Q102" s="8" t="str">
        <f t="shared" si="15"/>
        <v/>
      </c>
    </row>
    <row r="103" spans="1:17">
      <c r="A103">
        <v>241</v>
      </c>
      <c r="B103" t="s">
        <v>790</v>
      </c>
      <c r="C103" s="11">
        <v>45635</v>
      </c>
      <c r="D103">
        <v>6.7</v>
      </c>
      <c r="E103">
        <v>7.7</v>
      </c>
      <c r="F103">
        <v>6.1</v>
      </c>
      <c r="G103">
        <f>INDEX('اسعار الاسهم'!A:B,MATCH(B103,'اسعار الاسهم'!K:K,0),2)</f>
        <v>8.3800000000000008</v>
      </c>
      <c r="H103" s="8">
        <f t="shared" si="8"/>
        <v>0.25074626865671656</v>
      </c>
      <c r="I103" s="8">
        <f t="shared" si="9"/>
        <v>-8.1145584725537012E-2</v>
      </c>
      <c r="J103" s="8">
        <f t="shared" si="10"/>
        <v>0.2720763723150359</v>
      </c>
      <c r="K103" s="8">
        <f t="shared" si="11"/>
        <v>0.26229508196721318</v>
      </c>
      <c r="L103" s="13">
        <f t="shared" si="12"/>
        <v>-0.2982456140350877</v>
      </c>
      <c r="M103" t="str">
        <f t="shared" si="13"/>
        <v>up</v>
      </c>
      <c r="N103">
        <f t="shared" si="14"/>
        <v>1</v>
      </c>
      <c r="Q103" s="8" t="str">
        <f t="shared" si="15"/>
        <v/>
      </c>
    </row>
    <row r="104" spans="1:17">
      <c r="A104">
        <v>243</v>
      </c>
      <c r="B104" t="s">
        <v>846</v>
      </c>
      <c r="C104" s="11">
        <v>45635</v>
      </c>
      <c r="D104">
        <v>0.46300000000000002</v>
      </c>
      <c r="E104">
        <v>0.54</v>
      </c>
      <c r="F104">
        <v>0.43</v>
      </c>
      <c r="G104">
        <f>INDEX('اسعار الاسهم'!A:B,MATCH(B104,'اسعار الاسهم'!K:K,0),2)</f>
        <v>0.39</v>
      </c>
      <c r="H104" s="8">
        <f t="shared" si="8"/>
        <v>-0.15766738660907131</v>
      </c>
      <c r="I104" s="8">
        <f t="shared" si="9"/>
        <v>0.38461538461538458</v>
      </c>
      <c r="J104" s="8">
        <f t="shared" si="10"/>
        <v>-0.10256410256410242</v>
      </c>
      <c r="K104" s="8">
        <f t="shared" si="11"/>
        <v>0.2558139534883721</v>
      </c>
      <c r="L104" s="13">
        <f t="shared" si="12"/>
        <v>-3.7500000000000049</v>
      </c>
      <c r="M104" t="str">
        <f t="shared" si="13"/>
        <v>down</v>
      </c>
      <c r="N104">
        <f t="shared" si="14"/>
        <v>1</v>
      </c>
      <c r="Q104" s="8" t="str">
        <f t="shared" si="15"/>
        <v/>
      </c>
    </row>
    <row r="105" spans="1:17">
      <c r="A105">
        <v>244</v>
      </c>
      <c r="B105" t="s">
        <v>792</v>
      </c>
      <c r="C105" s="11">
        <v>45635</v>
      </c>
      <c r="D105">
        <v>8.07</v>
      </c>
      <c r="E105">
        <v>9.1999999999999993</v>
      </c>
      <c r="F105">
        <v>7.9</v>
      </c>
      <c r="G105">
        <f>INDEX('اسعار الاسهم'!A:B,MATCH(B105,'اسعار الاسهم'!K:K,0),2)</f>
        <v>10.1</v>
      </c>
      <c r="H105" s="8">
        <f t="shared" si="8"/>
        <v>0.25154894671623285</v>
      </c>
      <c r="I105" s="8">
        <f t="shared" si="9"/>
        <v>-8.9108910891089188E-2</v>
      </c>
      <c r="J105" s="8">
        <f t="shared" si="10"/>
        <v>0.21782178217821779</v>
      </c>
      <c r="K105" s="8">
        <f t="shared" si="11"/>
        <v>0.16455696202531622</v>
      </c>
      <c r="L105" s="13">
        <f t="shared" si="12"/>
        <v>-0.4090909090909095</v>
      </c>
      <c r="M105" t="str">
        <f t="shared" si="13"/>
        <v>up</v>
      </c>
      <c r="N105">
        <f t="shared" si="14"/>
        <v>4</v>
      </c>
      <c r="Q105" s="8" t="str">
        <f t="shared" si="15"/>
        <v/>
      </c>
    </row>
    <row r="106" spans="1:17">
      <c r="A106">
        <v>227</v>
      </c>
      <c r="B106" t="s">
        <v>795</v>
      </c>
      <c r="C106" s="11">
        <v>45634</v>
      </c>
      <c r="D106">
        <v>53.2</v>
      </c>
      <c r="E106">
        <v>60.3</v>
      </c>
      <c r="F106">
        <v>50.5</v>
      </c>
      <c r="G106">
        <f>INDEX('اسعار الاسهم'!A:B,MATCH(B106,'اسعار الاسهم'!K:K,0),2)</f>
        <v>143.44999999999999</v>
      </c>
      <c r="H106" s="8">
        <f t="shared" si="8"/>
        <v>1.6964285714285712</v>
      </c>
      <c r="I106" s="8">
        <f t="shared" si="9"/>
        <v>-0.57964447542697806</v>
      </c>
      <c r="J106" s="8">
        <f t="shared" si="10"/>
        <v>0.64796096200766817</v>
      </c>
      <c r="K106" s="8">
        <f t="shared" si="11"/>
        <v>0.19405940594059401</v>
      </c>
      <c r="L106" s="13">
        <f t="shared" si="12"/>
        <v>-0.89456697149004849</v>
      </c>
      <c r="M106" t="str">
        <f t="shared" si="13"/>
        <v>up</v>
      </c>
      <c r="N106">
        <f t="shared" si="14"/>
        <v>3</v>
      </c>
      <c r="Q106" s="8" t="str">
        <f t="shared" si="15"/>
        <v/>
      </c>
    </row>
    <row r="107" spans="1:17">
      <c r="A107">
        <v>229</v>
      </c>
      <c r="B107" t="s">
        <v>832</v>
      </c>
      <c r="C107" s="11">
        <v>45634</v>
      </c>
      <c r="D107">
        <v>15.74</v>
      </c>
      <c r="E107">
        <v>17.899999999999999</v>
      </c>
      <c r="F107">
        <v>14.75</v>
      </c>
      <c r="G107">
        <f>INDEX('اسعار الاسهم'!A:B,MATCH(B107,'اسعار الاسهم'!K:K,0),2)</f>
        <v>54.2</v>
      </c>
      <c r="H107" s="8">
        <f t="shared" si="8"/>
        <v>2.4434561626429478</v>
      </c>
      <c r="I107" s="8">
        <f t="shared" si="9"/>
        <v>-0.6697416974169742</v>
      </c>
      <c r="J107" s="8">
        <f t="shared" si="10"/>
        <v>0.72785977859778606</v>
      </c>
      <c r="K107" s="8">
        <f t="shared" si="11"/>
        <v>0.21355932203389827</v>
      </c>
      <c r="L107" s="13">
        <f t="shared" si="12"/>
        <v>-0.92015209125475284</v>
      </c>
      <c r="M107" t="str">
        <f t="shared" si="13"/>
        <v>up</v>
      </c>
      <c r="N107">
        <f t="shared" si="14"/>
        <v>6</v>
      </c>
      <c r="Q107" s="8" t="str">
        <f t="shared" si="15"/>
        <v/>
      </c>
    </row>
    <row r="108" spans="1:17">
      <c r="A108">
        <v>230</v>
      </c>
      <c r="B108" t="s">
        <v>878</v>
      </c>
      <c r="C108" s="11">
        <v>45634</v>
      </c>
      <c r="D108">
        <v>8.33</v>
      </c>
      <c r="E108">
        <v>9.4</v>
      </c>
      <c r="F108">
        <v>7.5</v>
      </c>
      <c r="G108">
        <f>INDEX('اسعار الاسهم'!A:B,MATCH(B108,'اسعار الاسهم'!K:K,0),2)</f>
        <v>15.19</v>
      </c>
      <c r="H108" s="8">
        <f t="shared" si="8"/>
        <v>0.82352941176470584</v>
      </c>
      <c r="I108" s="8">
        <f t="shared" si="9"/>
        <v>-0.38117182356813684</v>
      </c>
      <c r="J108" s="8">
        <f t="shared" si="10"/>
        <v>0.50625411454904534</v>
      </c>
      <c r="K108" s="8">
        <f t="shared" si="11"/>
        <v>0.25333333333333341</v>
      </c>
      <c r="L108" s="13">
        <f t="shared" si="12"/>
        <v>-0.75292587776332898</v>
      </c>
      <c r="M108" t="str">
        <f t="shared" si="13"/>
        <v>up</v>
      </c>
      <c r="N108">
        <f t="shared" si="14"/>
        <v>2</v>
      </c>
      <c r="Q108" s="8" t="str">
        <f t="shared" si="15"/>
        <v/>
      </c>
    </row>
    <row r="109" spans="1:17">
      <c r="A109">
        <v>213</v>
      </c>
      <c r="B109" t="s">
        <v>747</v>
      </c>
      <c r="C109" s="11">
        <v>45631</v>
      </c>
      <c r="D109">
        <v>57.86</v>
      </c>
      <c r="E109">
        <v>63.5</v>
      </c>
      <c r="F109">
        <v>55</v>
      </c>
      <c r="G109">
        <f>INDEX('اسعار الاسهم'!A:B,MATCH(B109,'اسعار الاسهم'!K:K,0),2)</f>
        <v>99.48</v>
      </c>
      <c r="H109" s="8">
        <f t="shared" si="8"/>
        <v>0.71932250259246455</v>
      </c>
      <c r="I109" s="8">
        <f t="shared" si="9"/>
        <v>-0.3616807398472055</v>
      </c>
      <c r="J109" s="8">
        <f t="shared" si="10"/>
        <v>0.44712505026135907</v>
      </c>
      <c r="K109" s="8">
        <f t="shared" si="11"/>
        <v>0.15454545454545454</v>
      </c>
      <c r="L109" s="13">
        <f t="shared" si="12"/>
        <v>-0.80890287769784175</v>
      </c>
      <c r="M109" t="str">
        <f t="shared" si="13"/>
        <v>up</v>
      </c>
      <c r="N109">
        <f t="shared" si="14"/>
        <v>5</v>
      </c>
      <c r="Q109" s="8" t="str">
        <f t="shared" si="15"/>
        <v/>
      </c>
    </row>
    <row r="110" spans="1:17">
      <c r="A110">
        <v>214</v>
      </c>
      <c r="B110" t="s">
        <v>772</v>
      </c>
      <c r="C110" s="11">
        <v>45631</v>
      </c>
      <c r="D110">
        <v>116.76</v>
      </c>
      <c r="E110">
        <v>126</v>
      </c>
      <c r="F110">
        <v>111</v>
      </c>
      <c r="G110">
        <f>INDEX('اسعار الاسهم'!A:B,MATCH(B110,'اسعار الاسهم'!K:K,0),2)</f>
        <v>331.99</v>
      </c>
      <c r="H110" s="8">
        <f t="shared" si="8"/>
        <v>1.843353888317917</v>
      </c>
      <c r="I110" s="8">
        <f t="shared" si="9"/>
        <v>-0.62047049609928018</v>
      </c>
      <c r="J110" s="8">
        <f t="shared" si="10"/>
        <v>0.66565257989698479</v>
      </c>
      <c r="K110" s="8">
        <f t="shared" si="11"/>
        <v>0.13513513513513509</v>
      </c>
      <c r="L110" s="13">
        <f t="shared" si="12"/>
        <v>-0.93212362550341665</v>
      </c>
      <c r="M110" t="str">
        <f t="shared" si="13"/>
        <v>up</v>
      </c>
      <c r="N110">
        <f t="shared" si="14"/>
        <v>4</v>
      </c>
      <c r="Q110" s="8" t="str">
        <f t="shared" si="15"/>
        <v/>
      </c>
    </row>
    <row r="111" spans="1:17">
      <c r="A111">
        <v>215</v>
      </c>
      <c r="B111" t="s">
        <v>746</v>
      </c>
      <c r="C111" s="11">
        <v>45631</v>
      </c>
      <c r="D111">
        <v>3.35</v>
      </c>
      <c r="E111">
        <v>3.7</v>
      </c>
      <c r="F111">
        <v>3</v>
      </c>
      <c r="G111">
        <f>INDEX('اسعار الاسهم'!A:B,MATCH(B111,'اسعار الاسهم'!K:K,0),2)</f>
        <v>7.15</v>
      </c>
      <c r="H111" s="8">
        <f t="shared" si="8"/>
        <v>1.1343283582089554</v>
      </c>
      <c r="I111" s="8">
        <f t="shared" si="9"/>
        <v>-0.4825174825174825</v>
      </c>
      <c r="J111" s="8">
        <f t="shared" si="10"/>
        <v>0.58041958041958042</v>
      </c>
      <c r="K111" s="8">
        <f t="shared" si="11"/>
        <v>0.23333333333333339</v>
      </c>
      <c r="L111" s="13">
        <f t="shared" si="12"/>
        <v>-0.83132530120481929</v>
      </c>
      <c r="M111" t="str">
        <f t="shared" si="13"/>
        <v>up</v>
      </c>
      <c r="N111">
        <f t="shared" si="14"/>
        <v>3</v>
      </c>
      <c r="Q111" s="8" t="str">
        <f t="shared" si="15"/>
        <v/>
      </c>
    </row>
    <row r="112" spans="1:17">
      <c r="A112">
        <v>218</v>
      </c>
      <c r="B112" t="s">
        <v>784</v>
      </c>
      <c r="C112" s="11">
        <v>45631</v>
      </c>
      <c r="D112">
        <v>21</v>
      </c>
      <c r="E112">
        <v>25.15</v>
      </c>
      <c r="F112">
        <v>20</v>
      </c>
      <c r="G112">
        <f>INDEX('اسعار الاسهم'!A:B,MATCH(B112,'اسعار الاسهم'!K:K,0),2)</f>
        <v>26.32</v>
      </c>
      <c r="H112" s="8">
        <f t="shared" si="8"/>
        <v>0.25333333333333341</v>
      </c>
      <c r="I112" s="8">
        <f t="shared" si="9"/>
        <v>-4.4452887537994035E-2</v>
      </c>
      <c r="J112" s="8">
        <f t="shared" si="10"/>
        <v>0.24012158054711252</v>
      </c>
      <c r="K112" s="8">
        <f t="shared" si="11"/>
        <v>0.25749999999999984</v>
      </c>
      <c r="L112" s="13">
        <f t="shared" si="12"/>
        <v>-0.18512658227848144</v>
      </c>
      <c r="M112" t="str">
        <f t="shared" si="13"/>
        <v>up</v>
      </c>
      <c r="N112">
        <f t="shared" si="14"/>
        <v>2</v>
      </c>
      <c r="Q112" s="8" t="str">
        <f t="shared" si="15"/>
        <v/>
      </c>
    </row>
    <row r="113" spans="1:17">
      <c r="A113">
        <v>219</v>
      </c>
      <c r="B113" t="s">
        <v>788</v>
      </c>
      <c r="C113" s="11">
        <v>45631</v>
      </c>
      <c r="D113">
        <v>8.8699999999999992</v>
      </c>
      <c r="E113">
        <v>9.8000000000000007</v>
      </c>
      <c r="F113">
        <v>8.1999999999999993</v>
      </c>
      <c r="G113">
        <f>INDEX('اسعار الاسهم'!A:B,MATCH(B113,'اسعار الاسهم'!K:K,0),2)</f>
        <v>19.32</v>
      </c>
      <c r="H113" s="8">
        <f t="shared" si="8"/>
        <v>1.1781285231116123</v>
      </c>
      <c r="I113" s="8">
        <f t="shared" si="9"/>
        <v>-0.49275362318840576</v>
      </c>
      <c r="J113" s="8">
        <f t="shared" si="10"/>
        <v>0.57556935817805388</v>
      </c>
      <c r="K113" s="8">
        <f t="shared" si="11"/>
        <v>0.19512195121951237</v>
      </c>
      <c r="L113" s="13">
        <f t="shared" si="12"/>
        <v>-0.85611510791366896</v>
      </c>
      <c r="M113" t="str">
        <f t="shared" si="13"/>
        <v>up</v>
      </c>
      <c r="N113">
        <f t="shared" si="14"/>
        <v>2</v>
      </c>
      <c r="Q113" s="8" t="str">
        <f t="shared" si="15"/>
        <v/>
      </c>
    </row>
    <row r="114" spans="1:17">
      <c r="A114">
        <v>221</v>
      </c>
      <c r="B114" t="s">
        <v>778</v>
      </c>
      <c r="C114" s="11">
        <v>45631</v>
      </c>
      <c r="D114">
        <v>2.48</v>
      </c>
      <c r="E114">
        <v>2.75</v>
      </c>
      <c r="F114">
        <v>2.2999999999999998</v>
      </c>
      <c r="G114">
        <f>INDEX('اسعار الاسهم'!A:B,MATCH(B114,'اسعار الاسهم'!K:K,0),2)</f>
        <v>1.23</v>
      </c>
      <c r="H114" s="8">
        <f t="shared" si="8"/>
        <v>-0.50403225806451613</v>
      </c>
      <c r="I114" s="8">
        <f t="shared" si="9"/>
        <v>1.2357723577235773</v>
      </c>
      <c r="J114" s="8">
        <f t="shared" si="10"/>
        <v>-0.86991869918699183</v>
      </c>
      <c r="K114" s="8">
        <f t="shared" si="11"/>
        <v>0.19565217391304368</v>
      </c>
      <c r="L114" s="13">
        <f t="shared" si="12"/>
        <v>-1.4205607476635516</v>
      </c>
      <c r="M114" t="str">
        <f t="shared" si="13"/>
        <v>down</v>
      </c>
      <c r="N114">
        <f t="shared" si="14"/>
        <v>1</v>
      </c>
      <c r="Q114" s="8" t="str">
        <f t="shared" si="15"/>
        <v/>
      </c>
    </row>
    <row r="115" spans="1:17">
      <c r="A115">
        <v>222</v>
      </c>
      <c r="B115" s="11" t="s">
        <v>832</v>
      </c>
      <c r="C115" s="11">
        <v>45631</v>
      </c>
      <c r="D115">
        <v>15.7</v>
      </c>
      <c r="E115">
        <v>18</v>
      </c>
      <c r="F115">
        <v>15</v>
      </c>
      <c r="G115">
        <f>INDEX('اسعار الاسهم'!A:B,MATCH(B115,'اسعار الاسهم'!K:K,0),2)</f>
        <v>54.2</v>
      </c>
      <c r="H115" s="8">
        <f t="shared" si="8"/>
        <v>2.4522292993630574</v>
      </c>
      <c r="I115" s="8">
        <f t="shared" si="9"/>
        <v>-0.66789667896678973</v>
      </c>
      <c r="J115" s="8">
        <f t="shared" si="10"/>
        <v>0.7232472324723247</v>
      </c>
      <c r="K115" s="8">
        <f t="shared" si="11"/>
        <v>0.19999999999999996</v>
      </c>
      <c r="L115" s="13">
        <f t="shared" si="12"/>
        <v>-0.92346938775510212</v>
      </c>
      <c r="M115" t="str">
        <f t="shared" si="13"/>
        <v>up</v>
      </c>
      <c r="N115">
        <f t="shared" si="14"/>
        <v>6</v>
      </c>
      <c r="Q115" s="8" t="str">
        <f t="shared" si="15"/>
        <v/>
      </c>
    </row>
    <row r="116" spans="1:17">
      <c r="A116">
        <v>224</v>
      </c>
      <c r="B116" t="s">
        <v>877</v>
      </c>
      <c r="C116" s="11">
        <v>45631</v>
      </c>
      <c r="D116">
        <v>2.62</v>
      </c>
      <c r="E116">
        <v>3.05</v>
      </c>
      <c r="F116">
        <v>2.5</v>
      </c>
      <c r="G116">
        <f>INDEX('اسعار الاسهم'!A:B,MATCH(B116,'اسعار الاسهم'!K:K,0),2)</f>
        <v>8.3000000000000007</v>
      </c>
      <c r="H116" s="8">
        <f t="shared" si="8"/>
        <v>2.16793893129771</v>
      </c>
      <c r="I116" s="8">
        <f t="shared" si="9"/>
        <v>-0.6325301204819278</v>
      </c>
      <c r="J116" s="8">
        <f t="shared" si="10"/>
        <v>0.6987951807228916</v>
      </c>
      <c r="K116" s="8">
        <f t="shared" si="11"/>
        <v>0.21999999999999997</v>
      </c>
      <c r="L116" s="13">
        <f t="shared" si="12"/>
        <v>-0.90517241379310354</v>
      </c>
      <c r="M116" t="str">
        <f t="shared" si="13"/>
        <v>up</v>
      </c>
      <c r="N116">
        <f t="shared" si="14"/>
        <v>1</v>
      </c>
      <c r="Q116" s="8" t="str">
        <f t="shared" si="15"/>
        <v/>
      </c>
    </row>
    <row r="117" spans="1:17">
      <c r="A117">
        <v>207</v>
      </c>
      <c r="B117" t="s">
        <v>860</v>
      </c>
      <c r="C117" s="11">
        <v>45630</v>
      </c>
      <c r="D117">
        <v>4.45</v>
      </c>
      <c r="E117">
        <v>5</v>
      </c>
      <c r="F117">
        <v>4.0999999999999996</v>
      </c>
      <c r="G117">
        <f>INDEX('اسعار الاسهم'!A:B,MATCH(B117,'اسعار الاسهم'!K:K,0),2)</f>
        <v>7.33</v>
      </c>
      <c r="H117" s="8">
        <f t="shared" si="8"/>
        <v>0.6471910112359549</v>
      </c>
      <c r="I117" s="8">
        <f t="shared" si="9"/>
        <v>-0.31787175989085947</v>
      </c>
      <c r="J117" s="8">
        <f t="shared" si="10"/>
        <v>0.44065484311050485</v>
      </c>
      <c r="K117" s="8">
        <f t="shared" si="11"/>
        <v>0.21951219512195141</v>
      </c>
      <c r="L117" s="13">
        <f t="shared" si="12"/>
        <v>-0.72136222910216707</v>
      </c>
      <c r="M117" t="str">
        <f t="shared" si="13"/>
        <v>up</v>
      </c>
      <c r="N117">
        <f t="shared" si="14"/>
        <v>1</v>
      </c>
      <c r="Q117" s="8" t="str">
        <f t="shared" si="15"/>
        <v/>
      </c>
    </row>
    <row r="118" spans="1:17">
      <c r="A118" s="3">
        <v>210</v>
      </c>
      <c r="B118" t="s">
        <v>761</v>
      </c>
      <c r="C118" s="11">
        <v>45630</v>
      </c>
      <c r="D118" s="39">
        <f>7.26*9/17</f>
        <v>3.8435294117647061</v>
      </c>
      <c r="E118" s="39">
        <f>8.9*9/17</f>
        <v>4.7117647058823531</v>
      </c>
      <c r="F118" s="39">
        <f>6.9*9/17</f>
        <v>3.6529411764705881</v>
      </c>
      <c r="G118">
        <f>INDEX('اسعار الاسهم'!A:B,MATCH(B118,'اسعار الاسهم'!K:K,0),2)</f>
        <v>5.86</v>
      </c>
      <c r="H118" s="8">
        <f t="shared" si="8"/>
        <v>0.5246403428221611</v>
      </c>
      <c r="I118" s="8">
        <f t="shared" si="9"/>
        <v>-0.19594458943987159</v>
      </c>
      <c r="J118" s="8">
        <f t="shared" si="10"/>
        <v>0.37663119855450722</v>
      </c>
      <c r="K118" s="8">
        <f t="shared" si="11"/>
        <v>0.28985507246376829</v>
      </c>
      <c r="L118" s="13">
        <f t="shared" si="12"/>
        <v>-0.52025586353944575</v>
      </c>
      <c r="M118" t="str">
        <f t="shared" si="13"/>
        <v>up</v>
      </c>
      <c r="N118">
        <f t="shared" si="14"/>
        <v>3</v>
      </c>
      <c r="Q118" s="8" t="str">
        <f t="shared" si="15"/>
        <v/>
      </c>
    </row>
    <row r="119" spans="1:17">
      <c r="A119" s="3">
        <v>211</v>
      </c>
      <c r="B119" t="s">
        <v>808</v>
      </c>
      <c r="C119" s="11">
        <v>45630</v>
      </c>
      <c r="D119">
        <v>25.3</v>
      </c>
      <c r="E119">
        <v>28</v>
      </c>
      <c r="F119">
        <v>24.15</v>
      </c>
      <c r="G119">
        <f>INDEX('اسعار الاسهم'!A:B,MATCH(B119,'اسعار الاسهم'!K:K,0),2)</f>
        <v>41.43</v>
      </c>
      <c r="H119" s="8">
        <f t="shared" si="8"/>
        <v>0.63754940711462438</v>
      </c>
      <c r="I119" s="8">
        <f t="shared" si="9"/>
        <v>-0.32416123581945455</v>
      </c>
      <c r="J119" s="8">
        <f t="shared" si="10"/>
        <v>0.41708906589427952</v>
      </c>
      <c r="K119" s="8">
        <f t="shared" si="11"/>
        <v>0.15942028985507251</v>
      </c>
      <c r="L119" s="13">
        <f t="shared" si="12"/>
        <v>-0.77719907407407418</v>
      </c>
      <c r="M119" t="str">
        <f t="shared" si="13"/>
        <v>up</v>
      </c>
      <c r="N119">
        <f t="shared" si="14"/>
        <v>3</v>
      </c>
      <c r="Q119" s="8" t="str">
        <f t="shared" si="15"/>
        <v/>
      </c>
    </row>
    <row r="120" spans="1:17">
      <c r="A120">
        <v>197</v>
      </c>
      <c r="B120" t="s">
        <v>770</v>
      </c>
      <c r="C120" s="11">
        <v>45629</v>
      </c>
      <c r="D120">
        <v>4.08</v>
      </c>
      <c r="E120">
        <v>4.5999999999999996</v>
      </c>
      <c r="F120">
        <v>3.9</v>
      </c>
      <c r="G120">
        <f>INDEX('اسعار الاسهم'!A:B,MATCH(B120,'اسعار الاسهم'!K:K,0),2)</f>
        <v>6.79</v>
      </c>
      <c r="H120" s="8">
        <f t="shared" si="8"/>
        <v>0.66421568627450989</v>
      </c>
      <c r="I120" s="8">
        <f t="shared" si="9"/>
        <v>-0.32253313696612673</v>
      </c>
      <c r="J120" s="8">
        <f t="shared" si="10"/>
        <v>0.42562592047128134</v>
      </c>
      <c r="K120" s="8">
        <f t="shared" si="11"/>
        <v>0.17948717948717952</v>
      </c>
      <c r="L120" s="13">
        <f t="shared" si="12"/>
        <v>-0.75778546712802775</v>
      </c>
      <c r="M120" t="str">
        <f t="shared" si="13"/>
        <v>up</v>
      </c>
      <c r="N120">
        <f t="shared" si="14"/>
        <v>4</v>
      </c>
      <c r="Q120" s="8" t="str">
        <f t="shared" si="15"/>
        <v/>
      </c>
    </row>
    <row r="121" spans="1:17">
      <c r="A121">
        <v>198</v>
      </c>
      <c r="B121" t="s">
        <v>792</v>
      </c>
      <c r="C121" s="11">
        <v>45629</v>
      </c>
      <c r="D121">
        <v>8.32</v>
      </c>
      <c r="E121">
        <v>9</v>
      </c>
      <c r="F121">
        <v>7.9</v>
      </c>
      <c r="G121">
        <f>INDEX('اسعار الاسهم'!A:B,MATCH(B121,'اسعار الاسهم'!K:K,0),2)</f>
        <v>10.1</v>
      </c>
      <c r="H121" s="8">
        <f t="shared" si="8"/>
        <v>0.21394230769230771</v>
      </c>
      <c r="I121" s="8">
        <f t="shared" si="9"/>
        <v>-0.1089108910891089</v>
      </c>
      <c r="J121" s="8">
        <f t="shared" si="10"/>
        <v>0.21782178217821779</v>
      </c>
      <c r="K121" s="8">
        <f t="shared" si="11"/>
        <v>0.13924050632911378</v>
      </c>
      <c r="L121" s="13">
        <f t="shared" si="12"/>
        <v>-0.5</v>
      </c>
      <c r="M121" t="str">
        <f t="shared" si="13"/>
        <v>up</v>
      </c>
      <c r="N121">
        <f t="shared" si="14"/>
        <v>4</v>
      </c>
      <c r="Q121" s="8" t="str">
        <f t="shared" si="15"/>
        <v/>
      </c>
    </row>
    <row r="122" spans="1:17">
      <c r="A122">
        <v>199</v>
      </c>
      <c r="B122" t="s">
        <v>792</v>
      </c>
      <c r="C122" s="11">
        <v>45629</v>
      </c>
      <c r="D122">
        <v>8.32</v>
      </c>
      <c r="E122">
        <v>9.25</v>
      </c>
      <c r="F122">
        <v>7.65</v>
      </c>
      <c r="G122">
        <f>INDEX('اسعار الاسهم'!A:B,MATCH(B122,'اسعار الاسهم'!K:K,0),2)</f>
        <v>10.1</v>
      </c>
      <c r="H122" s="8">
        <f t="shared" si="8"/>
        <v>0.21394230769230771</v>
      </c>
      <c r="I122" s="8">
        <f t="shared" si="9"/>
        <v>-8.4158415841584122E-2</v>
      </c>
      <c r="J122" s="8">
        <f t="shared" si="10"/>
        <v>0.24257425742574257</v>
      </c>
      <c r="K122" s="8">
        <f t="shared" si="11"/>
        <v>0.20915032679738554</v>
      </c>
      <c r="L122" s="13">
        <f t="shared" si="12"/>
        <v>-0.34693877551020397</v>
      </c>
      <c r="M122" t="str">
        <f t="shared" si="13"/>
        <v>up</v>
      </c>
      <c r="N122">
        <f t="shared" si="14"/>
        <v>4</v>
      </c>
      <c r="Q122" s="8" t="str">
        <f t="shared" si="15"/>
        <v/>
      </c>
    </row>
    <row r="123" spans="1:17">
      <c r="A123">
        <v>201</v>
      </c>
      <c r="B123" t="s">
        <v>768</v>
      </c>
      <c r="C123" s="11">
        <v>45629</v>
      </c>
      <c r="D123">
        <v>1.47</v>
      </c>
      <c r="E123">
        <v>1.6</v>
      </c>
      <c r="F123">
        <v>1.38</v>
      </c>
      <c r="G123">
        <f>INDEX('اسعار الاسهم'!A:B,MATCH(B123,'اسعار الاسهم'!K:K,0),2)</f>
        <v>2.33</v>
      </c>
      <c r="H123" s="8">
        <f t="shared" si="8"/>
        <v>0.58503401360544216</v>
      </c>
      <c r="I123" s="8">
        <f t="shared" si="9"/>
        <v>-0.31330472103004292</v>
      </c>
      <c r="J123" s="8">
        <f t="shared" si="10"/>
        <v>0.40772532188841204</v>
      </c>
      <c r="K123" s="8">
        <f t="shared" si="11"/>
        <v>0.15942028985507273</v>
      </c>
      <c r="L123" s="13">
        <f t="shared" si="12"/>
        <v>-0.76842105263157889</v>
      </c>
      <c r="M123" t="str">
        <f t="shared" si="13"/>
        <v>up</v>
      </c>
      <c r="N123">
        <f t="shared" si="14"/>
        <v>4</v>
      </c>
      <c r="Q123" s="8" t="str">
        <f t="shared" si="15"/>
        <v/>
      </c>
    </row>
    <row r="124" spans="1:17">
      <c r="A124">
        <v>184</v>
      </c>
      <c r="B124" t="s">
        <v>731</v>
      </c>
      <c r="C124" s="11">
        <v>45628</v>
      </c>
      <c r="D124">
        <v>5.91</v>
      </c>
      <c r="E124">
        <v>6.9</v>
      </c>
      <c r="F124">
        <v>5.6</v>
      </c>
      <c r="G124">
        <f>INDEX('اسعار الاسهم'!A:B,MATCH(B124,'اسعار الاسهم'!K:K,0),2)</f>
        <v>13.61</v>
      </c>
      <c r="H124" s="8">
        <f t="shared" si="8"/>
        <v>1.302876480541455</v>
      </c>
      <c r="I124" s="8">
        <f t="shared" si="9"/>
        <v>-0.49301983835415131</v>
      </c>
      <c r="J124" s="8">
        <f t="shared" si="10"/>
        <v>0.58853783982365915</v>
      </c>
      <c r="K124" s="8">
        <f t="shared" si="11"/>
        <v>0.23214285714285721</v>
      </c>
      <c r="L124" s="13">
        <f t="shared" si="12"/>
        <v>-0.8377028714107364</v>
      </c>
      <c r="M124" t="str">
        <f t="shared" si="13"/>
        <v>up</v>
      </c>
      <c r="N124">
        <f t="shared" si="14"/>
        <v>4</v>
      </c>
      <c r="Q124" s="8" t="str">
        <f t="shared" si="15"/>
        <v/>
      </c>
    </row>
    <row r="125" spans="1:17" hidden="1">
      <c r="A125">
        <v>76</v>
      </c>
      <c r="B125" t="s">
        <v>830</v>
      </c>
      <c r="C125" s="11">
        <v>45610</v>
      </c>
      <c r="D125">
        <v>11.39</v>
      </c>
      <c r="E125">
        <v>12.8</v>
      </c>
      <c r="F125">
        <v>10.4</v>
      </c>
      <c r="G125">
        <f>INDEX('اسعار الاسهم'!A:B,MATCH(B125,'اسعار الاسهم'!K:K,0),2)</f>
        <v>22.1</v>
      </c>
      <c r="H125" s="8" t="str">
        <f t="shared" si="8"/>
        <v/>
      </c>
      <c r="I125" s="8" t="str">
        <f t="shared" si="9"/>
        <v/>
      </c>
      <c r="J125" s="8" t="str">
        <f t="shared" si="10"/>
        <v/>
      </c>
      <c r="K125" s="8">
        <f t="shared" si="11"/>
        <v>0.23076923076923084</v>
      </c>
      <c r="L125" s="13" t="str">
        <f t="shared" si="12"/>
        <v/>
      </c>
      <c r="M125" t="str">
        <f t="shared" si="13"/>
        <v/>
      </c>
      <c r="N125">
        <f t="shared" si="14"/>
        <v>1</v>
      </c>
      <c r="O125">
        <v>0</v>
      </c>
      <c r="P125">
        <v>199</v>
      </c>
      <c r="Q125" s="8">
        <f t="shared" si="15"/>
        <v>-8.6918349429323971E-2</v>
      </c>
    </row>
    <row r="126" spans="1:17" hidden="1">
      <c r="A126">
        <v>119</v>
      </c>
      <c r="B126" t="s">
        <v>730</v>
      </c>
      <c r="C126" s="11">
        <v>45616</v>
      </c>
      <c r="D126">
        <v>29.77</v>
      </c>
      <c r="E126">
        <v>34</v>
      </c>
      <c r="F126">
        <v>27.5</v>
      </c>
      <c r="G126">
        <f>INDEX('اسعار الاسهم'!A:B,MATCH(B126,'اسعار الاسهم'!K:K,0),2)</f>
        <v>27.92</v>
      </c>
      <c r="H126" s="8" t="str">
        <f t="shared" si="8"/>
        <v/>
      </c>
      <c r="I126" s="8" t="str">
        <f t="shared" si="9"/>
        <v/>
      </c>
      <c r="J126" s="8" t="str">
        <f t="shared" si="10"/>
        <v/>
      </c>
      <c r="K126" s="8">
        <f t="shared" si="11"/>
        <v>0.23636363636363633</v>
      </c>
      <c r="L126" s="13" t="str">
        <f t="shared" si="12"/>
        <v/>
      </c>
      <c r="M126" t="str">
        <f t="shared" si="13"/>
        <v/>
      </c>
      <c r="N126">
        <f t="shared" si="14"/>
        <v>0</v>
      </c>
      <c r="O126">
        <v>0</v>
      </c>
      <c r="P126">
        <v>198</v>
      </c>
      <c r="Q126" s="8">
        <f t="shared" si="15"/>
        <v>-7.6251259657373227E-2</v>
      </c>
    </row>
    <row r="127" spans="1:17" hidden="1">
      <c r="A127">
        <v>233</v>
      </c>
      <c r="B127" t="s">
        <v>745</v>
      </c>
      <c r="C127" s="11">
        <v>45634</v>
      </c>
      <c r="D127">
        <v>2.94</v>
      </c>
      <c r="E127">
        <v>3.45</v>
      </c>
      <c r="F127">
        <v>2.8</v>
      </c>
      <c r="G127">
        <f>INDEX('اسعار الاسهم'!A:B,MATCH(B127,'اسعار الاسهم'!K:K,0),2)</f>
        <v>3.08</v>
      </c>
      <c r="H127" s="8" t="str">
        <f t="shared" si="8"/>
        <v/>
      </c>
      <c r="I127" s="8" t="str">
        <f t="shared" si="9"/>
        <v/>
      </c>
      <c r="J127" s="8" t="str">
        <f t="shared" si="10"/>
        <v/>
      </c>
      <c r="K127" s="8">
        <f t="shared" si="11"/>
        <v>0.23214285714285721</v>
      </c>
      <c r="L127" s="13" t="str">
        <f t="shared" si="12"/>
        <v/>
      </c>
      <c r="M127" t="str">
        <f t="shared" si="13"/>
        <v/>
      </c>
      <c r="N127">
        <f t="shared" si="14"/>
        <v>0</v>
      </c>
      <c r="O127">
        <v>0</v>
      </c>
      <c r="P127">
        <v>182</v>
      </c>
      <c r="Q127" s="8">
        <f t="shared" si="15"/>
        <v>-4.7619047619047672E-2</v>
      </c>
    </row>
    <row r="128" spans="1:17" hidden="1">
      <c r="A128">
        <v>282</v>
      </c>
      <c r="B128" t="s">
        <v>878</v>
      </c>
      <c r="C128" s="11">
        <v>45642</v>
      </c>
      <c r="D128">
        <v>8.25</v>
      </c>
      <c r="E128">
        <v>8.85</v>
      </c>
      <c r="F128">
        <v>7.92</v>
      </c>
      <c r="G128">
        <f>INDEX('اسعار الاسهم'!A:B,MATCH(B128,'اسعار الاسهم'!K:K,0),2)</f>
        <v>15.19</v>
      </c>
      <c r="H128" s="8" t="str">
        <f t="shared" si="8"/>
        <v/>
      </c>
      <c r="I128" s="8" t="str">
        <f t="shared" si="9"/>
        <v/>
      </c>
      <c r="J128" s="8" t="str">
        <f t="shared" si="10"/>
        <v/>
      </c>
      <c r="K128" s="8">
        <f t="shared" si="11"/>
        <v>0.11742424242424243</v>
      </c>
      <c r="L128" s="13" t="str">
        <f t="shared" si="12"/>
        <v/>
      </c>
      <c r="M128" t="str">
        <f t="shared" si="13"/>
        <v/>
      </c>
      <c r="N128">
        <f t="shared" si="14"/>
        <v>2</v>
      </c>
      <c r="O128">
        <v>0</v>
      </c>
      <c r="P128">
        <v>180</v>
      </c>
      <c r="Q128" s="8">
        <f t="shared" si="15"/>
        <v>-4.0000000000000036E-2</v>
      </c>
    </row>
    <row r="129" spans="1:17" hidden="1">
      <c r="A129">
        <v>33</v>
      </c>
      <c r="B129" t="s">
        <v>794</v>
      </c>
      <c r="C129" s="11">
        <v>45603</v>
      </c>
      <c r="D129">
        <v>21.35</v>
      </c>
      <c r="E129">
        <v>24.5</v>
      </c>
      <c r="F129">
        <v>20.2</v>
      </c>
      <c r="G129">
        <f>INDEX('اسعار الاسهم'!A:B,MATCH(B129,'اسعار الاسهم'!K:K,0),2)</f>
        <v>23.41</v>
      </c>
      <c r="H129" s="8" t="str">
        <f t="shared" si="8"/>
        <v/>
      </c>
      <c r="I129" s="8" t="str">
        <f t="shared" si="9"/>
        <v/>
      </c>
      <c r="J129" s="8" t="str">
        <f t="shared" si="10"/>
        <v/>
      </c>
      <c r="K129" s="8">
        <f t="shared" si="11"/>
        <v>0.21287128712871284</v>
      </c>
      <c r="L129" s="13" t="str">
        <f t="shared" si="12"/>
        <v/>
      </c>
      <c r="M129" t="str">
        <f t="shared" si="13"/>
        <v/>
      </c>
      <c r="N129">
        <f t="shared" si="14"/>
        <v>0</v>
      </c>
      <c r="O129">
        <v>0</v>
      </c>
      <c r="P129">
        <v>179</v>
      </c>
      <c r="Q129" s="8">
        <f t="shared" si="15"/>
        <v>-5.3864168618267039E-2</v>
      </c>
    </row>
    <row r="130" spans="1:17" hidden="1">
      <c r="A130">
        <v>177</v>
      </c>
      <c r="B130" t="s">
        <v>846</v>
      </c>
      <c r="C130" s="11">
        <v>45627</v>
      </c>
      <c r="D130">
        <v>0.46500000000000002</v>
      </c>
      <c r="E130">
        <v>0.54</v>
      </c>
      <c r="F130">
        <v>0.435</v>
      </c>
      <c r="G130">
        <f>INDEX('اسعار الاسهم'!A:B,MATCH(B130,'اسعار الاسهم'!K:K,0),2)</f>
        <v>0.39</v>
      </c>
      <c r="H130" s="8" t="str">
        <f t="shared" ref="H130:H193" si="16">IF(O130="", G130/D130-1,"")</f>
        <v/>
      </c>
      <c r="I130" s="8" t="str">
        <f t="shared" ref="I130:I193" si="17">IF(O130="", E130/G130-1,"")</f>
        <v/>
      </c>
      <c r="J130" s="8" t="str">
        <f t="shared" ref="J130:J193" si="18">IF(O130="",  1-F130/G130,"")</f>
        <v/>
      </c>
      <c r="K130" s="8">
        <f t="shared" ref="K130:K193" si="19">E130/F130-1</f>
        <v>0.24137931034482762</v>
      </c>
      <c r="L130" s="13" t="str">
        <f t="shared" ref="L130:L193" si="20">IF( P130="",I130/J130,"")</f>
        <v/>
      </c>
      <c r="M130" t="str">
        <f t="shared" ref="M130:M193" si="21">IF(O130="",IF(I130&lt;J130,"up","down"),"")</f>
        <v/>
      </c>
      <c r="N130">
        <f t="shared" ref="N130:N193" si="22">COUNTIFS(B:B,B130,O:O,"")</f>
        <v>1</v>
      </c>
      <c r="O130">
        <v>0</v>
      </c>
      <c r="P130">
        <v>178</v>
      </c>
      <c r="Q130" s="8">
        <f t="shared" ref="Q130:Q193" si="23">IF(NOT( P130=""),IF(O130=1,E130/D130-1,F130/D130-1),"")</f>
        <v>-6.4516129032258118E-2</v>
      </c>
    </row>
    <row r="131" spans="1:17" hidden="1">
      <c r="A131">
        <v>302</v>
      </c>
      <c r="B131" t="s">
        <v>779</v>
      </c>
      <c r="C131" s="11">
        <v>45643</v>
      </c>
      <c r="D131">
        <v>37.299999999999997</v>
      </c>
      <c r="E131">
        <v>42.5</v>
      </c>
      <c r="F131">
        <v>36.35</v>
      </c>
      <c r="G131">
        <f>INDEX('اسعار الاسهم'!A:B,MATCH(B131,'اسعار الاسهم'!K:K,0),2)</f>
        <v>47.7</v>
      </c>
      <c r="H131" s="8" t="str">
        <f t="shared" si="16"/>
        <v/>
      </c>
      <c r="I131" s="8" t="str">
        <f t="shared" si="17"/>
        <v/>
      </c>
      <c r="J131" s="8" t="str">
        <f t="shared" si="18"/>
        <v/>
      </c>
      <c r="K131" s="8">
        <f t="shared" si="19"/>
        <v>0.1691884456671251</v>
      </c>
      <c r="L131" s="13" t="str">
        <f t="shared" si="20"/>
        <v/>
      </c>
      <c r="M131" t="str">
        <f t="shared" si="21"/>
        <v/>
      </c>
      <c r="N131">
        <f t="shared" si="22"/>
        <v>0</v>
      </c>
      <c r="O131">
        <v>0</v>
      </c>
      <c r="P131">
        <v>177</v>
      </c>
      <c r="Q131" s="8">
        <f t="shared" si="23"/>
        <v>-2.5469168900804195E-2</v>
      </c>
    </row>
    <row r="132" spans="1:17" hidden="1">
      <c r="A132">
        <v>267</v>
      </c>
      <c r="B132" t="s">
        <v>885</v>
      </c>
      <c r="C132" s="11">
        <v>45638</v>
      </c>
      <c r="D132">
        <v>65.36</v>
      </c>
      <c r="E132">
        <v>70</v>
      </c>
      <c r="F132">
        <v>63</v>
      </c>
      <c r="G132">
        <f>INDEX('اسعار الاسهم'!A:B,MATCH(B132,'اسعار الاسهم'!K:K,0),2)</f>
        <v>20.7</v>
      </c>
      <c r="H132" s="8" t="str">
        <f t="shared" si="16"/>
        <v/>
      </c>
      <c r="I132" s="8" t="str">
        <f t="shared" si="17"/>
        <v/>
      </c>
      <c r="J132" s="8" t="str">
        <f t="shared" si="18"/>
        <v/>
      </c>
      <c r="K132" s="8">
        <f t="shared" si="19"/>
        <v>0.11111111111111116</v>
      </c>
      <c r="L132" s="13" t="str">
        <f t="shared" si="20"/>
        <v/>
      </c>
      <c r="M132" t="str">
        <f t="shared" si="21"/>
        <v/>
      </c>
      <c r="N132">
        <f t="shared" si="22"/>
        <v>0</v>
      </c>
      <c r="O132">
        <v>0</v>
      </c>
      <c r="P132">
        <v>176</v>
      </c>
      <c r="Q132" s="8">
        <f t="shared" si="23"/>
        <v>-3.6107711138310905E-2</v>
      </c>
    </row>
    <row r="133" spans="1:17" hidden="1">
      <c r="A133">
        <v>292</v>
      </c>
      <c r="B133" t="s">
        <v>881</v>
      </c>
      <c r="C133" s="11">
        <v>45642</v>
      </c>
      <c r="D133">
        <v>0.40500000000000003</v>
      </c>
      <c r="E133">
        <v>0.48</v>
      </c>
      <c r="F133">
        <v>0.39</v>
      </c>
      <c r="G133">
        <f>INDEX('اسعار الاسهم'!A:B,MATCH(B133,'اسعار الاسهم'!K:K,0),2)</f>
        <v>0.36</v>
      </c>
      <c r="H133" s="8" t="str">
        <f t="shared" si="16"/>
        <v/>
      </c>
      <c r="I133" s="8" t="str">
        <f t="shared" si="17"/>
        <v/>
      </c>
      <c r="J133" s="8" t="str">
        <f t="shared" si="18"/>
        <v/>
      </c>
      <c r="K133" s="8">
        <f t="shared" si="19"/>
        <v>0.23076923076923062</v>
      </c>
      <c r="L133" s="13" t="str">
        <f t="shared" si="20"/>
        <v/>
      </c>
      <c r="M133" t="str">
        <f t="shared" si="21"/>
        <v/>
      </c>
      <c r="N133">
        <f t="shared" si="22"/>
        <v>0</v>
      </c>
      <c r="O133">
        <v>0</v>
      </c>
      <c r="P133">
        <v>197</v>
      </c>
      <c r="Q133" s="8">
        <f t="shared" si="23"/>
        <v>-3.703703703703709E-2</v>
      </c>
    </row>
    <row r="134" spans="1:17" hidden="1">
      <c r="A134">
        <v>216</v>
      </c>
      <c r="B134" t="s">
        <v>847</v>
      </c>
      <c r="C134" s="11">
        <v>45631</v>
      </c>
      <c r="D134">
        <v>18.899999999999999</v>
      </c>
      <c r="E134">
        <v>21.8</v>
      </c>
      <c r="F134">
        <v>17.8</v>
      </c>
      <c r="G134">
        <f>INDEX('اسعار الاسهم'!A:B,MATCH(B134,'اسعار الاسهم'!K:K,0),2)</f>
        <v>21.15</v>
      </c>
      <c r="H134" s="8" t="str">
        <f t="shared" si="16"/>
        <v/>
      </c>
      <c r="I134" s="8" t="str">
        <f t="shared" si="17"/>
        <v/>
      </c>
      <c r="J134" s="8" t="str">
        <f t="shared" si="18"/>
        <v/>
      </c>
      <c r="K134" s="8">
        <f t="shared" si="19"/>
        <v>0.22471910112359539</v>
      </c>
      <c r="L134" s="13" t="str">
        <f t="shared" si="20"/>
        <v/>
      </c>
      <c r="M134" t="str">
        <f t="shared" si="21"/>
        <v/>
      </c>
      <c r="N134">
        <f t="shared" si="22"/>
        <v>2</v>
      </c>
      <c r="O134">
        <v>0</v>
      </c>
      <c r="P134">
        <v>175</v>
      </c>
      <c r="Q134" s="8">
        <f t="shared" si="23"/>
        <v>-5.8201058201058142E-2</v>
      </c>
    </row>
    <row r="135" spans="1:17" hidden="1">
      <c r="A135">
        <v>146</v>
      </c>
      <c r="B135" t="s">
        <v>777</v>
      </c>
      <c r="C135" s="11">
        <v>45621</v>
      </c>
      <c r="D135">
        <v>24.82</v>
      </c>
      <c r="E135">
        <v>27</v>
      </c>
      <c r="F135">
        <v>23.8</v>
      </c>
      <c r="G135">
        <f>INDEX('اسعار الاسهم'!A:B,MATCH(B135,'اسعار الاسهم'!K:K,0),2)</f>
        <v>31.55</v>
      </c>
      <c r="H135" s="8" t="str">
        <f t="shared" si="16"/>
        <v/>
      </c>
      <c r="I135" s="8" t="str">
        <f t="shared" si="17"/>
        <v/>
      </c>
      <c r="J135" s="8" t="str">
        <f t="shared" si="18"/>
        <v/>
      </c>
      <c r="K135" s="8">
        <f t="shared" si="19"/>
        <v>0.13445378151260501</v>
      </c>
      <c r="L135" s="13" t="str">
        <f t="shared" si="20"/>
        <v/>
      </c>
      <c r="M135" t="str">
        <f t="shared" si="21"/>
        <v/>
      </c>
      <c r="N135">
        <f t="shared" si="22"/>
        <v>2</v>
      </c>
      <c r="O135">
        <v>0</v>
      </c>
      <c r="P135">
        <v>174</v>
      </c>
      <c r="Q135" s="8">
        <f t="shared" si="23"/>
        <v>-4.1095890410958846E-2</v>
      </c>
    </row>
    <row r="136" spans="1:17" hidden="1">
      <c r="A136">
        <v>264</v>
      </c>
      <c r="B136" t="s">
        <v>777</v>
      </c>
      <c r="C136" s="11">
        <v>45638</v>
      </c>
      <c r="D136">
        <v>24.95</v>
      </c>
      <c r="E136">
        <v>26.65</v>
      </c>
      <c r="F136">
        <v>23.85</v>
      </c>
      <c r="G136">
        <f>INDEX('اسعار الاسهم'!A:B,MATCH(B136,'اسعار الاسهم'!K:K,0),2)</f>
        <v>31.55</v>
      </c>
      <c r="H136" s="8" t="str">
        <f t="shared" si="16"/>
        <v/>
      </c>
      <c r="I136" s="8" t="str">
        <f t="shared" si="17"/>
        <v/>
      </c>
      <c r="J136" s="8" t="str">
        <f t="shared" si="18"/>
        <v/>
      </c>
      <c r="K136" s="8">
        <f t="shared" si="19"/>
        <v>0.11740041928721157</v>
      </c>
      <c r="L136" s="13" t="str">
        <f t="shared" si="20"/>
        <v/>
      </c>
      <c r="M136" t="str">
        <f t="shared" si="21"/>
        <v/>
      </c>
      <c r="N136">
        <f t="shared" si="22"/>
        <v>2</v>
      </c>
      <c r="O136">
        <v>0</v>
      </c>
      <c r="P136">
        <v>173</v>
      </c>
      <c r="Q136" s="8">
        <f t="shared" si="23"/>
        <v>-4.4088176352705344E-2</v>
      </c>
    </row>
    <row r="137" spans="1:17" hidden="1">
      <c r="A137">
        <v>235</v>
      </c>
      <c r="B137" s="11" t="s">
        <v>772</v>
      </c>
      <c r="C137" s="11">
        <v>45634</v>
      </c>
      <c r="D137">
        <v>117.62</v>
      </c>
      <c r="E137">
        <v>126.5</v>
      </c>
      <c r="F137">
        <v>114</v>
      </c>
      <c r="G137">
        <f>INDEX('اسعار الاسهم'!A:B,MATCH(B137,'اسعار الاسهم'!K:K,0),2)</f>
        <v>331.99</v>
      </c>
      <c r="H137" s="8" t="str">
        <f t="shared" si="16"/>
        <v/>
      </c>
      <c r="I137" s="8" t="str">
        <f t="shared" si="17"/>
        <v/>
      </c>
      <c r="J137" s="8" t="str">
        <f t="shared" si="18"/>
        <v/>
      </c>
      <c r="K137" s="8">
        <f t="shared" si="19"/>
        <v>0.10964912280701755</v>
      </c>
      <c r="L137" s="13" t="str">
        <f t="shared" si="20"/>
        <v/>
      </c>
      <c r="M137" t="str">
        <f t="shared" si="21"/>
        <v/>
      </c>
      <c r="N137">
        <f t="shared" si="22"/>
        <v>4</v>
      </c>
      <c r="O137">
        <v>0</v>
      </c>
      <c r="P137">
        <v>172</v>
      </c>
      <c r="Q137" s="8">
        <f t="shared" si="23"/>
        <v>-3.0777078728107532E-2</v>
      </c>
    </row>
    <row r="138" spans="1:17" hidden="1">
      <c r="A138">
        <v>285</v>
      </c>
      <c r="B138" t="s">
        <v>772</v>
      </c>
      <c r="C138" s="11">
        <v>45642</v>
      </c>
      <c r="D138">
        <v>119.24</v>
      </c>
      <c r="E138">
        <v>122</v>
      </c>
      <c r="F138">
        <v>115</v>
      </c>
      <c r="G138">
        <f>INDEX('اسعار الاسهم'!A:B,MATCH(B138,'اسعار الاسهم'!K:K,0),2)</f>
        <v>331.99</v>
      </c>
      <c r="H138" s="8" t="str">
        <f t="shared" si="16"/>
        <v/>
      </c>
      <c r="I138" s="8" t="str">
        <f t="shared" si="17"/>
        <v/>
      </c>
      <c r="J138" s="8" t="str">
        <f t="shared" si="18"/>
        <v/>
      </c>
      <c r="K138" s="8">
        <f t="shared" si="19"/>
        <v>6.0869565217391397E-2</v>
      </c>
      <c r="L138" s="13" t="str">
        <f t="shared" si="20"/>
        <v/>
      </c>
      <c r="M138" t="str">
        <f t="shared" si="21"/>
        <v/>
      </c>
      <c r="N138">
        <f t="shared" si="22"/>
        <v>4</v>
      </c>
      <c r="O138">
        <v>0</v>
      </c>
      <c r="P138">
        <v>171</v>
      </c>
      <c r="Q138" s="8">
        <f t="shared" si="23"/>
        <v>-3.5558537403555857E-2</v>
      </c>
    </row>
    <row r="139" spans="1:17" hidden="1">
      <c r="A139">
        <v>245</v>
      </c>
      <c r="B139" t="s">
        <v>894</v>
      </c>
      <c r="C139" s="11">
        <v>45636</v>
      </c>
      <c r="D139">
        <v>26.85</v>
      </c>
      <c r="E139">
        <v>30</v>
      </c>
      <c r="F139">
        <v>23</v>
      </c>
      <c r="G139">
        <f>INDEX('اسعار الاسهم'!A:B,MATCH(B139,'اسعار الاسهم'!K:K,0),2)</f>
        <v>34.5</v>
      </c>
      <c r="H139" s="8" t="str">
        <f t="shared" si="16"/>
        <v/>
      </c>
      <c r="I139" s="8" t="str">
        <f t="shared" si="17"/>
        <v/>
      </c>
      <c r="J139" s="8" t="str">
        <f t="shared" si="18"/>
        <v/>
      </c>
      <c r="K139" s="8">
        <f t="shared" si="19"/>
        <v>0.30434782608695654</v>
      </c>
      <c r="L139" s="13" t="str">
        <f t="shared" si="20"/>
        <v/>
      </c>
      <c r="M139" t="str">
        <f t="shared" si="21"/>
        <v/>
      </c>
      <c r="N139">
        <f t="shared" si="22"/>
        <v>0</v>
      </c>
      <c r="O139">
        <v>0</v>
      </c>
      <c r="P139">
        <v>167</v>
      </c>
      <c r="Q139" s="8">
        <f t="shared" si="23"/>
        <v>-0.14338919925512106</v>
      </c>
    </row>
    <row r="140" spans="1:17" hidden="1">
      <c r="A140">
        <v>193</v>
      </c>
      <c r="B140" t="s">
        <v>853</v>
      </c>
      <c r="C140" s="11">
        <v>45628</v>
      </c>
      <c r="D140">
        <v>0.96399999999999997</v>
      </c>
      <c r="E140">
        <v>1.0840000000000001</v>
      </c>
      <c r="F140">
        <v>0.93500000000000005</v>
      </c>
      <c r="G140">
        <f>INDEX('اسعار الاسهم'!A:B,MATCH(B140,'اسعار الاسهم'!K:K,0),2)</f>
        <v>1.31</v>
      </c>
      <c r="H140" s="8" t="str">
        <f t="shared" si="16"/>
        <v/>
      </c>
      <c r="I140" s="8" t="str">
        <f t="shared" si="17"/>
        <v/>
      </c>
      <c r="J140" s="8" t="str">
        <f t="shared" si="18"/>
        <v/>
      </c>
      <c r="K140" s="8">
        <f t="shared" si="19"/>
        <v>0.15935828877005354</v>
      </c>
      <c r="L140" s="13" t="str">
        <f t="shared" si="20"/>
        <v/>
      </c>
      <c r="M140" t="str">
        <f t="shared" si="21"/>
        <v/>
      </c>
      <c r="N140">
        <f t="shared" si="22"/>
        <v>0</v>
      </c>
      <c r="O140">
        <v>0</v>
      </c>
      <c r="P140">
        <v>166</v>
      </c>
      <c r="Q140" s="8">
        <f t="shared" si="23"/>
        <v>-3.0082987551867113E-2</v>
      </c>
    </row>
    <row r="141" spans="1:17" hidden="1">
      <c r="A141">
        <v>117</v>
      </c>
      <c r="B141" t="s">
        <v>765</v>
      </c>
      <c r="C141" s="11">
        <v>45616</v>
      </c>
      <c r="D141">
        <v>42.35</v>
      </c>
      <c r="E141">
        <v>47</v>
      </c>
      <c r="F141">
        <v>40</v>
      </c>
      <c r="G141">
        <f>INDEX('اسعار الاسهم'!A:B,MATCH(B141,'اسعار الاسهم'!K:K,0),2)</f>
        <v>49</v>
      </c>
      <c r="H141" s="8" t="str">
        <f t="shared" si="16"/>
        <v/>
      </c>
      <c r="I141" s="8" t="str">
        <f t="shared" si="17"/>
        <v/>
      </c>
      <c r="J141" s="8" t="str">
        <f t="shared" si="18"/>
        <v/>
      </c>
      <c r="K141" s="8">
        <f t="shared" si="19"/>
        <v>0.17500000000000004</v>
      </c>
      <c r="L141" s="13" t="str">
        <f t="shared" si="20"/>
        <v/>
      </c>
      <c r="M141" t="str">
        <f t="shared" si="21"/>
        <v/>
      </c>
      <c r="N141">
        <f t="shared" si="22"/>
        <v>0</v>
      </c>
      <c r="O141">
        <v>0</v>
      </c>
      <c r="P141">
        <v>165</v>
      </c>
      <c r="Q141" s="8">
        <f t="shared" si="23"/>
        <v>-5.5489964580873741E-2</v>
      </c>
    </row>
    <row r="142" spans="1:17" hidden="1">
      <c r="A142">
        <v>174</v>
      </c>
      <c r="B142" t="s">
        <v>822</v>
      </c>
      <c r="C142" s="11">
        <v>45624</v>
      </c>
      <c r="D142">
        <v>14.7</v>
      </c>
      <c r="E142">
        <v>16.8</v>
      </c>
      <c r="F142">
        <v>14.5</v>
      </c>
      <c r="G142">
        <f>INDEX('اسعار الاسهم'!A:B,MATCH(B142,'اسعار الاسهم'!K:K,0),2)</f>
        <v>24.7</v>
      </c>
      <c r="H142" s="8" t="str">
        <f t="shared" si="16"/>
        <v/>
      </c>
      <c r="I142" s="8" t="str">
        <f t="shared" si="17"/>
        <v/>
      </c>
      <c r="J142" s="8" t="str">
        <f t="shared" si="18"/>
        <v/>
      </c>
      <c r="K142" s="8">
        <f t="shared" si="19"/>
        <v>0.15862068965517251</v>
      </c>
      <c r="L142" s="13" t="str">
        <f t="shared" si="20"/>
        <v/>
      </c>
      <c r="M142" t="str">
        <f t="shared" si="21"/>
        <v/>
      </c>
      <c r="N142">
        <f t="shared" si="22"/>
        <v>0</v>
      </c>
      <c r="O142">
        <v>0</v>
      </c>
      <c r="P142">
        <v>164</v>
      </c>
      <c r="Q142" s="8">
        <f t="shared" si="23"/>
        <v>-1.3605442176870652E-2</v>
      </c>
    </row>
    <row r="143" spans="1:17" hidden="1">
      <c r="A143" s="3">
        <v>246</v>
      </c>
      <c r="B143" t="s">
        <v>784</v>
      </c>
      <c r="C143" s="11">
        <v>45636</v>
      </c>
      <c r="D143">
        <v>21.7</v>
      </c>
      <c r="E143">
        <v>23.6</v>
      </c>
      <c r="F143">
        <v>20.5</v>
      </c>
      <c r="G143">
        <f>INDEX('اسعار الاسهم'!A:B,MATCH(B143,'اسعار الاسهم'!K:K,0),2)</f>
        <v>26.32</v>
      </c>
      <c r="H143" s="8" t="str">
        <f t="shared" si="16"/>
        <v/>
      </c>
      <c r="I143" s="8" t="str">
        <f t="shared" si="17"/>
        <v/>
      </c>
      <c r="J143" s="8" t="str">
        <f t="shared" si="18"/>
        <v/>
      </c>
      <c r="K143" s="8">
        <f t="shared" si="19"/>
        <v>0.15121951219512209</v>
      </c>
      <c r="L143" s="13" t="str">
        <f t="shared" si="20"/>
        <v/>
      </c>
      <c r="M143" t="str">
        <f t="shared" si="21"/>
        <v/>
      </c>
      <c r="N143">
        <f t="shared" si="22"/>
        <v>2</v>
      </c>
      <c r="O143">
        <v>0</v>
      </c>
      <c r="P143">
        <v>196</v>
      </c>
      <c r="Q143" s="8">
        <f t="shared" si="23"/>
        <v>-5.5299539170506895E-2</v>
      </c>
    </row>
    <row r="144" spans="1:17" hidden="1">
      <c r="A144">
        <v>232</v>
      </c>
      <c r="B144" t="s">
        <v>771</v>
      </c>
      <c r="C144" s="11">
        <v>45634</v>
      </c>
      <c r="D144">
        <v>2.4</v>
      </c>
      <c r="E144">
        <v>2.6</v>
      </c>
      <c r="F144">
        <v>2.2999999999999998</v>
      </c>
      <c r="G144">
        <f>INDEX('اسعار الاسهم'!A:B,MATCH(B144,'اسعار الاسهم'!K:K,0),2)</f>
        <v>1.74</v>
      </c>
      <c r="H144" s="8" t="str">
        <f t="shared" si="16"/>
        <v/>
      </c>
      <c r="I144" s="8" t="str">
        <f t="shared" si="17"/>
        <v/>
      </c>
      <c r="J144" s="8" t="str">
        <f t="shared" si="18"/>
        <v/>
      </c>
      <c r="K144" s="8">
        <f t="shared" si="19"/>
        <v>0.13043478260869579</v>
      </c>
      <c r="L144" s="13" t="str">
        <f t="shared" si="20"/>
        <v/>
      </c>
      <c r="M144" t="str">
        <f t="shared" si="21"/>
        <v/>
      </c>
      <c r="N144">
        <f t="shared" si="22"/>
        <v>0</v>
      </c>
      <c r="O144">
        <v>0</v>
      </c>
      <c r="P144">
        <v>195</v>
      </c>
      <c r="Q144" s="8">
        <f t="shared" si="23"/>
        <v>-4.1666666666666741E-2</v>
      </c>
    </row>
    <row r="145" spans="1:17" hidden="1">
      <c r="A145">
        <v>313</v>
      </c>
      <c r="B145" t="s">
        <v>821</v>
      </c>
      <c r="C145" s="11">
        <v>45645</v>
      </c>
      <c r="D145">
        <v>24.21</v>
      </c>
      <c r="E145">
        <v>28.5</v>
      </c>
      <c r="F145">
        <v>23.5</v>
      </c>
      <c r="G145">
        <f>INDEX('اسعار الاسهم'!A:B,MATCH(B145,'اسعار الاسهم'!K:K,0),2)</f>
        <v>195</v>
      </c>
      <c r="H145" s="8" t="str">
        <f t="shared" si="16"/>
        <v/>
      </c>
      <c r="I145" s="8" t="str">
        <f t="shared" si="17"/>
        <v/>
      </c>
      <c r="J145" s="8" t="str">
        <f t="shared" si="18"/>
        <v/>
      </c>
      <c r="K145" s="8">
        <f t="shared" si="19"/>
        <v>0.2127659574468086</v>
      </c>
      <c r="L145" s="13" t="str">
        <f t="shared" si="20"/>
        <v/>
      </c>
      <c r="M145" t="str">
        <f t="shared" si="21"/>
        <v/>
      </c>
      <c r="N145">
        <f t="shared" si="22"/>
        <v>0</v>
      </c>
      <c r="O145">
        <v>0</v>
      </c>
      <c r="P145">
        <v>194</v>
      </c>
      <c r="Q145" s="8">
        <f t="shared" si="23"/>
        <v>-2.9326724494010747E-2</v>
      </c>
    </row>
    <row r="146" spans="1:17" hidden="1">
      <c r="A146">
        <v>181</v>
      </c>
      <c r="B146" t="s">
        <v>812</v>
      </c>
      <c r="C146" s="11">
        <v>45627</v>
      </c>
      <c r="D146">
        <v>5.65</v>
      </c>
      <c r="E146">
        <v>6.09</v>
      </c>
      <c r="F146">
        <v>5.4</v>
      </c>
      <c r="G146">
        <f>INDEX('اسعار الاسهم'!A:B,MATCH(B146,'اسعار الاسهم'!K:K,0),2)</f>
        <v>19.55</v>
      </c>
      <c r="H146" s="8" t="str">
        <f t="shared" si="16"/>
        <v/>
      </c>
      <c r="I146" s="8" t="str">
        <f t="shared" si="17"/>
        <v/>
      </c>
      <c r="J146" s="8" t="str">
        <f t="shared" si="18"/>
        <v/>
      </c>
      <c r="K146" s="8">
        <f t="shared" si="19"/>
        <v>0.12777777777777777</v>
      </c>
      <c r="L146" s="13" t="str">
        <f t="shared" si="20"/>
        <v/>
      </c>
      <c r="M146" t="str">
        <f t="shared" si="21"/>
        <v/>
      </c>
      <c r="N146">
        <f t="shared" si="22"/>
        <v>0</v>
      </c>
      <c r="O146">
        <v>0</v>
      </c>
      <c r="P146">
        <v>158</v>
      </c>
      <c r="Q146" s="8">
        <f t="shared" si="23"/>
        <v>-4.4247787610619427E-2</v>
      </c>
    </row>
    <row r="147" spans="1:17" hidden="1">
      <c r="A147">
        <v>316</v>
      </c>
      <c r="B147" t="s">
        <v>821</v>
      </c>
      <c r="C147" s="11">
        <v>45645</v>
      </c>
      <c r="D147">
        <v>24.21</v>
      </c>
      <c r="E147">
        <v>27</v>
      </c>
      <c r="F147">
        <v>23.55</v>
      </c>
      <c r="G147">
        <f>INDEX('اسعار الاسهم'!A:B,MATCH(B147,'اسعار الاسهم'!K:K,0),2)</f>
        <v>195</v>
      </c>
      <c r="H147" s="8" t="str">
        <f t="shared" si="16"/>
        <v/>
      </c>
      <c r="I147" s="8" t="str">
        <f t="shared" si="17"/>
        <v/>
      </c>
      <c r="J147" s="8" t="str">
        <f t="shared" si="18"/>
        <v/>
      </c>
      <c r="K147" s="8">
        <f t="shared" si="19"/>
        <v>0.14649681528662417</v>
      </c>
      <c r="L147" s="13" t="str">
        <f t="shared" si="20"/>
        <v/>
      </c>
      <c r="M147" t="str">
        <f t="shared" si="21"/>
        <v/>
      </c>
      <c r="N147">
        <f t="shared" si="22"/>
        <v>0</v>
      </c>
      <c r="O147">
        <v>0</v>
      </c>
      <c r="P147">
        <v>193</v>
      </c>
      <c r="Q147" s="8">
        <f t="shared" si="23"/>
        <v>-2.7261462205700138E-2</v>
      </c>
    </row>
    <row r="148" spans="1:17" hidden="1">
      <c r="A148">
        <v>231</v>
      </c>
      <c r="B148" t="s">
        <v>752</v>
      </c>
      <c r="C148" s="11">
        <v>45634</v>
      </c>
      <c r="D148">
        <v>5.61</v>
      </c>
      <c r="E148">
        <v>6.25</v>
      </c>
      <c r="F148">
        <v>5.25</v>
      </c>
      <c r="G148">
        <f>INDEX('اسعار الاسهم'!A:B,MATCH(B148,'اسعار الاسهم'!K:K,0),2)</f>
        <v>9.4600000000000009</v>
      </c>
      <c r="H148" s="8" t="str">
        <f t="shared" si="16"/>
        <v/>
      </c>
      <c r="I148" s="8" t="str">
        <f t="shared" si="17"/>
        <v/>
      </c>
      <c r="J148" s="8" t="str">
        <f t="shared" si="18"/>
        <v/>
      </c>
      <c r="K148" s="8">
        <f t="shared" si="19"/>
        <v>0.19047619047619047</v>
      </c>
      <c r="L148" s="13" t="str">
        <f t="shared" si="20"/>
        <v/>
      </c>
      <c r="M148" t="str">
        <f t="shared" si="21"/>
        <v/>
      </c>
      <c r="N148">
        <f t="shared" si="22"/>
        <v>4</v>
      </c>
      <c r="O148">
        <v>0</v>
      </c>
      <c r="P148">
        <v>183</v>
      </c>
      <c r="Q148" s="8">
        <f t="shared" si="23"/>
        <v>-6.4171122994652441E-2</v>
      </c>
    </row>
    <row r="149" spans="1:17" hidden="1">
      <c r="A149">
        <v>209</v>
      </c>
      <c r="B149" t="s">
        <v>819</v>
      </c>
      <c r="C149" s="11">
        <v>45630</v>
      </c>
      <c r="D149">
        <v>2.46</v>
      </c>
      <c r="E149">
        <v>2.95</v>
      </c>
      <c r="F149">
        <v>2.2200000000000002</v>
      </c>
      <c r="G149">
        <f>INDEX('اسعار الاسهم'!A:B,MATCH(B149,'اسعار الاسهم'!K:K,0),2)</f>
        <v>2.73</v>
      </c>
      <c r="H149" s="8" t="str">
        <f t="shared" si="16"/>
        <v/>
      </c>
      <c r="I149" s="8" t="str">
        <f t="shared" si="17"/>
        <v/>
      </c>
      <c r="J149" s="8" t="str">
        <f t="shared" si="18"/>
        <v/>
      </c>
      <c r="K149" s="8">
        <f t="shared" si="19"/>
        <v>0.3288288288288288</v>
      </c>
      <c r="L149" s="13" t="str">
        <f t="shared" si="20"/>
        <v/>
      </c>
      <c r="M149" t="str">
        <f t="shared" si="21"/>
        <v/>
      </c>
      <c r="N149">
        <f t="shared" si="22"/>
        <v>3</v>
      </c>
      <c r="O149">
        <v>0</v>
      </c>
      <c r="P149">
        <v>192</v>
      </c>
      <c r="Q149" s="8">
        <f t="shared" si="23"/>
        <v>-9.7560975609755962E-2</v>
      </c>
    </row>
    <row r="150" spans="1:17" hidden="1">
      <c r="A150">
        <v>123</v>
      </c>
      <c r="B150" t="s">
        <v>845</v>
      </c>
      <c r="C150" s="11">
        <v>45617</v>
      </c>
      <c r="D150">
        <v>2.88</v>
      </c>
      <c r="E150">
        <v>3.3</v>
      </c>
      <c r="F150">
        <v>2.6</v>
      </c>
      <c r="G150">
        <f>INDEX('اسعار الاسهم'!A:B,MATCH(B150,'اسعار الاسهم'!K:K,0),2)</f>
        <v>8.6999999999999993</v>
      </c>
      <c r="H150" s="8" t="str">
        <f t="shared" si="16"/>
        <v/>
      </c>
      <c r="I150" s="8" t="str">
        <f t="shared" si="17"/>
        <v/>
      </c>
      <c r="J150" s="8" t="str">
        <f t="shared" si="18"/>
        <v/>
      </c>
      <c r="K150" s="8">
        <f t="shared" si="19"/>
        <v>0.26923076923076916</v>
      </c>
      <c r="L150" s="13" t="str">
        <f t="shared" si="20"/>
        <v/>
      </c>
      <c r="M150" t="str">
        <f t="shared" si="21"/>
        <v/>
      </c>
      <c r="N150">
        <f t="shared" si="22"/>
        <v>1</v>
      </c>
      <c r="O150">
        <v>0</v>
      </c>
      <c r="P150">
        <v>184</v>
      </c>
      <c r="Q150" s="8">
        <f t="shared" si="23"/>
        <v>-9.722222222222221E-2</v>
      </c>
    </row>
    <row r="151" spans="1:17" hidden="1">
      <c r="A151">
        <v>130</v>
      </c>
      <c r="B151" t="s">
        <v>848</v>
      </c>
      <c r="C151" s="11">
        <v>45617</v>
      </c>
      <c r="D151">
        <v>40.74</v>
      </c>
      <c r="E151">
        <v>46</v>
      </c>
      <c r="F151">
        <v>39</v>
      </c>
      <c r="G151">
        <f>INDEX('اسعار الاسهم'!A:B,MATCH(B151,'اسعار الاسهم'!K:K,0),2)</f>
        <v>70.459999999999994</v>
      </c>
      <c r="H151" s="8" t="str">
        <f t="shared" si="16"/>
        <v/>
      </c>
      <c r="I151" s="8" t="str">
        <f t="shared" si="17"/>
        <v/>
      </c>
      <c r="J151" s="8" t="str">
        <f t="shared" si="18"/>
        <v/>
      </c>
      <c r="K151" s="8">
        <f t="shared" si="19"/>
        <v>0.17948717948717952</v>
      </c>
      <c r="L151" s="13" t="str">
        <f t="shared" si="20"/>
        <v/>
      </c>
      <c r="M151" t="str">
        <f t="shared" si="21"/>
        <v/>
      </c>
      <c r="N151">
        <f t="shared" si="22"/>
        <v>0</v>
      </c>
      <c r="O151">
        <v>0</v>
      </c>
      <c r="P151">
        <v>185</v>
      </c>
      <c r="Q151" s="8">
        <f t="shared" si="23"/>
        <v>-4.2709867452135564E-2</v>
      </c>
    </row>
    <row r="152" spans="1:17" hidden="1">
      <c r="A152">
        <v>299</v>
      </c>
      <c r="B152" t="s">
        <v>780</v>
      </c>
      <c r="C152" s="11">
        <v>45643</v>
      </c>
      <c r="D152">
        <v>19.5</v>
      </c>
      <c r="E152">
        <v>24</v>
      </c>
      <c r="F152">
        <v>18.649999999999999</v>
      </c>
      <c r="G152">
        <f>INDEX('اسعار الاسهم'!A:B,MATCH(B152,'اسعار الاسهم'!K:K,0),2)</f>
        <v>34.549999999999997</v>
      </c>
      <c r="H152" s="8" t="str">
        <f t="shared" si="16"/>
        <v/>
      </c>
      <c r="I152" s="8" t="str">
        <f t="shared" si="17"/>
        <v/>
      </c>
      <c r="J152" s="8" t="str">
        <f t="shared" si="18"/>
        <v/>
      </c>
      <c r="K152" s="8">
        <f t="shared" si="19"/>
        <v>0.28686327077748008</v>
      </c>
      <c r="L152" s="13" t="str">
        <f t="shared" si="20"/>
        <v/>
      </c>
      <c r="M152" t="str">
        <f t="shared" si="21"/>
        <v/>
      </c>
      <c r="N152">
        <f t="shared" si="22"/>
        <v>0</v>
      </c>
      <c r="O152">
        <v>0</v>
      </c>
      <c r="P152">
        <v>186</v>
      </c>
      <c r="Q152" s="8">
        <f t="shared" si="23"/>
        <v>-4.3589743589743657E-2</v>
      </c>
    </row>
    <row r="153" spans="1:17" hidden="1">
      <c r="A153">
        <v>259</v>
      </c>
      <c r="B153" t="s">
        <v>877</v>
      </c>
      <c r="C153" s="11">
        <v>45637</v>
      </c>
      <c r="D153">
        <v>2.82</v>
      </c>
      <c r="E153">
        <v>3.5</v>
      </c>
      <c r="F153">
        <v>2.58</v>
      </c>
      <c r="G153">
        <f>INDEX('اسعار الاسهم'!A:B,MATCH(B153,'اسعار الاسهم'!K:K,0),2)</f>
        <v>8.3000000000000007</v>
      </c>
      <c r="H153" s="8" t="str">
        <f t="shared" si="16"/>
        <v/>
      </c>
      <c r="I153" s="8" t="str">
        <f t="shared" si="17"/>
        <v/>
      </c>
      <c r="J153" s="8" t="str">
        <f t="shared" si="18"/>
        <v/>
      </c>
      <c r="K153" s="8">
        <f t="shared" si="19"/>
        <v>0.35658914728682167</v>
      </c>
      <c r="L153" s="13" t="str">
        <f t="shared" si="20"/>
        <v/>
      </c>
      <c r="M153" t="str">
        <f t="shared" si="21"/>
        <v/>
      </c>
      <c r="N153">
        <f t="shared" si="22"/>
        <v>1</v>
      </c>
      <c r="O153">
        <v>0</v>
      </c>
      <c r="P153">
        <v>187</v>
      </c>
      <c r="Q153" s="8">
        <f t="shared" si="23"/>
        <v>-8.5106382978723305E-2</v>
      </c>
    </row>
    <row r="154" spans="1:17" hidden="1">
      <c r="A154">
        <v>171</v>
      </c>
      <c r="B154" t="s">
        <v>835</v>
      </c>
      <c r="C154" s="11">
        <v>45624</v>
      </c>
      <c r="D154">
        <v>0.92</v>
      </c>
      <c r="E154">
        <v>0.99</v>
      </c>
      <c r="F154">
        <v>0.88</v>
      </c>
      <c r="G154">
        <f>INDEX('اسعار الاسهم'!A:B,MATCH(B154,'اسعار الاسهم'!K:K,0),2)</f>
        <v>1.17</v>
      </c>
      <c r="H154" s="8" t="str">
        <f t="shared" si="16"/>
        <v/>
      </c>
      <c r="I154" s="8" t="str">
        <f t="shared" si="17"/>
        <v/>
      </c>
      <c r="J154" s="8" t="str">
        <f t="shared" si="18"/>
        <v/>
      </c>
      <c r="K154" s="8">
        <f t="shared" si="19"/>
        <v>0.125</v>
      </c>
      <c r="L154" s="13" t="str">
        <f t="shared" si="20"/>
        <v/>
      </c>
      <c r="M154" t="str">
        <f t="shared" si="21"/>
        <v/>
      </c>
      <c r="N154">
        <f t="shared" si="22"/>
        <v>2</v>
      </c>
      <c r="O154">
        <v>0</v>
      </c>
      <c r="P154">
        <v>191</v>
      </c>
      <c r="Q154" s="8">
        <f t="shared" si="23"/>
        <v>-4.3478260869565299E-2</v>
      </c>
    </row>
    <row r="155" spans="1:17" hidden="1">
      <c r="A155">
        <v>262</v>
      </c>
      <c r="B155" t="s">
        <v>729</v>
      </c>
      <c r="C155" s="11">
        <v>45637</v>
      </c>
      <c r="D155">
        <v>32.32</v>
      </c>
      <c r="E155">
        <v>33.299999999999997</v>
      </c>
      <c r="F155">
        <v>31.99</v>
      </c>
      <c r="G155" t="e">
        <f>INDEX('اسعار الاسهم'!A:B,MATCH(B155,'اسعار الاسهم'!K:K,0),2)</f>
        <v>#N/A</v>
      </c>
      <c r="H155" s="8" t="str">
        <f t="shared" si="16"/>
        <v/>
      </c>
      <c r="I155" s="8" t="str">
        <f t="shared" si="17"/>
        <v/>
      </c>
      <c r="J155" s="8" t="str">
        <f t="shared" si="18"/>
        <v/>
      </c>
      <c r="K155" s="8">
        <f t="shared" si="19"/>
        <v>4.0950296967802391E-2</v>
      </c>
      <c r="L155" s="13" t="str">
        <f t="shared" si="20"/>
        <v/>
      </c>
      <c r="M155" t="str">
        <f t="shared" si="21"/>
        <v/>
      </c>
      <c r="N155">
        <f t="shared" si="22"/>
        <v>0</v>
      </c>
      <c r="O155">
        <v>1</v>
      </c>
      <c r="P155">
        <v>137</v>
      </c>
      <c r="Q155" s="8">
        <f t="shared" si="23"/>
        <v>3.0321782178217793E-2</v>
      </c>
    </row>
    <row r="156" spans="1:17" hidden="1">
      <c r="A156">
        <v>291</v>
      </c>
      <c r="B156" t="s">
        <v>819</v>
      </c>
      <c r="C156" s="11">
        <v>45642</v>
      </c>
      <c r="D156">
        <v>2.36</v>
      </c>
      <c r="E156">
        <v>2.6</v>
      </c>
      <c r="F156">
        <v>2.25</v>
      </c>
      <c r="G156">
        <f>INDEX('اسعار الاسهم'!A:B,MATCH(B156,'اسعار الاسهم'!K:K,0),2)</f>
        <v>2.73</v>
      </c>
      <c r="H156" s="8" t="str">
        <f t="shared" si="16"/>
        <v/>
      </c>
      <c r="I156" s="8" t="str">
        <f t="shared" si="17"/>
        <v/>
      </c>
      <c r="J156" s="8" t="str">
        <f t="shared" si="18"/>
        <v/>
      </c>
      <c r="K156" s="8">
        <f t="shared" si="19"/>
        <v>0.15555555555555567</v>
      </c>
      <c r="L156" s="13" t="str">
        <f t="shared" si="20"/>
        <v/>
      </c>
      <c r="M156" t="str">
        <f t="shared" si="21"/>
        <v/>
      </c>
      <c r="N156">
        <f t="shared" si="22"/>
        <v>3</v>
      </c>
      <c r="O156">
        <v>0</v>
      </c>
      <c r="P156">
        <v>190</v>
      </c>
      <c r="Q156" s="8">
        <f t="shared" si="23"/>
        <v>-4.6610169491525411E-2</v>
      </c>
    </row>
    <row r="157" spans="1:17" hidden="1">
      <c r="A157">
        <v>260</v>
      </c>
      <c r="B157" t="s">
        <v>897</v>
      </c>
      <c r="C157" s="11">
        <v>45637</v>
      </c>
      <c r="D157">
        <v>3.4</v>
      </c>
      <c r="E157">
        <v>3.9</v>
      </c>
      <c r="F157">
        <v>3.22</v>
      </c>
      <c r="G157">
        <f>INDEX('اسعار الاسهم'!A:B,MATCH(B157,'اسعار الاسهم'!K:K,0),2)</f>
        <v>4.7300000000000004</v>
      </c>
      <c r="H157" s="8" t="str">
        <f t="shared" si="16"/>
        <v/>
      </c>
      <c r="I157" s="8" t="str">
        <f t="shared" si="17"/>
        <v/>
      </c>
      <c r="J157" s="8" t="str">
        <f t="shared" si="18"/>
        <v/>
      </c>
      <c r="K157" s="8">
        <f t="shared" si="19"/>
        <v>0.21118012422360244</v>
      </c>
      <c r="L157" s="13" t="str">
        <f t="shared" si="20"/>
        <v/>
      </c>
      <c r="M157" t="str">
        <f t="shared" si="21"/>
        <v/>
      </c>
      <c r="N157">
        <f t="shared" si="22"/>
        <v>0</v>
      </c>
      <c r="O157">
        <v>1</v>
      </c>
      <c r="P157">
        <v>144</v>
      </c>
      <c r="Q157" s="8">
        <f t="shared" si="23"/>
        <v>0.14705882352941169</v>
      </c>
    </row>
    <row r="158" spans="1:17" hidden="1">
      <c r="A158">
        <v>254</v>
      </c>
      <c r="B158" t="s">
        <v>814</v>
      </c>
      <c r="C158" s="11">
        <v>45636</v>
      </c>
      <c r="D158">
        <v>10.68</v>
      </c>
      <c r="E158">
        <v>11.75</v>
      </c>
      <c r="F158">
        <v>10.199999999999999</v>
      </c>
      <c r="G158">
        <f>INDEX('اسعار الاسهم'!A:B,MATCH(B158,'اسعار الاسهم'!K:K,0),2)</f>
        <v>15.8</v>
      </c>
      <c r="H158" s="8" t="str">
        <f t="shared" si="16"/>
        <v/>
      </c>
      <c r="I158" s="8" t="str">
        <f t="shared" si="17"/>
        <v/>
      </c>
      <c r="J158" s="8" t="str">
        <f t="shared" si="18"/>
        <v/>
      </c>
      <c r="K158" s="8">
        <f t="shared" si="19"/>
        <v>0.15196078431372562</v>
      </c>
      <c r="L158" s="13" t="str">
        <f t="shared" si="20"/>
        <v/>
      </c>
      <c r="M158" t="str">
        <f t="shared" si="21"/>
        <v/>
      </c>
      <c r="N158">
        <f t="shared" si="22"/>
        <v>1</v>
      </c>
      <c r="O158">
        <v>0</v>
      </c>
      <c r="P158">
        <v>189</v>
      </c>
      <c r="Q158" s="8">
        <f t="shared" si="23"/>
        <v>-4.49438202247191E-2</v>
      </c>
    </row>
    <row r="159" spans="1:17" hidden="1">
      <c r="A159">
        <v>205</v>
      </c>
      <c r="B159" t="s">
        <v>859</v>
      </c>
      <c r="C159" s="11">
        <v>45630</v>
      </c>
      <c r="D159">
        <v>65.77</v>
      </c>
      <c r="E159">
        <v>73</v>
      </c>
      <c r="F159">
        <v>63</v>
      </c>
      <c r="G159">
        <f>INDEX('اسعار الاسهم'!A:B,MATCH(B159,'اسعار الاسهم'!K:K,0),2)</f>
        <v>104</v>
      </c>
      <c r="H159" s="8" t="str">
        <f t="shared" si="16"/>
        <v/>
      </c>
      <c r="I159" s="8" t="str">
        <f t="shared" si="17"/>
        <v/>
      </c>
      <c r="J159" s="8" t="str">
        <f t="shared" si="18"/>
        <v/>
      </c>
      <c r="K159" s="8">
        <f t="shared" si="19"/>
        <v>0.15873015873015883</v>
      </c>
      <c r="L159" s="13" t="str">
        <f t="shared" si="20"/>
        <v/>
      </c>
      <c r="M159" t="str">
        <f t="shared" si="21"/>
        <v/>
      </c>
      <c r="N159">
        <f t="shared" si="22"/>
        <v>0</v>
      </c>
      <c r="O159">
        <v>0</v>
      </c>
      <c r="P159">
        <v>188</v>
      </c>
      <c r="Q159" s="8">
        <f t="shared" si="23"/>
        <v>-4.2116466474076297E-2</v>
      </c>
    </row>
    <row r="160" spans="1:17" hidden="1">
      <c r="A160">
        <v>257</v>
      </c>
      <c r="B160" t="s">
        <v>762</v>
      </c>
      <c r="C160" s="11">
        <v>45637</v>
      </c>
      <c r="D160">
        <v>5.7</v>
      </c>
      <c r="E160">
        <v>5.94</v>
      </c>
      <c r="F160">
        <v>5.2</v>
      </c>
      <c r="G160">
        <f>INDEX('اسعار الاسهم'!A:B,MATCH(B160,'اسعار الاسهم'!K:K,0),2)</f>
        <v>7.59</v>
      </c>
      <c r="H160" s="8" t="str">
        <f t="shared" si="16"/>
        <v/>
      </c>
      <c r="I160" s="8" t="str">
        <f t="shared" si="17"/>
        <v/>
      </c>
      <c r="J160" s="8" t="str">
        <f t="shared" si="18"/>
        <v/>
      </c>
      <c r="K160" s="8">
        <f t="shared" si="19"/>
        <v>0.14230769230769225</v>
      </c>
      <c r="L160" s="13" t="str">
        <f t="shared" si="20"/>
        <v/>
      </c>
      <c r="M160" t="str">
        <f t="shared" si="21"/>
        <v/>
      </c>
      <c r="N160">
        <f t="shared" si="22"/>
        <v>3</v>
      </c>
      <c r="O160">
        <v>1</v>
      </c>
      <c r="P160">
        <v>138</v>
      </c>
      <c r="Q160" s="8">
        <f t="shared" si="23"/>
        <v>4.2105263157894868E-2</v>
      </c>
    </row>
    <row r="161" spans="1:17" hidden="1">
      <c r="A161">
        <v>253</v>
      </c>
      <c r="B161" t="s">
        <v>851</v>
      </c>
      <c r="C161" s="11">
        <v>45636</v>
      </c>
      <c r="D161">
        <v>0.36699999999999999</v>
      </c>
      <c r="E161">
        <v>0.41499999999999998</v>
      </c>
      <c r="F161">
        <v>0.35</v>
      </c>
      <c r="G161">
        <f>INDEX('اسعار الاسهم'!A:B,MATCH(B161,'اسعار الاسهم'!K:K,0),2)</f>
        <v>0.61</v>
      </c>
      <c r="H161" s="8" t="str">
        <f t="shared" si="16"/>
        <v/>
      </c>
      <c r="I161" s="8" t="str">
        <f t="shared" si="17"/>
        <v/>
      </c>
      <c r="J161" s="8" t="str">
        <f t="shared" si="18"/>
        <v/>
      </c>
      <c r="K161" s="8">
        <f t="shared" si="19"/>
        <v>0.18571428571428572</v>
      </c>
      <c r="L161" s="13" t="str">
        <f t="shared" si="20"/>
        <v/>
      </c>
      <c r="M161" t="str">
        <f t="shared" si="21"/>
        <v/>
      </c>
      <c r="N161">
        <f t="shared" si="22"/>
        <v>1</v>
      </c>
      <c r="O161">
        <v>1</v>
      </c>
      <c r="P161">
        <v>143</v>
      </c>
      <c r="Q161" s="8">
        <f t="shared" si="23"/>
        <v>0.13079019073569476</v>
      </c>
    </row>
    <row r="162" spans="1:17" hidden="1">
      <c r="A162">
        <v>247</v>
      </c>
      <c r="B162" t="s">
        <v>895</v>
      </c>
      <c r="C162" s="11">
        <v>45636</v>
      </c>
      <c r="D162">
        <v>3.23</v>
      </c>
      <c r="E162">
        <v>3.6</v>
      </c>
      <c r="F162">
        <v>2.9</v>
      </c>
      <c r="G162">
        <f>INDEX('اسعار الاسهم'!A:B,MATCH(B162,'اسعار الاسهم'!K:K,0),2)</f>
        <v>8.6999999999999993</v>
      </c>
      <c r="H162" s="8" t="str">
        <f t="shared" si="16"/>
        <v/>
      </c>
      <c r="I162" s="8" t="str">
        <f t="shared" si="17"/>
        <v/>
      </c>
      <c r="J162" s="8" t="str">
        <f t="shared" si="18"/>
        <v/>
      </c>
      <c r="K162" s="8">
        <f t="shared" si="19"/>
        <v>0.24137931034482762</v>
      </c>
      <c r="L162" s="13" t="str">
        <f t="shared" si="20"/>
        <v/>
      </c>
      <c r="M162" t="str">
        <f t="shared" si="21"/>
        <v/>
      </c>
      <c r="N162">
        <f t="shared" si="22"/>
        <v>1</v>
      </c>
      <c r="O162">
        <v>1</v>
      </c>
      <c r="P162">
        <v>136</v>
      </c>
      <c r="Q162" s="8">
        <f t="shared" si="23"/>
        <v>0.11455108359133126</v>
      </c>
    </row>
    <row r="163" spans="1:17" hidden="1">
      <c r="A163">
        <v>242</v>
      </c>
      <c r="B163" t="s">
        <v>840</v>
      </c>
      <c r="C163" s="11">
        <v>45635</v>
      </c>
      <c r="D163">
        <v>0.44600000000000001</v>
      </c>
      <c r="E163">
        <v>0.5</v>
      </c>
      <c r="F163">
        <v>0.42</v>
      </c>
      <c r="G163">
        <f>INDEX('اسعار الاسهم'!A:B,MATCH(B163,'اسعار الاسهم'!K:K,0),2)</f>
        <v>1.46</v>
      </c>
      <c r="H163" s="8" t="str">
        <f t="shared" si="16"/>
        <v/>
      </c>
      <c r="I163" s="8" t="str">
        <f t="shared" si="17"/>
        <v/>
      </c>
      <c r="J163" s="8" t="str">
        <f t="shared" si="18"/>
        <v/>
      </c>
      <c r="K163" s="8">
        <f t="shared" si="19"/>
        <v>0.19047619047619047</v>
      </c>
      <c r="L163" s="13" t="str">
        <f t="shared" si="20"/>
        <v/>
      </c>
      <c r="M163" t="str">
        <f t="shared" si="21"/>
        <v/>
      </c>
      <c r="N163">
        <f t="shared" si="22"/>
        <v>2</v>
      </c>
      <c r="O163">
        <v>1</v>
      </c>
      <c r="P163">
        <v>121</v>
      </c>
      <c r="Q163" s="8">
        <f t="shared" si="23"/>
        <v>0.12107623318385641</v>
      </c>
    </row>
    <row r="164" spans="1:17" hidden="1">
      <c r="A164">
        <v>147</v>
      </c>
      <c r="B164" t="s">
        <v>812</v>
      </c>
      <c r="C164" s="11">
        <v>45621</v>
      </c>
      <c r="D164">
        <v>5.76</v>
      </c>
      <c r="E164">
        <v>6.08</v>
      </c>
      <c r="F164">
        <v>5.4</v>
      </c>
      <c r="G164">
        <f>INDEX('اسعار الاسهم'!A:B,MATCH(B164,'اسعار الاسهم'!K:K,0),2)</f>
        <v>19.55</v>
      </c>
      <c r="H164" s="8" t="str">
        <f t="shared" si="16"/>
        <v/>
      </c>
      <c r="I164" s="8" t="str">
        <f t="shared" si="17"/>
        <v/>
      </c>
      <c r="J164" s="8" t="str">
        <f t="shared" si="18"/>
        <v/>
      </c>
      <c r="K164" s="8">
        <f t="shared" si="19"/>
        <v>0.12592592592592577</v>
      </c>
      <c r="L164" s="13" t="str">
        <f t="shared" si="20"/>
        <v/>
      </c>
      <c r="M164" t="str">
        <f t="shared" si="21"/>
        <v/>
      </c>
      <c r="N164">
        <f t="shared" si="22"/>
        <v>0</v>
      </c>
      <c r="O164">
        <v>0</v>
      </c>
      <c r="P164">
        <v>157</v>
      </c>
      <c r="Q164" s="8">
        <f t="shared" si="23"/>
        <v>-6.2499999999999889E-2</v>
      </c>
    </row>
    <row r="165" spans="1:17" hidden="1">
      <c r="A165">
        <v>239</v>
      </c>
      <c r="B165" t="s">
        <v>812</v>
      </c>
      <c r="C165" s="11">
        <v>45635</v>
      </c>
      <c r="D165">
        <v>5.69</v>
      </c>
      <c r="E165">
        <v>6.7</v>
      </c>
      <c r="F165">
        <v>5.45</v>
      </c>
      <c r="G165">
        <f>INDEX('اسعار الاسهم'!A:B,MATCH(B165,'اسعار الاسهم'!K:K,0),2)</f>
        <v>19.55</v>
      </c>
      <c r="H165" s="8" t="str">
        <f t="shared" si="16"/>
        <v/>
      </c>
      <c r="I165" s="8" t="str">
        <f t="shared" si="17"/>
        <v/>
      </c>
      <c r="J165" s="8" t="str">
        <f t="shared" si="18"/>
        <v/>
      </c>
      <c r="K165" s="8">
        <f t="shared" si="19"/>
        <v>0.22935779816513757</v>
      </c>
      <c r="L165" s="13" t="str">
        <f t="shared" si="20"/>
        <v/>
      </c>
      <c r="M165" t="str">
        <f t="shared" si="21"/>
        <v/>
      </c>
      <c r="N165">
        <f t="shared" si="22"/>
        <v>0</v>
      </c>
      <c r="O165">
        <v>0</v>
      </c>
      <c r="P165">
        <v>156</v>
      </c>
      <c r="Q165" s="8">
        <f t="shared" si="23"/>
        <v>-4.2179261862917428E-2</v>
      </c>
    </row>
    <row r="166" spans="1:17" hidden="1">
      <c r="A166">
        <v>19</v>
      </c>
      <c r="B166" t="s">
        <v>729</v>
      </c>
      <c r="C166" s="11">
        <v>45601</v>
      </c>
      <c r="D166">
        <v>33.25</v>
      </c>
      <c r="E166">
        <v>38</v>
      </c>
      <c r="F166">
        <v>31.5</v>
      </c>
      <c r="G166" t="e">
        <f>INDEX('اسعار الاسهم'!A:B,MATCH(B166,'اسعار الاسهم'!K:K,0),2)</f>
        <v>#N/A</v>
      </c>
      <c r="H166" s="8" t="str">
        <f t="shared" si="16"/>
        <v/>
      </c>
      <c r="I166" s="8" t="str">
        <f t="shared" si="17"/>
        <v/>
      </c>
      <c r="J166" s="8" t="str">
        <f t="shared" si="18"/>
        <v/>
      </c>
      <c r="K166" s="8">
        <f t="shared" si="19"/>
        <v>0.20634920634920628</v>
      </c>
      <c r="L166" s="13" t="str">
        <f t="shared" si="20"/>
        <v/>
      </c>
      <c r="M166" t="str">
        <f t="shared" si="21"/>
        <v/>
      </c>
      <c r="N166">
        <f t="shared" si="22"/>
        <v>0</v>
      </c>
      <c r="O166">
        <v>0</v>
      </c>
      <c r="P166">
        <v>155</v>
      </c>
      <c r="Q166" s="8">
        <f t="shared" si="23"/>
        <v>-5.2631578947368474E-2</v>
      </c>
    </row>
    <row r="167" spans="1:17" hidden="1">
      <c r="A167">
        <v>75</v>
      </c>
      <c r="B167" t="s">
        <v>829</v>
      </c>
      <c r="C167" s="11">
        <v>45610</v>
      </c>
      <c r="D167">
        <v>19.100000000000001</v>
      </c>
      <c r="E167">
        <v>24</v>
      </c>
      <c r="F167">
        <v>17.100000000000001</v>
      </c>
      <c r="G167">
        <f>INDEX('اسعار الاسهم'!A:B,MATCH(B167,'اسعار الاسهم'!K:K,0),2)</f>
        <v>43.88</v>
      </c>
      <c r="H167" s="8" t="str">
        <f t="shared" si="16"/>
        <v/>
      </c>
      <c r="I167" s="8" t="str">
        <f t="shared" si="17"/>
        <v/>
      </c>
      <c r="J167" s="8" t="str">
        <f t="shared" si="18"/>
        <v/>
      </c>
      <c r="K167" s="8">
        <f t="shared" si="19"/>
        <v>0.40350877192982448</v>
      </c>
      <c r="L167" s="13" t="str">
        <f t="shared" si="20"/>
        <v/>
      </c>
      <c r="M167" t="str">
        <f t="shared" si="21"/>
        <v/>
      </c>
      <c r="N167">
        <f t="shared" si="22"/>
        <v>0</v>
      </c>
      <c r="O167">
        <v>0</v>
      </c>
      <c r="P167">
        <v>154</v>
      </c>
      <c r="Q167" s="8">
        <f t="shared" si="23"/>
        <v>-0.10471204188481675</v>
      </c>
    </row>
    <row r="168" spans="1:17" hidden="1">
      <c r="A168">
        <v>220</v>
      </c>
      <c r="B168" t="s">
        <v>832</v>
      </c>
      <c r="C168" s="11">
        <v>45631</v>
      </c>
      <c r="D168">
        <v>15.36</v>
      </c>
      <c r="E168">
        <v>16.2</v>
      </c>
      <c r="F168">
        <v>14.75</v>
      </c>
      <c r="G168">
        <f>INDEX('اسعار الاسهم'!A:B,MATCH(B168,'اسعار الاسهم'!K:K,0),2)</f>
        <v>54.2</v>
      </c>
      <c r="H168" s="8" t="str">
        <f t="shared" si="16"/>
        <v/>
      </c>
      <c r="I168" s="8" t="str">
        <f t="shared" si="17"/>
        <v/>
      </c>
      <c r="J168" s="8" t="str">
        <f t="shared" si="18"/>
        <v/>
      </c>
      <c r="K168" s="8">
        <f t="shared" si="19"/>
        <v>9.8305084745762716E-2</v>
      </c>
      <c r="L168" s="13" t="str">
        <f t="shared" si="20"/>
        <v/>
      </c>
      <c r="M168" t="str">
        <f t="shared" si="21"/>
        <v/>
      </c>
      <c r="N168">
        <f t="shared" si="22"/>
        <v>6</v>
      </c>
      <c r="O168">
        <v>1</v>
      </c>
      <c r="P168">
        <v>106</v>
      </c>
      <c r="Q168" s="8">
        <f t="shared" si="23"/>
        <v>5.46875E-2</v>
      </c>
    </row>
    <row r="169" spans="1:17" hidden="1">
      <c r="A169">
        <v>112</v>
      </c>
      <c r="B169" t="s">
        <v>825</v>
      </c>
      <c r="C169" s="11">
        <v>45615</v>
      </c>
      <c r="D169">
        <v>300.01</v>
      </c>
      <c r="E169">
        <v>325</v>
      </c>
      <c r="F169">
        <v>285</v>
      </c>
      <c r="G169">
        <f>INDEX('اسعار الاسهم'!A:B,MATCH(B169,'اسعار الاسهم'!K:K,0),2)</f>
        <v>708.01</v>
      </c>
      <c r="H169" s="8" t="str">
        <f t="shared" si="16"/>
        <v/>
      </c>
      <c r="I169" s="8" t="str">
        <f t="shared" si="17"/>
        <v/>
      </c>
      <c r="J169" s="8" t="str">
        <f t="shared" si="18"/>
        <v/>
      </c>
      <c r="K169" s="8">
        <f t="shared" si="19"/>
        <v>0.14035087719298245</v>
      </c>
      <c r="L169" s="13" t="str">
        <f t="shared" si="20"/>
        <v/>
      </c>
      <c r="M169" t="str">
        <f t="shared" si="21"/>
        <v/>
      </c>
      <c r="N169">
        <f t="shared" si="22"/>
        <v>1</v>
      </c>
      <c r="O169">
        <v>0</v>
      </c>
      <c r="P169">
        <v>153</v>
      </c>
      <c r="Q169" s="8">
        <f t="shared" si="23"/>
        <v>-5.0031665611146248E-2</v>
      </c>
    </row>
    <row r="170" spans="1:17" hidden="1">
      <c r="A170">
        <v>143</v>
      </c>
      <c r="B170" t="s">
        <v>825</v>
      </c>
      <c r="C170" s="11">
        <v>45620</v>
      </c>
      <c r="D170">
        <v>297.51</v>
      </c>
      <c r="E170">
        <v>315</v>
      </c>
      <c r="F170">
        <v>285</v>
      </c>
      <c r="G170">
        <f>INDEX('اسعار الاسهم'!A:B,MATCH(B170,'اسعار الاسهم'!K:K,0),2)</f>
        <v>708.01</v>
      </c>
      <c r="H170" s="8" t="str">
        <f t="shared" si="16"/>
        <v/>
      </c>
      <c r="I170" s="8" t="str">
        <f t="shared" si="17"/>
        <v/>
      </c>
      <c r="J170" s="8" t="str">
        <f t="shared" si="18"/>
        <v/>
      </c>
      <c r="K170" s="8">
        <f t="shared" si="19"/>
        <v>0.10526315789473695</v>
      </c>
      <c r="L170" s="13" t="str">
        <f t="shared" si="20"/>
        <v/>
      </c>
      <c r="M170" t="str">
        <f t="shared" si="21"/>
        <v/>
      </c>
      <c r="N170">
        <f t="shared" si="22"/>
        <v>1</v>
      </c>
      <c r="O170">
        <v>0</v>
      </c>
      <c r="P170">
        <v>152</v>
      </c>
      <c r="Q170" s="8">
        <f t="shared" si="23"/>
        <v>-4.2049006756075369E-2</v>
      </c>
    </row>
    <row r="171" spans="1:17" hidden="1">
      <c r="A171">
        <v>217</v>
      </c>
      <c r="B171" t="s">
        <v>794</v>
      </c>
      <c r="C171" s="11">
        <v>45631</v>
      </c>
      <c r="D171">
        <v>21.8</v>
      </c>
      <c r="E171">
        <v>23.5</v>
      </c>
      <c r="F171">
        <v>21</v>
      </c>
      <c r="G171">
        <f>INDEX('اسعار الاسهم'!A:B,MATCH(B171,'اسعار الاسهم'!K:K,0),2)</f>
        <v>23.41</v>
      </c>
      <c r="H171" s="8" t="str">
        <f t="shared" si="16"/>
        <v/>
      </c>
      <c r="I171" s="8" t="str">
        <f t="shared" si="17"/>
        <v/>
      </c>
      <c r="J171" s="8" t="str">
        <f t="shared" si="18"/>
        <v/>
      </c>
      <c r="K171" s="8">
        <f t="shared" si="19"/>
        <v>0.11904761904761907</v>
      </c>
      <c r="L171" s="13" t="str">
        <f t="shared" si="20"/>
        <v/>
      </c>
      <c r="M171" t="str">
        <f t="shared" si="21"/>
        <v/>
      </c>
      <c r="N171">
        <f t="shared" si="22"/>
        <v>0</v>
      </c>
      <c r="O171">
        <v>0</v>
      </c>
      <c r="P171">
        <v>151</v>
      </c>
      <c r="Q171" s="8">
        <f t="shared" si="23"/>
        <v>-3.669724770642202E-2</v>
      </c>
    </row>
    <row r="172" spans="1:17" hidden="1">
      <c r="A172">
        <v>235</v>
      </c>
      <c r="B172" t="s">
        <v>785</v>
      </c>
      <c r="C172" s="11">
        <v>45635</v>
      </c>
      <c r="D172">
        <v>90.5</v>
      </c>
      <c r="E172">
        <v>104.5</v>
      </c>
      <c r="F172">
        <v>87</v>
      </c>
      <c r="G172">
        <f>INDEX('اسعار الاسهم'!A:B,MATCH(B172,'اسعار الاسهم'!K:K,0),2)</f>
        <v>87.9</v>
      </c>
      <c r="H172" s="8" t="str">
        <f t="shared" si="16"/>
        <v/>
      </c>
      <c r="I172" s="8" t="str">
        <f t="shared" si="17"/>
        <v/>
      </c>
      <c r="J172" s="8" t="str">
        <f t="shared" si="18"/>
        <v/>
      </c>
      <c r="K172" s="8">
        <f t="shared" si="19"/>
        <v>0.20114942528735624</v>
      </c>
      <c r="L172" s="13" t="str">
        <f t="shared" si="20"/>
        <v/>
      </c>
      <c r="M172" t="str">
        <f t="shared" si="21"/>
        <v/>
      </c>
      <c r="N172">
        <f t="shared" si="22"/>
        <v>0</v>
      </c>
      <c r="O172">
        <v>0</v>
      </c>
      <c r="P172">
        <v>150</v>
      </c>
      <c r="Q172" s="8">
        <f t="shared" si="23"/>
        <v>-3.8674033149171283E-2</v>
      </c>
    </row>
    <row r="173" spans="1:17" hidden="1">
      <c r="A173">
        <v>24</v>
      </c>
      <c r="B173" t="s">
        <v>729</v>
      </c>
      <c r="C173" s="11">
        <v>45601</v>
      </c>
      <c r="D173">
        <v>33.6</v>
      </c>
      <c r="E173">
        <v>38.5</v>
      </c>
      <c r="F173">
        <v>31.8</v>
      </c>
      <c r="G173" t="e">
        <f>INDEX('اسعار الاسهم'!A:B,MATCH(B173,'اسعار الاسهم'!K:K,0),2)</f>
        <v>#N/A</v>
      </c>
      <c r="H173" s="8" t="str">
        <f t="shared" si="16"/>
        <v/>
      </c>
      <c r="I173" s="8" t="str">
        <f t="shared" si="17"/>
        <v/>
      </c>
      <c r="J173" s="8" t="str">
        <f t="shared" si="18"/>
        <v/>
      </c>
      <c r="K173" s="8">
        <f t="shared" si="19"/>
        <v>0.21069182389937113</v>
      </c>
      <c r="L173" s="13" t="str">
        <f t="shared" si="20"/>
        <v/>
      </c>
      <c r="M173" t="str">
        <f t="shared" si="21"/>
        <v/>
      </c>
      <c r="N173">
        <f t="shared" si="22"/>
        <v>0</v>
      </c>
      <c r="O173">
        <v>0</v>
      </c>
      <c r="P173">
        <v>149</v>
      </c>
      <c r="Q173" s="8">
        <f t="shared" si="23"/>
        <v>-5.3571428571428603E-2</v>
      </c>
    </row>
    <row r="174" spans="1:17" hidden="1">
      <c r="A174">
        <v>202</v>
      </c>
      <c r="B174" t="s">
        <v>858</v>
      </c>
      <c r="C174" s="11">
        <v>45629</v>
      </c>
      <c r="D174">
        <v>1.74</v>
      </c>
      <c r="E174">
        <v>1.95</v>
      </c>
      <c r="F174">
        <v>1.6</v>
      </c>
      <c r="G174">
        <f>INDEX('اسعار الاسهم'!A:B,MATCH(B174,'اسعار الاسهم'!K:K,0),2)</f>
        <v>3.38</v>
      </c>
      <c r="H174" s="8" t="str">
        <f t="shared" si="16"/>
        <v/>
      </c>
      <c r="I174" s="8" t="str">
        <f t="shared" si="17"/>
        <v/>
      </c>
      <c r="J174" s="8" t="str">
        <f t="shared" si="18"/>
        <v/>
      </c>
      <c r="K174" s="8">
        <f t="shared" si="19"/>
        <v>0.21875</v>
      </c>
      <c r="L174" s="13" t="str">
        <f t="shared" si="20"/>
        <v/>
      </c>
      <c r="M174" t="str">
        <f t="shared" si="21"/>
        <v/>
      </c>
      <c r="N174">
        <f t="shared" si="22"/>
        <v>2</v>
      </c>
      <c r="O174">
        <v>1</v>
      </c>
      <c r="P174">
        <v>82</v>
      </c>
      <c r="Q174" s="8">
        <f t="shared" si="23"/>
        <v>0.1206896551724137</v>
      </c>
    </row>
    <row r="175" spans="1:17" hidden="1">
      <c r="A175">
        <v>153</v>
      </c>
      <c r="B175" t="s">
        <v>729</v>
      </c>
      <c r="C175" s="11">
        <v>45622</v>
      </c>
      <c r="D175">
        <v>32.92</v>
      </c>
      <c r="E175">
        <v>34.5</v>
      </c>
      <c r="F175">
        <v>31.8</v>
      </c>
      <c r="G175" t="e">
        <f>INDEX('اسعار الاسهم'!A:B,MATCH(B175,'اسعار الاسهم'!K:K,0),2)</f>
        <v>#N/A</v>
      </c>
      <c r="H175" s="8" t="str">
        <f t="shared" si="16"/>
        <v/>
      </c>
      <c r="I175" s="8" t="str">
        <f t="shared" si="17"/>
        <v/>
      </c>
      <c r="J175" s="8" t="str">
        <f t="shared" si="18"/>
        <v/>
      </c>
      <c r="K175" s="8">
        <f t="shared" si="19"/>
        <v>8.4905660377358361E-2</v>
      </c>
      <c r="L175" s="13" t="str">
        <f t="shared" si="20"/>
        <v/>
      </c>
      <c r="M175" t="str">
        <f t="shared" si="21"/>
        <v/>
      </c>
      <c r="N175">
        <f t="shared" si="22"/>
        <v>0</v>
      </c>
      <c r="O175">
        <v>0</v>
      </c>
      <c r="P175">
        <v>148</v>
      </c>
      <c r="Q175" s="8">
        <f t="shared" si="23"/>
        <v>-3.4021871202916221E-2</v>
      </c>
    </row>
    <row r="176" spans="1:17" hidden="1">
      <c r="A176">
        <v>212</v>
      </c>
      <c r="B176" t="s">
        <v>729</v>
      </c>
      <c r="C176" s="11">
        <v>45630</v>
      </c>
      <c r="D176">
        <v>32.700000000000003</v>
      </c>
      <c r="E176">
        <v>35</v>
      </c>
      <c r="F176">
        <v>32</v>
      </c>
      <c r="G176" t="e">
        <f>INDEX('اسعار الاسهم'!A:B,MATCH(B176,'اسعار الاسهم'!K:K,0),2)</f>
        <v>#N/A</v>
      </c>
      <c r="H176" s="8" t="str">
        <f t="shared" si="16"/>
        <v/>
      </c>
      <c r="I176" s="8" t="str">
        <f t="shared" si="17"/>
        <v/>
      </c>
      <c r="J176" s="8" t="str">
        <f t="shared" si="18"/>
        <v/>
      </c>
      <c r="K176" s="8">
        <f t="shared" si="19"/>
        <v>9.375E-2</v>
      </c>
      <c r="L176" s="13" t="str">
        <f t="shared" si="20"/>
        <v/>
      </c>
      <c r="M176" t="str">
        <f t="shared" si="21"/>
        <v/>
      </c>
      <c r="N176">
        <f t="shared" si="22"/>
        <v>0</v>
      </c>
      <c r="O176">
        <v>0</v>
      </c>
      <c r="P176">
        <v>147</v>
      </c>
      <c r="Q176" s="8">
        <f t="shared" si="23"/>
        <v>-2.1406727828746308E-2</v>
      </c>
    </row>
    <row r="177" spans="1:17" hidden="1">
      <c r="A177">
        <v>194</v>
      </c>
      <c r="B177" t="s">
        <v>818</v>
      </c>
      <c r="C177" s="11">
        <v>45629</v>
      </c>
      <c r="D177">
        <v>78.69</v>
      </c>
      <c r="E177">
        <v>86</v>
      </c>
      <c r="F177">
        <v>71</v>
      </c>
      <c r="G177">
        <f>INDEX('اسعار الاسهم'!A:B,MATCH(B177,'اسعار الاسهم'!K:K,0),2)</f>
        <v>133.5</v>
      </c>
      <c r="H177" s="8" t="str">
        <f t="shared" si="16"/>
        <v/>
      </c>
      <c r="I177" s="8" t="str">
        <f t="shared" si="17"/>
        <v/>
      </c>
      <c r="J177" s="8" t="str">
        <f t="shared" si="18"/>
        <v/>
      </c>
      <c r="K177" s="8">
        <f t="shared" si="19"/>
        <v>0.21126760563380276</v>
      </c>
      <c r="L177" s="13" t="str">
        <f t="shared" si="20"/>
        <v/>
      </c>
      <c r="M177" t="str">
        <f t="shared" si="21"/>
        <v/>
      </c>
      <c r="N177">
        <f t="shared" si="22"/>
        <v>1</v>
      </c>
      <c r="O177">
        <v>1</v>
      </c>
      <c r="P177">
        <v>103</v>
      </c>
      <c r="Q177" s="8">
        <f t="shared" si="23"/>
        <v>9.2896174863388081E-2</v>
      </c>
    </row>
    <row r="178" spans="1:17" hidden="1">
      <c r="A178">
        <v>192</v>
      </c>
      <c r="B178" t="s">
        <v>772</v>
      </c>
      <c r="C178" s="11">
        <v>45628</v>
      </c>
      <c r="D178">
        <v>111.5</v>
      </c>
      <c r="E178">
        <v>118</v>
      </c>
      <c r="F178">
        <v>110</v>
      </c>
      <c r="G178">
        <f>INDEX('اسعار الاسهم'!A:B,MATCH(B178,'اسعار الاسهم'!K:K,0),2)</f>
        <v>331.99</v>
      </c>
      <c r="H178" s="8" t="str">
        <f t="shared" si="16"/>
        <v/>
      </c>
      <c r="I178" s="8" t="str">
        <f t="shared" si="17"/>
        <v/>
      </c>
      <c r="J178" s="8" t="str">
        <f t="shared" si="18"/>
        <v/>
      </c>
      <c r="K178" s="8">
        <f t="shared" si="19"/>
        <v>7.2727272727272751E-2</v>
      </c>
      <c r="L178" s="13" t="str">
        <f t="shared" si="20"/>
        <v/>
      </c>
      <c r="M178" t="str">
        <f t="shared" si="21"/>
        <v/>
      </c>
      <c r="N178">
        <f t="shared" si="22"/>
        <v>4</v>
      </c>
      <c r="O178">
        <v>1</v>
      </c>
      <c r="P178">
        <v>101</v>
      </c>
      <c r="Q178" s="8">
        <f t="shared" si="23"/>
        <v>5.8295964125560484E-2</v>
      </c>
    </row>
    <row r="179" spans="1:17" hidden="1">
      <c r="A179">
        <v>234</v>
      </c>
      <c r="B179" t="s">
        <v>734</v>
      </c>
      <c r="C179" s="11">
        <v>45634</v>
      </c>
      <c r="D179">
        <v>25.9</v>
      </c>
      <c r="E179">
        <v>31</v>
      </c>
      <c r="F179">
        <v>24.5</v>
      </c>
      <c r="G179">
        <f>INDEX('اسعار الاسهم'!A:B,MATCH(B179,'اسعار الاسهم'!K:K,0),2)</f>
        <v>29.32</v>
      </c>
      <c r="H179" s="8" t="str">
        <f t="shared" si="16"/>
        <v/>
      </c>
      <c r="I179" s="8" t="str">
        <f t="shared" si="17"/>
        <v/>
      </c>
      <c r="J179" s="8" t="str">
        <f t="shared" si="18"/>
        <v/>
      </c>
      <c r="K179" s="8">
        <f t="shared" si="19"/>
        <v>0.26530612244897966</v>
      </c>
      <c r="L179" s="13" t="str">
        <f t="shared" si="20"/>
        <v/>
      </c>
      <c r="M179" t="str">
        <f t="shared" si="21"/>
        <v/>
      </c>
      <c r="N179">
        <f t="shared" si="22"/>
        <v>2</v>
      </c>
      <c r="O179">
        <v>0</v>
      </c>
      <c r="P179">
        <v>146</v>
      </c>
      <c r="Q179" s="8">
        <f t="shared" si="23"/>
        <v>-5.4054054054054057E-2</v>
      </c>
    </row>
    <row r="180" spans="1:17" hidden="1">
      <c r="A180">
        <v>206</v>
      </c>
      <c r="B180" t="s">
        <v>733</v>
      </c>
      <c r="C180" s="11">
        <v>45630</v>
      </c>
      <c r="D180">
        <v>30.13</v>
      </c>
      <c r="E180">
        <v>34</v>
      </c>
      <c r="F180">
        <v>28.5</v>
      </c>
      <c r="G180">
        <f>INDEX('اسعار الاسهم'!A:B,MATCH(B180,'اسعار الاسهم'!K:K,0),2)</f>
        <v>26.64</v>
      </c>
      <c r="H180" s="8" t="str">
        <f t="shared" si="16"/>
        <v/>
      </c>
      <c r="I180" s="8" t="str">
        <f t="shared" si="17"/>
        <v/>
      </c>
      <c r="J180" s="8" t="str">
        <f t="shared" si="18"/>
        <v/>
      </c>
      <c r="K180" s="8">
        <f t="shared" si="19"/>
        <v>0.19298245614035081</v>
      </c>
      <c r="L180" s="13" t="str">
        <f t="shared" si="20"/>
        <v/>
      </c>
      <c r="M180" t="str">
        <f t="shared" si="21"/>
        <v/>
      </c>
      <c r="N180">
        <f t="shared" si="22"/>
        <v>1</v>
      </c>
      <c r="O180">
        <v>0</v>
      </c>
      <c r="P180">
        <v>145</v>
      </c>
      <c r="Q180" s="8">
        <f t="shared" si="23"/>
        <v>-5.409890474610024E-2</v>
      </c>
    </row>
    <row r="181" spans="1:17" hidden="1">
      <c r="A181">
        <v>188</v>
      </c>
      <c r="B181" t="s">
        <v>771</v>
      </c>
      <c r="C181" s="11">
        <v>45598</v>
      </c>
      <c r="D181">
        <v>2.13</v>
      </c>
      <c r="E181">
        <v>2.4</v>
      </c>
      <c r="F181">
        <v>2.0499999999999998</v>
      </c>
      <c r="G181">
        <f>INDEX('اسعار الاسهم'!A:B,MATCH(B181,'اسعار الاسهم'!K:K,0),2)</f>
        <v>1.74</v>
      </c>
      <c r="H181" s="8" t="str">
        <f t="shared" si="16"/>
        <v/>
      </c>
      <c r="I181" s="8" t="str">
        <f t="shared" si="17"/>
        <v/>
      </c>
      <c r="J181" s="8" t="str">
        <f t="shared" si="18"/>
        <v/>
      </c>
      <c r="K181" s="8">
        <f t="shared" si="19"/>
        <v>0.17073170731707332</v>
      </c>
      <c r="L181" s="13" t="str">
        <f t="shared" si="20"/>
        <v/>
      </c>
      <c r="M181" t="str">
        <f t="shared" si="21"/>
        <v/>
      </c>
      <c r="N181">
        <f t="shared" si="22"/>
        <v>0</v>
      </c>
      <c r="O181">
        <v>1</v>
      </c>
      <c r="P181">
        <v>78</v>
      </c>
      <c r="Q181" s="8">
        <f t="shared" si="23"/>
        <v>0.12676056338028174</v>
      </c>
    </row>
    <row r="182" spans="1:17" hidden="1">
      <c r="A182">
        <v>96</v>
      </c>
      <c r="B182" t="s">
        <v>728</v>
      </c>
      <c r="C182" s="11">
        <v>45614</v>
      </c>
      <c r="D182">
        <v>20.02</v>
      </c>
      <c r="E182">
        <v>25</v>
      </c>
      <c r="F182">
        <v>18.5</v>
      </c>
      <c r="G182">
        <f>INDEX('اسعار الاسهم'!A:B,MATCH(B182,'اسعار الاسهم'!K:K,0),2)</f>
        <v>19.68</v>
      </c>
      <c r="H182" s="8" t="str">
        <f t="shared" si="16"/>
        <v/>
      </c>
      <c r="I182" s="8" t="str">
        <f t="shared" si="17"/>
        <v/>
      </c>
      <c r="J182" s="8" t="str">
        <f t="shared" si="18"/>
        <v/>
      </c>
      <c r="K182" s="8">
        <f t="shared" si="19"/>
        <v>0.35135135135135132</v>
      </c>
      <c r="L182" s="13" t="str">
        <f t="shared" si="20"/>
        <v/>
      </c>
      <c r="M182" t="str">
        <f t="shared" si="21"/>
        <v/>
      </c>
      <c r="N182">
        <f t="shared" si="22"/>
        <v>3</v>
      </c>
      <c r="O182">
        <v>0</v>
      </c>
      <c r="P182">
        <v>141</v>
      </c>
      <c r="Q182" s="8">
        <f t="shared" si="23"/>
        <v>-7.5924075924075907E-2</v>
      </c>
    </row>
    <row r="183" spans="1:17" hidden="1">
      <c r="A183">
        <v>95</v>
      </c>
      <c r="B183" t="s">
        <v>816</v>
      </c>
      <c r="C183" s="11">
        <v>45614</v>
      </c>
      <c r="D183">
        <v>33.18</v>
      </c>
      <c r="E183">
        <v>38</v>
      </c>
      <c r="F183">
        <v>30.5</v>
      </c>
      <c r="G183">
        <f>INDEX('اسعار الاسهم'!A:B,MATCH(B183,'اسعار الاسهم'!K:K,0),2)</f>
        <v>27</v>
      </c>
      <c r="H183" s="8" t="str">
        <f t="shared" si="16"/>
        <v/>
      </c>
      <c r="I183" s="8" t="str">
        <f t="shared" si="17"/>
        <v/>
      </c>
      <c r="J183" s="8" t="str">
        <f t="shared" si="18"/>
        <v/>
      </c>
      <c r="K183" s="8">
        <f t="shared" si="19"/>
        <v>0.24590163934426235</v>
      </c>
      <c r="L183" s="13" t="str">
        <f t="shared" si="20"/>
        <v/>
      </c>
      <c r="M183" t="str">
        <f t="shared" si="21"/>
        <v/>
      </c>
      <c r="N183">
        <f t="shared" si="22"/>
        <v>0</v>
      </c>
      <c r="O183">
        <v>0</v>
      </c>
      <c r="P183">
        <v>139</v>
      </c>
      <c r="Q183" s="8">
        <f t="shared" si="23"/>
        <v>-8.0771549125979503E-2</v>
      </c>
    </row>
    <row r="184" spans="1:17" hidden="1">
      <c r="A184">
        <v>176</v>
      </c>
      <c r="B184" t="s">
        <v>750</v>
      </c>
      <c r="C184" s="11">
        <v>45627</v>
      </c>
      <c r="D184">
        <v>3.2</v>
      </c>
      <c r="E184">
        <v>3.8</v>
      </c>
      <c r="F184">
        <v>2.9</v>
      </c>
      <c r="G184">
        <f>INDEX('اسعار الاسهم'!A:B,MATCH(B184,'اسعار الاسهم'!K:K,0),2)</f>
        <v>6.11</v>
      </c>
      <c r="H184" s="8" t="str">
        <f t="shared" si="16"/>
        <v/>
      </c>
      <c r="I184" s="8" t="str">
        <f t="shared" si="17"/>
        <v/>
      </c>
      <c r="J184" s="8" t="str">
        <f t="shared" si="18"/>
        <v/>
      </c>
      <c r="K184" s="8">
        <f t="shared" si="19"/>
        <v>0.31034482758620685</v>
      </c>
      <c r="L184" s="13" t="str">
        <f t="shared" si="20"/>
        <v/>
      </c>
      <c r="M184" t="str">
        <f t="shared" si="21"/>
        <v/>
      </c>
      <c r="N184">
        <f t="shared" si="22"/>
        <v>1</v>
      </c>
      <c r="O184">
        <v>1</v>
      </c>
      <c r="P184">
        <v>68</v>
      </c>
      <c r="Q184" s="8">
        <f t="shared" si="23"/>
        <v>0.18749999999999978</v>
      </c>
    </row>
    <row r="185" spans="1:17" hidden="1">
      <c r="A185">
        <v>175</v>
      </c>
      <c r="B185" t="s">
        <v>776</v>
      </c>
      <c r="C185" s="11">
        <v>45627</v>
      </c>
      <c r="D185">
        <v>6.15</v>
      </c>
      <c r="E185">
        <v>7.2</v>
      </c>
      <c r="F185">
        <v>5.45</v>
      </c>
      <c r="G185">
        <f>INDEX('اسعار الاسهم'!A:B,MATCH(B185,'اسعار الاسهم'!K:K,0),2)</f>
        <v>11.27</v>
      </c>
      <c r="H185" s="8" t="str">
        <f t="shared" si="16"/>
        <v/>
      </c>
      <c r="I185" s="8" t="str">
        <f t="shared" si="17"/>
        <v/>
      </c>
      <c r="J185" s="8" t="str">
        <f t="shared" si="18"/>
        <v/>
      </c>
      <c r="K185" s="8">
        <f t="shared" si="19"/>
        <v>0.32110091743119273</v>
      </c>
      <c r="L185" s="13" t="str">
        <f t="shared" si="20"/>
        <v/>
      </c>
      <c r="M185" t="str">
        <f t="shared" si="21"/>
        <v/>
      </c>
      <c r="N185">
        <f t="shared" si="22"/>
        <v>2</v>
      </c>
      <c r="O185">
        <v>1</v>
      </c>
      <c r="P185">
        <v>67</v>
      </c>
      <c r="Q185" s="8">
        <f t="shared" si="23"/>
        <v>0.1707317073170731</v>
      </c>
    </row>
    <row r="186" spans="1:17" hidden="1">
      <c r="A186">
        <v>173</v>
      </c>
      <c r="B186" t="s">
        <v>787</v>
      </c>
      <c r="C186" s="11">
        <v>45624</v>
      </c>
      <c r="D186">
        <v>14.2</v>
      </c>
      <c r="E186">
        <v>14.8</v>
      </c>
      <c r="F186">
        <v>13.8</v>
      </c>
      <c r="G186">
        <f>INDEX('اسعار الاسهم'!A:B,MATCH(B186,'اسعار الاسهم'!K:K,0),2)</f>
        <v>25.67</v>
      </c>
      <c r="H186" s="8" t="str">
        <f t="shared" si="16"/>
        <v/>
      </c>
      <c r="I186" s="8" t="str">
        <f t="shared" si="17"/>
        <v/>
      </c>
      <c r="J186" s="8" t="str">
        <f t="shared" si="18"/>
        <v/>
      </c>
      <c r="K186" s="8">
        <f t="shared" si="19"/>
        <v>7.2463768115942129E-2</v>
      </c>
      <c r="L186" s="13" t="str">
        <f t="shared" si="20"/>
        <v/>
      </c>
      <c r="M186" t="str">
        <f t="shared" si="21"/>
        <v/>
      </c>
      <c r="N186">
        <f t="shared" si="22"/>
        <v>3</v>
      </c>
      <c r="O186">
        <v>1</v>
      </c>
      <c r="P186">
        <v>113</v>
      </c>
      <c r="Q186" s="8">
        <f t="shared" si="23"/>
        <v>4.2253521126760729E-2</v>
      </c>
    </row>
    <row r="187" spans="1:17" hidden="1">
      <c r="A187">
        <v>110</v>
      </c>
      <c r="B187" t="s">
        <v>816</v>
      </c>
      <c r="C187" s="11">
        <v>45615</v>
      </c>
      <c r="D187">
        <v>34.6</v>
      </c>
      <c r="E187">
        <v>38</v>
      </c>
      <c r="F187">
        <v>31</v>
      </c>
      <c r="G187">
        <f>INDEX('اسعار الاسهم'!A:B,MATCH(B187,'اسعار الاسهم'!K:K,0),2)</f>
        <v>27</v>
      </c>
      <c r="H187" s="8" t="str">
        <f t="shared" si="16"/>
        <v/>
      </c>
      <c r="I187" s="8" t="str">
        <f t="shared" si="17"/>
        <v/>
      </c>
      <c r="J187" s="8" t="str">
        <f t="shared" si="18"/>
        <v/>
      </c>
      <c r="K187" s="8">
        <f t="shared" si="19"/>
        <v>0.22580645161290325</v>
      </c>
      <c r="L187" s="13" t="str">
        <f t="shared" si="20"/>
        <v/>
      </c>
      <c r="M187" t="str">
        <f t="shared" si="21"/>
        <v/>
      </c>
      <c r="N187">
        <f t="shared" si="22"/>
        <v>0</v>
      </c>
      <c r="O187">
        <v>0</v>
      </c>
      <c r="P187">
        <v>135</v>
      </c>
      <c r="Q187" s="8">
        <f t="shared" si="23"/>
        <v>-0.10404624277456653</v>
      </c>
    </row>
    <row r="188" spans="1:17" hidden="1">
      <c r="A188">
        <v>169</v>
      </c>
      <c r="B188" t="s">
        <v>853</v>
      </c>
      <c r="C188" s="11">
        <v>45623</v>
      </c>
      <c r="D188">
        <v>0.92500000000000004</v>
      </c>
      <c r="E188">
        <v>1</v>
      </c>
      <c r="F188">
        <v>0.91</v>
      </c>
      <c r="G188">
        <f>INDEX('اسعار الاسهم'!A:B,MATCH(B188,'اسعار الاسهم'!K:K,0),2)</f>
        <v>1.31</v>
      </c>
      <c r="H188" s="8" t="str">
        <f t="shared" si="16"/>
        <v/>
      </c>
      <c r="I188" s="8" t="str">
        <f t="shared" si="17"/>
        <v/>
      </c>
      <c r="J188" s="8" t="str">
        <f t="shared" si="18"/>
        <v/>
      </c>
      <c r="K188" s="8">
        <f t="shared" si="19"/>
        <v>9.8901098901098772E-2</v>
      </c>
      <c r="L188" s="13" t="str">
        <f t="shared" si="20"/>
        <v/>
      </c>
      <c r="M188" t="str">
        <f t="shared" si="21"/>
        <v/>
      </c>
      <c r="N188">
        <f t="shared" si="22"/>
        <v>0</v>
      </c>
      <c r="O188">
        <v>1</v>
      </c>
      <c r="P188">
        <v>64</v>
      </c>
      <c r="Q188" s="8">
        <f t="shared" si="23"/>
        <v>8.1081081081080919E-2</v>
      </c>
    </row>
    <row r="189" spans="1:17" hidden="1">
      <c r="A189">
        <v>203</v>
      </c>
      <c r="B189" t="s">
        <v>856</v>
      </c>
      <c r="C189" s="11">
        <v>45629</v>
      </c>
      <c r="D189">
        <v>18.89</v>
      </c>
      <c r="E189">
        <v>21</v>
      </c>
      <c r="F189">
        <v>17.649999999999999</v>
      </c>
      <c r="G189">
        <f>INDEX('اسعار الاسهم'!A:B,MATCH(B189,'اسعار الاسهم'!K:K,0),2)</f>
        <v>18.73</v>
      </c>
      <c r="H189" s="8" t="str">
        <f t="shared" si="16"/>
        <v/>
      </c>
      <c r="I189" s="8" t="str">
        <f t="shared" si="17"/>
        <v/>
      </c>
      <c r="J189" s="8" t="str">
        <f t="shared" si="18"/>
        <v/>
      </c>
      <c r="K189" s="8">
        <f t="shared" si="19"/>
        <v>0.18980169971671401</v>
      </c>
      <c r="L189" s="13" t="str">
        <f t="shared" si="20"/>
        <v/>
      </c>
      <c r="M189" t="str">
        <f t="shared" si="21"/>
        <v/>
      </c>
      <c r="N189">
        <f t="shared" si="22"/>
        <v>0</v>
      </c>
      <c r="O189">
        <v>0</v>
      </c>
      <c r="P189">
        <v>134</v>
      </c>
      <c r="Q189" s="8">
        <f t="shared" si="23"/>
        <v>-6.5643197458973068E-2</v>
      </c>
    </row>
    <row r="190" spans="1:17" hidden="1">
      <c r="A190">
        <v>162</v>
      </c>
      <c r="B190" t="s">
        <v>776</v>
      </c>
      <c r="C190" s="11">
        <v>45623</v>
      </c>
      <c r="D190">
        <v>5.68</v>
      </c>
      <c r="E190">
        <v>6</v>
      </c>
      <c r="F190">
        <v>5.4</v>
      </c>
      <c r="G190">
        <f>INDEX('اسعار الاسهم'!A:B,MATCH(B190,'اسعار الاسهم'!K:K,0),2)</f>
        <v>11.27</v>
      </c>
      <c r="H190" s="8" t="str">
        <f t="shared" si="16"/>
        <v/>
      </c>
      <c r="I190" s="8" t="str">
        <f t="shared" si="17"/>
        <v/>
      </c>
      <c r="J190" s="8" t="str">
        <f t="shared" si="18"/>
        <v/>
      </c>
      <c r="K190" s="8">
        <f t="shared" si="19"/>
        <v>0.11111111111111094</v>
      </c>
      <c r="L190" s="13" t="str">
        <f t="shared" si="20"/>
        <v/>
      </c>
      <c r="M190" t="str">
        <f t="shared" si="21"/>
        <v/>
      </c>
      <c r="N190">
        <f t="shared" si="22"/>
        <v>2</v>
      </c>
      <c r="O190">
        <v>1</v>
      </c>
      <c r="P190">
        <v>66</v>
      </c>
      <c r="Q190" s="8">
        <f t="shared" si="23"/>
        <v>5.6338028169014231E-2</v>
      </c>
    </row>
    <row r="191" spans="1:17" hidden="1">
      <c r="A191">
        <v>196</v>
      </c>
      <c r="B191" t="s">
        <v>856</v>
      </c>
      <c r="C191" s="11">
        <v>45629</v>
      </c>
      <c r="D191">
        <v>18.89</v>
      </c>
      <c r="E191">
        <v>20.5</v>
      </c>
      <c r="F191">
        <v>17.7</v>
      </c>
      <c r="G191">
        <f>INDEX('اسعار الاسهم'!A:B,MATCH(B191,'اسعار الاسهم'!K:K,0),2)</f>
        <v>18.73</v>
      </c>
      <c r="H191" s="8" t="str">
        <f t="shared" si="16"/>
        <v/>
      </c>
      <c r="I191" s="8" t="str">
        <f t="shared" si="17"/>
        <v/>
      </c>
      <c r="J191" s="8" t="str">
        <f t="shared" si="18"/>
        <v/>
      </c>
      <c r="K191" s="8">
        <f t="shared" si="19"/>
        <v>0.15819209039548032</v>
      </c>
      <c r="L191" s="13" t="str">
        <f t="shared" si="20"/>
        <v/>
      </c>
      <c r="M191" t="str">
        <f t="shared" si="21"/>
        <v/>
      </c>
      <c r="N191">
        <f t="shared" si="22"/>
        <v>0</v>
      </c>
      <c r="O191">
        <v>0</v>
      </c>
      <c r="P191">
        <v>133</v>
      </c>
      <c r="Q191" s="8">
        <f t="shared" si="23"/>
        <v>-6.2996294335627367E-2</v>
      </c>
    </row>
    <row r="192" spans="1:17" hidden="1">
      <c r="A192">
        <v>159</v>
      </c>
      <c r="B192" t="s">
        <v>786</v>
      </c>
      <c r="C192" s="11">
        <v>45623</v>
      </c>
      <c r="D192">
        <v>80</v>
      </c>
      <c r="E192">
        <v>82.9</v>
      </c>
      <c r="F192">
        <v>78</v>
      </c>
      <c r="G192">
        <f>INDEX('اسعار الاسهم'!A:B,MATCH(B192,'اسعار الاسهم'!K:K,0),2)</f>
        <v>132.35</v>
      </c>
      <c r="H192" s="8" t="str">
        <f t="shared" si="16"/>
        <v/>
      </c>
      <c r="I192" s="8" t="str">
        <f t="shared" si="17"/>
        <v/>
      </c>
      <c r="J192" s="8" t="str">
        <f t="shared" si="18"/>
        <v/>
      </c>
      <c r="K192" s="8">
        <f t="shared" si="19"/>
        <v>6.2820512820512819E-2</v>
      </c>
      <c r="L192" s="13" t="str">
        <f t="shared" si="20"/>
        <v/>
      </c>
      <c r="M192" t="str">
        <f t="shared" si="21"/>
        <v/>
      </c>
      <c r="N192">
        <f t="shared" si="22"/>
        <v>5</v>
      </c>
      <c r="O192">
        <v>1</v>
      </c>
      <c r="P192">
        <v>107</v>
      </c>
      <c r="Q192" s="8">
        <f t="shared" si="23"/>
        <v>3.6250000000000115E-2</v>
      </c>
    </row>
    <row r="193" spans="1:17" hidden="1">
      <c r="A193">
        <v>158</v>
      </c>
      <c r="B193" t="s">
        <v>815</v>
      </c>
      <c r="C193" s="11">
        <v>45622</v>
      </c>
      <c r="D193">
        <v>1.89</v>
      </c>
      <c r="E193">
        <v>2.08</v>
      </c>
      <c r="F193">
        <v>1.85</v>
      </c>
      <c r="G193">
        <f>INDEX('اسعار الاسهم'!A:B,MATCH(B193,'اسعار الاسهم'!K:K,0),2)</f>
        <v>1.1399999999999999</v>
      </c>
      <c r="H193" s="8" t="str">
        <f t="shared" si="16"/>
        <v/>
      </c>
      <c r="I193" s="8" t="str">
        <f t="shared" si="17"/>
        <v/>
      </c>
      <c r="J193" s="8" t="str">
        <f t="shared" si="18"/>
        <v/>
      </c>
      <c r="K193" s="8">
        <f t="shared" si="19"/>
        <v>0.12432432432432439</v>
      </c>
      <c r="L193" s="13" t="str">
        <f t="shared" si="20"/>
        <v/>
      </c>
      <c r="M193" t="str">
        <f t="shared" si="21"/>
        <v/>
      </c>
      <c r="N193">
        <f t="shared" si="22"/>
        <v>0</v>
      </c>
      <c r="O193">
        <v>1</v>
      </c>
      <c r="P193">
        <v>112</v>
      </c>
      <c r="Q193" s="8">
        <f t="shared" si="23"/>
        <v>0.10052910052910069</v>
      </c>
    </row>
    <row r="194" spans="1:17" hidden="1">
      <c r="A194">
        <v>127</v>
      </c>
      <c r="B194" t="s">
        <v>789</v>
      </c>
      <c r="C194" s="11">
        <v>45617</v>
      </c>
      <c r="D194">
        <v>3.61</v>
      </c>
      <c r="E194">
        <v>4.2</v>
      </c>
      <c r="F194">
        <v>3.3</v>
      </c>
      <c r="G194">
        <f>INDEX('اسعار الاسهم'!A:B,MATCH(B194,'اسعار الاسهم'!K:K,0),2)</f>
        <v>9.3000000000000007</v>
      </c>
      <c r="H194" s="8" t="str">
        <f t="shared" ref="H194:H257" si="24">IF(O194="", G194/D194-1,"")</f>
        <v/>
      </c>
      <c r="I194" s="8" t="str">
        <f t="shared" ref="I194:I257" si="25">IF(O194="", E194/G194-1,"")</f>
        <v/>
      </c>
      <c r="J194" s="8" t="str">
        <f t="shared" ref="J194:J257" si="26">IF(O194="",  1-F194/G194,"")</f>
        <v/>
      </c>
      <c r="K194" s="8">
        <f t="shared" ref="K194:K257" si="27">E194/F194-1</f>
        <v>0.27272727272727293</v>
      </c>
      <c r="L194" s="13" t="str">
        <f t="shared" ref="L194:L257" si="28">IF( P194="",I194/J194,"")</f>
        <v/>
      </c>
      <c r="M194" t="str">
        <f t="shared" ref="M194:M257" si="29">IF(O194="",IF(I194&lt;J194,"up","down"),"")</f>
        <v/>
      </c>
      <c r="N194">
        <f t="shared" ref="N194:N257" si="30">COUNTIFS(B:B,B194,O:O,"")</f>
        <v>3</v>
      </c>
      <c r="O194">
        <v>0</v>
      </c>
      <c r="P194">
        <v>132</v>
      </c>
      <c r="Q194" s="8">
        <f t="shared" ref="Q194:Q257" si="31">IF(NOT( P194=""),IF(O194=1,E194/D194-1,F194/D194-1),"")</f>
        <v>-8.5872576177285387E-2</v>
      </c>
    </row>
    <row r="195" spans="1:17" hidden="1">
      <c r="A195">
        <v>18</v>
      </c>
      <c r="B195" t="s">
        <v>765</v>
      </c>
      <c r="C195" s="11">
        <v>45601</v>
      </c>
      <c r="D195">
        <v>44.6</v>
      </c>
      <c r="E195">
        <v>51</v>
      </c>
      <c r="F195">
        <v>41</v>
      </c>
      <c r="G195">
        <f>INDEX('اسعار الاسهم'!A:B,MATCH(B195,'اسعار الاسهم'!K:K,0),2)</f>
        <v>49</v>
      </c>
      <c r="H195" s="8" t="str">
        <f t="shared" si="24"/>
        <v/>
      </c>
      <c r="I195" s="8" t="str">
        <f t="shared" si="25"/>
        <v/>
      </c>
      <c r="J195" s="8" t="str">
        <f t="shared" si="26"/>
        <v/>
      </c>
      <c r="K195" s="8">
        <f t="shared" si="27"/>
        <v>0.24390243902439024</v>
      </c>
      <c r="L195" s="13" t="str">
        <f t="shared" si="28"/>
        <v/>
      </c>
      <c r="M195" t="str">
        <f t="shared" si="29"/>
        <v/>
      </c>
      <c r="N195">
        <f t="shared" si="30"/>
        <v>0</v>
      </c>
      <c r="O195">
        <v>0</v>
      </c>
      <c r="P195">
        <v>130</v>
      </c>
      <c r="Q195" s="8">
        <f t="shared" si="31"/>
        <v>-8.0717488789237679E-2</v>
      </c>
    </row>
    <row r="196" spans="1:17" hidden="1">
      <c r="A196">
        <v>155</v>
      </c>
      <c r="B196" t="s">
        <v>772</v>
      </c>
      <c r="C196" s="11">
        <v>45622</v>
      </c>
      <c r="D196">
        <v>107.59</v>
      </c>
      <c r="E196">
        <v>112</v>
      </c>
      <c r="F196">
        <v>104</v>
      </c>
      <c r="G196">
        <f>INDEX('اسعار الاسهم'!A:B,MATCH(B196,'اسعار الاسهم'!K:K,0),2)</f>
        <v>331.99</v>
      </c>
      <c r="H196" s="8" t="str">
        <f t="shared" si="24"/>
        <v/>
      </c>
      <c r="I196" s="8" t="str">
        <f t="shared" si="25"/>
        <v/>
      </c>
      <c r="J196" s="8" t="str">
        <f t="shared" si="26"/>
        <v/>
      </c>
      <c r="K196" s="8">
        <f t="shared" si="27"/>
        <v>7.6923076923076872E-2</v>
      </c>
      <c r="L196" s="13" t="str">
        <f t="shared" si="28"/>
        <v/>
      </c>
      <c r="M196" t="str">
        <f t="shared" si="29"/>
        <v/>
      </c>
      <c r="N196">
        <f t="shared" si="30"/>
        <v>4</v>
      </c>
      <c r="O196">
        <v>1</v>
      </c>
      <c r="P196">
        <v>54</v>
      </c>
      <c r="Q196" s="8">
        <f t="shared" si="31"/>
        <v>4.0988939492517806E-2</v>
      </c>
    </row>
    <row r="197" spans="1:17" hidden="1">
      <c r="A197">
        <v>154</v>
      </c>
      <c r="B197" t="s">
        <v>771</v>
      </c>
      <c r="C197" s="11">
        <v>45622</v>
      </c>
      <c r="D197">
        <v>2.12</v>
      </c>
      <c r="E197">
        <v>2.44</v>
      </c>
      <c r="F197">
        <v>1.9</v>
      </c>
      <c r="G197">
        <f>INDEX('اسعار الاسهم'!A:B,MATCH(B197,'اسعار الاسهم'!K:K,0),2)</f>
        <v>1.74</v>
      </c>
      <c r="H197" s="8" t="str">
        <f t="shared" si="24"/>
        <v/>
      </c>
      <c r="I197" s="8" t="str">
        <f t="shared" si="25"/>
        <v/>
      </c>
      <c r="J197" s="8" t="str">
        <f t="shared" si="26"/>
        <v/>
      </c>
      <c r="K197" s="8">
        <f t="shared" si="27"/>
        <v>0.28421052631578947</v>
      </c>
      <c r="L197" s="13" t="str">
        <f t="shared" si="28"/>
        <v/>
      </c>
      <c r="M197" t="str">
        <f t="shared" si="29"/>
        <v/>
      </c>
      <c r="N197">
        <f t="shared" si="30"/>
        <v>0</v>
      </c>
      <c r="O197">
        <v>1</v>
      </c>
      <c r="P197">
        <v>109</v>
      </c>
      <c r="Q197" s="8">
        <f t="shared" si="31"/>
        <v>0.15094339622641506</v>
      </c>
    </row>
    <row r="198" spans="1:17" hidden="1">
      <c r="A198">
        <v>149</v>
      </c>
      <c r="B198" t="s">
        <v>771</v>
      </c>
      <c r="C198" s="11">
        <v>45622</v>
      </c>
      <c r="D198">
        <v>2.12</v>
      </c>
      <c r="E198">
        <v>2.39</v>
      </c>
      <c r="F198">
        <v>1.94</v>
      </c>
      <c r="G198">
        <f>INDEX('اسعار الاسهم'!A:B,MATCH(B198,'اسعار الاسهم'!K:K,0),2)</f>
        <v>1.74</v>
      </c>
      <c r="H198" s="8" t="str">
        <f t="shared" si="24"/>
        <v/>
      </c>
      <c r="I198" s="8" t="str">
        <f t="shared" si="25"/>
        <v/>
      </c>
      <c r="J198" s="8" t="str">
        <f t="shared" si="26"/>
        <v/>
      </c>
      <c r="K198" s="8">
        <f t="shared" si="27"/>
        <v>0.231958762886598</v>
      </c>
      <c r="L198" s="13" t="str">
        <f t="shared" si="28"/>
        <v/>
      </c>
      <c r="M198" t="str">
        <f t="shared" si="29"/>
        <v/>
      </c>
      <c r="N198">
        <f t="shared" si="30"/>
        <v>0</v>
      </c>
      <c r="O198">
        <v>1</v>
      </c>
      <c r="P198">
        <v>77</v>
      </c>
      <c r="Q198" s="8">
        <f t="shared" si="31"/>
        <v>0.12735849056603765</v>
      </c>
    </row>
    <row r="199" spans="1:17" hidden="1">
      <c r="A199">
        <v>148</v>
      </c>
      <c r="B199" t="s">
        <v>834</v>
      </c>
      <c r="C199" s="11">
        <v>45621</v>
      </c>
      <c r="D199">
        <v>3.17</v>
      </c>
      <c r="E199">
        <v>3.7</v>
      </c>
      <c r="F199">
        <v>2.8</v>
      </c>
      <c r="G199">
        <f>INDEX('اسعار الاسهم'!A:B,MATCH(B199,'اسعار الاسهم'!K:K,0),2)</f>
        <v>3.95</v>
      </c>
      <c r="H199" s="8" t="str">
        <f t="shared" si="24"/>
        <v/>
      </c>
      <c r="I199" s="8" t="str">
        <f t="shared" si="25"/>
        <v/>
      </c>
      <c r="J199" s="8" t="str">
        <f t="shared" si="26"/>
        <v/>
      </c>
      <c r="K199" s="8">
        <f t="shared" si="27"/>
        <v>0.32142857142857162</v>
      </c>
      <c r="L199" s="13" t="str">
        <f t="shared" si="28"/>
        <v/>
      </c>
      <c r="M199" t="str">
        <f t="shared" si="29"/>
        <v/>
      </c>
      <c r="N199">
        <f t="shared" si="30"/>
        <v>2</v>
      </c>
      <c r="O199">
        <v>1</v>
      </c>
      <c r="P199">
        <v>100</v>
      </c>
      <c r="Q199" s="8">
        <f t="shared" si="31"/>
        <v>0.16719242902208209</v>
      </c>
    </row>
    <row r="200" spans="1:17" hidden="1">
      <c r="A200">
        <v>144</v>
      </c>
      <c r="B200" t="s">
        <v>786</v>
      </c>
      <c r="C200" s="11">
        <v>45621</v>
      </c>
      <c r="D200">
        <v>79.849999999999994</v>
      </c>
      <c r="E200">
        <v>83.3</v>
      </c>
      <c r="F200">
        <v>78</v>
      </c>
      <c r="G200">
        <f>INDEX('اسعار الاسهم'!A:B,MATCH(B200,'اسعار الاسهم'!K:K,0),2)</f>
        <v>132.35</v>
      </c>
      <c r="H200" s="8" t="str">
        <f t="shared" si="24"/>
        <v/>
      </c>
      <c r="I200" s="8" t="str">
        <f t="shared" si="25"/>
        <v/>
      </c>
      <c r="J200" s="8" t="str">
        <f t="shared" si="26"/>
        <v/>
      </c>
      <c r="K200" s="8">
        <f t="shared" si="27"/>
        <v>6.7948717948717929E-2</v>
      </c>
      <c r="L200" s="13" t="str">
        <f t="shared" si="28"/>
        <v/>
      </c>
      <c r="M200" t="str">
        <f t="shared" si="29"/>
        <v/>
      </c>
      <c r="N200">
        <f t="shared" si="30"/>
        <v>5</v>
      </c>
      <c r="O200">
        <v>1</v>
      </c>
      <c r="P200">
        <v>142</v>
      </c>
      <c r="Q200" s="8">
        <f t="shared" si="31"/>
        <v>4.3206011271133438E-2</v>
      </c>
    </row>
    <row r="201" spans="1:17" hidden="1">
      <c r="A201">
        <v>142</v>
      </c>
      <c r="B201" t="s">
        <v>780</v>
      </c>
      <c r="C201" s="11">
        <v>45620</v>
      </c>
      <c r="D201">
        <v>15.2</v>
      </c>
      <c r="E201">
        <v>16.5</v>
      </c>
      <c r="F201">
        <v>13.9</v>
      </c>
      <c r="G201">
        <f>INDEX('اسعار الاسهم'!A:B,MATCH(B201,'اسعار الاسهم'!K:K,0),2)</f>
        <v>34.549999999999997</v>
      </c>
      <c r="H201" s="8" t="str">
        <f t="shared" si="24"/>
        <v/>
      </c>
      <c r="I201" s="8" t="str">
        <f t="shared" si="25"/>
        <v/>
      </c>
      <c r="J201" s="8" t="str">
        <f t="shared" si="26"/>
        <v/>
      </c>
      <c r="K201" s="8">
        <f t="shared" si="27"/>
        <v>0.18705035971223016</v>
      </c>
      <c r="L201" s="13" t="str">
        <f t="shared" si="28"/>
        <v/>
      </c>
      <c r="M201" t="str">
        <f t="shared" si="29"/>
        <v/>
      </c>
      <c r="N201">
        <f t="shared" si="30"/>
        <v>0</v>
      </c>
      <c r="O201">
        <v>1</v>
      </c>
      <c r="P201">
        <v>99</v>
      </c>
      <c r="Q201" s="8">
        <f t="shared" si="31"/>
        <v>8.5526315789473673E-2</v>
      </c>
    </row>
    <row r="202" spans="1:17" hidden="1">
      <c r="A202">
        <v>111</v>
      </c>
      <c r="B202" t="s">
        <v>829</v>
      </c>
      <c r="C202" s="11">
        <v>45615</v>
      </c>
      <c r="D202">
        <v>19.22</v>
      </c>
      <c r="E202">
        <v>22</v>
      </c>
      <c r="F202">
        <v>17.5</v>
      </c>
      <c r="G202">
        <f>INDEX('اسعار الاسهم'!A:B,MATCH(B202,'اسعار الاسهم'!K:K,0),2)</f>
        <v>43.88</v>
      </c>
      <c r="H202" s="8" t="str">
        <f t="shared" si="24"/>
        <v/>
      </c>
      <c r="I202" s="8" t="str">
        <f t="shared" si="25"/>
        <v/>
      </c>
      <c r="J202" s="8" t="str">
        <f t="shared" si="26"/>
        <v/>
      </c>
      <c r="K202" s="8">
        <f t="shared" si="27"/>
        <v>0.25714285714285712</v>
      </c>
      <c r="L202" s="13" t="str">
        <f t="shared" si="28"/>
        <v/>
      </c>
      <c r="M202" t="str">
        <f t="shared" si="29"/>
        <v/>
      </c>
      <c r="N202">
        <f t="shared" si="30"/>
        <v>0</v>
      </c>
      <c r="O202">
        <v>0</v>
      </c>
      <c r="P202">
        <v>129</v>
      </c>
      <c r="Q202" s="8">
        <f t="shared" si="31"/>
        <v>-8.9490114464099824E-2</v>
      </c>
    </row>
    <row r="203" spans="1:17" hidden="1">
      <c r="A203">
        <v>165</v>
      </c>
      <c r="B203" t="s">
        <v>783</v>
      </c>
      <c r="C203" s="11">
        <v>45623</v>
      </c>
      <c r="D203">
        <v>43.14</v>
      </c>
      <c r="E203">
        <v>51</v>
      </c>
      <c r="F203">
        <v>41</v>
      </c>
      <c r="G203">
        <f>INDEX('اسعار الاسهم'!A:B,MATCH(B203,'اسعار الاسهم'!K:K,0),2)</f>
        <v>46.1</v>
      </c>
      <c r="H203" s="8" t="str">
        <f t="shared" si="24"/>
        <v/>
      </c>
      <c r="I203" s="8" t="str">
        <f t="shared" si="25"/>
        <v/>
      </c>
      <c r="J203" s="8" t="str">
        <f t="shared" si="26"/>
        <v/>
      </c>
      <c r="K203" s="8">
        <f t="shared" si="27"/>
        <v>0.24390243902439024</v>
      </c>
      <c r="L203" s="13" t="str">
        <f t="shared" si="28"/>
        <v/>
      </c>
      <c r="M203" t="str">
        <f t="shared" si="29"/>
        <v/>
      </c>
      <c r="N203">
        <f t="shared" si="30"/>
        <v>1</v>
      </c>
      <c r="O203">
        <v>0</v>
      </c>
      <c r="P203">
        <v>128</v>
      </c>
      <c r="Q203" s="8">
        <f t="shared" si="31"/>
        <v>-4.960593416782566E-2</v>
      </c>
    </row>
    <row r="204" spans="1:17" hidden="1">
      <c r="A204">
        <v>208</v>
      </c>
      <c r="B204" t="s">
        <v>829</v>
      </c>
      <c r="C204" s="11">
        <v>45630</v>
      </c>
      <c r="D204">
        <v>19.100000000000001</v>
      </c>
      <c r="E204">
        <v>24</v>
      </c>
      <c r="F204">
        <v>17.600000000000001</v>
      </c>
      <c r="G204">
        <f>INDEX('اسعار الاسهم'!A:B,MATCH(B204,'اسعار الاسهم'!K:K,0),2)</f>
        <v>43.88</v>
      </c>
      <c r="H204" s="8" t="str">
        <f t="shared" si="24"/>
        <v/>
      </c>
      <c r="I204" s="8" t="str">
        <f t="shared" si="25"/>
        <v/>
      </c>
      <c r="J204" s="8" t="str">
        <f t="shared" si="26"/>
        <v/>
      </c>
      <c r="K204" s="8">
        <f t="shared" si="27"/>
        <v>0.36363636363636354</v>
      </c>
      <c r="L204" s="13" t="str">
        <f t="shared" si="28"/>
        <v/>
      </c>
      <c r="M204" t="str">
        <f t="shared" si="29"/>
        <v/>
      </c>
      <c r="N204">
        <f t="shared" si="30"/>
        <v>0</v>
      </c>
      <c r="O204">
        <v>0</v>
      </c>
      <c r="P204">
        <v>127</v>
      </c>
      <c r="Q204" s="8">
        <f t="shared" si="31"/>
        <v>-7.8534031413612593E-2</v>
      </c>
    </row>
    <row r="205" spans="1:17" hidden="1">
      <c r="A205">
        <v>135</v>
      </c>
      <c r="B205" t="s">
        <v>849</v>
      </c>
      <c r="C205" s="11">
        <v>45617</v>
      </c>
      <c r="D205">
        <v>14.82</v>
      </c>
      <c r="E205">
        <v>16</v>
      </c>
      <c r="F205">
        <v>14.3</v>
      </c>
      <c r="G205">
        <f>INDEX('اسعار الاسهم'!A:B,MATCH(B205,'اسعار الاسهم'!K:K,0),2)</f>
        <v>35.6</v>
      </c>
      <c r="H205" s="8" t="str">
        <f t="shared" si="24"/>
        <v/>
      </c>
      <c r="I205" s="8" t="str">
        <f t="shared" si="25"/>
        <v/>
      </c>
      <c r="J205" s="8" t="str">
        <f t="shared" si="26"/>
        <v/>
      </c>
      <c r="K205" s="8">
        <f t="shared" si="27"/>
        <v>0.11888111888111874</v>
      </c>
      <c r="L205" s="13" t="str">
        <f t="shared" si="28"/>
        <v/>
      </c>
      <c r="M205" t="str">
        <f t="shared" si="29"/>
        <v/>
      </c>
      <c r="N205">
        <f t="shared" si="30"/>
        <v>0</v>
      </c>
      <c r="O205">
        <v>1</v>
      </c>
      <c r="P205">
        <v>57</v>
      </c>
      <c r="Q205" s="8">
        <f t="shared" si="31"/>
        <v>7.9622132253711175E-2</v>
      </c>
    </row>
    <row r="206" spans="1:17" hidden="1">
      <c r="A206">
        <v>134</v>
      </c>
      <c r="B206" t="s">
        <v>780</v>
      </c>
      <c r="C206" s="11">
        <v>45617</v>
      </c>
      <c r="D206">
        <v>14.65</v>
      </c>
      <c r="E206">
        <v>15.75</v>
      </c>
      <c r="F206">
        <v>14</v>
      </c>
      <c r="G206">
        <f>INDEX('اسعار الاسهم'!A:B,MATCH(B206,'اسعار الاسهم'!K:K,0),2)</f>
        <v>34.549999999999997</v>
      </c>
      <c r="H206" s="8" t="str">
        <f t="shared" si="24"/>
        <v/>
      </c>
      <c r="I206" s="8" t="str">
        <f t="shared" si="25"/>
        <v/>
      </c>
      <c r="J206" s="8" t="str">
        <f t="shared" si="26"/>
        <v/>
      </c>
      <c r="K206" s="8">
        <f t="shared" si="27"/>
        <v>0.125</v>
      </c>
      <c r="L206" s="13" t="str">
        <f t="shared" si="28"/>
        <v/>
      </c>
      <c r="M206" t="str">
        <f t="shared" si="29"/>
        <v/>
      </c>
      <c r="N206">
        <f t="shared" si="30"/>
        <v>0</v>
      </c>
      <c r="O206">
        <v>1</v>
      </c>
      <c r="P206">
        <v>87</v>
      </c>
      <c r="Q206" s="8">
        <f t="shared" si="31"/>
        <v>7.5085324232081918E-2</v>
      </c>
    </row>
    <row r="207" spans="1:17" hidden="1">
      <c r="A207">
        <v>94</v>
      </c>
      <c r="B207" t="s">
        <v>783</v>
      </c>
      <c r="C207" s="11">
        <v>45614</v>
      </c>
      <c r="D207">
        <v>43</v>
      </c>
      <c r="E207">
        <v>48</v>
      </c>
      <c r="F207">
        <v>41.7</v>
      </c>
      <c r="G207">
        <f>INDEX('اسعار الاسهم'!A:B,MATCH(B207,'اسعار الاسهم'!K:K,0),2)</f>
        <v>46.1</v>
      </c>
      <c r="H207" s="8" t="str">
        <f t="shared" si="24"/>
        <v/>
      </c>
      <c r="I207" s="8" t="str">
        <f t="shared" si="25"/>
        <v/>
      </c>
      <c r="J207" s="8" t="str">
        <f t="shared" si="26"/>
        <v/>
      </c>
      <c r="K207" s="8">
        <f t="shared" si="27"/>
        <v>0.15107913669064743</v>
      </c>
      <c r="L207" s="13" t="str">
        <f t="shared" si="28"/>
        <v/>
      </c>
      <c r="M207" t="str">
        <f t="shared" si="29"/>
        <v/>
      </c>
      <c r="N207">
        <f t="shared" si="30"/>
        <v>1</v>
      </c>
      <c r="O207">
        <v>0</v>
      </c>
      <c r="P207">
        <v>126</v>
      </c>
      <c r="Q207" s="8">
        <f t="shared" si="31"/>
        <v>-3.0232558139534849E-2</v>
      </c>
    </row>
    <row r="208" spans="1:17" hidden="1">
      <c r="A208">
        <v>132</v>
      </c>
      <c r="B208" t="s">
        <v>733</v>
      </c>
      <c r="C208" s="11">
        <v>45617</v>
      </c>
      <c r="D208">
        <v>25.85</v>
      </c>
      <c r="E208">
        <v>27.4</v>
      </c>
      <c r="F208">
        <v>25.4</v>
      </c>
      <c r="G208">
        <f>INDEX('اسعار الاسهم'!A:B,MATCH(B208,'اسعار الاسهم'!K:K,0),2)</f>
        <v>26.64</v>
      </c>
      <c r="H208" s="8" t="str">
        <f t="shared" si="24"/>
        <v/>
      </c>
      <c r="I208" s="8" t="str">
        <f t="shared" si="25"/>
        <v/>
      </c>
      <c r="J208" s="8" t="str">
        <f t="shared" si="26"/>
        <v/>
      </c>
      <c r="K208" s="8">
        <f t="shared" si="27"/>
        <v>7.8740157480315043E-2</v>
      </c>
      <c r="L208" s="13" t="str">
        <f t="shared" si="28"/>
        <v/>
      </c>
      <c r="M208" t="str">
        <f t="shared" si="29"/>
        <v/>
      </c>
      <c r="N208">
        <f t="shared" si="30"/>
        <v>1</v>
      </c>
      <c r="O208">
        <v>1</v>
      </c>
      <c r="P208">
        <v>29</v>
      </c>
      <c r="Q208" s="8">
        <f t="shared" si="31"/>
        <v>5.9961315280464111E-2</v>
      </c>
    </row>
    <row r="209" spans="1:17" hidden="1">
      <c r="A209">
        <v>204</v>
      </c>
      <c r="B209" t="s">
        <v>783</v>
      </c>
      <c r="C209" s="11">
        <v>45630</v>
      </c>
      <c r="D209">
        <v>43.16</v>
      </c>
      <c r="E209">
        <v>45</v>
      </c>
      <c r="F209">
        <v>41.7</v>
      </c>
      <c r="G209">
        <f>INDEX('اسعار الاسهم'!A:B,MATCH(B209,'اسعار الاسهم'!K:K,0),2)</f>
        <v>46.1</v>
      </c>
      <c r="H209" s="8" t="str">
        <f t="shared" si="24"/>
        <v/>
      </c>
      <c r="I209" s="8" t="str">
        <f t="shared" si="25"/>
        <v/>
      </c>
      <c r="J209" s="8" t="str">
        <f t="shared" si="26"/>
        <v/>
      </c>
      <c r="K209" s="8">
        <f t="shared" si="27"/>
        <v>7.9136690647481966E-2</v>
      </c>
      <c r="L209" s="13" t="str">
        <f t="shared" si="28"/>
        <v/>
      </c>
      <c r="M209" t="str">
        <f t="shared" si="29"/>
        <v/>
      </c>
      <c r="N209">
        <f t="shared" si="30"/>
        <v>1</v>
      </c>
      <c r="O209">
        <v>0</v>
      </c>
      <c r="P209">
        <v>125</v>
      </c>
      <c r="Q209" s="8">
        <f t="shared" si="31"/>
        <v>-3.3827618164967377E-2</v>
      </c>
    </row>
    <row r="210" spans="1:17" hidden="1">
      <c r="A210">
        <v>129</v>
      </c>
      <c r="B210" t="s">
        <v>731</v>
      </c>
      <c r="C210" s="11">
        <v>45617</v>
      </c>
      <c r="D210">
        <v>5.6</v>
      </c>
      <c r="E210">
        <v>6.2</v>
      </c>
      <c r="F210">
        <v>5.0999999999999996</v>
      </c>
      <c r="G210">
        <f>INDEX('اسعار الاسهم'!A:B,MATCH(B210,'اسعار الاسهم'!K:K,0),2)</f>
        <v>13.61</v>
      </c>
      <c r="H210" s="8" t="str">
        <f t="shared" si="24"/>
        <v/>
      </c>
      <c r="I210" s="8" t="str">
        <f t="shared" si="25"/>
        <v/>
      </c>
      <c r="J210" s="8" t="str">
        <f t="shared" si="26"/>
        <v/>
      </c>
      <c r="K210" s="8">
        <f t="shared" si="27"/>
        <v>0.21568627450980404</v>
      </c>
      <c r="L210" s="13" t="str">
        <f t="shared" si="28"/>
        <v/>
      </c>
      <c r="M210" t="str">
        <f t="shared" si="29"/>
        <v/>
      </c>
      <c r="N210">
        <f t="shared" si="30"/>
        <v>4</v>
      </c>
      <c r="O210">
        <v>1</v>
      </c>
      <c r="P210">
        <v>76</v>
      </c>
      <c r="Q210" s="8">
        <f t="shared" si="31"/>
        <v>0.10714285714285721</v>
      </c>
    </row>
    <row r="211" spans="1:17" hidden="1">
      <c r="A211">
        <v>190</v>
      </c>
      <c r="B211" t="s">
        <v>834</v>
      </c>
      <c r="C211" s="11">
        <v>45598</v>
      </c>
      <c r="D211">
        <v>3.46</v>
      </c>
      <c r="E211">
        <v>4</v>
      </c>
      <c r="F211">
        <v>3.2</v>
      </c>
      <c r="G211">
        <f>INDEX('اسعار الاسهم'!A:B,MATCH(B211,'اسعار الاسهم'!K:K,0),2)</f>
        <v>3.95</v>
      </c>
      <c r="H211" s="8" t="str">
        <f t="shared" si="24"/>
        <v/>
      </c>
      <c r="I211" s="8" t="str">
        <f t="shared" si="25"/>
        <v/>
      </c>
      <c r="J211" s="8" t="str">
        <f t="shared" si="26"/>
        <v/>
      </c>
      <c r="K211" s="8">
        <f t="shared" si="27"/>
        <v>0.25</v>
      </c>
      <c r="L211" s="13" t="str">
        <f t="shared" si="28"/>
        <v/>
      </c>
      <c r="M211" t="str">
        <f t="shared" si="29"/>
        <v/>
      </c>
      <c r="N211">
        <f t="shared" si="30"/>
        <v>2</v>
      </c>
      <c r="O211">
        <v>0</v>
      </c>
      <c r="P211">
        <v>124</v>
      </c>
      <c r="Q211" s="8">
        <f t="shared" si="31"/>
        <v>-7.5144508670520138E-2</v>
      </c>
    </row>
    <row r="212" spans="1:17" hidden="1">
      <c r="A212">
        <v>228</v>
      </c>
      <c r="B212" t="s">
        <v>763</v>
      </c>
      <c r="C212" s="11">
        <v>45634</v>
      </c>
      <c r="D212">
        <v>8.1</v>
      </c>
      <c r="E212">
        <v>8.75</v>
      </c>
      <c r="F212">
        <v>7.9</v>
      </c>
      <c r="G212">
        <f>INDEX('اسعار الاسهم'!A:B,MATCH(B212,'اسعار الاسهم'!K:K,0),2)</f>
        <v>10.11</v>
      </c>
      <c r="H212" s="8" t="str">
        <f t="shared" si="24"/>
        <v/>
      </c>
      <c r="I212" s="8" t="str">
        <f t="shared" si="25"/>
        <v/>
      </c>
      <c r="J212" s="8" t="str">
        <f t="shared" si="26"/>
        <v/>
      </c>
      <c r="K212" s="8">
        <f t="shared" si="27"/>
        <v>0.10759493670886067</v>
      </c>
      <c r="L212" s="13" t="str">
        <f t="shared" si="28"/>
        <v/>
      </c>
      <c r="M212" t="str">
        <f t="shared" si="29"/>
        <v/>
      </c>
      <c r="N212">
        <f t="shared" si="30"/>
        <v>3</v>
      </c>
      <c r="O212">
        <v>0</v>
      </c>
      <c r="P212">
        <v>123</v>
      </c>
      <c r="Q212" s="8">
        <f t="shared" si="31"/>
        <v>-2.4691358024691246E-2</v>
      </c>
    </row>
    <row r="213" spans="1:17" hidden="1">
      <c r="A213">
        <v>125</v>
      </c>
      <c r="B213" t="s">
        <v>834</v>
      </c>
      <c r="C213" s="11">
        <v>45617</v>
      </c>
      <c r="D213">
        <v>2.97</v>
      </c>
      <c r="E213">
        <v>3.4</v>
      </c>
      <c r="F213">
        <v>2.7</v>
      </c>
      <c r="G213">
        <f>INDEX('اسعار الاسهم'!A:B,MATCH(B213,'اسعار الاسهم'!K:K,0),2)</f>
        <v>3.95</v>
      </c>
      <c r="H213" s="8" t="str">
        <f t="shared" si="24"/>
        <v/>
      </c>
      <c r="I213" s="8" t="str">
        <f t="shared" si="25"/>
        <v/>
      </c>
      <c r="J213" s="8" t="str">
        <f t="shared" si="26"/>
        <v/>
      </c>
      <c r="K213" s="8">
        <f t="shared" si="27"/>
        <v>0.25925925925925908</v>
      </c>
      <c r="L213" s="13" t="str">
        <f t="shared" si="28"/>
        <v/>
      </c>
      <c r="M213" t="str">
        <f t="shared" si="29"/>
        <v/>
      </c>
      <c r="N213">
        <f t="shared" si="30"/>
        <v>2</v>
      </c>
      <c r="O213">
        <v>1</v>
      </c>
      <c r="P213">
        <v>58</v>
      </c>
      <c r="Q213" s="8">
        <f t="shared" si="31"/>
        <v>0.14478114478114468</v>
      </c>
    </row>
    <row r="214" spans="1:17" hidden="1">
      <c r="A214">
        <v>223</v>
      </c>
      <c r="B214" t="s">
        <v>763</v>
      </c>
      <c r="C214" s="11">
        <v>45631</v>
      </c>
      <c r="D214">
        <v>8.17</v>
      </c>
      <c r="E214">
        <v>8.6999999999999993</v>
      </c>
      <c r="F214">
        <v>7.9</v>
      </c>
      <c r="G214">
        <f>INDEX('اسعار الاسهم'!A:B,MATCH(B214,'اسعار الاسهم'!K:K,0),2)</f>
        <v>10.11</v>
      </c>
      <c r="H214" s="8" t="str">
        <f t="shared" si="24"/>
        <v/>
      </c>
      <c r="I214" s="8" t="str">
        <f t="shared" si="25"/>
        <v/>
      </c>
      <c r="J214" s="8" t="str">
        <f t="shared" si="26"/>
        <v/>
      </c>
      <c r="K214" s="8">
        <f t="shared" si="27"/>
        <v>0.10126582278481</v>
      </c>
      <c r="L214" s="13" t="str">
        <f t="shared" si="28"/>
        <v/>
      </c>
      <c r="M214" t="str">
        <f t="shared" si="29"/>
        <v/>
      </c>
      <c r="N214">
        <f t="shared" si="30"/>
        <v>3</v>
      </c>
      <c r="O214">
        <v>0</v>
      </c>
      <c r="P214">
        <v>122</v>
      </c>
      <c r="Q214" s="8">
        <f t="shared" si="31"/>
        <v>-3.3047735618115026E-2</v>
      </c>
    </row>
    <row r="215" spans="1:17" hidden="1">
      <c r="A215">
        <v>122</v>
      </c>
      <c r="B215" t="s">
        <v>731</v>
      </c>
      <c r="C215" s="11">
        <v>45617</v>
      </c>
      <c r="D215">
        <v>5.6</v>
      </c>
      <c r="E215">
        <v>6.5</v>
      </c>
      <c r="F215">
        <v>5.15</v>
      </c>
      <c r="G215">
        <f>INDEX('اسعار الاسهم'!A:B,MATCH(B215,'اسعار الاسهم'!K:K,0),2)</f>
        <v>13.61</v>
      </c>
      <c r="H215" s="8" t="str">
        <f t="shared" si="24"/>
        <v/>
      </c>
      <c r="I215" s="8" t="str">
        <f t="shared" si="25"/>
        <v/>
      </c>
      <c r="J215" s="8" t="str">
        <f t="shared" si="26"/>
        <v/>
      </c>
      <c r="K215" s="8">
        <f t="shared" si="27"/>
        <v>0.26213592233009697</v>
      </c>
      <c r="L215" s="13" t="str">
        <f t="shared" si="28"/>
        <v/>
      </c>
      <c r="M215" t="str">
        <f t="shared" si="29"/>
        <v/>
      </c>
      <c r="N215">
        <f t="shared" si="30"/>
        <v>4</v>
      </c>
      <c r="O215">
        <v>1</v>
      </c>
      <c r="P215">
        <v>118</v>
      </c>
      <c r="Q215" s="8">
        <f t="shared" si="31"/>
        <v>0.16071428571428581</v>
      </c>
    </row>
    <row r="216" spans="1:17" hidden="1">
      <c r="A216">
        <v>226</v>
      </c>
      <c r="B216" t="s">
        <v>726</v>
      </c>
      <c r="C216" s="11">
        <v>45634</v>
      </c>
      <c r="D216">
        <v>112</v>
      </c>
      <c r="E216">
        <v>123.7</v>
      </c>
      <c r="F216">
        <v>107</v>
      </c>
      <c r="G216">
        <f>INDEX('اسعار الاسهم'!A:B,MATCH(B216,'اسعار الاسهم'!K:K,0),2)</f>
        <v>141</v>
      </c>
      <c r="H216" s="8" t="str">
        <f t="shared" si="24"/>
        <v/>
      </c>
      <c r="I216" s="8" t="str">
        <f t="shared" si="25"/>
        <v/>
      </c>
      <c r="J216" s="8" t="str">
        <f t="shared" si="26"/>
        <v/>
      </c>
      <c r="K216" s="8">
        <f t="shared" si="27"/>
        <v>0.15607476635514028</v>
      </c>
      <c r="L216" s="13" t="str">
        <f t="shared" si="28"/>
        <v/>
      </c>
      <c r="M216" t="str">
        <f t="shared" si="29"/>
        <v/>
      </c>
      <c r="N216">
        <f t="shared" si="30"/>
        <v>2</v>
      </c>
      <c r="O216">
        <v>0</v>
      </c>
      <c r="P216">
        <v>120</v>
      </c>
      <c r="Q216" s="8">
        <f t="shared" si="31"/>
        <v>-4.4642857142857095E-2</v>
      </c>
    </row>
    <row r="217" spans="1:17" hidden="1">
      <c r="A217">
        <v>115</v>
      </c>
      <c r="B217" t="s">
        <v>788</v>
      </c>
      <c r="C217" s="11">
        <v>45616</v>
      </c>
      <c r="D217">
        <v>8.32</v>
      </c>
      <c r="E217">
        <v>8.9</v>
      </c>
      <c r="F217">
        <v>7.9</v>
      </c>
      <c r="G217">
        <f>INDEX('اسعار الاسهم'!A:B,MATCH(B217,'اسعار الاسهم'!K:K,0),2)</f>
        <v>19.32</v>
      </c>
      <c r="H217" s="8" t="str">
        <f t="shared" si="24"/>
        <v/>
      </c>
      <c r="I217" s="8" t="str">
        <f t="shared" si="25"/>
        <v/>
      </c>
      <c r="J217" s="8" t="str">
        <f t="shared" si="26"/>
        <v/>
      </c>
      <c r="K217" s="8">
        <f t="shared" si="27"/>
        <v>0.12658227848101267</v>
      </c>
      <c r="L217" s="13" t="str">
        <f t="shared" si="28"/>
        <v/>
      </c>
      <c r="M217" t="str">
        <f t="shared" si="29"/>
        <v/>
      </c>
      <c r="N217">
        <f t="shared" si="30"/>
        <v>2</v>
      </c>
      <c r="O217">
        <v>1</v>
      </c>
      <c r="P217">
        <v>114</v>
      </c>
      <c r="Q217" s="8">
        <f t="shared" si="31"/>
        <v>6.9711538461538547E-2</v>
      </c>
    </row>
    <row r="218" spans="1:17" hidden="1">
      <c r="A218">
        <v>114</v>
      </c>
      <c r="B218" t="s">
        <v>818</v>
      </c>
      <c r="C218" s="11">
        <v>45616</v>
      </c>
      <c r="D218">
        <v>67</v>
      </c>
      <c r="E218">
        <v>74</v>
      </c>
      <c r="F218">
        <v>63</v>
      </c>
      <c r="G218">
        <f>INDEX('اسعار الاسهم'!A:B,MATCH(B218,'اسعار الاسهم'!K:K,0),2)</f>
        <v>133.5</v>
      </c>
      <c r="H218" s="8" t="str">
        <f t="shared" si="24"/>
        <v/>
      </c>
      <c r="I218" s="8" t="str">
        <f t="shared" si="25"/>
        <v/>
      </c>
      <c r="J218" s="8" t="str">
        <f t="shared" si="26"/>
        <v/>
      </c>
      <c r="K218" s="8">
        <f t="shared" si="27"/>
        <v>0.17460317460317465</v>
      </c>
      <c r="L218" s="13" t="str">
        <f t="shared" si="28"/>
        <v/>
      </c>
      <c r="M218" t="str">
        <f t="shared" si="29"/>
        <v/>
      </c>
      <c r="N218">
        <f t="shared" si="30"/>
        <v>1</v>
      </c>
      <c r="O218">
        <v>1</v>
      </c>
      <c r="P218">
        <v>81</v>
      </c>
      <c r="Q218" s="8">
        <f t="shared" si="31"/>
        <v>0.10447761194029859</v>
      </c>
    </row>
    <row r="219" spans="1:17" hidden="1">
      <c r="A219">
        <v>137</v>
      </c>
      <c r="B219" t="s">
        <v>773</v>
      </c>
      <c r="C219" s="11">
        <v>45620</v>
      </c>
      <c r="D219">
        <v>2.06</v>
      </c>
      <c r="E219">
        <v>2.35</v>
      </c>
      <c r="F219">
        <v>1.9</v>
      </c>
      <c r="G219">
        <f>INDEX('اسعار الاسهم'!A:B,MATCH(B219,'اسعار الاسهم'!K:K,0),2)</f>
        <v>1.92</v>
      </c>
      <c r="H219" s="8" t="str">
        <f t="shared" si="24"/>
        <v/>
      </c>
      <c r="I219" s="8" t="str">
        <f t="shared" si="25"/>
        <v/>
      </c>
      <c r="J219" s="8" t="str">
        <f t="shared" si="26"/>
        <v/>
      </c>
      <c r="K219" s="8">
        <f t="shared" si="27"/>
        <v>0.23684210526315796</v>
      </c>
      <c r="L219" s="13" t="str">
        <f t="shared" si="28"/>
        <v/>
      </c>
      <c r="M219" t="str">
        <f t="shared" si="29"/>
        <v/>
      </c>
      <c r="N219">
        <f t="shared" si="30"/>
        <v>1</v>
      </c>
      <c r="O219">
        <v>0</v>
      </c>
      <c r="P219">
        <v>119</v>
      </c>
      <c r="Q219" s="8">
        <f t="shared" si="31"/>
        <v>-7.7669902912621436E-2</v>
      </c>
    </row>
    <row r="220" spans="1:17" hidden="1">
      <c r="A220">
        <v>48</v>
      </c>
      <c r="B220" t="s">
        <v>812</v>
      </c>
      <c r="C220" s="11">
        <v>45607</v>
      </c>
      <c r="D220">
        <v>5.88</v>
      </c>
      <c r="E220">
        <v>6.8</v>
      </c>
      <c r="F220">
        <v>5.45</v>
      </c>
      <c r="G220">
        <f>INDEX('اسعار الاسهم'!A:B,MATCH(B220,'اسعار الاسهم'!K:K,0),2)</f>
        <v>19.55</v>
      </c>
      <c r="H220" s="8" t="str">
        <f t="shared" si="24"/>
        <v/>
      </c>
      <c r="I220" s="8" t="str">
        <f t="shared" si="25"/>
        <v/>
      </c>
      <c r="J220" s="8" t="str">
        <f t="shared" si="26"/>
        <v/>
      </c>
      <c r="K220" s="8">
        <f t="shared" si="27"/>
        <v>0.24770642201834847</v>
      </c>
      <c r="L220" s="13" t="str">
        <f t="shared" si="28"/>
        <v/>
      </c>
      <c r="M220" t="str">
        <f t="shared" si="29"/>
        <v/>
      </c>
      <c r="N220">
        <f t="shared" si="30"/>
        <v>0</v>
      </c>
      <c r="O220">
        <v>0</v>
      </c>
      <c r="P220">
        <v>117</v>
      </c>
      <c r="Q220" s="8">
        <f t="shared" si="31"/>
        <v>-7.3129251700680187E-2</v>
      </c>
    </row>
    <row r="221" spans="1:17" hidden="1">
      <c r="A221">
        <v>108</v>
      </c>
      <c r="B221" t="s">
        <v>839</v>
      </c>
      <c r="C221" s="11">
        <v>45615</v>
      </c>
      <c r="D221">
        <v>3.48</v>
      </c>
      <c r="E221">
        <v>4.25</v>
      </c>
      <c r="F221">
        <v>3.15</v>
      </c>
      <c r="G221">
        <f>INDEX('اسعار الاسهم'!A:B,MATCH(B221,'اسعار الاسهم'!K:K,0),2)</f>
        <v>12.29</v>
      </c>
      <c r="H221" s="8" t="str">
        <f t="shared" si="24"/>
        <v/>
      </c>
      <c r="I221" s="8" t="str">
        <f t="shared" si="25"/>
        <v/>
      </c>
      <c r="J221" s="8" t="str">
        <f t="shared" si="26"/>
        <v/>
      </c>
      <c r="K221" s="8">
        <f t="shared" si="27"/>
        <v>0.3492063492063493</v>
      </c>
      <c r="L221" s="13" t="str">
        <f t="shared" si="28"/>
        <v/>
      </c>
      <c r="M221" t="str">
        <f t="shared" si="29"/>
        <v/>
      </c>
      <c r="N221">
        <f t="shared" si="30"/>
        <v>2</v>
      </c>
      <c r="O221">
        <v>1</v>
      </c>
      <c r="P221">
        <v>53</v>
      </c>
      <c r="Q221" s="8">
        <f t="shared" si="31"/>
        <v>0.22126436781609193</v>
      </c>
    </row>
    <row r="222" spans="1:17" hidden="1">
      <c r="A222">
        <v>183</v>
      </c>
      <c r="B222" t="s">
        <v>743</v>
      </c>
      <c r="C222" s="11">
        <v>45627</v>
      </c>
      <c r="D222">
        <v>3.55</v>
      </c>
      <c r="E222">
        <v>4.05</v>
      </c>
      <c r="F222">
        <v>3.4</v>
      </c>
      <c r="G222">
        <f>INDEX('اسعار الاسهم'!A:B,MATCH(B222,'اسعار الاسهم'!K:K,0),2)</f>
        <v>5.0599999999999996</v>
      </c>
      <c r="H222" s="8" t="str">
        <f t="shared" si="24"/>
        <v/>
      </c>
      <c r="I222" s="8" t="str">
        <f t="shared" si="25"/>
        <v/>
      </c>
      <c r="J222" s="8" t="str">
        <f t="shared" si="26"/>
        <v/>
      </c>
      <c r="K222" s="8">
        <f t="shared" si="27"/>
        <v>0.19117647058823528</v>
      </c>
      <c r="L222" s="13" t="str">
        <f t="shared" si="28"/>
        <v/>
      </c>
      <c r="M222" t="str">
        <f t="shared" si="29"/>
        <v/>
      </c>
      <c r="N222">
        <f t="shared" si="30"/>
        <v>4</v>
      </c>
      <c r="O222">
        <v>0</v>
      </c>
      <c r="P222">
        <v>116</v>
      </c>
      <c r="Q222" s="8">
        <f t="shared" si="31"/>
        <v>-4.2253521126760507E-2</v>
      </c>
    </row>
    <row r="223" spans="1:17" hidden="1">
      <c r="A223">
        <v>189</v>
      </c>
      <c r="B223" t="s">
        <v>855</v>
      </c>
      <c r="C223" s="11">
        <v>45628</v>
      </c>
      <c r="D223">
        <v>4.37</v>
      </c>
      <c r="E223">
        <v>5.0999999999999996</v>
      </c>
      <c r="F223">
        <v>4</v>
      </c>
      <c r="G223">
        <f>INDEX('اسعار الاسهم'!A:B,MATCH(B223,'اسعار الاسهم'!K:K,0),2)</f>
        <v>6.24</v>
      </c>
      <c r="H223" s="8" t="str">
        <f t="shared" si="24"/>
        <v/>
      </c>
      <c r="I223" s="8" t="str">
        <f t="shared" si="25"/>
        <v/>
      </c>
      <c r="J223" s="8" t="str">
        <f t="shared" si="26"/>
        <v/>
      </c>
      <c r="K223" s="8">
        <f t="shared" si="27"/>
        <v>0.27499999999999991</v>
      </c>
      <c r="L223" s="13" t="str">
        <f t="shared" si="28"/>
        <v/>
      </c>
      <c r="M223" t="str">
        <f t="shared" si="29"/>
        <v/>
      </c>
      <c r="N223">
        <f t="shared" si="30"/>
        <v>0</v>
      </c>
      <c r="O223">
        <v>0</v>
      </c>
      <c r="P223">
        <v>115</v>
      </c>
      <c r="Q223" s="8">
        <f t="shared" si="31"/>
        <v>-8.4668192219679694E-2</v>
      </c>
    </row>
    <row r="224" spans="1:17" hidden="1">
      <c r="A224">
        <v>200</v>
      </c>
      <c r="B224" t="s">
        <v>857</v>
      </c>
      <c r="C224" s="11">
        <v>45629</v>
      </c>
      <c r="D224">
        <v>45.17</v>
      </c>
      <c r="E224">
        <v>47.5</v>
      </c>
      <c r="F224">
        <v>44.5</v>
      </c>
      <c r="G224">
        <f>INDEX('اسعار الاسهم'!A:B,MATCH(B224,'اسعار الاسهم'!K:K,0),2)</f>
        <v>84.5</v>
      </c>
      <c r="H224" s="8" t="str">
        <f t="shared" si="24"/>
        <v/>
      </c>
      <c r="I224" s="8" t="str">
        <f t="shared" si="25"/>
        <v/>
      </c>
      <c r="J224" s="8" t="str">
        <f t="shared" si="26"/>
        <v/>
      </c>
      <c r="K224" s="8">
        <f t="shared" si="27"/>
        <v>6.7415730337078594E-2</v>
      </c>
      <c r="L224" s="13" t="str">
        <f t="shared" si="28"/>
        <v/>
      </c>
      <c r="M224" t="str">
        <f t="shared" si="29"/>
        <v/>
      </c>
      <c r="N224">
        <f t="shared" si="30"/>
        <v>2</v>
      </c>
      <c r="O224">
        <v>0</v>
      </c>
      <c r="P224">
        <v>111</v>
      </c>
      <c r="Q224" s="8">
        <f t="shared" si="31"/>
        <v>-1.4832853663936274E-2</v>
      </c>
    </row>
    <row r="225" spans="1:17" hidden="1">
      <c r="A225">
        <v>172</v>
      </c>
      <c r="B225" t="s">
        <v>854</v>
      </c>
      <c r="C225" s="11">
        <v>45624</v>
      </c>
      <c r="D225">
        <v>14.2</v>
      </c>
      <c r="E225">
        <v>14.9</v>
      </c>
      <c r="F225">
        <v>13.9</v>
      </c>
      <c r="G225">
        <f>INDEX('اسعار الاسهم'!A:B,MATCH(B225,'اسعار الاسهم'!K:K,0),2)</f>
        <v>27.63</v>
      </c>
      <c r="H225" s="8" t="str">
        <f t="shared" si="24"/>
        <v/>
      </c>
      <c r="I225" s="8" t="str">
        <f t="shared" si="25"/>
        <v/>
      </c>
      <c r="J225" s="8" t="str">
        <f t="shared" si="26"/>
        <v/>
      </c>
      <c r="K225" s="8">
        <f t="shared" si="27"/>
        <v>7.1942446043165464E-2</v>
      </c>
      <c r="L225" s="13" t="str">
        <f t="shared" si="28"/>
        <v/>
      </c>
      <c r="M225" t="str">
        <f t="shared" si="29"/>
        <v/>
      </c>
      <c r="N225">
        <f t="shared" si="30"/>
        <v>0</v>
      </c>
      <c r="O225">
        <v>0</v>
      </c>
      <c r="P225">
        <v>110</v>
      </c>
      <c r="Q225" s="8">
        <f t="shared" si="31"/>
        <v>-2.1126760563380254E-2</v>
      </c>
    </row>
    <row r="226" spans="1:17" hidden="1">
      <c r="A226">
        <v>29</v>
      </c>
      <c r="B226" t="s">
        <v>764</v>
      </c>
      <c r="C226" s="11">
        <v>45603</v>
      </c>
      <c r="D226">
        <v>29.89</v>
      </c>
      <c r="E226">
        <v>34</v>
      </c>
      <c r="F226">
        <v>28.7</v>
      </c>
      <c r="G226">
        <f>INDEX('اسعار الاسهم'!A:B,MATCH(B226,'اسعار الاسهم'!K:K,0),2)</f>
        <v>21.84</v>
      </c>
      <c r="H226" s="4" t="str">
        <f t="shared" si="24"/>
        <v/>
      </c>
      <c r="I226" s="4" t="str">
        <f t="shared" si="25"/>
        <v/>
      </c>
      <c r="J226" s="4" t="str">
        <f t="shared" si="26"/>
        <v/>
      </c>
      <c r="K226" s="8">
        <f t="shared" si="27"/>
        <v>0.18466898954703836</v>
      </c>
      <c r="L226" s="13" t="str">
        <f t="shared" si="28"/>
        <v/>
      </c>
      <c r="M226" t="str">
        <f t="shared" si="29"/>
        <v/>
      </c>
      <c r="N226">
        <f t="shared" si="30"/>
        <v>4</v>
      </c>
      <c r="O226">
        <v>0</v>
      </c>
      <c r="P226" s="38">
        <f>P225+1</f>
        <v>111</v>
      </c>
      <c r="Q226" s="8">
        <f t="shared" si="31"/>
        <v>-3.9812646370023463E-2</v>
      </c>
    </row>
    <row r="227" spans="1:17" hidden="1">
      <c r="A227">
        <v>98</v>
      </c>
      <c r="B227" t="s">
        <v>823</v>
      </c>
      <c r="C227" s="11">
        <v>45614</v>
      </c>
      <c r="D227">
        <v>22.94</v>
      </c>
      <c r="E227">
        <v>26</v>
      </c>
      <c r="F227">
        <v>21.5</v>
      </c>
      <c r="G227">
        <f>INDEX('اسعار الاسهم'!A:B,MATCH(B227,'اسعار الاسهم'!K:K,0),2)</f>
        <v>32.76</v>
      </c>
      <c r="H227" s="8" t="str">
        <f t="shared" si="24"/>
        <v/>
      </c>
      <c r="I227" s="8" t="str">
        <f t="shared" si="25"/>
        <v/>
      </c>
      <c r="J227" s="8" t="str">
        <f t="shared" si="26"/>
        <v/>
      </c>
      <c r="K227" s="8">
        <f t="shared" si="27"/>
        <v>0.20930232558139528</v>
      </c>
      <c r="L227" s="13" t="str">
        <f t="shared" si="28"/>
        <v/>
      </c>
      <c r="M227" t="str">
        <f t="shared" si="29"/>
        <v/>
      </c>
      <c r="N227">
        <f t="shared" si="30"/>
        <v>2</v>
      </c>
      <c r="O227">
        <v>1</v>
      </c>
      <c r="P227">
        <v>59</v>
      </c>
      <c r="Q227" s="8">
        <f t="shared" si="31"/>
        <v>0.133391455972101</v>
      </c>
    </row>
    <row r="228" spans="1:17" hidden="1">
      <c r="A228">
        <v>97</v>
      </c>
      <c r="B228" t="s">
        <v>834</v>
      </c>
      <c r="C228" s="11">
        <v>45614</v>
      </c>
      <c r="D228">
        <v>2.91</v>
      </c>
      <c r="E228">
        <v>3.6</v>
      </c>
      <c r="F228">
        <v>2.7</v>
      </c>
      <c r="G228">
        <f>INDEX('اسعار الاسهم'!A:B,MATCH(B228,'اسعار الاسهم'!K:K,0),2)</f>
        <v>3.95</v>
      </c>
      <c r="H228" s="8" t="str">
        <f t="shared" si="24"/>
        <v/>
      </c>
      <c r="I228" s="8" t="str">
        <f t="shared" si="25"/>
        <v/>
      </c>
      <c r="J228" s="8" t="str">
        <f t="shared" si="26"/>
        <v/>
      </c>
      <c r="K228" s="8">
        <f t="shared" si="27"/>
        <v>0.33333333333333326</v>
      </c>
      <c r="L228" s="13" t="str">
        <f t="shared" si="28"/>
        <v/>
      </c>
      <c r="M228" t="str">
        <f t="shared" si="29"/>
        <v/>
      </c>
      <c r="N228">
        <f t="shared" si="30"/>
        <v>2</v>
      </c>
      <c r="O228">
        <v>1</v>
      </c>
      <c r="P228">
        <v>79</v>
      </c>
      <c r="Q228" s="8">
        <f t="shared" si="31"/>
        <v>0.23711340206185572</v>
      </c>
    </row>
    <row r="229" spans="1:17">
      <c r="A229">
        <v>185</v>
      </c>
      <c r="B229" t="s">
        <v>743</v>
      </c>
      <c r="C229" s="11">
        <v>45628</v>
      </c>
      <c r="D229">
        <v>3.58</v>
      </c>
      <c r="E229">
        <v>4.05</v>
      </c>
      <c r="F229">
        <v>3.26</v>
      </c>
      <c r="G229">
        <f>INDEX('اسعار الاسهم'!A:B,MATCH(B229,'اسعار الاسهم'!K:K,0),2)</f>
        <v>5.0599999999999996</v>
      </c>
      <c r="H229" s="8">
        <f t="shared" si="24"/>
        <v>0.41340782122905018</v>
      </c>
      <c r="I229" s="8">
        <f t="shared" si="25"/>
        <v>-0.19960474308300391</v>
      </c>
      <c r="J229" s="8">
        <f t="shared" si="26"/>
        <v>0.35573122529644263</v>
      </c>
      <c r="K229" s="8">
        <f t="shared" si="27"/>
        <v>0.24233128834355822</v>
      </c>
      <c r="L229" s="13">
        <f t="shared" si="28"/>
        <v>-0.56111111111111112</v>
      </c>
      <c r="M229" t="str">
        <f t="shared" si="29"/>
        <v>up</v>
      </c>
      <c r="N229">
        <f t="shared" si="30"/>
        <v>4</v>
      </c>
      <c r="Q229" s="8" t="str">
        <f t="shared" si="31"/>
        <v/>
      </c>
    </row>
    <row r="230" spans="1:17">
      <c r="A230">
        <v>186</v>
      </c>
      <c r="B230" t="s">
        <v>746</v>
      </c>
      <c r="C230" s="11">
        <v>45628</v>
      </c>
      <c r="D230">
        <v>3.17</v>
      </c>
      <c r="E230">
        <v>3.7</v>
      </c>
      <c r="F230">
        <v>2.9</v>
      </c>
      <c r="G230">
        <f>INDEX('اسعار الاسهم'!A:B,MATCH(B230,'اسعار الاسهم'!K:K,0),2)</f>
        <v>7.15</v>
      </c>
      <c r="H230" s="8">
        <f t="shared" si="24"/>
        <v>1.2555205047318614</v>
      </c>
      <c r="I230" s="8">
        <f t="shared" si="25"/>
        <v>-0.4825174825174825</v>
      </c>
      <c r="J230" s="8">
        <f t="shared" si="26"/>
        <v>0.59440559440559437</v>
      </c>
      <c r="K230" s="8">
        <f t="shared" si="27"/>
        <v>0.27586206896551735</v>
      </c>
      <c r="L230" s="13">
        <f t="shared" si="28"/>
        <v>-0.81176470588235294</v>
      </c>
      <c r="M230" t="str">
        <f t="shared" si="29"/>
        <v>up</v>
      </c>
      <c r="N230">
        <f t="shared" si="30"/>
        <v>3</v>
      </c>
      <c r="Q230" s="8" t="str">
        <f t="shared" si="31"/>
        <v/>
      </c>
    </row>
    <row r="231" spans="1:17" hidden="1">
      <c r="A231">
        <v>140</v>
      </c>
      <c r="B231" t="s">
        <v>794</v>
      </c>
      <c r="C231" s="11">
        <v>45620</v>
      </c>
      <c r="D231">
        <v>22</v>
      </c>
      <c r="E231">
        <v>25.3</v>
      </c>
      <c r="F231">
        <v>21</v>
      </c>
      <c r="G231">
        <f>INDEX('اسعار الاسهم'!A:B,MATCH(B231,'اسعار الاسهم'!K:K,0),2)</f>
        <v>23.41</v>
      </c>
      <c r="H231" s="8" t="str">
        <f t="shared" si="24"/>
        <v/>
      </c>
      <c r="I231" s="8" t="str">
        <f t="shared" si="25"/>
        <v/>
      </c>
      <c r="J231" s="8" t="str">
        <f t="shared" si="26"/>
        <v/>
      </c>
      <c r="K231" s="8">
        <f t="shared" si="27"/>
        <v>0.2047619047619047</v>
      </c>
      <c r="L231" s="13" t="str">
        <f t="shared" si="28"/>
        <v/>
      </c>
      <c r="M231" t="str">
        <f t="shared" si="29"/>
        <v/>
      </c>
      <c r="N231">
        <f t="shared" si="30"/>
        <v>0</v>
      </c>
      <c r="O231">
        <v>0</v>
      </c>
      <c r="P231">
        <v>96</v>
      </c>
      <c r="Q231" s="8">
        <f t="shared" si="31"/>
        <v>-4.5454545454545414E-2</v>
      </c>
    </row>
    <row r="232" spans="1:17" hidden="1">
      <c r="A232">
        <v>66</v>
      </c>
      <c r="B232" t="s">
        <v>732</v>
      </c>
      <c r="C232" s="11">
        <v>45609</v>
      </c>
      <c r="D232">
        <v>13.94</v>
      </c>
      <c r="E232">
        <v>15.4</v>
      </c>
      <c r="F232">
        <v>13.1</v>
      </c>
      <c r="G232">
        <f>INDEX('اسعار الاسهم'!A:B,MATCH(B232,'اسعار الاسهم'!K:K,0),2)</f>
        <v>22.19</v>
      </c>
      <c r="H232" s="8" t="str">
        <f t="shared" si="24"/>
        <v/>
      </c>
      <c r="I232" s="8" t="str">
        <f t="shared" si="25"/>
        <v/>
      </c>
      <c r="J232" s="8" t="str">
        <f t="shared" si="26"/>
        <v/>
      </c>
      <c r="K232" s="8">
        <f t="shared" si="27"/>
        <v>0.17557251908396942</v>
      </c>
      <c r="L232" s="13" t="str">
        <f t="shared" si="28"/>
        <v/>
      </c>
      <c r="M232" t="str">
        <f t="shared" si="29"/>
        <v/>
      </c>
      <c r="N232">
        <f t="shared" si="30"/>
        <v>0</v>
      </c>
      <c r="O232">
        <v>0</v>
      </c>
      <c r="P232">
        <v>95</v>
      </c>
      <c r="Q232" s="8">
        <f t="shared" si="31"/>
        <v>-6.0258249641319983E-2</v>
      </c>
    </row>
    <row r="233" spans="1:17" hidden="1">
      <c r="A233">
        <v>36</v>
      </c>
      <c r="B233" t="s">
        <v>766</v>
      </c>
      <c r="C233" s="11">
        <v>45606</v>
      </c>
      <c r="D233">
        <v>21.13</v>
      </c>
      <c r="E233">
        <v>23.6</v>
      </c>
      <c r="F233">
        <v>20.2</v>
      </c>
      <c r="G233">
        <f>INDEX('اسعار الاسهم'!A:B,MATCH(B233,'اسعار الاسهم'!K:K,0),2)</f>
        <v>17.010000000000002</v>
      </c>
      <c r="H233" s="8" t="str">
        <f t="shared" si="24"/>
        <v/>
      </c>
      <c r="I233" s="8" t="str">
        <f t="shared" si="25"/>
        <v/>
      </c>
      <c r="J233" s="8" t="str">
        <f t="shared" si="26"/>
        <v/>
      </c>
      <c r="K233" s="8">
        <f t="shared" si="27"/>
        <v>0.16831683168316847</v>
      </c>
      <c r="L233" s="13" t="str">
        <f t="shared" si="28"/>
        <v/>
      </c>
      <c r="M233" t="str">
        <f t="shared" si="29"/>
        <v/>
      </c>
      <c r="N233">
        <f t="shared" si="30"/>
        <v>0</v>
      </c>
      <c r="O233">
        <v>0</v>
      </c>
      <c r="P233" s="1">
        <v>94</v>
      </c>
      <c r="Q233" s="8">
        <f t="shared" si="31"/>
        <v>-4.4013251301467049E-2</v>
      </c>
    </row>
    <row r="234" spans="1:17" hidden="1">
      <c r="A234">
        <v>89</v>
      </c>
      <c r="B234" t="s">
        <v>772</v>
      </c>
      <c r="C234" s="11">
        <v>45613</v>
      </c>
      <c r="D234">
        <v>107.95</v>
      </c>
      <c r="E234">
        <v>113</v>
      </c>
      <c r="F234">
        <v>102</v>
      </c>
      <c r="G234">
        <f>INDEX('اسعار الاسهم'!A:B,MATCH(B234,'اسعار الاسهم'!K:K,0),2)</f>
        <v>331.99</v>
      </c>
      <c r="H234" s="8" t="str">
        <f t="shared" si="24"/>
        <v/>
      </c>
      <c r="I234" s="8" t="str">
        <f t="shared" si="25"/>
        <v/>
      </c>
      <c r="J234" s="8" t="str">
        <f t="shared" si="26"/>
        <v/>
      </c>
      <c r="K234" s="8">
        <f t="shared" si="27"/>
        <v>0.10784313725490202</v>
      </c>
      <c r="L234" s="13" t="str">
        <f t="shared" si="28"/>
        <v/>
      </c>
      <c r="M234" t="str">
        <f t="shared" si="29"/>
        <v/>
      </c>
      <c r="N234">
        <f t="shared" si="30"/>
        <v>4</v>
      </c>
      <c r="O234">
        <v>1</v>
      </c>
      <c r="P234">
        <v>56</v>
      </c>
      <c r="Q234" s="8">
        <f t="shared" si="31"/>
        <v>4.6780917091245877E-2</v>
      </c>
    </row>
    <row r="235" spans="1:17" hidden="1">
      <c r="A235">
        <v>118</v>
      </c>
      <c r="B235" t="s">
        <v>840</v>
      </c>
      <c r="C235" s="11">
        <v>45616</v>
      </c>
      <c r="D235">
        <v>0.47</v>
      </c>
      <c r="E235">
        <v>0.55000000000000004</v>
      </c>
      <c r="F235">
        <v>0.435</v>
      </c>
      <c r="G235">
        <f>INDEX('اسعار الاسهم'!A:B,MATCH(B235,'اسعار الاسهم'!K:K,0),2)</f>
        <v>1.46</v>
      </c>
      <c r="H235" s="8" t="str">
        <f t="shared" si="24"/>
        <v/>
      </c>
      <c r="I235" s="8" t="str">
        <f t="shared" si="25"/>
        <v/>
      </c>
      <c r="J235" s="8" t="str">
        <f t="shared" si="26"/>
        <v/>
      </c>
      <c r="K235" s="8">
        <f t="shared" si="27"/>
        <v>0.26436781609195403</v>
      </c>
      <c r="L235" s="13" t="str">
        <f t="shared" si="28"/>
        <v/>
      </c>
      <c r="M235" t="str">
        <f t="shared" si="29"/>
        <v/>
      </c>
      <c r="N235">
        <f t="shared" si="30"/>
        <v>2</v>
      </c>
      <c r="O235">
        <v>0</v>
      </c>
      <c r="P235">
        <v>93</v>
      </c>
      <c r="Q235" s="8">
        <f t="shared" si="31"/>
        <v>-7.446808510638292E-2</v>
      </c>
    </row>
    <row r="236" spans="1:17" hidden="1">
      <c r="A236">
        <v>25</v>
      </c>
      <c r="B236" s="10" t="s">
        <v>817</v>
      </c>
      <c r="C236" s="11">
        <v>45602</v>
      </c>
      <c r="D236">
        <v>3.48</v>
      </c>
      <c r="E236">
        <v>3.75</v>
      </c>
      <c r="F236">
        <v>3.3</v>
      </c>
      <c r="G236">
        <f>INDEX('اسعار الاسهم'!A:B,MATCH(B236,'اسعار الاسهم'!K:K,0),2)</f>
        <v>5.45</v>
      </c>
      <c r="H236" s="8" t="str">
        <f t="shared" si="24"/>
        <v/>
      </c>
      <c r="I236" s="8" t="str">
        <f t="shared" si="25"/>
        <v/>
      </c>
      <c r="J236" s="8" t="str">
        <f t="shared" si="26"/>
        <v/>
      </c>
      <c r="K236" s="8">
        <f t="shared" si="27"/>
        <v>0.13636363636363646</v>
      </c>
      <c r="L236" s="13" t="str">
        <f t="shared" si="28"/>
        <v/>
      </c>
      <c r="M236" t="str">
        <f t="shared" si="29"/>
        <v/>
      </c>
      <c r="N236">
        <f t="shared" si="30"/>
        <v>0</v>
      </c>
      <c r="O236">
        <v>0</v>
      </c>
      <c r="P236">
        <v>92</v>
      </c>
      <c r="Q236" s="8">
        <f t="shared" si="31"/>
        <v>-5.1724137931034475E-2</v>
      </c>
    </row>
    <row r="237" spans="1:17" hidden="1">
      <c r="A237">
        <v>85</v>
      </c>
      <c r="B237" t="s">
        <v>762</v>
      </c>
      <c r="C237" s="11">
        <v>45613</v>
      </c>
      <c r="D237">
        <v>4.95</v>
      </c>
      <c r="E237">
        <v>5.8</v>
      </c>
      <c r="F237">
        <v>4.7</v>
      </c>
      <c r="G237">
        <f>INDEX('اسعار الاسهم'!A:B,MATCH(B237,'اسعار الاسهم'!K:K,0),2)</f>
        <v>7.59</v>
      </c>
      <c r="H237" s="8" t="str">
        <f t="shared" si="24"/>
        <v/>
      </c>
      <c r="I237" s="8" t="str">
        <f t="shared" si="25"/>
        <v/>
      </c>
      <c r="J237" s="8" t="str">
        <f t="shared" si="26"/>
        <v/>
      </c>
      <c r="K237" s="8">
        <f t="shared" si="27"/>
        <v>0.23404255319148937</v>
      </c>
      <c r="L237" s="13" t="str">
        <f t="shared" si="28"/>
        <v/>
      </c>
      <c r="M237" t="str">
        <f t="shared" si="29"/>
        <v/>
      </c>
      <c r="N237">
        <f t="shared" si="30"/>
        <v>3</v>
      </c>
      <c r="O237">
        <v>1</v>
      </c>
      <c r="P237">
        <v>86</v>
      </c>
      <c r="Q237" s="8">
        <f t="shared" si="31"/>
        <v>0.17171717171717171</v>
      </c>
    </row>
    <row r="238" spans="1:17" hidden="1">
      <c r="A238">
        <v>38</v>
      </c>
      <c r="B238" t="s">
        <v>785</v>
      </c>
      <c r="C238" s="11">
        <v>45606</v>
      </c>
      <c r="D238">
        <v>92.5</v>
      </c>
      <c r="E238">
        <v>103</v>
      </c>
      <c r="F238">
        <v>88</v>
      </c>
      <c r="G238">
        <f>INDEX('اسعار الاسهم'!A:B,MATCH(B238,'اسعار الاسهم'!K:K,0),2)</f>
        <v>87.9</v>
      </c>
      <c r="H238" s="8" t="str">
        <f t="shared" si="24"/>
        <v/>
      </c>
      <c r="I238" s="8" t="str">
        <f t="shared" si="25"/>
        <v/>
      </c>
      <c r="J238" s="8" t="str">
        <f t="shared" si="26"/>
        <v/>
      </c>
      <c r="K238" s="8">
        <f t="shared" si="27"/>
        <v>0.17045454545454541</v>
      </c>
      <c r="L238" s="13" t="str">
        <f t="shared" si="28"/>
        <v/>
      </c>
      <c r="M238" t="str">
        <f t="shared" si="29"/>
        <v/>
      </c>
      <c r="N238">
        <f t="shared" si="30"/>
        <v>0</v>
      </c>
      <c r="O238">
        <v>0</v>
      </c>
      <c r="P238">
        <v>91</v>
      </c>
      <c r="Q238" s="8">
        <f t="shared" si="31"/>
        <v>-4.8648648648648596E-2</v>
      </c>
    </row>
    <row r="239" spans="1:17" hidden="1">
      <c r="A239">
        <v>81</v>
      </c>
      <c r="B239" t="s">
        <v>733</v>
      </c>
      <c r="C239" s="11">
        <v>45610</v>
      </c>
      <c r="D239">
        <v>25.9</v>
      </c>
      <c r="E239">
        <v>31</v>
      </c>
      <c r="F239">
        <v>23.2</v>
      </c>
      <c r="G239">
        <f>INDEX('اسعار الاسهم'!A:B,MATCH(B239,'اسعار الاسهم'!K:K,0),2)</f>
        <v>26.64</v>
      </c>
      <c r="H239" s="8" t="str">
        <f t="shared" si="24"/>
        <v/>
      </c>
      <c r="I239" s="8" t="str">
        <f t="shared" si="25"/>
        <v/>
      </c>
      <c r="J239" s="8" t="str">
        <f t="shared" si="26"/>
        <v/>
      </c>
      <c r="K239" s="8">
        <f t="shared" si="27"/>
        <v>0.3362068965517242</v>
      </c>
      <c r="L239" s="13" t="str">
        <f t="shared" si="28"/>
        <v/>
      </c>
      <c r="M239" t="str">
        <f t="shared" si="29"/>
        <v/>
      </c>
      <c r="N239">
        <f t="shared" si="30"/>
        <v>1</v>
      </c>
      <c r="O239">
        <v>1</v>
      </c>
      <c r="P239">
        <v>108</v>
      </c>
      <c r="Q239" s="8">
        <f t="shared" si="31"/>
        <v>0.19691119691119696</v>
      </c>
    </row>
    <row r="240" spans="1:17" hidden="1">
      <c r="A240">
        <v>80</v>
      </c>
      <c r="B240" t="s">
        <v>823</v>
      </c>
      <c r="C240" s="11">
        <v>45610</v>
      </c>
      <c r="D240">
        <v>22.79</v>
      </c>
      <c r="E240">
        <v>26.5</v>
      </c>
      <c r="F240">
        <v>21.5</v>
      </c>
      <c r="G240">
        <f>INDEX('اسعار الاسهم'!A:B,MATCH(B240,'اسعار الاسهم'!K:K,0),2)</f>
        <v>32.76</v>
      </c>
      <c r="H240" s="8" t="str">
        <f t="shared" si="24"/>
        <v/>
      </c>
      <c r="I240" s="8" t="str">
        <f t="shared" si="25"/>
        <v/>
      </c>
      <c r="J240" s="8" t="str">
        <f t="shared" si="26"/>
        <v/>
      </c>
      <c r="K240" s="8">
        <f t="shared" si="27"/>
        <v>0.23255813953488369</v>
      </c>
      <c r="L240" s="13" t="str">
        <f t="shared" si="28"/>
        <v/>
      </c>
      <c r="M240" t="str">
        <f t="shared" si="29"/>
        <v/>
      </c>
      <c r="N240">
        <f t="shared" si="30"/>
        <v>2</v>
      </c>
      <c r="O240">
        <v>1</v>
      </c>
      <c r="P240">
        <v>88</v>
      </c>
      <c r="Q240" s="8">
        <f t="shared" si="31"/>
        <v>0.16279069767441867</v>
      </c>
    </row>
    <row r="241" spans="1:17" hidden="1">
      <c r="A241">
        <v>46</v>
      </c>
      <c r="B241" t="s">
        <v>813</v>
      </c>
      <c r="C241" s="11">
        <v>45607</v>
      </c>
      <c r="D241">
        <v>0.375</v>
      </c>
      <c r="E241">
        <v>0.45</v>
      </c>
      <c r="F241">
        <v>0.35499999999999998</v>
      </c>
      <c r="G241">
        <f>INDEX('اسعار الاسهم'!A:B,MATCH(B241,'اسعار الاسهم'!K:K,0),2)</f>
        <v>0.39</v>
      </c>
      <c r="H241" s="8" t="str">
        <f t="shared" si="24"/>
        <v/>
      </c>
      <c r="I241" s="8" t="str">
        <f t="shared" si="25"/>
        <v/>
      </c>
      <c r="J241" s="8" t="str">
        <f t="shared" si="26"/>
        <v/>
      </c>
      <c r="K241" s="8">
        <f t="shared" si="27"/>
        <v>0.26760563380281699</v>
      </c>
      <c r="L241" s="13" t="str">
        <f t="shared" si="28"/>
        <v/>
      </c>
      <c r="M241" t="str">
        <f t="shared" si="29"/>
        <v/>
      </c>
      <c r="N241">
        <f t="shared" si="30"/>
        <v>1</v>
      </c>
      <c r="O241">
        <v>0</v>
      </c>
      <c r="P241">
        <v>90</v>
      </c>
      <c r="Q241" s="8">
        <f t="shared" si="31"/>
        <v>-5.3333333333333344E-2</v>
      </c>
    </row>
    <row r="242" spans="1:17" hidden="1">
      <c r="A242">
        <v>92</v>
      </c>
      <c r="B242" t="s">
        <v>833</v>
      </c>
      <c r="C242" s="11">
        <v>45613</v>
      </c>
      <c r="D242">
        <v>5.42</v>
      </c>
      <c r="E242">
        <v>6.4</v>
      </c>
      <c r="F242">
        <v>5</v>
      </c>
      <c r="G242">
        <f>INDEX('اسعار الاسهم'!A:B,MATCH(B242,'اسعار الاسهم'!K:K,0),2)</f>
        <v>0.78</v>
      </c>
      <c r="H242" s="8" t="str">
        <f t="shared" si="24"/>
        <v/>
      </c>
      <c r="I242" s="8" t="str">
        <f t="shared" si="25"/>
        <v/>
      </c>
      <c r="J242" s="8" t="str">
        <f t="shared" si="26"/>
        <v/>
      </c>
      <c r="K242" s="8">
        <f t="shared" si="27"/>
        <v>0.28000000000000003</v>
      </c>
      <c r="L242" s="13" t="str">
        <f t="shared" si="28"/>
        <v/>
      </c>
      <c r="M242" t="str">
        <f t="shared" si="29"/>
        <v/>
      </c>
      <c r="N242">
        <f t="shared" si="30"/>
        <v>0</v>
      </c>
      <c r="O242">
        <v>0</v>
      </c>
      <c r="P242">
        <v>89</v>
      </c>
      <c r="Q242" s="8">
        <f t="shared" si="31"/>
        <v>-7.7490774907749027E-2</v>
      </c>
    </row>
    <row r="243" spans="1:17" hidden="1">
      <c r="A243">
        <v>180</v>
      </c>
      <c r="B243" t="s">
        <v>807</v>
      </c>
      <c r="C243" s="11">
        <v>45627</v>
      </c>
      <c r="D243">
        <v>23.12</v>
      </c>
      <c r="E243">
        <v>25</v>
      </c>
      <c r="F243">
        <v>21.6</v>
      </c>
      <c r="G243">
        <f>INDEX('اسعار الاسهم'!A:B,MATCH(B243,'اسعار الاسهم'!K:K,0),2)</f>
        <v>30.5</v>
      </c>
      <c r="H243" s="8" t="str">
        <f t="shared" si="24"/>
        <v/>
      </c>
      <c r="I243" s="8" t="str">
        <f t="shared" si="25"/>
        <v/>
      </c>
      <c r="J243" s="8" t="str">
        <f t="shared" si="26"/>
        <v/>
      </c>
      <c r="K243" s="8">
        <f t="shared" si="27"/>
        <v>0.15740740740740744</v>
      </c>
      <c r="L243" s="13" t="str">
        <f t="shared" si="28"/>
        <v/>
      </c>
      <c r="M243" t="str">
        <f t="shared" si="29"/>
        <v/>
      </c>
      <c r="N243">
        <f t="shared" si="30"/>
        <v>0</v>
      </c>
      <c r="O243">
        <v>0</v>
      </c>
      <c r="P243" s="1">
        <v>75</v>
      </c>
      <c r="Q243" s="8">
        <f t="shared" si="31"/>
        <v>-6.5743944636678209E-2</v>
      </c>
    </row>
    <row r="244" spans="1:17" hidden="1">
      <c r="A244">
        <v>136</v>
      </c>
      <c r="B244" t="s">
        <v>807</v>
      </c>
      <c r="C244" s="11">
        <v>45620</v>
      </c>
      <c r="D244">
        <v>23.53</v>
      </c>
      <c r="E244">
        <v>26.45</v>
      </c>
      <c r="F244">
        <v>22.4</v>
      </c>
      <c r="G244">
        <f>INDEX('اسعار الاسهم'!A:B,MATCH(B244,'اسعار الاسهم'!K:K,0),2)</f>
        <v>30.5</v>
      </c>
      <c r="H244" s="8" t="str">
        <f t="shared" si="24"/>
        <v/>
      </c>
      <c r="I244" s="8" t="str">
        <f t="shared" si="25"/>
        <v/>
      </c>
      <c r="J244" s="8" t="str">
        <f t="shared" si="26"/>
        <v/>
      </c>
      <c r="K244" s="8">
        <f t="shared" si="27"/>
        <v>0.1808035714285714</v>
      </c>
      <c r="L244" s="13" t="str">
        <f t="shared" si="28"/>
        <v/>
      </c>
      <c r="M244" t="str">
        <f t="shared" si="29"/>
        <v/>
      </c>
      <c r="N244">
        <f t="shared" si="30"/>
        <v>0</v>
      </c>
      <c r="O244">
        <v>0</v>
      </c>
      <c r="P244" s="1">
        <v>74</v>
      </c>
      <c r="Q244" s="8">
        <f t="shared" si="31"/>
        <v>-4.8023799405015E-2</v>
      </c>
    </row>
    <row r="245" spans="1:17" hidden="1">
      <c r="A245" s="3">
        <v>72</v>
      </c>
      <c r="B245" t="s">
        <v>733</v>
      </c>
      <c r="C245" s="11">
        <v>45609</v>
      </c>
      <c r="D245">
        <v>25.5</v>
      </c>
      <c r="E245">
        <v>28</v>
      </c>
      <c r="F245">
        <v>24.75</v>
      </c>
      <c r="G245">
        <f>INDEX('اسعار الاسهم'!A:B,MATCH(B245,'اسعار الاسهم'!K:K,0),2)</f>
        <v>26.64</v>
      </c>
      <c r="H245" s="8" t="str">
        <f t="shared" si="24"/>
        <v/>
      </c>
      <c r="I245" s="8" t="str">
        <f t="shared" si="25"/>
        <v/>
      </c>
      <c r="J245" s="8" t="str">
        <f t="shared" si="26"/>
        <v/>
      </c>
      <c r="K245" s="8">
        <f t="shared" si="27"/>
        <v>0.13131313131313127</v>
      </c>
      <c r="L245" s="13" t="str">
        <f t="shared" si="28"/>
        <v/>
      </c>
      <c r="M245" t="str">
        <f t="shared" si="29"/>
        <v/>
      </c>
      <c r="N245">
        <f t="shared" si="30"/>
        <v>1</v>
      </c>
      <c r="O245">
        <v>1</v>
      </c>
      <c r="P245">
        <v>31</v>
      </c>
      <c r="Q245" s="8">
        <f t="shared" si="31"/>
        <v>9.8039215686274606E-2</v>
      </c>
    </row>
    <row r="246" spans="1:17" hidden="1">
      <c r="A246">
        <v>131</v>
      </c>
      <c r="B246" t="s">
        <v>807</v>
      </c>
      <c r="C246" s="11">
        <v>45617</v>
      </c>
      <c r="D246">
        <v>23.4</v>
      </c>
      <c r="E246">
        <v>24.5</v>
      </c>
      <c r="F246">
        <v>22.8</v>
      </c>
      <c r="G246">
        <f>INDEX('اسعار الاسهم'!A:B,MATCH(B246,'اسعار الاسهم'!K:K,0),2)</f>
        <v>30.5</v>
      </c>
      <c r="H246" s="8" t="str">
        <f t="shared" si="24"/>
        <v/>
      </c>
      <c r="I246" s="8" t="str">
        <f t="shared" si="25"/>
        <v/>
      </c>
      <c r="J246" s="8" t="str">
        <f t="shared" si="26"/>
        <v/>
      </c>
      <c r="K246" s="8">
        <f t="shared" si="27"/>
        <v>7.4561403508771829E-2</v>
      </c>
      <c r="L246" s="13" t="str">
        <f t="shared" si="28"/>
        <v/>
      </c>
      <c r="M246" t="str">
        <f t="shared" si="29"/>
        <v/>
      </c>
      <c r="N246">
        <f t="shared" si="30"/>
        <v>0</v>
      </c>
      <c r="O246">
        <v>0</v>
      </c>
      <c r="P246" s="1">
        <v>73</v>
      </c>
      <c r="Q246" s="8">
        <f t="shared" si="31"/>
        <v>-2.564102564102555E-2</v>
      </c>
    </row>
    <row r="247" spans="1:17" hidden="1">
      <c r="A247">
        <v>128</v>
      </c>
      <c r="B247" t="s">
        <v>807</v>
      </c>
      <c r="C247" s="11">
        <v>45617</v>
      </c>
      <c r="D247">
        <v>23.12</v>
      </c>
      <c r="E247">
        <v>25</v>
      </c>
      <c r="F247">
        <v>21.6</v>
      </c>
      <c r="G247">
        <f>INDEX('اسعار الاسهم'!A:B,MATCH(B247,'اسعار الاسهم'!K:K,0),2)</f>
        <v>30.5</v>
      </c>
      <c r="H247" s="8" t="str">
        <f t="shared" si="24"/>
        <v/>
      </c>
      <c r="I247" s="8" t="str">
        <f t="shared" si="25"/>
        <v/>
      </c>
      <c r="J247" s="8" t="str">
        <f t="shared" si="26"/>
        <v/>
      </c>
      <c r="K247" s="8">
        <f t="shared" si="27"/>
        <v>0.15740740740740744</v>
      </c>
      <c r="L247" s="13" t="str">
        <f t="shared" si="28"/>
        <v/>
      </c>
      <c r="M247" t="str">
        <f t="shared" si="29"/>
        <v/>
      </c>
      <c r="N247">
        <f t="shared" si="30"/>
        <v>0</v>
      </c>
      <c r="O247">
        <v>0</v>
      </c>
      <c r="P247" s="1">
        <v>72</v>
      </c>
      <c r="Q247" s="8">
        <f t="shared" si="31"/>
        <v>-6.5743944636678209E-2</v>
      </c>
    </row>
    <row r="248" spans="1:17" hidden="1">
      <c r="A248">
        <v>82</v>
      </c>
      <c r="B248" t="s">
        <v>807</v>
      </c>
      <c r="C248" s="11">
        <v>45610</v>
      </c>
      <c r="D248">
        <v>23.6</v>
      </c>
      <c r="E248">
        <v>25.7</v>
      </c>
      <c r="F248">
        <v>22.35</v>
      </c>
      <c r="G248">
        <f>INDEX('اسعار الاسهم'!A:B,MATCH(B248,'اسعار الاسهم'!K:K,0),2)</f>
        <v>30.5</v>
      </c>
      <c r="H248" s="8" t="str">
        <f t="shared" si="24"/>
        <v/>
      </c>
      <c r="I248" s="8" t="str">
        <f t="shared" si="25"/>
        <v/>
      </c>
      <c r="J248" s="8" t="str">
        <f t="shared" si="26"/>
        <v/>
      </c>
      <c r="K248" s="8">
        <f t="shared" si="27"/>
        <v>0.1498881431767336</v>
      </c>
      <c r="L248" s="13" t="str">
        <f t="shared" si="28"/>
        <v/>
      </c>
      <c r="M248" t="str">
        <f t="shared" si="29"/>
        <v/>
      </c>
      <c r="N248">
        <f t="shared" si="30"/>
        <v>0</v>
      </c>
      <c r="O248">
        <v>0</v>
      </c>
      <c r="P248" s="1">
        <v>71</v>
      </c>
      <c r="Q248" s="8">
        <f t="shared" si="31"/>
        <v>-5.2966101694915224E-2</v>
      </c>
    </row>
    <row r="249" spans="1:17" hidden="1">
      <c r="A249">
        <v>65</v>
      </c>
      <c r="B249" t="s">
        <v>823</v>
      </c>
      <c r="C249" s="11">
        <v>45609</v>
      </c>
      <c r="D249">
        <v>21.79</v>
      </c>
      <c r="E249">
        <v>24.55</v>
      </c>
      <c r="F249">
        <v>20.3</v>
      </c>
      <c r="G249">
        <f>INDEX('اسعار الاسهم'!A:B,MATCH(B249,'اسعار الاسهم'!K:K,0),2)</f>
        <v>32.76</v>
      </c>
      <c r="H249" s="8" t="str">
        <f t="shared" si="24"/>
        <v/>
      </c>
      <c r="I249" s="8" t="str">
        <f t="shared" si="25"/>
        <v/>
      </c>
      <c r="J249" s="8" t="str">
        <f t="shared" si="26"/>
        <v/>
      </c>
      <c r="K249" s="8">
        <f t="shared" si="27"/>
        <v>0.20935960591133007</v>
      </c>
      <c r="L249" s="13" t="str">
        <f t="shared" si="28"/>
        <v/>
      </c>
      <c r="M249" t="str">
        <f t="shared" si="29"/>
        <v/>
      </c>
      <c r="N249">
        <f t="shared" si="30"/>
        <v>2</v>
      </c>
      <c r="O249">
        <v>1</v>
      </c>
      <c r="P249">
        <v>25</v>
      </c>
      <c r="Q249" s="8">
        <f t="shared" si="31"/>
        <v>0.12666360715924752</v>
      </c>
    </row>
    <row r="250" spans="1:17" hidden="1">
      <c r="A250">
        <v>60</v>
      </c>
      <c r="B250" t="s">
        <v>807</v>
      </c>
      <c r="C250" s="11">
        <v>45608</v>
      </c>
      <c r="D250">
        <v>23.1</v>
      </c>
      <c r="E250">
        <v>25.5</v>
      </c>
      <c r="F250">
        <v>21.5</v>
      </c>
      <c r="G250">
        <f>INDEX('اسعار الاسهم'!A:B,MATCH(B250,'اسعار الاسهم'!K:K,0),2)</f>
        <v>30.5</v>
      </c>
      <c r="H250" s="8" t="str">
        <f t="shared" si="24"/>
        <v/>
      </c>
      <c r="I250" s="8" t="str">
        <f t="shared" si="25"/>
        <v/>
      </c>
      <c r="J250" s="8" t="str">
        <f t="shared" si="26"/>
        <v/>
      </c>
      <c r="K250" s="8">
        <f t="shared" si="27"/>
        <v>0.18604651162790709</v>
      </c>
      <c r="L250" s="13" t="str">
        <f t="shared" si="28"/>
        <v/>
      </c>
      <c r="M250" t="str">
        <f t="shared" si="29"/>
        <v/>
      </c>
      <c r="N250">
        <f t="shared" si="30"/>
        <v>0</v>
      </c>
      <c r="O250">
        <v>0</v>
      </c>
      <c r="P250" s="1">
        <v>70</v>
      </c>
      <c r="Q250" s="8">
        <f t="shared" si="31"/>
        <v>-6.9264069264069361E-2</v>
      </c>
    </row>
    <row r="251" spans="1:17" hidden="1">
      <c r="A251">
        <v>31</v>
      </c>
      <c r="B251" t="s">
        <v>763</v>
      </c>
      <c r="C251" s="11">
        <v>45603</v>
      </c>
      <c r="D251">
        <v>8.6</v>
      </c>
      <c r="E251">
        <v>10</v>
      </c>
      <c r="F251">
        <v>7.5</v>
      </c>
      <c r="G251">
        <f>INDEX('اسعار الاسهم'!A:B,MATCH(B251,'اسعار الاسهم'!K:K,0),2)</f>
        <v>10.11</v>
      </c>
      <c r="H251" s="8" t="str">
        <f t="shared" si="24"/>
        <v/>
      </c>
      <c r="I251" s="8" t="str">
        <f t="shared" si="25"/>
        <v/>
      </c>
      <c r="J251" s="8" t="str">
        <f t="shared" si="26"/>
        <v/>
      </c>
      <c r="K251" s="8">
        <f t="shared" si="27"/>
        <v>0.33333333333333326</v>
      </c>
      <c r="L251" s="13" t="str">
        <f t="shared" si="28"/>
        <v/>
      </c>
      <c r="M251" t="str">
        <f t="shared" si="29"/>
        <v/>
      </c>
      <c r="N251">
        <f t="shared" si="30"/>
        <v>3</v>
      </c>
      <c r="O251">
        <v>0</v>
      </c>
      <c r="P251">
        <v>69</v>
      </c>
      <c r="Q251" s="8">
        <f t="shared" si="31"/>
        <v>-0.12790697674418605</v>
      </c>
    </row>
    <row r="252" spans="1:17" hidden="1">
      <c r="A252">
        <v>161</v>
      </c>
      <c r="B252" t="s">
        <v>849</v>
      </c>
      <c r="C252" s="11">
        <v>45623</v>
      </c>
      <c r="D252">
        <v>16.47</v>
      </c>
      <c r="E252">
        <v>17.3</v>
      </c>
      <c r="F252">
        <v>15.9</v>
      </c>
      <c r="G252">
        <f>INDEX('اسعار الاسهم'!A:B,MATCH(B252,'اسعار الاسهم'!K:K,0),2)</f>
        <v>35.6</v>
      </c>
      <c r="H252" s="8" t="str">
        <f t="shared" si="24"/>
        <v/>
      </c>
      <c r="I252" s="8" t="str">
        <f t="shared" si="25"/>
        <v/>
      </c>
      <c r="J252" s="8" t="str">
        <f t="shared" si="26"/>
        <v/>
      </c>
      <c r="K252" s="8">
        <f t="shared" si="27"/>
        <v>8.8050314465408785E-2</v>
      </c>
      <c r="L252" s="13" t="str">
        <f t="shared" si="28"/>
        <v/>
      </c>
      <c r="M252" t="str">
        <f t="shared" si="29"/>
        <v/>
      </c>
      <c r="N252">
        <f t="shared" si="30"/>
        <v>0</v>
      </c>
      <c r="O252">
        <v>0</v>
      </c>
      <c r="P252">
        <v>63</v>
      </c>
      <c r="Q252" s="8">
        <f t="shared" si="31"/>
        <v>-3.4608378870673917E-2</v>
      </c>
    </row>
    <row r="253" spans="1:17" hidden="1">
      <c r="A253">
        <v>44</v>
      </c>
      <c r="B253" s="10" t="s">
        <v>815</v>
      </c>
      <c r="C253" s="11">
        <v>45606</v>
      </c>
      <c r="D253">
        <v>1.97</v>
      </c>
      <c r="E253">
        <v>2.2999999999999998</v>
      </c>
      <c r="F253">
        <v>1.9</v>
      </c>
      <c r="G253">
        <f>INDEX('اسعار الاسهم'!A:B,MATCH(B253,'اسعار الاسهم'!K:K,0),2)</f>
        <v>1.1399999999999999</v>
      </c>
      <c r="H253" s="8" t="str">
        <f t="shared" si="24"/>
        <v/>
      </c>
      <c r="I253" s="8" t="str">
        <f t="shared" si="25"/>
        <v/>
      </c>
      <c r="J253" s="8" t="str">
        <f t="shared" si="26"/>
        <v/>
      </c>
      <c r="K253" s="8">
        <f t="shared" si="27"/>
        <v>0.21052631578947367</v>
      </c>
      <c r="L253" s="13" t="str">
        <f t="shared" si="28"/>
        <v/>
      </c>
      <c r="M253" t="str">
        <f t="shared" si="29"/>
        <v/>
      </c>
      <c r="N253">
        <f t="shared" si="30"/>
        <v>0</v>
      </c>
      <c r="O253">
        <v>0</v>
      </c>
      <c r="P253">
        <v>62</v>
      </c>
      <c r="Q253" s="8">
        <f t="shared" si="31"/>
        <v>-3.5532994923857864E-2</v>
      </c>
    </row>
    <row r="254" spans="1:17" hidden="1">
      <c r="A254">
        <v>157</v>
      </c>
      <c r="B254" t="s">
        <v>830</v>
      </c>
      <c r="C254" s="11">
        <v>45622</v>
      </c>
      <c r="D254">
        <v>11.57</v>
      </c>
      <c r="E254">
        <v>12.17</v>
      </c>
      <c r="F254">
        <v>11.4</v>
      </c>
      <c r="G254">
        <f>INDEX('اسعار الاسهم'!A:B,MATCH(B254,'اسعار الاسهم'!K:K,0),2)</f>
        <v>22.1</v>
      </c>
      <c r="H254" s="8" t="str">
        <f t="shared" si="24"/>
        <v/>
      </c>
      <c r="I254" s="8" t="str">
        <f t="shared" si="25"/>
        <v/>
      </c>
      <c r="J254" s="8" t="str">
        <f t="shared" si="26"/>
        <v/>
      </c>
      <c r="K254" s="8">
        <f t="shared" si="27"/>
        <v>6.7543859649122684E-2</v>
      </c>
      <c r="L254" s="13" t="str">
        <f t="shared" si="28"/>
        <v/>
      </c>
      <c r="M254" t="str">
        <f t="shared" si="29"/>
        <v/>
      </c>
      <c r="N254">
        <f t="shared" si="30"/>
        <v>1</v>
      </c>
      <c r="O254">
        <v>0</v>
      </c>
      <c r="P254">
        <v>61</v>
      </c>
      <c r="Q254" s="8">
        <f t="shared" si="31"/>
        <v>-1.4693171996542742E-2</v>
      </c>
    </row>
    <row r="255" spans="1:17" hidden="1">
      <c r="A255" s="3">
        <v>58</v>
      </c>
      <c r="B255" t="s">
        <v>733</v>
      </c>
      <c r="C255" s="11">
        <v>45608</v>
      </c>
      <c r="D255">
        <v>23.91</v>
      </c>
      <c r="E255">
        <v>26</v>
      </c>
      <c r="F255">
        <v>23</v>
      </c>
      <c r="G255">
        <f>INDEX('اسعار الاسهم'!A:B,MATCH(B255,'اسعار الاسهم'!K:K,0),2)</f>
        <v>26.64</v>
      </c>
      <c r="H255" s="4" t="str">
        <f t="shared" si="24"/>
        <v/>
      </c>
      <c r="I255" s="4" t="str">
        <f t="shared" si="25"/>
        <v/>
      </c>
      <c r="J255" s="4" t="str">
        <f t="shared" si="26"/>
        <v/>
      </c>
      <c r="K255" s="8">
        <f t="shared" si="27"/>
        <v>0.13043478260869557</v>
      </c>
      <c r="L255" s="13" t="str">
        <f t="shared" si="28"/>
        <v/>
      </c>
      <c r="M255" t="str">
        <f t="shared" si="29"/>
        <v/>
      </c>
      <c r="N255">
        <f t="shared" si="30"/>
        <v>1</v>
      </c>
      <c r="O255">
        <v>1</v>
      </c>
      <c r="P255">
        <v>3</v>
      </c>
      <c r="Q255" s="8">
        <f t="shared" si="31"/>
        <v>8.7411125052279326E-2</v>
      </c>
    </row>
    <row r="256" spans="1:17" hidden="1">
      <c r="A256">
        <v>156</v>
      </c>
      <c r="B256" t="s">
        <v>816</v>
      </c>
      <c r="C256" s="11">
        <v>45622</v>
      </c>
      <c r="D256">
        <v>32.549999999999997</v>
      </c>
      <c r="E256">
        <v>35</v>
      </c>
      <c r="F256">
        <v>32</v>
      </c>
      <c r="G256">
        <f>INDEX('اسعار الاسهم'!A:B,MATCH(B256,'اسعار الاسهم'!K:K,0),2)</f>
        <v>27</v>
      </c>
      <c r="H256" s="8" t="str">
        <f t="shared" si="24"/>
        <v/>
      </c>
      <c r="I256" s="8" t="str">
        <f t="shared" si="25"/>
        <v/>
      </c>
      <c r="J256" s="8" t="str">
        <f t="shared" si="26"/>
        <v/>
      </c>
      <c r="K256" s="8">
        <f t="shared" si="27"/>
        <v>9.375E-2</v>
      </c>
      <c r="L256" s="13" t="str">
        <f t="shared" si="28"/>
        <v/>
      </c>
      <c r="M256" t="str">
        <f t="shared" si="29"/>
        <v/>
      </c>
      <c r="N256">
        <f t="shared" si="30"/>
        <v>0</v>
      </c>
      <c r="O256">
        <v>0</v>
      </c>
      <c r="P256">
        <v>60</v>
      </c>
      <c r="Q256" s="8">
        <f t="shared" si="31"/>
        <v>-1.6897081413210335E-2</v>
      </c>
    </row>
    <row r="257" spans="1:17" hidden="1">
      <c r="A257">
        <v>133</v>
      </c>
      <c r="B257" t="s">
        <v>789</v>
      </c>
      <c r="C257" s="11">
        <v>45617</v>
      </c>
      <c r="D257">
        <v>3.57</v>
      </c>
      <c r="E257">
        <v>4</v>
      </c>
      <c r="F257">
        <v>3.4</v>
      </c>
      <c r="G257">
        <f>INDEX('اسعار الاسهم'!A:B,MATCH(B257,'اسعار الاسهم'!K:K,0),2)</f>
        <v>9.3000000000000007</v>
      </c>
      <c r="H257" s="8" t="str">
        <f t="shared" si="24"/>
        <v/>
      </c>
      <c r="I257" s="8" t="str">
        <f t="shared" si="25"/>
        <v/>
      </c>
      <c r="J257" s="8" t="str">
        <f t="shared" si="26"/>
        <v/>
      </c>
      <c r="K257" s="8">
        <f t="shared" si="27"/>
        <v>0.17647058823529416</v>
      </c>
      <c r="L257" s="13" t="str">
        <f t="shared" si="28"/>
        <v/>
      </c>
      <c r="M257" t="str">
        <f t="shared" si="29"/>
        <v/>
      </c>
      <c r="N257">
        <f t="shared" si="30"/>
        <v>3</v>
      </c>
      <c r="O257">
        <v>0</v>
      </c>
      <c r="P257">
        <v>51</v>
      </c>
      <c r="Q257" s="8">
        <f t="shared" si="31"/>
        <v>-4.7619047619047561E-2</v>
      </c>
    </row>
    <row r="258" spans="1:17" hidden="1">
      <c r="A258">
        <v>42</v>
      </c>
      <c r="B258" t="s">
        <v>816</v>
      </c>
      <c r="C258" s="11">
        <v>45606</v>
      </c>
      <c r="D258">
        <v>33.119999999999997</v>
      </c>
      <c r="E258">
        <v>35.799999999999997</v>
      </c>
      <c r="F258">
        <v>31.85</v>
      </c>
      <c r="G258">
        <f>INDEX('اسعار الاسهم'!A:B,MATCH(B258,'اسعار الاسهم'!K:K,0),2)</f>
        <v>27</v>
      </c>
      <c r="H258" s="8" t="str">
        <f t="shared" ref="H258:H321" si="32">IF(O258="", G258/D258-1,"")</f>
        <v/>
      </c>
      <c r="I258" s="8" t="str">
        <f t="shared" ref="I258:I321" si="33">IF(O258="", E258/G258-1,"")</f>
        <v/>
      </c>
      <c r="J258" s="8" t="str">
        <f t="shared" ref="J258:J321" si="34">IF(O258="",  1-F258/G258,"")</f>
        <v/>
      </c>
      <c r="K258" s="8">
        <f t="shared" ref="K258:K321" si="35">E258/F258-1</f>
        <v>0.1240188383045524</v>
      </c>
      <c r="L258" s="13" t="str">
        <f t="shared" ref="L258:L321" si="36">IF( P258="",I258/J258,"")</f>
        <v/>
      </c>
      <c r="M258" t="str">
        <f t="shared" ref="M258:M321" si="37">IF(O258="",IF(I258&lt;J258,"up","down"),"")</f>
        <v/>
      </c>
      <c r="N258">
        <f t="shared" ref="N258:N321" si="38">COUNTIFS(B:B,B258,O:O,"")</f>
        <v>0</v>
      </c>
      <c r="O258">
        <v>0</v>
      </c>
      <c r="P258">
        <v>49</v>
      </c>
      <c r="Q258" s="8">
        <f t="shared" ref="Q258:Q321" si="39">IF(NOT( P258=""),IF(O258=1,E258/D258-1,F258/D258-1),"")</f>
        <v>-3.8345410628019216E-2</v>
      </c>
    </row>
    <row r="259" spans="1:17" hidden="1">
      <c r="A259">
        <v>7</v>
      </c>
      <c r="B259" t="s">
        <v>784</v>
      </c>
      <c r="C259" s="11">
        <v>45599</v>
      </c>
      <c r="D259">
        <v>22.14</v>
      </c>
      <c r="E259">
        <v>24.75</v>
      </c>
      <c r="F259">
        <v>20.5</v>
      </c>
      <c r="G259">
        <f>INDEX('اسعار الاسهم'!A:B,MATCH(B259,'اسعار الاسهم'!K:K,0),2)</f>
        <v>26.32</v>
      </c>
      <c r="H259" s="8" t="str">
        <f t="shared" si="32"/>
        <v/>
      </c>
      <c r="I259" s="8" t="str">
        <f t="shared" si="33"/>
        <v/>
      </c>
      <c r="J259" s="8" t="str">
        <f t="shared" si="34"/>
        <v/>
      </c>
      <c r="K259" s="8">
        <f t="shared" si="35"/>
        <v>0.20731707317073167</v>
      </c>
      <c r="L259" s="13" t="str">
        <f t="shared" si="36"/>
        <v/>
      </c>
      <c r="M259" t="str">
        <f t="shared" si="37"/>
        <v/>
      </c>
      <c r="N259">
        <f t="shared" si="38"/>
        <v>2</v>
      </c>
      <c r="O259">
        <v>0</v>
      </c>
      <c r="P259">
        <v>48</v>
      </c>
      <c r="Q259" s="8">
        <f t="shared" si="39"/>
        <v>-7.407407407407407E-2</v>
      </c>
    </row>
    <row r="260" spans="1:17" hidden="1">
      <c r="A260">
        <v>73</v>
      </c>
      <c r="B260" s="10" t="s">
        <v>786</v>
      </c>
      <c r="C260" s="11">
        <v>45609</v>
      </c>
      <c r="D260">
        <v>82.6</v>
      </c>
      <c r="E260">
        <v>89.5</v>
      </c>
      <c r="F260">
        <v>79</v>
      </c>
      <c r="G260">
        <f>INDEX('اسعار الاسهم'!A:B,MATCH(B260,'اسعار الاسهم'!K:K,0),2)</f>
        <v>132.35</v>
      </c>
      <c r="H260" s="8" t="str">
        <f t="shared" si="32"/>
        <v/>
      </c>
      <c r="I260" s="8" t="str">
        <f t="shared" si="33"/>
        <v/>
      </c>
      <c r="J260" s="8" t="str">
        <f t="shared" si="34"/>
        <v/>
      </c>
      <c r="K260" s="8">
        <f t="shared" si="35"/>
        <v>0.13291139240506333</v>
      </c>
      <c r="L260" s="13" t="str">
        <f t="shared" si="36"/>
        <v/>
      </c>
      <c r="M260" t="str">
        <f t="shared" si="37"/>
        <v/>
      </c>
      <c r="N260">
        <f t="shared" si="38"/>
        <v>5</v>
      </c>
      <c r="O260">
        <v>0</v>
      </c>
      <c r="P260">
        <v>47</v>
      </c>
      <c r="Q260" s="8">
        <f t="shared" si="39"/>
        <v>-4.3583535108958738E-2</v>
      </c>
    </row>
    <row r="261" spans="1:17" hidden="1">
      <c r="A261">
        <v>105</v>
      </c>
      <c r="B261" t="s">
        <v>826</v>
      </c>
      <c r="C261" s="11">
        <v>45614</v>
      </c>
      <c r="D261">
        <v>8.0500000000000007</v>
      </c>
      <c r="E261">
        <v>9.5</v>
      </c>
      <c r="F261">
        <v>7.7</v>
      </c>
      <c r="G261">
        <f>INDEX('اسعار الاسهم'!A:B,MATCH(B261,'اسعار الاسهم'!K:K,0),2)</f>
        <v>8.35</v>
      </c>
      <c r="H261" s="8" t="str">
        <f t="shared" si="32"/>
        <v/>
      </c>
      <c r="I261" s="8" t="str">
        <f t="shared" si="33"/>
        <v/>
      </c>
      <c r="J261" s="8" t="str">
        <f t="shared" si="34"/>
        <v/>
      </c>
      <c r="K261" s="8">
        <f t="shared" si="35"/>
        <v>0.23376623376623384</v>
      </c>
      <c r="L261" s="13" t="str">
        <f t="shared" si="36"/>
        <v/>
      </c>
      <c r="M261" t="str">
        <f t="shared" si="37"/>
        <v/>
      </c>
      <c r="N261">
        <f t="shared" si="38"/>
        <v>2</v>
      </c>
      <c r="O261">
        <v>0</v>
      </c>
      <c r="P261">
        <v>46</v>
      </c>
      <c r="Q261" s="8">
        <f t="shared" si="39"/>
        <v>-4.3478260869565299E-2</v>
      </c>
    </row>
    <row r="262" spans="1:17" hidden="1">
      <c r="A262">
        <v>74</v>
      </c>
      <c r="B262" t="s">
        <v>826</v>
      </c>
      <c r="C262" s="11">
        <v>45609</v>
      </c>
      <c r="D262">
        <v>8.0500000000000007</v>
      </c>
      <c r="E262">
        <v>9.1999999999999993</v>
      </c>
      <c r="F262">
        <v>7.7</v>
      </c>
      <c r="G262">
        <f>INDEX('اسعار الاسهم'!A:B,MATCH(B262,'اسعار الاسهم'!K:K,0),2)</f>
        <v>8.35</v>
      </c>
      <c r="H262" s="8" t="str">
        <f t="shared" si="32"/>
        <v/>
      </c>
      <c r="I262" s="8" t="str">
        <f t="shared" si="33"/>
        <v/>
      </c>
      <c r="J262" s="8" t="str">
        <f t="shared" si="34"/>
        <v/>
      </c>
      <c r="K262" s="8">
        <f t="shared" si="35"/>
        <v>0.19480519480519476</v>
      </c>
      <c r="L262" s="13" t="str">
        <f t="shared" si="36"/>
        <v/>
      </c>
      <c r="M262" t="str">
        <f t="shared" si="37"/>
        <v/>
      </c>
      <c r="N262">
        <f t="shared" si="38"/>
        <v>2</v>
      </c>
      <c r="O262">
        <v>0</v>
      </c>
      <c r="P262">
        <v>45</v>
      </c>
      <c r="Q262" s="8">
        <f t="shared" si="39"/>
        <v>-4.3478260869565299E-2</v>
      </c>
    </row>
    <row r="263" spans="1:17" hidden="1">
      <c r="A263">
        <v>12</v>
      </c>
      <c r="B263" s="10" t="s">
        <v>790</v>
      </c>
      <c r="C263" s="11">
        <v>45600</v>
      </c>
      <c r="D263">
        <v>6.57</v>
      </c>
      <c r="E263">
        <v>7</v>
      </c>
      <c r="F263">
        <v>6.3</v>
      </c>
      <c r="G263">
        <f>INDEX('اسعار الاسهم'!A:B,MATCH(B263,'اسعار الاسهم'!K:K,0),2)</f>
        <v>8.3800000000000008</v>
      </c>
      <c r="H263" s="8" t="str">
        <f t="shared" si="32"/>
        <v/>
      </c>
      <c r="I263" s="8" t="str">
        <f t="shared" si="33"/>
        <v/>
      </c>
      <c r="J263" s="8" t="str">
        <f t="shared" si="34"/>
        <v/>
      </c>
      <c r="K263" s="8">
        <f t="shared" si="35"/>
        <v>0.11111111111111116</v>
      </c>
      <c r="L263" s="13" t="str">
        <f t="shared" si="36"/>
        <v/>
      </c>
      <c r="M263" t="str">
        <f t="shared" si="37"/>
        <v/>
      </c>
      <c r="N263">
        <f t="shared" si="38"/>
        <v>1</v>
      </c>
      <c r="O263">
        <v>0</v>
      </c>
      <c r="P263">
        <v>44</v>
      </c>
      <c r="Q263" s="8">
        <f t="shared" si="39"/>
        <v>-4.1095890410958957E-2</v>
      </c>
    </row>
    <row r="264" spans="1:17" hidden="1">
      <c r="A264">
        <v>51</v>
      </c>
      <c r="B264" s="10" t="s">
        <v>811</v>
      </c>
      <c r="C264" s="11">
        <v>45608</v>
      </c>
      <c r="D264">
        <v>4.0599999999999996</v>
      </c>
      <c r="E264">
        <v>4.5</v>
      </c>
      <c r="F264">
        <v>3.9</v>
      </c>
      <c r="G264">
        <f>INDEX('اسعار الاسهم'!A:B,MATCH(B264,'اسعار الاسهم'!K:K,0),2)</f>
        <v>5.18</v>
      </c>
      <c r="H264" s="8" t="str">
        <f t="shared" si="32"/>
        <v/>
      </c>
      <c r="I264" s="8" t="str">
        <f t="shared" si="33"/>
        <v/>
      </c>
      <c r="J264" s="8" t="str">
        <f t="shared" si="34"/>
        <v/>
      </c>
      <c r="K264" s="8">
        <f t="shared" si="35"/>
        <v>0.15384615384615397</v>
      </c>
      <c r="L264" s="13" t="str">
        <f t="shared" si="36"/>
        <v/>
      </c>
      <c r="M264" t="str">
        <f t="shared" si="37"/>
        <v/>
      </c>
      <c r="N264">
        <f t="shared" si="38"/>
        <v>0</v>
      </c>
      <c r="O264">
        <v>0</v>
      </c>
      <c r="P264">
        <v>43</v>
      </c>
      <c r="Q264" s="8">
        <f t="shared" si="39"/>
        <v>-3.9408866995073843E-2</v>
      </c>
    </row>
    <row r="265" spans="1:17" hidden="1">
      <c r="A265">
        <v>11</v>
      </c>
      <c r="B265" t="s">
        <v>731</v>
      </c>
      <c r="C265" s="11">
        <v>45599</v>
      </c>
      <c r="D265">
        <v>5.74</v>
      </c>
      <c r="E265">
        <v>7</v>
      </c>
      <c r="F265">
        <v>5.4</v>
      </c>
      <c r="G265">
        <f>INDEX('اسعار الاسهم'!A:B,MATCH(B265,'اسعار الاسهم'!K:K,0),2)</f>
        <v>13.61</v>
      </c>
      <c r="H265" s="8" t="str">
        <f t="shared" si="32"/>
        <v/>
      </c>
      <c r="I265" s="8" t="str">
        <f t="shared" si="33"/>
        <v/>
      </c>
      <c r="J265" s="8" t="str">
        <f t="shared" si="34"/>
        <v/>
      </c>
      <c r="K265" s="8">
        <f t="shared" si="35"/>
        <v>0.29629629629629628</v>
      </c>
      <c r="L265" s="13" t="str">
        <f t="shared" si="36"/>
        <v/>
      </c>
      <c r="M265" t="str">
        <f t="shared" si="37"/>
        <v/>
      </c>
      <c r="N265">
        <f t="shared" si="38"/>
        <v>4</v>
      </c>
      <c r="O265">
        <v>0</v>
      </c>
      <c r="P265">
        <v>42</v>
      </c>
      <c r="Q265" s="8">
        <f t="shared" si="39"/>
        <v>-5.9233449477351874E-2</v>
      </c>
    </row>
    <row r="266" spans="1:17" hidden="1">
      <c r="A266">
        <v>77</v>
      </c>
      <c r="B266" s="10" t="s">
        <v>767</v>
      </c>
      <c r="C266" s="11">
        <v>45610</v>
      </c>
      <c r="D266">
        <v>8.4499999999999993</v>
      </c>
      <c r="E266">
        <v>9.3000000000000007</v>
      </c>
      <c r="F266">
        <v>7.95</v>
      </c>
      <c r="G266">
        <f>INDEX('اسعار الاسهم'!A:B,MATCH(B266,'اسعار الاسهم'!K:K,0),2)</f>
        <v>14.13</v>
      </c>
      <c r="H266" s="8" t="str">
        <f t="shared" si="32"/>
        <v/>
      </c>
      <c r="I266" s="8" t="str">
        <f t="shared" si="33"/>
        <v/>
      </c>
      <c r="J266" s="8" t="str">
        <f t="shared" si="34"/>
        <v/>
      </c>
      <c r="K266" s="8">
        <f t="shared" si="35"/>
        <v>0.16981132075471694</v>
      </c>
      <c r="L266" s="13" t="str">
        <f t="shared" si="36"/>
        <v/>
      </c>
      <c r="M266" t="str">
        <f t="shared" si="37"/>
        <v/>
      </c>
      <c r="N266">
        <f t="shared" si="38"/>
        <v>0</v>
      </c>
      <c r="O266">
        <v>0</v>
      </c>
      <c r="P266">
        <v>41</v>
      </c>
      <c r="Q266" s="8">
        <f t="shared" si="39"/>
        <v>-5.9171597633135953E-2</v>
      </c>
    </row>
    <row r="267" spans="1:17" hidden="1">
      <c r="A267">
        <v>27</v>
      </c>
      <c r="B267" t="s">
        <v>791</v>
      </c>
      <c r="C267" s="11">
        <v>45602</v>
      </c>
      <c r="D267">
        <v>0.35099999999999998</v>
      </c>
      <c r="E267">
        <v>0.39500000000000002</v>
      </c>
      <c r="F267">
        <v>0.33</v>
      </c>
      <c r="G267">
        <f>INDEX('اسعار الاسهم'!A:B,MATCH(B267,'اسعار الاسهم'!K:K,0),2)</f>
        <v>0.2</v>
      </c>
      <c r="H267" s="8" t="str">
        <f t="shared" si="32"/>
        <v/>
      </c>
      <c r="I267" s="8" t="str">
        <f t="shared" si="33"/>
        <v/>
      </c>
      <c r="J267" s="8" t="str">
        <f t="shared" si="34"/>
        <v/>
      </c>
      <c r="K267" s="8">
        <f t="shared" si="35"/>
        <v>0.19696969696969702</v>
      </c>
      <c r="L267" s="13" t="str">
        <f t="shared" si="36"/>
        <v/>
      </c>
      <c r="M267" t="str">
        <f t="shared" si="37"/>
        <v/>
      </c>
      <c r="N267">
        <f t="shared" si="38"/>
        <v>1</v>
      </c>
      <c r="O267">
        <v>0</v>
      </c>
      <c r="P267">
        <v>40</v>
      </c>
      <c r="Q267" s="8">
        <f t="shared" si="39"/>
        <v>-5.9829059829059728E-2</v>
      </c>
    </row>
    <row r="268" spans="1:17">
      <c r="A268">
        <v>178</v>
      </c>
      <c r="B268" t="s">
        <v>763</v>
      </c>
      <c r="C268" s="11">
        <v>45627</v>
      </c>
      <c r="D268">
        <v>7.8</v>
      </c>
      <c r="E268">
        <v>8.5</v>
      </c>
      <c r="F268">
        <v>7.3</v>
      </c>
      <c r="G268">
        <f>INDEX('اسعار الاسهم'!A:B,MATCH(B268,'اسعار الاسهم'!K:K,0),2)</f>
        <v>10.11</v>
      </c>
      <c r="H268" s="8">
        <f t="shared" si="32"/>
        <v>0.29615384615384621</v>
      </c>
      <c r="I268" s="8">
        <f t="shared" si="33"/>
        <v>-0.15924826904055389</v>
      </c>
      <c r="J268" s="8">
        <f t="shared" si="34"/>
        <v>0.27794263105835804</v>
      </c>
      <c r="K268" s="8">
        <f t="shared" si="35"/>
        <v>0.16438356164383561</v>
      </c>
      <c r="L268" s="13">
        <f t="shared" si="36"/>
        <v>-0.57295373665480431</v>
      </c>
      <c r="M268" t="str">
        <f t="shared" si="37"/>
        <v>up</v>
      </c>
      <c r="N268">
        <f t="shared" si="38"/>
        <v>3</v>
      </c>
      <c r="Q268" s="8" t="str">
        <f t="shared" si="39"/>
        <v/>
      </c>
    </row>
    <row r="269" spans="1:17" hidden="1">
      <c r="A269">
        <v>93</v>
      </c>
      <c r="B269" t="s">
        <v>726</v>
      </c>
      <c r="C269" s="11">
        <v>45614</v>
      </c>
      <c r="D269">
        <v>117.01</v>
      </c>
      <c r="E269">
        <v>135</v>
      </c>
      <c r="F269">
        <v>112</v>
      </c>
      <c r="G269">
        <f>INDEX('اسعار الاسهم'!A:B,MATCH(B269,'اسعار الاسهم'!K:K,0),2)</f>
        <v>141</v>
      </c>
      <c r="H269" s="8" t="str">
        <f t="shared" si="32"/>
        <v/>
      </c>
      <c r="I269" s="8" t="str">
        <f t="shared" si="33"/>
        <v/>
      </c>
      <c r="J269" s="8" t="str">
        <f t="shared" si="34"/>
        <v/>
      </c>
      <c r="K269" s="8">
        <f t="shared" si="35"/>
        <v>0.20535714285714279</v>
      </c>
      <c r="L269" s="13" t="str">
        <f t="shared" si="36"/>
        <v/>
      </c>
      <c r="M269" t="str">
        <f t="shared" si="37"/>
        <v/>
      </c>
      <c r="N269">
        <f t="shared" si="38"/>
        <v>2</v>
      </c>
      <c r="O269">
        <v>0</v>
      </c>
      <c r="P269">
        <v>38</v>
      </c>
      <c r="Q269" s="8">
        <f t="shared" si="39"/>
        <v>-4.2816853260405185E-2</v>
      </c>
    </row>
    <row r="270" spans="1:17" hidden="1">
      <c r="A270">
        <v>47</v>
      </c>
      <c r="B270" s="10" t="s">
        <v>727</v>
      </c>
      <c r="C270" s="11">
        <v>45607</v>
      </c>
      <c r="D270">
        <v>14.1</v>
      </c>
      <c r="E270">
        <v>16</v>
      </c>
      <c r="F270">
        <v>13.15</v>
      </c>
      <c r="G270">
        <f>INDEX('اسعار الاسهم'!A:B,MATCH(B270,'اسعار الاسهم'!K:K,0),2)</f>
        <v>13.19</v>
      </c>
      <c r="H270" s="8" t="str">
        <f t="shared" si="32"/>
        <v/>
      </c>
      <c r="I270" s="8" t="str">
        <f t="shared" si="33"/>
        <v/>
      </c>
      <c r="J270" s="8" t="str">
        <f t="shared" si="34"/>
        <v/>
      </c>
      <c r="K270" s="8">
        <f t="shared" si="35"/>
        <v>0.21673003802281365</v>
      </c>
      <c r="L270" s="13" t="str">
        <f t="shared" si="36"/>
        <v/>
      </c>
      <c r="M270" t="str">
        <f t="shared" si="37"/>
        <v/>
      </c>
      <c r="N270">
        <f t="shared" si="38"/>
        <v>0</v>
      </c>
      <c r="O270">
        <v>0</v>
      </c>
      <c r="P270">
        <v>36</v>
      </c>
      <c r="Q270" s="8">
        <f t="shared" si="39"/>
        <v>-6.7375886524822626E-2</v>
      </c>
    </row>
    <row r="271" spans="1:17" hidden="1">
      <c r="A271">
        <v>124</v>
      </c>
      <c r="B271" s="10" t="s">
        <v>846</v>
      </c>
      <c r="C271" s="11">
        <v>45617</v>
      </c>
      <c r="D271">
        <v>0.46</v>
      </c>
      <c r="E271">
        <v>0.55000000000000004</v>
      </c>
      <c r="F271">
        <v>0.44500000000000001</v>
      </c>
      <c r="G271">
        <f>INDEX('اسعار الاسهم'!A:B,MATCH(B271,'اسعار الاسهم'!K:K,0),2)</f>
        <v>0.39</v>
      </c>
      <c r="H271" s="8" t="str">
        <f t="shared" si="32"/>
        <v/>
      </c>
      <c r="I271" s="8" t="str">
        <f t="shared" si="33"/>
        <v/>
      </c>
      <c r="J271" s="8" t="str">
        <f t="shared" si="34"/>
        <v/>
      </c>
      <c r="K271" s="8">
        <f t="shared" si="35"/>
        <v>0.23595505617977541</v>
      </c>
      <c r="L271" s="13" t="str">
        <f t="shared" si="36"/>
        <v/>
      </c>
      <c r="M271" t="str">
        <f t="shared" si="37"/>
        <v/>
      </c>
      <c r="N271">
        <f t="shared" si="38"/>
        <v>1</v>
      </c>
      <c r="O271">
        <v>0</v>
      </c>
      <c r="P271">
        <v>34</v>
      </c>
      <c r="Q271" s="8">
        <f t="shared" si="39"/>
        <v>-3.2608695652173947E-2</v>
      </c>
    </row>
    <row r="272" spans="1:17" hidden="1">
      <c r="A272">
        <v>39</v>
      </c>
      <c r="B272" s="10" t="s">
        <v>747</v>
      </c>
      <c r="C272" s="11">
        <v>45606</v>
      </c>
      <c r="D272">
        <v>60.71</v>
      </c>
      <c r="E272">
        <v>70</v>
      </c>
      <c r="F272">
        <v>58.5</v>
      </c>
      <c r="G272">
        <f>INDEX('اسعار الاسهم'!A:B,MATCH(B272,'اسعار الاسهم'!K:K,0),2)</f>
        <v>99.48</v>
      </c>
      <c r="H272" s="8" t="str">
        <f t="shared" si="32"/>
        <v/>
      </c>
      <c r="I272" s="8" t="str">
        <f t="shared" si="33"/>
        <v/>
      </c>
      <c r="J272" s="8" t="str">
        <f t="shared" si="34"/>
        <v/>
      </c>
      <c r="K272" s="8">
        <f t="shared" si="35"/>
        <v>0.19658119658119655</v>
      </c>
      <c r="L272" s="13" t="str">
        <f t="shared" si="36"/>
        <v/>
      </c>
      <c r="M272" t="str">
        <f t="shared" si="37"/>
        <v/>
      </c>
      <c r="N272">
        <f t="shared" si="38"/>
        <v>5</v>
      </c>
      <c r="O272">
        <v>0</v>
      </c>
      <c r="P272">
        <v>33</v>
      </c>
      <c r="Q272" s="8">
        <f t="shared" si="39"/>
        <v>-3.6402569593147804E-2</v>
      </c>
    </row>
    <row r="273" spans="1:17" hidden="1">
      <c r="A273">
        <v>3</v>
      </c>
      <c r="B273" s="10" t="s">
        <v>743</v>
      </c>
      <c r="C273" s="11">
        <v>45599</v>
      </c>
      <c r="D273">
        <v>3.59</v>
      </c>
      <c r="E273">
        <v>4.5999999999999996</v>
      </c>
      <c r="F273">
        <v>3.3</v>
      </c>
      <c r="G273">
        <f>INDEX('اسعار الاسهم'!A:B,MATCH(B273,'اسعار الاسهم'!K:K,0),2)</f>
        <v>5.0599999999999996</v>
      </c>
      <c r="H273" s="8" t="str">
        <f t="shared" si="32"/>
        <v/>
      </c>
      <c r="I273" s="8" t="str">
        <f t="shared" si="33"/>
        <v/>
      </c>
      <c r="J273" s="8" t="str">
        <f t="shared" si="34"/>
        <v/>
      </c>
      <c r="K273" s="8">
        <f t="shared" si="35"/>
        <v>0.39393939393939381</v>
      </c>
      <c r="L273" s="13" t="str">
        <f t="shared" si="36"/>
        <v/>
      </c>
      <c r="M273" t="str">
        <f t="shared" si="37"/>
        <v/>
      </c>
      <c r="N273">
        <f t="shared" si="38"/>
        <v>4</v>
      </c>
      <c r="O273">
        <v>0</v>
      </c>
      <c r="P273">
        <v>32</v>
      </c>
      <c r="Q273" s="8">
        <f t="shared" si="39"/>
        <v>-8.0779944289693595E-2</v>
      </c>
    </row>
    <row r="274" spans="1:17" hidden="1">
      <c r="A274">
        <v>79</v>
      </c>
      <c r="B274" s="10" t="s">
        <v>786</v>
      </c>
      <c r="C274" s="11">
        <v>45610</v>
      </c>
      <c r="D274">
        <v>82.5</v>
      </c>
      <c r="E274">
        <v>89.5</v>
      </c>
      <c r="F274">
        <v>80</v>
      </c>
      <c r="G274">
        <f>INDEX('اسعار الاسهم'!A:B,MATCH(B274,'اسعار الاسهم'!K:K,0),2)</f>
        <v>132.35</v>
      </c>
      <c r="H274" s="8" t="str">
        <f t="shared" si="32"/>
        <v/>
      </c>
      <c r="I274" s="8" t="str">
        <f t="shared" si="33"/>
        <v/>
      </c>
      <c r="J274" s="8" t="str">
        <f t="shared" si="34"/>
        <v/>
      </c>
      <c r="K274" s="8">
        <f t="shared" si="35"/>
        <v>0.11874999999999991</v>
      </c>
      <c r="L274" s="13" t="str">
        <f t="shared" si="36"/>
        <v/>
      </c>
      <c r="M274" t="str">
        <f t="shared" si="37"/>
        <v/>
      </c>
      <c r="N274">
        <f t="shared" si="38"/>
        <v>5</v>
      </c>
      <c r="O274">
        <v>0</v>
      </c>
      <c r="P274">
        <v>30</v>
      </c>
      <c r="Q274" s="8">
        <f t="shared" si="39"/>
        <v>-3.0303030303030276E-2</v>
      </c>
    </row>
    <row r="275" spans="1:17" hidden="1">
      <c r="A275">
        <v>34</v>
      </c>
      <c r="B275" t="s">
        <v>784</v>
      </c>
      <c r="C275" s="11">
        <v>45603</v>
      </c>
      <c r="D275">
        <v>22.77</v>
      </c>
      <c r="E275">
        <v>26.25</v>
      </c>
      <c r="F275">
        <v>21.5</v>
      </c>
      <c r="G275">
        <f>INDEX('اسعار الاسهم'!A:B,MATCH(B275,'اسعار الاسهم'!K:K,0),2)</f>
        <v>26.32</v>
      </c>
      <c r="H275" s="8" t="str">
        <f t="shared" si="32"/>
        <v/>
      </c>
      <c r="I275" s="8" t="str">
        <f t="shared" si="33"/>
        <v/>
      </c>
      <c r="J275" s="8" t="str">
        <f t="shared" si="34"/>
        <v/>
      </c>
      <c r="K275" s="8">
        <f t="shared" si="35"/>
        <v>0.22093023255813948</v>
      </c>
      <c r="L275" s="13" t="str">
        <f t="shared" si="36"/>
        <v/>
      </c>
      <c r="M275" t="str">
        <f t="shared" si="37"/>
        <v/>
      </c>
      <c r="N275">
        <f t="shared" si="38"/>
        <v>2</v>
      </c>
      <c r="O275">
        <v>0</v>
      </c>
      <c r="P275">
        <v>28</v>
      </c>
      <c r="Q275" s="8">
        <f t="shared" si="39"/>
        <v>-5.5775142731664507E-2</v>
      </c>
    </row>
    <row r="276" spans="1:17" hidden="1">
      <c r="A276">
        <v>55</v>
      </c>
      <c r="B276" t="s">
        <v>745</v>
      </c>
      <c r="C276" s="11">
        <v>45608</v>
      </c>
      <c r="D276">
        <v>3.06</v>
      </c>
      <c r="E276">
        <v>3.5</v>
      </c>
      <c r="F276">
        <v>2.9</v>
      </c>
      <c r="G276">
        <f>INDEX('اسعار الاسهم'!A:B,MATCH(B276,'اسعار الاسهم'!K:K,0),2)</f>
        <v>3.08</v>
      </c>
      <c r="H276" s="8" t="str">
        <f t="shared" si="32"/>
        <v/>
      </c>
      <c r="I276" s="8" t="str">
        <f t="shared" si="33"/>
        <v/>
      </c>
      <c r="J276" s="8" t="str">
        <f t="shared" si="34"/>
        <v/>
      </c>
      <c r="K276" s="8">
        <f t="shared" si="35"/>
        <v>0.2068965517241379</v>
      </c>
      <c r="L276" s="13" t="str">
        <f t="shared" si="36"/>
        <v/>
      </c>
      <c r="M276" t="str">
        <f t="shared" si="37"/>
        <v/>
      </c>
      <c r="N276">
        <f t="shared" si="38"/>
        <v>0</v>
      </c>
      <c r="O276">
        <v>0</v>
      </c>
      <c r="P276">
        <v>27</v>
      </c>
      <c r="Q276" s="8">
        <f t="shared" si="39"/>
        <v>-5.2287581699346442E-2</v>
      </c>
    </row>
    <row r="277" spans="1:17" hidden="1">
      <c r="A277">
        <v>30</v>
      </c>
      <c r="B277" t="s">
        <v>788</v>
      </c>
      <c r="C277" s="11">
        <v>45603</v>
      </c>
      <c r="D277">
        <v>8.16</v>
      </c>
      <c r="E277">
        <v>8.8000000000000007</v>
      </c>
      <c r="F277">
        <v>7.6</v>
      </c>
      <c r="G277">
        <f>INDEX('اسعار الاسهم'!A:B,MATCH(B277,'اسعار الاسهم'!K:K,0),2)</f>
        <v>19.32</v>
      </c>
      <c r="H277" s="8" t="str">
        <f t="shared" si="32"/>
        <v/>
      </c>
      <c r="I277" s="8" t="str">
        <f t="shared" si="33"/>
        <v/>
      </c>
      <c r="J277" s="8" t="str">
        <f t="shared" si="34"/>
        <v/>
      </c>
      <c r="K277" s="8">
        <f t="shared" si="35"/>
        <v>0.15789473684210531</v>
      </c>
      <c r="L277" s="13" t="str">
        <f t="shared" si="36"/>
        <v/>
      </c>
      <c r="M277" t="str">
        <f t="shared" si="37"/>
        <v/>
      </c>
      <c r="N277">
        <f t="shared" si="38"/>
        <v>2</v>
      </c>
      <c r="O277">
        <v>1</v>
      </c>
      <c r="P277">
        <v>102</v>
      </c>
      <c r="Q277" s="8">
        <f t="shared" si="39"/>
        <v>7.8431372549019773E-2</v>
      </c>
    </row>
    <row r="278" spans="1:17" hidden="1">
      <c r="A278">
        <v>88</v>
      </c>
      <c r="B278" t="s">
        <v>786</v>
      </c>
      <c r="C278" s="11">
        <v>45613</v>
      </c>
      <c r="D278">
        <v>82.62</v>
      </c>
      <c r="E278">
        <v>87</v>
      </c>
      <c r="F278">
        <v>80.5</v>
      </c>
      <c r="G278">
        <f>INDEX('اسعار الاسهم'!A:B,MATCH(B278,'اسعار الاسهم'!K:K,0),2)</f>
        <v>132.35</v>
      </c>
      <c r="H278" s="8" t="str">
        <f t="shared" si="32"/>
        <v/>
      </c>
      <c r="I278" s="8" t="str">
        <f t="shared" si="33"/>
        <v/>
      </c>
      <c r="J278" s="8" t="str">
        <f t="shared" si="34"/>
        <v/>
      </c>
      <c r="K278" s="8">
        <f t="shared" si="35"/>
        <v>8.0745341614906874E-2</v>
      </c>
      <c r="L278" s="13" t="str">
        <f t="shared" si="36"/>
        <v/>
      </c>
      <c r="M278" t="str">
        <f t="shared" si="37"/>
        <v/>
      </c>
      <c r="N278">
        <f t="shared" si="38"/>
        <v>5</v>
      </c>
      <c r="O278">
        <v>0</v>
      </c>
      <c r="P278">
        <v>24</v>
      </c>
      <c r="Q278" s="8">
        <f t="shared" si="39"/>
        <v>-2.565964657467934E-2</v>
      </c>
    </row>
    <row r="279" spans="1:17" hidden="1">
      <c r="A279">
        <v>103</v>
      </c>
      <c r="B279" s="10" t="s">
        <v>764</v>
      </c>
      <c r="C279" s="11">
        <v>45614</v>
      </c>
      <c r="D279">
        <v>26.9</v>
      </c>
      <c r="E279">
        <v>28.1</v>
      </c>
      <c r="F279">
        <v>26.4</v>
      </c>
      <c r="G279">
        <f>INDEX('اسعار الاسهم'!A:B,MATCH(B279,'اسعار الاسهم'!K:K,0),2)</f>
        <v>21.84</v>
      </c>
      <c r="H279" s="8" t="str">
        <f t="shared" si="32"/>
        <v/>
      </c>
      <c r="I279" s="8" t="str">
        <f t="shared" si="33"/>
        <v/>
      </c>
      <c r="J279" s="8" t="str">
        <f t="shared" si="34"/>
        <v/>
      </c>
      <c r="K279" s="8">
        <f t="shared" si="35"/>
        <v>6.4393939393939448E-2</v>
      </c>
      <c r="L279" s="13" t="str">
        <f t="shared" si="36"/>
        <v/>
      </c>
      <c r="M279" t="str">
        <f t="shared" si="37"/>
        <v/>
      </c>
      <c r="N279">
        <f t="shared" si="38"/>
        <v>4</v>
      </c>
      <c r="O279">
        <v>0</v>
      </c>
      <c r="P279">
        <v>23</v>
      </c>
      <c r="Q279" s="8">
        <f t="shared" si="39"/>
        <v>-1.8587360594795488E-2</v>
      </c>
    </row>
    <row r="280" spans="1:17" hidden="1">
      <c r="A280">
        <v>26</v>
      </c>
      <c r="B280" t="s">
        <v>772</v>
      </c>
      <c r="C280" s="11">
        <v>45602</v>
      </c>
      <c r="D280">
        <v>105.29</v>
      </c>
      <c r="E280">
        <v>112.2</v>
      </c>
      <c r="F280">
        <v>103</v>
      </c>
      <c r="G280">
        <f>INDEX('اسعار الاسهم'!A:B,MATCH(B280,'اسعار الاسهم'!K:K,0),2)</f>
        <v>331.99</v>
      </c>
      <c r="H280" s="8" t="str">
        <f t="shared" si="32"/>
        <v/>
      </c>
      <c r="I280" s="8" t="str">
        <f t="shared" si="33"/>
        <v/>
      </c>
      <c r="J280" s="8" t="str">
        <f t="shared" si="34"/>
        <v/>
      </c>
      <c r="K280" s="8">
        <f t="shared" si="35"/>
        <v>8.9320388349514612E-2</v>
      </c>
      <c r="L280" s="13" t="str">
        <f t="shared" si="36"/>
        <v/>
      </c>
      <c r="M280" t="str">
        <f t="shared" si="37"/>
        <v/>
      </c>
      <c r="N280">
        <f t="shared" si="38"/>
        <v>4</v>
      </c>
      <c r="O280">
        <v>1</v>
      </c>
      <c r="P280">
        <v>55</v>
      </c>
      <c r="Q280" s="8">
        <f t="shared" si="39"/>
        <v>6.5628264792477964E-2</v>
      </c>
    </row>
    <row r="281" spans="1:17" hidden="1">
      <c r="A281">
        <v>63</v>
      </c>
      <c r="B281" s="10" t="s">
        <v>742</v>
      </c>
      <c r="C281" s="11">
        <v>45609</v>
      </c>
      <c r="D281">
        <v>10.67</v>
      </c>
      <c r="E281">
        <v>12.4</v>
      </c>
      <c r="F281">
        <v>9.9499999999999993</v>
      </c>
      <c r="G281">
        <f>INDEX('اسعار الاسهم'!A:B,MATCH(B281,'اسعار الاسهم'!K:K,0),2)</f>
        <v>6.43</v>
      </c>
      <c r="H281" s="8" t="str">
        <f t="shared" si="32"/>
        <v/>
      </c>
      <c r="I281" s="8" t="str">
        <f t="shared" si="33"/>
        <v/>
      </c>
      <c r="J281" s="8" t="str">
        <f t="shared" si="34"/>
        <v/>
      </c>
      <c r="K281" s="8">
        <f t="shared" si="35"/>
        <v>0.24623115577889454</v>
      </c>
      <c r="L281" s="13" t="str">
        <f t="shared" si="36"/>
        <v/>
      </c>
      <c r="M281" t="str">
        <f t="shared" si="37"/>
        <v/>
      </c>
      <c r="N281">
        <f t="shared" si="38"/>
        <v>0</v>
      </c>
      <c r="O281">
        <v>0</v>
      </c>
      <c r="P281">
        <v>22</v>
      </c>
      <c r="Q281" s="8">
        <f t="shared" si="39"/>
        <v>-6.7478912839737615E-2</v>
      </c>
    </row>
    <row r="282" spans="1:17" hidden="1">
      <c r="A282">
        <v>23</v>
      </c>
      <c r="B282" t="s">
        <v>818</v>
      </c>
      <c r="C282" s="11">
        <v>45601</v>
      </c>
      <c r="D282">
        <v>63.75</v>
      </c>
      <c r="E282">
        <v>75.5</v>
      </c>
      <c r="F282">
        <v>60.3</v>
      </c>
      <c r="G282">
        <f>INDEX('اسعار الاسهم'!A:B,MATCH(B282,'اسعار الاسهم'!K:K,0),2)</f>
        <v>133.5</v>
      </c>
      <c r="H282" s="8" t="str">
        <f t="shared" si="32"/>
        <v/>
      </c>
      <c r="I282" s="8" t="str">
        <f t="shared" si="33"/>
        <v/>
      </c>
      <c r="J282" s="8" t="str">
        <f t="shared" si="34"/>
        <v/>
      </c>
      <c r="K282" s="8">
        <f t="shared" si="35"/>
        <v>0.2520729684908789</v>
      </c>
      <c r="L282" s="13" t="str">
        <f t="shared" si="36"/>
        <v/>
      </c>
      <c r="M282" t="str">
        <f t="shared" si="37"/>
        <v/>
      </c>
      <c r="N282">
        <f t="shared" si="38"/>
        <v>1</v>
      </c>
      <c r="O282">
        <v>1</v>
      </c>
      <c r="P282">
        <v>80</v>
      </c>
      <c r="Q282" s="8">
        <f t="shared" si="39"/>
        <v>0.18431372549019609</v>
      </c>
    </row>
    <row r="283" spans="1:17" hidden="1">
      <c r="A283">
        <v>22</v>
      </c>
      <c r="B283" t="s">
        <v>810</v>
      </c>
      <c r="C283" s="11">
        <v>45601</v>
      </c>
      <c r="D283">
        <v>0.24199999999999999</v>
      </c>
      <c r="E283">
        <v>0.28999999999999998</v>
      </c>
      <c r="F283">
        <v>0.22600000000000001</v>
      </c>
      <c r="G283">
        <f>INDEX('اسعار الاسهم'!A:B,MATCH(B283,'اسعار الاسهم'!K:K,0),2)</f>
        <v>1.52</v>
      </c>
      <c r="H283" s="8" t="str">
        <f t="shared" si="32"/>
        <v/>
      </c>
      <c r="I283" s="8" t="str">
        <f t="shared" si="33"/>
        <v/>
      </c>
      <c r="J283" s="8" t="str">
        <f t="shared" si="34"/>
        <v/>
      </c>
      <c r="K283" s="8">
        <f t="shared" si="35"/>
        <v>0.28318584070796438</v>
      </c>
      <c r="L283" s="13" t="str">
        <f t="shared" si="36"/>
        <v/>
      </c>
      <c r="M283" t="str">
        <f t="shared" si="37"/>
        <v/>
      </c>
      <c r="N283">
        <f t="shared" si="38"/>
        <v>1</v>
      </c>
      <c r="O283">
        <v>1</v>
      </c>
      <c r="P283">
        <v>26</v>
      </c>
      <c r="Q283" s="8">
        <f t="shared" si="39"/>
        <v>0.19834710743801653</v>
      </c>
    </row>
    <row r="284" spans="1:17" hidden="1">
      <c r="A284">
        <v>21</v>
      </c>
      <c r="B284" t="s">
        <v>792</v>
      </c>
      <c r="C284" s="11">
        <v>45601</v>
      </c>
      <c r="D284">
        <v>7.77</v>
      </c>
      <c r="E284">
        <v>8.6</v>
      </c>
      <c r="F284">
        <v>7.25</v>
      </c>
      <c r="G284">
        <f>INDEX('اسعار الاسهم'!A:B,MATCH(B284,'اسعار الاسهم'!K:K,0),2)</f>
        <v>10.1</v>
      </c>
      <c r="H284" s="8" t="str">
        <f t="shared" si="32"/>
        <v/>
      </c>
      <c r="I284" s="8" t="str">
        <f t="shared" si="33"/>
        <v/>
      </c>
      <c r="J284" s="8" t="str">
        <f t="shared" si="34"/>
        <v/>
      </c>
      <c r="K284" s="8">
        <f t="shared" si="35"/>
        <v>0.18620689655172407</v>
      </c>
      <c r="L284" s="13" t="str">
        <f t="shared" si="36"/>
        <v/>
      </c>
      <c r="M284" t="str">
        <f t="shared" si="37"/>
        <v/>
      </c>
      <c r="N284">
        <f t="shared" si="38"/>
        <v>4</v>
      </c>
      <c r="O284">
        <v>1</v>
      </c>
      <c r="P284">
        <v>140</v>
      </c>
      <c r="Q284" s="8">
        <f t="shared" si="39"/>
        <v>0.1068211068211069</v>
      </c>
    </row>
    <row r="285" spans="1:17" hidden="1">
      <c r="A285">
        <v>20</v>
      </c>
      <c r="B285" t="s">
        <v>771</v>
      </c>
      <c r="C285" s="11">
        <v>45601</v>
      </c>
      <c r="D285">
        <v>1.89</v>
      </c>
      <c r="E285">
        <v>2.2000000000000002</v>
      </c>
      <c r="F285">
        <v>1.7</v>
      </c>
      <c r="G285">
        <f>INDEX('اسعار الاسهم'!A:B,MATCH(B285,'اسعار الاسهم'!K:K,0),2)</f>
        <v>1.74</v>
      </c>
      <c r="H285" s="8" t="str">
        <f t="shared" si="32"/>
        <v/>
      </c>
      <c r="I285" s="8" t="str">
        <f t="shared" si="33"/>
        <v/>
      </c>
      <c r="J285" s="8" t="str">
        <f t="shared" si="34"/>
        <v/>
      </c>
      <c r="K285" s="8">
        <f t="shared" si="35"/>
        <v>0.29411764705882359</v>
      </c>
      <c r="L285" s="13" t="str">
        <f t="shared" si="36"/>
        <v/>
      </c>
      <c r="M285" t="str">
        <f t="shared" si="37"/>
        <v/>
      </c>
      <c r="N285">
        <f t="shared" si="38"/>
        <v>0</v>
      </c>
      <c r="O285">
        <v>1</v>
      </c>
      <c r="P285">
        <v>9</v>
      </c>
      <c r="Q285" s="8">
        <f t="shared" si="39"/>
        <v>0.16402116402116418</v>
      </c>
    </row>
    <row r="286" spans="1:17" hidden="1">
      <c r="A286">
        <v>104</v>
      </c>
      <c r="B286" t="s">
        <v>733</v>
      </c>
      <c r="C286" s="11">
        <v>45614</v>
      </c>
      <c r="D286">
        <v>25.8</v>
      </c>
      <c r="E286">
        <v>27.4</v>
      </c>
      <c r="F286">
        <v>25.7</v>
      </c>
      <c r="G286">
        <f>INDEX('اسعار الاسهم'!A:B,MATCH(B286,'اسعار الاسهم'!K:K,0),2)</f>
        <v>26.64</v>
      </c>
      <c r="H286" s="8" t="str">
        <f t="shared" si="32"/>
        <v/>
      </c>
      <c r="I286" s="8" t="str">
        <f t="shared" si="33"/>
        <v/>
      </c>
      <c r="J286" s="8" t="str">
        <f t="shared" si="34"/>
        <v/>
      </c>
      <c r="K286" s="8">
        <f t="shared" si="35"/>
        <v>6.6147859922178975E-2</v>
      </c>
      <c r="L286" s="13" t="str">
        <f t="shared" si="36"/>
        <v/>
      </c>
      <c r="M286" t="str">
        <f t="shared" si="37"/>
        <v/>
      </c>
      <c r="N286">
        <f t="shared" si="38"/>
        <v>1</v>
      </c>
      <c r="O286">
        <v>0</v>
      </c>
      <c r="P286">
        <v>21</v>
      </c>
      <c r="Q286" s="8">
        <f t="shared" si="39"/>
        <v>-3.8759689922480689E-3</v>
      </c>
    </row>
    <row r="287" spans="1:17" hidden="1">
      <c r="A287">
        <v>17</v>
      </c>
      <c r="B287" t="s">
        <v>819</v>
      </c>
      <c r="C287" s="11">
        <v>45600</v>
      </c>
      <c r="D287">
        <v>2.12</v>
      </c>
      <c r="E287">
        <v>2.6</v>
      </c>
      <c r="F287">
        <v>2</v>
      </c>
      <c r="G287">
        <f>INDEX('اسعار الاسهم'!A:B,MATCH(B287,'اسعار الاسهم'!K:K,0),2)</f>
        <v>2.73</v>
      </c>
      <c r="H287" s="4" t="str">
        <f t="shared" si="32"/>
        <v/>
      </c>
      <c r="I287" s="4" t="str">
        <f t="shared" si="33"/>
        <v/>
      </c>
      <c r="J287" s="4" t="str">
        <f t="shared" si="34"/>
        <v/>
      </c>
      <c r="K287" s="8">
        <f t="shared" si="35"/>
        <v>0.30000000000000004</v>
      </c>
      <c r="L287" s="13" t="str">
        <f t="shared" si="36"/>
        <v/>
      </c>
      <c r="M287" t="str">
        <f t="shared" si="37"/>
        <v/>
      </c>
      <c r="N287">
        <f t="shared" si="38"/>
        <v>3</v>
      </c>
      <c r="O287">
        <v>1</v>
      </c>
      <c r="P287" s="38">
        <v>1</v>
      </c>
      <c r="Q287" s="8">
        <f t="shared" si="39"/>
        <v>0.22641509433962259</v>
      </c>
    </row>
    <row r="288" spans="1:17" hidden="1">
      <c r="A288">
        <v>16</v>
      </c>
      <c r="B288" t="s">
        <v>750</v>
      </c>
      <c r="C288" s="11">
        <v>45600</v>
      </c>
      <c r="D288">
        <v>2.81</v>
      </c>
      <c r="E288">
        <v>3.3</v>
      </c>
      <c r="F288">
        <v>2.6</v>
      </c>
      <c r="G288">
        <f>INDEX('اسعار الاسهم'!A:B,MATCH(B288,'اسعار الاسهم'!K:K,0),2)</f>
        <v>6.11</v>
      </c>
      <c r="H288" s="8" t="str">
        <f t="shared" si="32"/>
        <v/>
      </c>
      <c r="I288" s="8" t="str">
        <f t="shared" si="33"/>
        <v/>
      </c>
      <c r="J288" s="8" t="str">
        <f t="shared" si="34"/>
        <v/>
      </c>
      <c r="K288" s="8">
        <f t="shared" si="35"/>
        <v>0.26923076923076916</v>
      </c>
      <c r="L288" s="13" t="str">
        <f t="shared" si="36"/>
        <v/>
      </c>
      <c r="M288" t="str">
        <f t="shared" si="37"/>
        <v/>
      </c>
      <c r="N288">
        <f t="shared" si="38"/>
        <v>1</v>
      </c>
      <c r="O288">
        <v>1</v>
      </c>
      <c r="P288">
        <v>84</v>
      </c>
      <c r="Q288" s="8">
        <f t="shared" si="39"/>
        <v>0.17437722419928825</v>
      </c>
    </row>
    <row r="289" spans="1:17" hidden="1">
      <c r="A289">
        <v>15</v>
      </c>
      <c r="B289" t="s">
        <v>750</v>
      </c>
      <c r="C289" s="11">
        <v>45600</v>
      </c>
      <c r="D289">
        <v>2.8</v>
      </c>
      <c r="E289">
        <v>3.3</v>
      </c>
      <c r="F289">
        <v>2.5</v>
      </c>
      <c r="G289">
        <f>INDEX('اسعار الاسهم'!A:B,MATCH(B289,'اسعار الاسهم'!K:K,0),2)</f>
        <v>6.11</v>
      </c>
      <c r="H289" s="8" t="str">
        <f t="shared" si="32"/>
        <v/>
      </c>
      <c r="I289" s="8" t="str">
        <f t="shared" si="33"/>
        <v/>
      </c>
      <c r="J289" s="8" t="str">
        <f t="shared" si="34"/>
        <v/>
      </c>
      <c r="K289" s="8">
        <f t="shared" si="35"/>
        <v>0.31999999999999984</v>
      </c>
      <c r="L289" s="13" t="str">
        <f t="shared" si="36"/>
        <v/>
      </c>
      <c r="M289" t="str">
        <f t="shared" si="37"/>
        <v/>
      </c>
      <c r="N289">
        <f t="shared" si="38"/>
        <v>1</v>
      </c>
      <c r="O289">
        <v>1</v>
      </c>
      <c r="P289">
        <v>83</v>
      </c>
      <c r="Q289" s="8">
        <f t="shared" si="39"/>
        <v>0.1785714285714286</v>
      </c>
    </row>
    <row r="290" spans="1:17" hidden="1">
      <c r="A290">
        <v>14</v>
      </c>
      <c r="B290" t="s">
        <v>762</v>
      </c>
      <c r="C290" s="11">
        <v>45600</v>
      </c>
      <c r="D290">
        <v>5.2</v>
      </c>
      <c r="E290">
        <v>5.7</v>
      </c>
      <c r="F290">
        <v>4.5999999999999996</v>
      </c>
      <c r="G290">
        <f>INDEX('اسعار الاسهم'!A:B,MATCH(B290,'اسعار الاسهم'!K:K,0),2)</f>
        <v>7.59</v>
      </c>
      <c r="H290" s="8" t="str">
        <f t="shared" si="32"/>
        <v/>
      </c>
      <c r="I290" s="8" t="str">
        <f t="shared" si="33"/>
        <v/>
      </c>
      <c r="J290" s="8" t="str">
        <f t="shared" si="34"/>
        <v/>
      </c>
      <c r="K290" s="8">
        <f t="shared" si="35"/>
        <v>0.23913043478260887</v>
      </c>
      <c r="L290" s="13" t="str">
        <f t="shared" si="36"/>
        <v/>
      </c>
      <c r="M290" t="str">
        <f t="shared" si="37"/>
        <v/>
      </c>
      <c r="N290">
        <f t="shared" si="38"/>
        <v>3</v>
      </c>
      <c r="O290">
        <v>1</v>
      </c>
      <c r="P290">
        <v>85</v>
      </c>
      <c r="Q290" s="8">
        <f t="shared" si="39"/>
        <v>9.6153846153846256E-2</v>
      </c>
    </row>
    <row r="291" spans="1:17" hidden="1">
      <c r="A291">
        <v>13</v>
      </c>
      <c r="B291" t="s">
        <v>776</v>
      </c>
      <c r="C291" s="11">
        <v>45600</v>
      </c>
      <c r="D291">
        <v>5.35</v>
      </c>
      <c r="E291">
        <v>6</v>
      </c>
      <c r="F291">
        <v>4.8</v>
      </c>
      <c r="G291">
        <f>INDEX('اسعار الاسهم'!A:B,MATCH(B291,'اسعار الاسهم'!K:K,0),2)</f>
        <v>11.27</v>
      </c>
      <c r="H291" s="8" t="str">
        <f t="shared" si="32"/>
        <v/>
      </c>
      <c r="I291" s="8" t="str">
        <f t="shared" si="33"/>
        <v/>
      </c>
      <c r="J291" s="8" t="str">
        <f t="shared" si="34"/>
        <v/>
      </c>
      <c r="K291" s="8">
        <f t="shared" si="35"/>
        <v>0.25</v>
      </c>
      <c r="L291" s="13" t="str">
        <f t="shared" si="36"/>
        <v/>
      </c>
      <c r="M291" t="str">
        <f t="shared" si="37"/>
        <v/>
      </c>
      <c r="N291">
        <f t="shared" si="38"/>
        <v>2</v>
      </c>
      <c r="O291">
        <v>1</v>
      </c>
      <c r="P291">
        <v>65</v>
      </c>
      <c r="Q291" s="8">
        <f t="shared" si="39"/>
        <v>0.12149532710280386</v>
      </c>
    </row>
    <row r="292" spans="1:17" hidden="1">
      <c r="A292">
        <v>43</v>
      </c>
      <c r="B292" t="s">
        <v>727</v>
      </c>
      <c r="C292" s="11">
        <v>45606</v>
      </c>
      <c r="D292">
        <v>14</v>
      </c>
      <c r="E292">
        <v>15.95</v>
      </c>
      <c r="F292">
        <v>13.45</v>
      </c>
      <c r="G292">
        <f>INDEX('اسعار الاسهم'!A:B,MATCH(B292,'اسعار الاسهم'!K:K,0),2)</f>
        <v>13.19</v>
      </c>
      <c r="H292" s="8" t="str">
        <f t="shared" si="32"/>
        <v/>
      </c>
      <c r="I292" s="8" t="str">
        <f t="shared" si="33"/>
        <v/>
      </c>
      <c r="J292" s="8" t="str">
        <f t="shared" si="34"/>
        <v/>
      </c>
      <c r="K292" s="8">
        <f t="shared" si="35"/>
        <v>0.18587360594795532</v>
      </c>
      <c r="L292" s="13" t="str">
        <f t="shared" si="36"/>
        <v/>
      </c>
      <c r="M292" t="str">
        <f t="shared" si="37"/>
        <v/>
      </c>
      <c r="N292">
        <f t="shared" si="38"/>
        <v>0</v>
      </c>
      <c r="O292">
        <v>0</v>
      </c>
      <c r="P292">
        <v>20</v>
      </c>
      <c r="Q292" s="8">
        <f t="shared" si="39"/>
        <v>-3.9285714285714368E-2</v>
      </c>
    </row>
    <row r="293" spans="1:17" hidden="1">
      <c r="A293">
        <v>87</v>
      </c>
      <c r="B293" t="s">
        <v>831</v>
      </c>
      <c r="C293" s="11">
        <v>45613</v>
      </c>
      <c r="D293">
        <v>7.61</v>
      </c>
      <c r="E293">
        <v>9.5</v>
      </c>
      <c r="F293">
        <v>7.1</v>
      </c>
      <c r="G293">
        <f>INDEX('اسعار الاسهم'!A:B,MATCH(B293,'اسعار الاسهم'!K:K,0),2)</f>
        <v>9.6999999999999993</v>
      </c>
      <c r="H293" s="8" t="str">
        <f t="shared" si="32"/>
        <v/>
      </c>
      <c r="I293" s="8" t="str">
        <f t="shared" si="33"/>
        <v/>
      </c>
      <c r="J293" s="8" t="str">
        <f t="shared" si="34"/>
        <v/>
      </c>
      <c r="K293" s="8">
        <f t="shared" si="35"/>
        <v>0.3380281690140845</v>
      </c>
      <c r="L293" s="13" t="str">
        <f t="shared" si="36"/>
        <v/>
      </c>
      <c r="M293" t="str">
        <f t="shared" si="37"/>
        <v/>
      </c>
      <c r="N293">
        <f t="shared" si="38"/>
        <v>2</v>
      </c>
      <c r="O293">
        <v>0</v>
      </c>
      <c r="P293">
        <v>19</v>
      </c>
      <c r="Q293" s="8">
        <f t="shared" si="39"/>
        <v>-6.7017082785808202E-2</v>
      </c>
    </row>
    <row r="294" spans="1:17" hidden="1">
      <c r="A294">
        <v>4</v>
      </c>
      <c r="B294" t="s">
        <v>822</v>
      </c>
      <c r="C294" s="11">
        <v>45599</v>
      </c>
      <c r="D294">
        <v>15</v>
      </c>
      <c r="E294">
        <v>16.899999999999999</v>
      </c>
      <c r="F294">
        <v>14.2</v>
      </c>
      <c r="G294">
        <f>INDEX('اسعار الاسهم'!A:B,MATCH(B294,'اسعار الاسهم'!K:K,0),2)</f>
        <v>24.7</v>
      </c>
      <c r="H294" s="8" t="str">
        <f t="shared" si="32"/>
        <v/>
      </c>
      <c r="I294" s="8" t="str">
        <f t="shared" si="33"/>
        <v/>
      </c>
      <c r="J294" s="8" t="str">
        <f t="shared" si="34"/>
        <v/>
      </c>
      <c r="K294" s="8">
        <f t="shared" si="35"/>
        <v>0.1901408450704225</v>
      </c>
      <c r="L294" s="13" t="str">
        <f t="shared" si="36"/>
        <v/>
      </c>
      <c r="M294" t="str">
        <f t="shared" si="37"/>
        <v/>
      </c>
      <c r="N294">
        <f t="shared" si="38"/>
        <v>0</v>
      </c>
      <c r="O294">
        <v>0</v>
      </c>
      <c r="P294">
        <v>18</v>
      </c>
      <c r="Q294" s="8">
        <f t="shared" si="39"/>
        <v>-5.3333333333333344E-2</v>
      </c>
    </row>
    <row r="295" spans="1:17" hidden="1">
      <c r="A295">
        <v>61</v>
      </c>
      <c r="B295" t="s">
        <v>780</v>
      </c>
      <c r="C295" s="11">
        <v>45608</v>
      </c>
      <c r="D295">
        <v>15.45</v>
      </c>
      <c r="E295">
        <v>17</v>
      </c>
      <c r="F295">
        <v>14.95</v>
      </c>
      <c r="G295">
        <f>INDEX('اسعار الاسهم'!A:B,MATCH(B295,'اسعار الاسهم'!K:K,0),2)</f>
        <v>34.549999999999997</v>
      </c>
      <c r="H295" s="4" t="str">
        <f t="shared" si="32"/>
        <v/>
      </c>
      <c r="I295" s="4" t="str">
        <f t="shared" si="33"/>
        <v/>
      </c>
      <c r="J295" s="4" t="str">
        <f t="shared" si="34"/>
        <v/>
      </c>
      <c r="K295" s="8">
        <f t="shared" si="35"/>
        <v>0.13712374581939812</v>
      </c>
      <c r="L295" s="13" t="str">
        <f t="shared" si="36"/>
        <v/>
      </c>
      <c r="M295" t="str">
        <f t="shared" si="37"/>
        <v/>
      </c>
      <c r="N295">
        <f t="shared" si="38"/>
        <v>0</v>
      </c>
      <c r="O295">
        <v>0</v>
      </c>
      <c r="P295">
        <v>17</v>
      </c>
      <c r="Q295" s="8">
        <f t="shared" si="39"/>
        <v>-3.2362459546925515E-2</v>
      </c>
    </row>
    <row r="296" spans="1:17" hidden="1">
      <c r="A296">
        <v>102</v>
      </c>
      <c r="B296" t="s">
        <v>748</v>
      </c>
      <c r="C296" s="11">
        <v>45614</v>
      </c>
      <c r="D296">
        <v>7.47</v>
      </c>
      <c r="E296">
        <v>8.1</v>
      </c>
      <c r="F296">
        <v>7.29</v>
      </c>
      <c r="G296">
        <f>INDEX('اسعار الاسهم'!A:B,MATCH(B296,'اسعار الاسهم'!K:K,0),2)</f>
        <v>8.7899999999999991</v>
      </c>
      <c r="H296" s="8" t="str">
        <f t="shared" si="32"/>
        <v/>
      </c>
      <c r="I296" s="8" t="str">
        <f t="shared" si="33"/>
        <v/>
      </c>
      <c r="J296" s="8" t="str">
        <f t="shared" si="34"/>
        <v/>
      </c>
      <c r="K296" s="8">
        <f t="shared" si="35"/>
        <v>0.11111111111111116</v>
      </c>
      <c r="L296" s="13" t="str">
        <f t="shared" si="36"/>
        <v/>
      </c>
      <c r="M296" t="str">
        <f t="shared" si="37"/>
        <v/>
      </c>
      <c r="N296">
        <f t="shared" si="38"/>
        <v>0</v>
      </c>
      <c r="O296">
        <v>0</v>
      </c>
      <c r="P296">
        <v>16</v>
      </c>
      <c r="Q296" s="8">
        <f t="shared" si="39"/>
        <v>-2.4096385542168641E-2</v>
      </c>
    </row>
    <row r="297" spans="1:17" hidden="1">
      <c r="A297">
        <v>40</v>
      </c>
      <c r="B297" t="s">
        <v>748</v>
      </c>
      <c r="C297" s="11">
        <v>45606</v>
      </c>
      <c r="D297">
        <v>7.94</v>
      </c>
      <c r="E297">
        <v>9.6</v>
      </c>
      <c r="F297">
        <v>7.3</v>
      </c>
      <c r="G297">
        <f>INDEX('اسعار الاسهم'!A:B,MATCH(B297,'اسعار الاسهم'!K:K,0),2)</f>
        <v>8.7899999999999991</v>
      </c>
      <c r="H297" s="8" t="str">
        <f t="shared" si="32"/>
        <v/>
      </c>
      <c r="I297" s="8" t="str">
        <f t="shared" si="33"/>
        <v/>
      </c>
      <c r="J297" s="8" t="str">
        <f t="shared" si="34"/>
        <v/>
      </c>
      <c r="K297" s="8">
        <f t="shared" si="35"/>
        <v>0.31506849315068486</v>
      </c>
      <c r="L297" s="13" t="str">
        <f t="shared" si="36"/>
        <v/>
      </c>
      <c r="M297" t="str">
        <f t="shared" si="37"/>
        <v/>
      </c>
      <c r="N297">
        <f t="shared" si="38"/>
        <v>0</v>
      </c>
      <c r="O297">
        <v>0</v>
      </c>
      <c r="P297">
        <v>15</v>
      </c>
      <c r="Q297" s="8">
        <f t="shared" si="39"/>
        <v>-8.0604534005037864E-2</v>
      </c>
    </row>
    <row r="298" spans="1:17" hidden="1">
      <c r="A298">
        <v>6</v>
      </c>
      <c r="B298" t="s">
        <v>821</v>
      </c>
      <c r="C298" s="11">
        <v>45599</v>
      </c>
      <c r="D298">
        <v>30.66</v>
      </c>
      <c r="E298">
        <v>34.950000000000003</v>
      </c>
      <c r="F298">
        <v>28.1</v>
      </c>
      <c r="G298">
        <f>INDEX('اسعار الاسهم'!A:B,MATCH(B298,'اسعار الاسهم'!K:K,0),2)</f>
        <v>195</v>
      </c>
      <c r="H298" s="8" t="str">
        <f t="shared" si="32"/>
        <v/>
      </c>
      <c r="I298" s="8" t="str">
        <f t="shared" si="33"/>
        <v/>
      </c>
      <c r="J298" s="8" t="str">
        <f t="shared" si="34"/>
        <v/>
      </c>
      <c r="K298" s="8">
        <f t="shared" si="35"/>
        <v>0.2437722419928825</v>
      </c>
      <c r="L298" s="13" t="str">
        <f t="shared" si="36"/>
        <v/>
      </c>
      <c r="M298" t="str">
        <f t="shared" si="37"/>
        <v/>
      </c>
      <c r="N298">
        <f t="shared" si="38"/>
        <v>0</v>
      </c>
      <c r="O298">
        <v>0</v>
      </c>
      <c r="P298">
        <v>14</v>
      </c>
      <c r="Q298" s="8">
        <f t="shared" si="39"/>
        <v>-8.3496412263535547E-2</v>
      </c>
    </row>
    <row r="299" spans="1:17" hidden="1">
      <c r="A299">
        <v>50</v>
      </c>
      <c r="B299" t="s">
        <v>791</v>
      </c>
      <c r="C299" s="11">
        <v>45607</v>
      </c>
      <c r="D299">
        <v>0.35399999999999998</v>
      </c>
      <c r="E299">
        <v>0.41499999999999998</v>
      </c>
      <c r="F299">
        <v>0.34499999999999997</v>
      </c>
      <c r="G299">
        <f>INDEX('اسعار الاسهم'!A:B,MATCH(B299,'اسعار الاسهم'!K:K,0),2)</f>
        <v>0.2</v>
      </c>
      <c r="H299" s="8" t="str">
        <f t="shared" si="32"/>
        <v/>
      </c>
      <c r="I299" s="8" t="str">
        <f t="shared" si="33"/>
        <v/>
      </c>
      <c r="J299" s="8" t="str">
        <f t="shared" si="34"/>
        <v/>
      </c>
      <c r="K299" s="8">
        <f t="shared" si="35"/>
        <v>0.20289855072463769</v>
      </c>
      <c r="L299" s="13" t="str">
        <f t="shared" si="36"/>
        <v/>
      </c>
      <c r="M299" t="str">
        <f t="shared" si="37"/>
        <v/>
      </c>
      <c r="N299">
        <f t="shared" si="38"/>
        <v>1</v>
      </c>
      <c r="O299">
        <v>0</v>
      </c>
      <c r="P299">
        <v>13</v>
      </c>
      <c r="Q299" s="8">
        <f t="shared" si="39"/>
        <v>-2.5423728813559365E-2</v>
      </c>
    </row>
    <row r="300" spans="1:17" hidden="1">
      <c r="A300">
        <v>315</v>
      </c>
      <c r="B300" t="s">
        <v>733</v>
      </c>
      <c r="C300" s="11">
        <v>45645</v>
      </c>
      <c r="D300">
        <v>30.2</v>
      </c>
      <c r="E300">
        <v>32.9</v>
      </c>
      <c r="F300">
        <v>27.5</v>
      </c>
      <c r="G300">
        <f>INDEX('اسعار الاسهم'!A:B,MATCH(B300,'اسعار الاسهم'!K:K,0),2)</f>
        <v>26.64</v>
      </c>
      <c r="H300" s="8" t="str">
        <f t="shared" si="32"/>
        <v/>
      </c>
      <c r="I300" s="8" t="str">
        <f t="shared" si="33"/>
        <v/>
      </c>
      <c r="J300" s="8" t="str">
        <f t="shared" si="34"/>
        <v/>
      </c>
      <c r="K300" s="8">
        <f t="shared" si="35"/>
        <v>0.1963636363636363</v>
      </c>
      <c r="L300" s="13" t="str">
        <f t="shared" si="36"/>
        <v/>
      </c>
      <c r="M300" t="str">
        <f t="shared" si="37"/>
        <v/>
      </c>
      <c r="N300">
        <f t="shared" si="38"/>
        <v>1</v>
      </c>
      <c r="O300">
        <v>1</v>
      </c>
      <c r="P300">
        <v>181</v>
      </c>
      <c r="Q300" s="8">
        <f t="shared" si="39"/>
        <v>8.9403973509933676E-2</v>
      </c>
    </row>
    <row r="301" spans="1:17" hidden="1">
      <c r="A301">
        <v>64</v>
      </c>
      <c r="B301" t="s">
        <v>725</v>
      </c>
      <c r="C301" s="11">
        <v>45609</v>
      </c>
      <c r="D301">
        <v>1.29</v>
      </c>
      <c r="E301">
        <v>1.44</v>
      </c>
      <c r="F301">
        <v>1.2350000000000001</v>
      </c>
      <c r="G301">
        <f>INDEX('اسعار الاسهم'!A:B,MATCH(B301,'اسعار الاسهم'!K:K,0),2)</f>
        <v>2.57</v>
      </c>
      <c r="H301" s="8" t="str">
        <f t="shared" si="32"/>
        <v/>
      </c>
      <c r="I301" s="8" t="str">
        <f t="shared" si="33"/>
        <v/>
      </c>
      <c r="J301" s="8" t="str">
        <f t="shared" si="34"/>
        <v/>
      </c>
      <c r="K301" s="8">
        <f t="shared" si="35"/>
        <v>0.165991902834008</v>
      </c>
      <c r="L301" s="13" t="str">
        <f t="shared" si="36"/>
        <v/>
      </c>
      <c r="M301" t="str">
        <f t="shared" si="37"/>
        <v/>
      </c>
      <c r="N301">
        <f t="shared" si="38"/>
        <v>1</v>
      </c>
      <c r="O301">
        <v>0</v>
      </c>
      <c r="P301">
        <v>12</v>
      </c>
      <c r="Q301" s="8">
        <f t="shared" si="39"/>
        <v>-4.2635658914728647E-2</v>
      </c>
    </row>
    <row r="302" spans="1:17" hidden="1">
      <c r="A302">
        <v>35</v>
      </c>
      <c r="B302" t="s">
        <v>731</v>
      </c>
      <c r="C302" s="11">
        <v>45603</v>
      </c>
      <c r="D302">
        <v>5.82</v>
      </c>
      <c r="E302">
        <v>6.75</v>
      </c>
      <c r="F302">
        <v>5.6</v>
      </c>
      <c r="G302">
        <f>INDEX('اسعار الاسهم'!A:B,MATCH(B302,'اسعار الاسهم'!K:K,0),2)</f>
        <v>13.61</v>
      </c>
      <c r="H302" s="8" t="str">
        <f t="shared" si="32"/>
        <v/>
      </c>
      <c r="I302" s="8" t="str">
        <f t="shared" si="33"/>
        <v/>
      </c>
      <c r="J302" s="8" t="str">
        <f t="shared" si="34"/>
        <v/>
      </c>
      <c r="K302" s="8">
        <f t="shared" si="35"/>
        <v>0.20535714285714302</v>
      </c>
      <c r="L302" s="13" t="str">
        <f t="shared" si="36"/>
        <v/>
      </c>
      <c r="M302" t="str">
        <f t="shared" si="37"/>
        <v/>
      </c>
      <c r="N302">
        <f t="shared" si="38"/>
        <v>4</v>
      </c>
      <c r="O302">
        <v>0</v>
      </c>
      <c r="P302">
        <v>11</v>
      </c>
      <c r="Q302" s="8">
        <f t="shared" si="39"/>
        <v>-3.7800687285223455E-2</v>
      </c>
    </row>
    <row r="303" spans="1:17" hidden="1">
      <c r="A303">
        <v>37</v>
      </c>
      <c r="B303" t="s">
        <v>731</v>
      </c>
      <c r="C303" s="11">
        <v>45606</v>
      </c>
      <c r="D303">
        <v>5.81</v>
      </c>
      <c r="E303">
        <v>7.1</v>
      </c>
      <c r="F303">
        <v>5.6</v>
      </c>
      <c r="G303">
        <f>INDEX('اسعار الاسهم'!A:B,MATCH(B303,'اسعار الاسهم'!K:K,0),2)</f>
        <v>13.61</v>
      </c>
      <c r="H303" s="8" t="str">
        <f t="shared" si="32"/>
        <v/>
      </c>
      <c r="I303" s="8" t="str">
        <f t="shared" si="33"/>
        <v/>
      </c>
      <c r="J303" s="8" t="str">
        <f t="shared" si="34"/>
        <v/>
      </c>
      <c r="K303" s="8">
        <f t="shared" si="35"/>
        <v>0.26785714285714279</v>
      </c>
      <c r="L303" s="13" t="str">
        <f t="shared" si="36"/>
        <v/>
      </c>
      <c r="M303" t="str">
        <f t="shared" si="37"/>
        <v/>
      </c>
      <c r="N303">
        <f t="shared" si="38"/>
        <v>4</v>
      </c>
      <c r="O303">
        <v>0</v>
      </c>
      <c r="P303">
        <v>10</v>
      </c>
      <c r="Q303" s="8">
        <f t="shared" si="39"/>
        <v>-3.6144578313253017E-2</v>
      </c>
    </row>
    <row r="304" spans="1:17" hidden="1">
      <c r="A304">
        <v>53</v>
      </c>
      <c r="B304" t="s">
        <v>763</v>
      </c>
      <c r="C304" s="11">
        <v>45608</v>
      </c>
      <c r="D304">
        <v>8.57</v>
      </c>
      <c r="E304">
        <v>9.4</v>
      </c>
      <c r="F304">
        <v>8.1999999999999993</v>
      </c>
      <c r="G304">
        <f>INDEX('اسعار الاسهم'!A:B,MATCH(B304,'اسعار الاسهم'!K:K,0),2)</f>
        <v>10.11</v>
      </c>
      <c r="H304" s="8" t="str">
        <f t="shared" si="32"/>
        <v/>
      </c>
      <c r="I304" s="8" t="str">
        <f t="shared" si="33"/>
        <v/>
      </c>
      <c r="J304" s="8" t="str">
        <f t="shared" si="34"/>
        <v/>
      </c>
      <c r="K304" s="8">
        <f t="shared" si="35"/>
        <v>0.14634146341463428</v>
      </c>
      <c r="L304" s="13" t="str">
        <f t="shared" si="36"/>
        <v/>
      </c>
      <c r="M304" t="str">
        <f t="shared" si="37"/>
        <v/>
      </c>
      <c r="N304">
        <f t="shared" si="38"/>
        <v>3</v>
      </c>
      <c r="O304">
        <v>0</v>
      </c>
      <c r="P304">
        <v>8</v>
      </c>
      <c r="Q304" s="8">
        <f t="shared" si="39"/>
        <v>-4.3173862310385225E-2</v>
      </c>
    </row>
    <row r="305" spans="1:17" hidden="1">
      <c r="A305">
        <v>54</v>
      </c>
      <c r="B305" t="s">
        <v>781</v>
      </c>
      <c r="C305" s="11">
        <v>45608</v>
      </c>
      <c r="D305">
        <v>36</v>
      </c>
      <c r="E305">
        <v>40</v>
      </c>
      <c r="F305">
        <v>33.4</v>
      </c>
      <c r="G305">
        <f>INDEX('اسعار الاسهم'!A:B,MATCH(B305,'اسعار الاسهم'!K:K,0),2)</f>
        <v>95.5</v>
      </c>
      <c r="H305" s="8" t="str">
        <f t="shared" si="32"/>
        <v/>
      </c>
      <c r="I305" s="8" t="str">
        <f t="shared" si="33"/>
        <v/>
      </c>
      <c r="J305" s="8" t="str">
        <f t="shared" si="34"/>
        <v/>
      </c>
      <c r="K305" s="8">
        <f t="shared" si="35"/>
        <v>0.19760479041916179</v>
      </c>
      <c r="L305" s="13" t="str">
        <f t="shared" si="36"/>
        <v/>
      </c>
      <c r="M305" t="str">
        <f t="shared" si="37"/>
        <v/>
      </c>
      <c r="N305">
        <f t="shared" si="38"/>
        <v>2</v>
      </c>
      <c r="O305">
        <v>0</v>
      </c>
      <c r="P305">
        <v>7</v>
      </c>
      <c r="Q305" s="8">
        <f t="shared" si="39"/>
        <v>-7.2222222222222299E-2</v>
      </c>
    </row>
    <row r="306" spans="1:17" hidden="1">
      <c r="A306">
        <v>240</v>
      </c>
      <c r="B306" t="s">
        <v>787</v>
      </c>
      <c r="C306" s="11">
        <v>45635</v>
      </c>
      <c r="D306">
        <v>14.9</v>
      </c>
      <c r="E306">
        <v>16</v>
      </c>
      <c r="F306">
        <v>14.3</v>
      </c>
      <c r="G306">
        <f>INDEX('اسعار الاسهم'!A:B,MATCH(B306,'اسعار الاسهم'!K:K,0),2)</f>
        <v>25.67</v>
      </c>
      <c r="H306" s="8" t="str">
        <f t="shared" si="32"/>
        <v/>
      </c>
      <c r="I306" s="8" t="str">
        <f t="shared" si="33"/>
        <v/>
      </c>
      <c r="J306" s="8" t="str">
        <f t="shared" si="34"/>
        <v/>
      </c>
      <c r="K306" s="8">
        <f t="shared" si="35"/>
        <v>0.11888111888111874</v>
      </c>
      <c r="L306" s="13" t="str">
        <f t="shared" si="36"/>
        <v/>
      </c>
      <c r="M306" t="str">
        <f t="shared" si="37"/>
        <v/>
      </c>
      <c r="N306">
        <f t="shared" si="38"/>
        <v>3</v>
      </c>
      <c r="O306">
        <v>1</v>
      </c>
      <c r="P306">
        <v>159</v>
      </c>
      <c r="Q306" s="8">
        <f t="shared" si="39"/>
        <v>7.3825503355704702E-2</v>
      </c>
    </row>
    <row r="307" spans="1:17" hidden="1">
      <c r="A307">
        <v>249</v>
      </c>
      <c r="B307" t="s">
        <v>787</v>
      </c>
      <c r="C307" s="11">
        <v>45636</v>
      </c>
      <c r="D307">
        <v>15.15</v>
      </c>
      <c r="E307">
        <v>16.2</v>
      </c>
      <c r="F307">
        <v>14</v>
      </c>
      <c r="G307">
        <f>INDEX('اسعار الاسهم'!A:B,MATCH(B307,'اسعار الاسهم'!K:K,0),2)</f>
        <v>25.67</v>
      </c>
      <c r="H307" s="8" t="str">
        <f t="shared" si="32"/>
        <v/>
      </c>
      <c r="I307" s="8" t="str">
        <f t="shared" si="33"/>
        <v/>
      </c>
      <c r="J307" s="8" t="str">
        <f t="shared" si="34"/>
        <v/>
      </c>
      <c r="K307" s="8">
        <f t="shared" si="35"/>
        <v>0.15714285714285703</v>
      </c>
      <c r="L307" s="13" t="str">
        <f t="shared" si="36"/>
        <v/>
      </c>
      <c r="M307" t="str">
        <f t="shared" si="37"/>
        <v/>
      </c>
      <c r="N307">
        <f t="shared" si="38"/>
        <v>3</v>
      </c>
      <c r="O307">
        <v>1</v>
      </c>
      <c r="P307">
        <v>160</v>
      </c>
      <c r="Q307" s="8">
        <f t="shared" si="39"/>
        <v>6.9306930693069146E-2</v>
      </c>
    </row>
    <row r="308" spans="1:17" hidden="1">
      <c r="A308">
        <v>279</v>
      </c>
      <c r="B308" t="s">
        <v>787</v>
      </c>
      <c r="C308" s="11">
        <v>45641</v>
      </c>
      <c r="D308">
        <v>15.14</v>
      </c>
      <c r="E308">
        <v>17.399999999999999</v>
      </c>
      <c r="F308">
        <v>14</v>
      </c>
      <c r="G308">
        <f>INDEX('اسعار الاسهم'!A:B,MATCH(B308,'اسعار الاسهم'!K:K,0),2)</f>
        <v>25.67</v>
      </c>
      <c r="H308" s="8" t="str">
        <f t="shared" si="32"/>
        <v/>
      </c>
      <c r="I308" s="8" t="str">
        <f t="shared" si="33"/>
        <v/>
      </c>
      <c r="J308" s="8" t="str">
        <f t="shared" si="34"/>
        <v/>
      </c>
      <c r="K308" s="8">
        <f t="shared" si="35"/>
        <v>0.24285714285714266</v>
      </c>
      <c r="L308" s="13" t="str">
        <f t="shared" si="36"/>
        <v/>
      </c>
      <c r="M308" t="str">
        <f t="shared" si="37"/>
        <v/>
      </c>
      <c r="N308">
        <f t="shared" si="38"/>
        <v>3</v>
      </c>
      <c r="O308">
        <v>1</v>
      </c>
      <c r="P308">
        <v>161</v>
      </c>
      <c r="Q308" s="8">
        <f t="shared" si="39"/>
        <v>0.14927344782034324</v>
      </c>
    </row>
    <row r="309" spans="1:17" hidden="1">
      <c r="A309">
        <v>256</v>
      </c>
      <c r="B309" t="s">
        <v>840</v>
      </c>
      <c r="C309" s="11">
        <v>45637</v>
      </c>
      <c r="D309">
        <v>0.504</v>
      </c>
      <c r="E309">
        <v>0.6</v>
      </c>
      <c r="F309">
        <v>0.46</v>
      </c>
      <c r="G309">
        <f>INDEX('اسعار الاسهم'!A:B,MATCH(B309,'اسعار الاسهم'!K:K,0),2)</f>
        <v>1.46</v>
      </c>
      <c r="H309" s="8" t="str">
        <f t="shared" si="32"/>
        <v/>
      </c>
      <c r="I309" s="8" t="str">
        <f t="shared" si="33"/>
        <v/>
      </c>
      <c r="J309" s="8" t="str">
        <f t="shared" si="34"/>
        <v/>
      </c>
      <c r="K309" s="8">
        <f t="shared" si="35"/>
        <v>0.30434782608695632</v>
      </c>
      <c r="L309" s="13" t="str">
        <f t="shared" si="36"/>
        <v/>
      </c>
      <c r="M309" t="str">
        <f t="shared" si="37"/>
        <v/>
      </c>
      <c r="N309">
        <f t="shared" si="38"/>
        <v>2</v>
      </c>
      <c r="O309">
        <v>1</v>
      </c>
      <c r="P309">
        <v>162</v>
      </c>
      <c r="Q309" s="8">
        <f t="shared" si="39"/>
        <v>0.19047619047619047</v>
      </c>
    </row>
    <row r="310" spans="1:17" hidden="1">
      <c r="A310">
        <v>283</v>
      </c>
      <c r="B310" t="s">
        <v>840</v>
      </c>
      <c r="C310" s="11">
        <v>45642</v>
      </c>
      <c r="D310">
        <v>0.57099999999999995</v>
      </c>
      <c r="E310">
        <v>0.6</v>
      </c>
      <c r="F310">
        <v>0.54</v>
      </c>
      <c r="G310">
        <f>INDEX('اسعار الاسهم'!A:B,MATCH(B310,'اسعار الاسهم'!K:K,0),2)</f>
        <v>1.46</v>
      </c>
      <c r="H310" s="8" t="str">
        <f t="shared" si="32"/>
        <v/>
      </c>
      <c r="I310" s="8" t="str">
        <f t="shared" si="33"/>
        <v/>
      </c>
      <c r="J310" s="8" t="str">
        <f t="shared" si="34"/>
        <v/>
      </c>
      <c r="K310" s="8">
        <f t="shared" si="35"/>
        <v>0.11111111111111094</v>
      </c>
      <c r="L310" s="13" t="str">
        <f t="shared" si="36"/>
        <v/>
      </c>
      <c r="M310" t="str">
        <f t="shared" si="37"/>
        <v/>
      </c>
      <c r="N310">
        <f t="shared" si="38"/>
        <v>2</v>
      </c>
      <c r="O310">
        <v>1</v>
      </c>
      <c r="P310">
        <v>163</v>
      </c>
      <c r="Q310" s="8">
        <f t="shared" si="39"/>
        <v>5.0788091068301178E-2</v>
      </c>
    </row>
    <row r="311" spans="1:17" hidden="1">
      <c r="A311">
        <v>62</v>
      </c>
      <c r="B311" t="s">
        <v>781</v>
      </c>
      <c r="C311" s="11">
        <v>45608</v>
      </c>
      <c r="D311">
        <v>35.75</v>
      </c>
      <c r="E311">
        <v>39.5</v>
      </c>
      <c r="F311">
        <v>33.5</v>
      </c>
      <c r="G311">
        <f>INDEX('اسعار الاسهم'!A:B,MATCH(B311,'اسعار الاسهم'!K:K,0),2)</f>
        <v>95.5</v>
      </c>
      <c r="H311" s="8" t="str">
        <f t="shared" si="32"/>
        <v/>
      </c>
      <c r="I311" s="8" t="str">
        <f t="shared" si="33"/>
        <v/>
      </c>
      <c r="J311" s="8" t="str">
        <f t="shared" si="34"/>
        <v/>
      </c>
      <c r="K311" s="8">
        <f t="shared" si="35"/>
        <v>0.17910447761194037</v>
      </c>
      <c r="L311" s="13" t="str">
        <f t="shared" si="36"/>
        <v/>
      </c>
      <c r="M311" t="str">
        <f t="shared" si="37"/>
        <v/>
      </c>
      <c r="N311">
        <f t="shared" si="38"/>
        <v>2</v>
      </c>
      <c r="O311">
        <v>0</v>
      </c>
      <c r="P311">
        <v>6</v>
      </c>
      <c r="Q311" s="8">
        <f t="shared" si="39"/>
        <v>-6.2937062937062915E-2</v>
      </c>
    </row>
    <row r="312" spans="1:17" hidden="1">
      <c r="A312">
        <v>68</v>
      </c>
      <c r="B312" t="s">
        <v>825</v>
      </c>
      <c r="C312" s="11">
        <v>45609</v>
      </c>
      <c r="D312">
        <v>310.89</v>
      </c>
      <c r="E312">
        <v>350</v>
      </c>
      <c r="F312">
        <v>305</v>
      </c>
      <c r="G312">
        <f>INDEX('اسعار الاسهم'!A:B,MATCH(B312,'اسعار الاسهم'!K:K,0),2)</f>
        <v>708.01</v>
      </c>
      <c r="H312" s="8" t="str">
        <f t="shared" si="32"/>
        <v/>
      </c>
      <c r="I312" s="8" t="str">
        <f t="shared" si="33"/>
        <v/>
      </c>
      <c r="J312" s="8" t="str">
        <f t="shared" si="34"/>
        <v/>
      </c>
      <c r="K312" s="8">
        <f t="shared" si="35"/>
        <v>0.14754098360655732</v>
      </c>
      <c r="L312" s="13" t="str">
        <f t="shared" si="36"/>
        <v/>
      </c>
      <c r="M312" t="str">
        <f t="shared" si="37"/>
        <v/>
      </c>
      <c r="N312">
        <f t="shared" si="38"/>
        <v>1</v>
      </c>
      <c r="O312">
        <v>0</v>
      </c>
      <c r="P312">
        <v>5</v>
      </c>
      <c r="Q312" s="8">
        <f t="shared" si="39"/>
        <v>-1.8945607771237327E-2</v>
      </c>
    </row>
    <row r="313" spans="1:17" hidden="1">
      <c r="A313">
        <v>71</v>
      </c>
      <c r="B313" t="s">
        <v>731</v>
      </c>
      <c r="C313" s="11">
        <v>45609</v>
      </c>
      <c r="D313">
        <v>5.94</v>
      </c>
      <c r="E313">
        <v>6.5</v>
      </c>
      <c r="F313">
        <v>5.77</v>
      </c>
      <c r="G313">
        <f>INDEX('اسعار الاسهم'!A:B,MATCH(B313,'اسعار الاسهم'!K:K,0),2)</f>
        <v>13.61</v>
      </c>
      <c r="H313" s="9" t="str">
        <f t="shared" si="32"/>
        <v/>
      </c>
      <c r="I313" s="4" t="str">
        <f t="shared" si="33"/>
        <v/>
      </c>
      <c r="J313" s="4" t="str">
        <f t="shared" si="34"/>
        <v/>
      </c>
      <c r="K313" s="8">
        <f t="shared" si="35"/>
        <v>0.12651646447140386</v>
      </c>
      <c r="L313" s="13" t="str">
        <f t="shared" si="36"/>
        <v/>
      </c>
      <c r="M313" t="str">
        <f t="shared" si="37"/>
        <v/>
      </c>
      <c r="N313">
        <f t="shared" si="38"/>
        <v>4</v>
      </c>
      <c r="O313">
        <v>0</v>
      </c>
      <c r="P313">
        <v>4</v>
      </c>
      <c r="Q313" s="8">
        <f t="shared" si="39"/>
        <v>-2.8619528619528767E-2</v>
      </c>
    </row>
    <row r="314" spans="1:17" hidden="1">
      <c r="A314">
        <v>297</v>
      </c>
      <c r="B314" t="s">
        <v>733</v>
      </c>
      <c r="C314" s="11">
        <v>45643</v>
      </c>
      <c r="D314">
        <v>29.29</v>
      </c>
      <c r="E314">
        <v>32.5</v>
      </c>
      <c r="F314">
        <v>27.5</v>
      </c>
      <c r="G314">
        <f>INDEX('اسعار الاسهم'!A:B,MATCH(B314,'اسعار الاسهم'!K:K,0),2)</f>
        <v>26.64</v>
      </c>
      <c r="H314" s="8" t="str">
        <f t="shared" si="32"/>
        <v/>
      </c>
      <c r="I314" s="8" t="str">
        <f t="shared" si="33"/>
        <v/>
      </c>
      <c r="J314" s="8" t="str">
        <f t="shared" si="34"/>
        <v/>
      </c>
      <c r="K314" s="8">
        <f t="shared" si="35"/>
        <v>0.18181818181818188</v>
      </c>
      <c r="L314" s="13" t="str">
        <f t="shared" si="36"/>
        <v/>
      </c>
      <c r="M314" t="str">
        <f t="shared" si="37"/>
        <v/>
      </c>
      <c r="N314">
        <f t="shared" si="38"/>
        <v>1</v>
      </c>
      <c r="O314">
        <v>1</v>
      </c>
      <c r="P314">
        <v>168</v>
      </c>
      <c r="Q314" s="8">
        <f t="shared" si="39"/>
        <v>0.10959371799248885</v>
      </c>
    </row>
    <row r="315" spans="1:17" hidden="1">
      <c r="A315">
        <v>160</v>
      </c>
      <c r="B315" t="s">
        <v>733</v>
      </c>
      <c r="C315" s="11">
        <v>45623</v>
      </c>
      <c r="D315">
        <v>28.67</v>
      </c>
      <c r="E315">
        <v>32.5</v>
      </c>
      <c r="F315">
        <v>26.5</v>
      </c>
      <c r="G315">
        <f>INDEX('اسعار الاسهم'!A:B,MATCH(B315,'اسعار الاسهم'!K:K,0),2)</f>
        <v>26.64</v>
      </c>
      <c r="H315" s="8" t="str">
        <f t="shared" si="32"/>
        <v/>
      </c>
      <c r="I315" s="8" t="str">
        <f t="shared" si="33"/>
        <v/>
      </c>
      <c r="J315" s="8" t="str">
        <f t="shared" si="34"/>
        <v/>
      </c>
      <c r="K315" s="8">
        <f t="shared" si="35"/>
        <v>0.22641509433962259</v>
      </c>
      <c r="L315" s="13" t="str">
        <f t="shared" si="36"/>
        <v/>
      </c>
      <c r="M315" t="str">
        <f t="shared" si="37"/>
        <v/>
      </c>
      <c r="N315">
        <f t="shared" si="38"/>
        <v>1</v>
      </c>
      <c r="O315">
        <v>1</v>
      </c>
      <c r="P315">
        <v>169</v>
      </c>
      <c r="Q315" s="8">
        <f t="shared" si="39"/>
        <v>0.13358911754447145</v>
      </c>
    </row>
    <row r="316" spans="1:17" hidden="1">
      <c r="A316">
        <v>141</v>
      </c>
      <c r="B316" t="s">
        <v>733</v>
      </c>
      <c r="C316" s="11">
        <v>45620</v>
      </c>
      <c r="D316">
        <v>26.66</v>
      </c>
      <c r="E316">
        <v>32.5</v>
      </c>
      <c r="F316">
        <v>23.5</v>
      </c>
      <c r="G316">
        <f>INDEX('اسعار الاسهم'!A:B,MATCH(B316,'اسعار الاسهم'!K:K,0),2)</f>
        <v>26.64</v>
      </c>
      <c r="H316" s="8" t="str">
        <f t="shared" si="32"/>
        <v/>
      </c>
      <c r="I316" s="8" t="str">
        <f t="shared" si="33"/>
        <v/>
      </c>
      <c r="J316" s="8" t="str">
        <f t="shared" si="34"/>
        <v/>
      </c>
      <c r="K316" s="8">
        <f t="shared" si="35"/>
        <v>0.38297872340425543</v>
      </c>
      <c r="L316" s="13" t="str">
        <f t="shared" si="36"/>
        <v/>
      </c>
      <c r="M316" t="str">
        <f t="shared" si="37"/>
        <v/>
      </c>
      <c r="N316">
        <f t="shared" si="38"/>
        <v>1</v>
      </c>
      <c r="O316">
        <v>1</v>
      </c>
      <c r="P316">
        <v>170</v>
      </c>
      <c r="Q316" s="8">
        <f t="shared" si="39"/>
        <v>0.2190547636909228</v>
      </c>
    </row>
    <row r="317" spans="1:17" hidden="1">
      <c r="A317">
        <v>191</v>
      </c>
      <c r="B317" t="s">
        <v>748</v>
      </c>
      <c r="C317" s="11">
        <v>45628</v>
      </c>
      <c r="D317">
        <v>7.23</v>
      </c>
      <c r="E317">
        <v>8.1</v>
      </c>
      <c r="F317">
        <v>6.8</v>
      </c>
      <c r="G317">
        <f>INDEX('اسعار الاسهم'!A:B,MATCH(B317,'اسعار الاسهم'!K:K,0),2)</f>
        <v>8.7899999999999991</v>
      </c>
      <c r="H317" s="8" t="str">
        <f t="shared" si="32"/>
        <v/>
      </c>
      <c r="I317" s="8" t="str">
        <f t="shared" si="33"/>
        <v/>
      </c>
      <c r="J317" s="8" t="str">
        <f t="shared" si="34"/>
        <v/>
      </c>
      <c r="K317" s="8">
        <f t="shared" si="35"/>
        <v>0.19117647058823528</v>
      </c>
      <c r="L317" s="13" t="e">
        <f t="shared" si="36"/>
        <v>#VALUE!</v>
      </c>
      <c r="M317" t="str">
        <f t="shared" si="37"/>
        <v/>
      </c>
      <c r="N317">
        <f t="shared" si="38"/>
        <v>0</v>
      </c>
      <c r="O317">
        <v>0</v>
      </c>
      <c r="Q317" s="8" t="str">
        <f t="shared" si="39"/>
        <v/>
      </c>
    </row>
    <row r="318" spans="1:17" hidden="1">
      <c r="A318">
        <v>109</v>
      </c>
      <c r="B318" t="s">
        <v>748</v>
      </c>
      <c r="C318" s="11">
        <v>45615</v>
      </c>
      <c r="D318">
        <v>7.21</v>
      </c>
      <c r="E318">
        <v>8.1</v>
      </c>
      <c r="F318">
        <v>6.7</v>
      </c>
      <c r="G318">
        <f>INDEX('اسعار الاسهم'!A:B,MATCH(B318,'اسعار الاسهم'!K:K,0),2)</f>
        <v>8.7899999999999991</v>
      </c>
      <c r="H318" s="8" t="str">
        <f t="shared" si="32"/>
        <v/>
      </c>
      <c r="I318" s="8" t="str">
        <f t="shared" si="33"/>
        <v/>
      </c>
      <c r="J318" s="8" t="str">
        <f t="shared" si="34"/>
        <v/>
      </c>
      <c r="K318" s="8">
        <f t="shared" si="35"/>
        <v>0.20895522388059695</v>
      </c>
      <c r="L318" s="13" t="e">
        <f t="shared" si="36"/>
        <v>#VALUE!</v>
      </c>
      <c r="M318" t="str">
        <f t="shared" si="37"/>
        <v/>
      </c>
      <c r="N318">
        <f t="shared" si="38"/>
        <v>0</v>
      </c>
      <c r="O318">
        <v>0</v>
      </c>
      <c r="Q318" s="8" t="str">
        <f t="shared" si="39"/>
        <v/>
      </c>
    </row>
    <row r="319" spans="1:17">
      <c r="A319">
        <v>179</v>
      </c>
      <c r="B319" t="s">
        <v>743</v>
      </c>
      <c r="C319" s="11">
        <v>45627</v>
      </c>
      <c r="D319">
        <v>3.46</v>
      </c>
      <c r="E319">
        <v>4.05</v>
      </c>
      <c r="F319">
        <v>3.2</v>
      </c>
      <c r="G319">
        <f>INDEX('اسعار الاسهم'!A:B,MATCH(B319,'اسعار الاسهم'!K:K,0),2)</f>
        <v>5.0599999999999996</v>
      </c>
      <c r="H319" s="8">
        <f t="shared" si="32"/>
        <v>0.46242774566473988</v>
      </c>
      <c r="I319" s="8">
        <f t="shared" si="33"/>
        <v>-0.19960474308300391</v>
      </c>
      <c r="J319" s="8">
        <f t="shared" si="34"/>
        <v>0.36758893280632399</v>
      </c>
      <c r="K319" s="8">
        <f t="shared" si="35"/>
        <v>0.26562499999999978</v>
      </c>
      <c r="L319" s="13">
        <f t="shared" si="36"/>
        <v>-0.54301075268817212</v>
      </c>
      <c r="M319" t="str">
        <f t="shared" si="37"/>
        <v>up</v>
      </c>
      <c r="N319">
        <f t="shared" si="38"/>
        <v>4</v>
      </c>
      <c r="Q319" s="8" t="str">
        <f t="shared" si="39"/>
        <v/>
      </c>
    </row>
    <row r="320" spans="1:17">
      <c r="A320">
        <v>182</v>
      </c>
      <c r="B320" t="s">
        <v>770</v>
      </c>
      <c r="C320" s="11">
        <v>45627</v>
      </c>
      <c r="D320">
        <v>3.9</v>
      </c>
      <c r="E320">
        <v>4.4000000000000004</v>
      </c>
      <c r="F320">
        <v>3.75</v>
      </c>
      <c r="G320">
        <f>INDEX('اسعار الاسهم'!A:B,MATCH(B320,'اسعار الاسهم'!K:K,0),2)</f>
        <v>6.79</v>
      </c>
      <c r="H320" s="8">
        <f t="shared" si="32"/>
        <v>0.74102564102564106</v>
      </c>
      <c r="I320" s="8">
        <f t="shared" si="33"/>
        <v>-0.35198821796759938</v>
      </c>
      <c r="J320" s="8">
        <f t="shared" si="34"/>
        <v>0.44771723122238583</v>
      </c>
      <c r="K320" s="8">
        <f t="shared" si="35"/>
        <v>0.17333333333333334</v>
      </c>
      <c r="L320" s="13">
        <f t="shared" si="36"/>
        <v>-0.78618421052631582</v>
      </c>
      <c r="M320" t="str">
        <f t="shared" si="37"/>
        <v>up</v>
      </c>
      <c r="N320">
        <f t="shared" si="38"/>
        <v>4</v>
      </c>
      <c r="Q320" s="8" t="str">
        <f t="shared" si="39"/>
        <v/>
      </c>
    </row>
    <row r="321" spans="1:17">
      <c r="A321">
        <v>170</v>
      </c>
      <c r="B321" t="s">
        <v>764</v>
      </c>
      <c r="C321" s="11">
        <v>45624</v>
      </c>
      <c r="D321">
        <v>26.15</v>
      </c>
      <c r="E321">
        <v>27.8</v>
      </c>
      <c r="F321">
        <v>24.8</v>
      </c>
      <c r="G321">
        <f>INDEX('اسعار الاسهم'!A:B,MATCH(B321,'اسعار الاسهم'!K:K,0),2)</f>
        <v>21.84</v>
      </c>
      <c r="H321" s="8">
        <f t="shared" si="32"/>
        <v>-0.16481835564053537</v>
      </c>
      <c r="I321" s="8">
        <f t="shared" si="33"/>
        <v>0.27289377289377303</v>
      </c>
      <c r="J321" s="8">
        <f t="shared" si="34"/>
        <v>-0.13553113553113549</v>
      </c>
      <c r="K321" s="8">
        <f t="shared" si="35"/>
        <v>0.12096774193548376</v>
      </c>
      <c r="L321" s="13">
        <f t="shared" si="36"/>
        <v>-2.0135135135135149</v>
      </c>
      <c r="M321" t="str">
        <f t="shared" si="37"/>
        <v>down</v>
      </c>
      <c r="N321">
        <f t="shared" si="38"/>
        <v>4</v>
      </c>
      <c r="Q321" s="8" t="str">
        <f t="shared" si="39"/>
        <v/>
      </c>
    </row>
    <row r="322" spans="1:17">
      <c r="A322">
        <v>163</v>
      </c>
      <c r="B322" t="s">
        <v>852</v>
      </c>
      <c r="C322" s="11">
        <v>45623</v>
      </c>
      <c r="D322">
        <v>0.59499999999999997</v>
      </c>
      <c r="E322">
        <v>0.74</v>
      </c>
      <c r="F322">
        <v>0.53</v>
      </c>
      <c r="G322">
        <f>INDEX('اسعار الاسهم'!A:B,MATCH(B322,'اسعار الاسهم'!K:K,0),2)</f>
        <v>0.28000000000000003</v>
      </c>
      <c r="H322" s="8">
        <f t="shared" ref="H322:H385" si="40">IF(O322="", G322/D322-1,"")</f>
        <v>-0.52941176470588225</v>
      </c>
      <c r="I322" s="8">
        <f t="shared" ref="I322:I385" si="41">IF(O322="", E322/G322-1,"")</f>
        <v>1.6428571428571428</v>
      </c>
      <c r="J322" s="8">
        <f t="shared" ref="J322:J385" si="42">IF(O322="",  1-F322/G322,"")</f>
        <v>-0.89285714285714279</v>
      </c>
      <c r="K322" s="8">
        <f t="shared" ref="K322:K385" si="43">E322/F322-1</f>
        <v>0.39622641509433953</v>
      </c>
      <c r="L322" s="13">
        <f t="shared" ref="L322:L385" si="44">IF( P322="",I322/J322,"")</f>
        <v>-1.84</v>
      </c>
      <c r="M322" t="str">
        <f t="shared" ref="M322:M385" si="45">IF(O322="",IF(I322&lt;J322,"up","down"),"")</f>
        <v>down</v>
      </c>
      <c r="N322">
        <f t="shared" ref="N322:N385" si="46">COUNTIFS(B:B,B322,O:O,"")</f>
        <v>2</v>
      </c>
      <c r="Q322" s="8" t="str">
        <f t="shared" ref="Q322:Q385" si="47">IF(NOT( P322=""),IF(O322=1,E322/D322-1,F322/D322-1),"")</f>
        <v/>
      </c>
    </row>
    <row r="323" spans="1:17">
      <c r="A323">
        <v>164</v>
      </c>
      <c r="B323" t="s">
        <v>823</v>
      </c>
      <c r="C323" s="11">
        <v>45623</v>
      </c>
      <c r="D323">
        <v>25.5</v>
      </c>
      <c r="E323">
        <v>29.7</v>
      </c>
      <c r="F323">
        <v>23.35</v>
      </c>
      <c r="G323">
        <f>INDEX('اسعار الاسهم'!A:B,MATCH(B323,'اسعار الاسهم'!K:K,0),2)</f>
        <v>32.76</v>
      </c>
      <c r="H323" s="8">
        <f t="shared" si="40"/>
        <v>0.28470588235294114</v>
      </c>
      <c r="I323" s="8">
        <f t="shared" si="41"/>
        <v>-9.3406593406593408E-2</v>
      </c>
      <c r="J323" s="8">
        <f t="shared" si="42"/>
        <v>0.28724053724053711</v>
      </c>
      <c r="K323" s="8">
        <f t="shared" si="43"/>
        <v>0.2719486081370448</v>
      </c>
      <c r="L323" s="13">
        <f t="shared" si="44"/>
        <v>-0.3251859723698195</v>
      </c>
      <c r="M323" t="str">
        <f t="shared" si="45"/>
        <v>up</v>
      </c>
      <c r="N323">
        <f t="shared" si="46"/>
        <v>2</v>
      </c>
      <c r="Q323" s="8" t="str">
        <f t="shared" si="47"/>
        <v/>
      </c>
    </row>
    <row r="324" spans="1:17">
      <c r="A324">
        <v>166</v>
      </c>
      <c r="B324" t="s">
        <v>781</v>
      </c>
      <c r="C324" s="11">
        <v>45623</v>
      </c>
      <c r="D324">
        <v>33.11</v>
      </c>
      <c r="E324">
        <v>37</v>
      </c>
      <c r="F324">
        <v>31.5</v>
      </c>
      <c r="G324">
        <f>INDEX('اسعار الاسهم'!A:B,MATCH(B324,'اسعار الاسهم'!K:K,0),2)</f>
        <v>95.5</v>
      </c>
      <c r="H324" s="8">
        <f t="shared" si="40"/>
        <v>1.8843249773482333</v>
      </c>
      <c r="I324" s="8">
        <f t="shared" si="41"/>
        <v>-0.61256544502617793</v>
      </c>
      <c r="J324" s="8">
        <f t="shared" si="42"/>
        <v>0.67015706806282727</v>
      </c>
      <c r="K324" s="8">
        <f t="shared" si="43"/>
        <v>0.17460317460317465</v>
      </c>
      <c r="L324" s="13">
        <f t="shared" si="44"/>
        <v>-0.91406249999999978</v>
      </c>
      <c r="M324" t="str">
        <f t="shared" si="45"/>
        <v>up</v>
      </c>
      <c r="N324">
        <f t="shared" si="46"/>
        <v>2</v>
      </c>
      <c r="Q324" s="8" t="str">
        <f t="shared" si="47"/>
        <v/>
      </c>
    </row>
    <row r="325" spans="1:17">
      <c r="A325">
        <v>167</v>
      </c>
      <c r="B325" t="s">
        <v>772</v>
      </c>
      <c r="C325" s="11">
        <v>45623</v>
      </c>
      <c r="D325">
        <v>111.67</v>
      </c>
      <c r="E325">
        <v>123</v>
      </c>
      <c r="F325">
        <v>103</v>
      </c>
      <c r="G325">
        <f>INDEX('اسعار الاسهم'!A:B,MATCH(B325,'اسعار الاسهم'!K:K,0),2)</f>
        <v>331.99</v>
      </c>
      <c r="H325" s="8">
        <f t="shared" si="40"/>
        <v>1.9729560311632488</v>
      </c>
      <c r="I325" s="8">
        <f t="shared" si="41"/>
        <v>-0.6295069128588211</v>
      </c>
      <c r="J325" s="8">
        <f t="shared" si="42"/>
        <v>0.6897496912557608</v>
      </c>
      <c r="K325" s="8">
        <f t="shared" si="43"/>
        <v>0.19417475728155331</v>
      </c>
      <c r="L325" s="13">
        <f t="shared" si="44"/>
        <v>-0.91265994148216079</v>
      </c>
      <c r="M325" t="str">
        <f t="shared" si="45"/>
        <v>up</v>
      </c>
      <c r="N325">
        <f t="shared" si="46"/>
        <v>4</v>
      </c>
      <c r="Q325" s="8" t="str">
        <f t="shared" si="47"/>
        <v/>
      </c>
    </row>
    <row r="326" spans="1:17">
      <c r="A326">
        <v>168</v>
      </c>
      <c r="B326" t="s">
        <v>852</v>
      </c>
      <c r="C326" s="11">
        <v>45623</v>
      </c>
      <c r="D326">
        <v>0.56999999999999995</v>
      </c>
      <c r="E326">
        <v>0.68</v>
      </c>
      <c r="F326">
        <v>0.51</v>
      </c>
      <c r="G326">
        <f>INDEX('اسعار الاسهم'!A:B,MATCH(B326,'اسعار الاسهم'!K:K,0),2)</f>
        <v>0.28000000000000003</v>
      </c>
      <c r="H326" s="8">
        <f t="shared" si="40"/>
        <v>-0.50877192982456132</v>
      </c>
      <c r="I326" s="8">
        <f t="shared" si="41"/>
        <v>1.4285714285714284</v>
      </c>
      <c r="J326" s="8">
        <f t="shared" si="42"/>
        <v>-0.8214285714285714</v>
      </c>
      <c r="K326" s="8">
        <f t="shared" si="43"/>
        <v>0.33333333333333348</v>
      </c>
      <c r="L326" s="13">
        <f t="shared" si="44"/>
        <v>-1.7391304347826084</v>
      </c>
      <c r="M326" t="str">
        <f t="shared" si="45"/>
        <v>down</v>
      </c>
      <c r="N326">
        <f t="shared" si="46"/>
        <v>2</v>
      </c>
      <c r="Q326" s="8" t="str">
        <f t="shared" si="47"/>
        <v/>
      </c>
    </row>
    <row r="327" spans="1:17">
      <c r="A327">
        <v>150</v>
      </c>
      <c r="B327" t="s">
        <v>851</v>
      </c>
      <c r="C327" s="11">
        <v>45622</v>
      </c>
      <c r="D327">
        <v>0.375</v>
      </c>
      <c r="E327">
        <v>0.45</v>
      </c>
      <c r="F327">
        <v>0.34499999999999997</v>
      </c>
      <c r="G327">
        <f>INDEX('اسعار الاسهم'!A:B,MATCH(B327,'اسعار الاسهم'!K:K,0),2)</f>
        <v>0.61</v>
      </c>
      <c r="H327" s="8">
        <f t="shared" si="40"/>
        <v>0.62666666666666671</v>
      </c>
      <c r="I327" s="8">
        <f t="shared" si="41"/>
        <v>-0.26229508196721307</v>
      </c>
      <c r="J327" s="8">
        <f t="shared" si="42"/>
        <v>0.43442622950819676</v>
      </c>
      <c r="K327" s="8">
        <f t="shared" si="43"/>
        <v>0.30434782608695676</v>
      </c>
      <c r="L327" s="13">
        <f t="shared" si="44"/>
        <v>-0.60377358490566024</v>
      </c>
      <c r="M327" t="str">
        <f t="shared" si="45"/>
        <v>up</v>
      </c>
      <c r="N327">
        <f t="shared" si="46"/>
        <v>1</v>
      </c>
      <c r="Q327" s="8" t="str">
        <f t="shared" si="47"/>
        <v/>
      </c>
    </row>
    <row r="328" spans="1:17">
      <c r="A328">
        <v>151</v>
      </c>
      <c r="B328" t="s">
        <v>743</v>
      </c>
      <c r="C328" s="11">
        <v>45622</v>
      </c>
      <c r="D328">
        <v>3.4</v>
      </c>
      <c r="E328">
        <v>3.9</v>
      </c>
      <c r="F328">
        <v>3.2</v>
      </c>
      <c r="G328">
        <f>INDEX('اسعار الاسهم'!A:B,MATCH(B328,'اسعار الاسهم'!K:K,0),2)</f>
        <v>5.0599999999999996</v>
      </c>
      <c r="H328" s="8">
        <f t="shared" si="40"/>
        <v>0.48823529411764688</v>
      </c>
      <c r="I328" s="8">
        <f t="shared" si="41"/>
        <v>-0.22924901185770752</v>
      </c>
      <c r="J328" s="8">
        <f t="shared" si="42"/>
        <v>0.36758893280632399</v>
      </c>
      <c r="K328" s="8">
        <f t="shared" si="43"/>
        <v>0.21875</v>
      </c>
      <c r="L328" s="13">
        <f t="shared" si="44"/>
        <v>-0.62365591397849485</v>
      </c>
      <c r="M328" t="str">
        <f t="shared" si="45"/>
        <v>up</v>
      </c>
      <c r="N328">
        <f t="shared" si="46"/>
        <v>4</v>
      </c>
      <c r="Q328" s="8" t="str">
        <f t="shared" si="47"/>
        <v/>
      </c>
    </row>
    <row r="329" spans="1:17" hidden="1">
      <c r="A329">
        <v>286</v>
      </c>
      <c r="B329" t="s">
        <v>905</v>
      </c>
      <c r="C329" s="11">
        <v>45642</v>
      </c>
      <c r="D329">
        <v>91.53</v>
      </c>
      <c r="E329">
        <v>96</v>
      </c>
      <c r="F329">
        <v>87.6</v>
      </c>
      <c r="G329">
        <f>INDEX('اسعار الاسهم'!A:B,MATCH(B329,'اسعار الاسهم'!K:K,0),2)</f>
        <v>648.03</v>
      </c>
      <c r="H329" s="8" t="str">
        <f t="shared" si="40"/>
        <v/>
      </c>
      <c r="I329" s="8" t="str">
        <f t="shared" si="41"/>
        <v/>
      </c>
      <c r="J329" s="8" t="str">
        <f t="shared" si="42"/>
        <v/>
      </c>
      <c r="K329" s="8">
        <f t="shared" si="43"/>
        <v>9.5890410958904271E-2</v>
      </c>
      <c r="L329" s="13" t="str">
        <f t="shared" si="44"/>
        <v/>
      </c>
      <c r="M329" t="str">
        <f t="shared" si="45"/>
        <v/>
      </c>
      <c r="N329">
        <f t="shared" si="46"/>
        <v>0</v>
      </c>
      <c r="O329">
        <v>1</v>
      </c>
      <c r="P329">
        <v>200</v>
      </c>
      <c r="Q329" s="8">
        <f t="shared" si="47"/>
        <v>4.8836447066535449E-2</v>
      </c>
    </row>
    <row r="330" spans="1:17" hidden="1">
      <c r="A330">
        <v>281</v>
      </c>
      <c r="B330" t="s">
        <v>834</v>
      </c>
      <c r="C330" s="11">
        <v>45641</v>
      </c>
      <c r="D330">
        <v>3.28</v>
      </c>
      <c r="E330">
        <v>3.55</v>
      </c>
      <c r="F330">
        <v>3.17</v>
      </c>
      <c r="G330">
        <f>INDEX('اسعار الاسهم'!A:B,MATCH(B330,'اسعار الاسهم'!K:K,0),2)</f>
        <v>3.95</v>
      </c>
      <c r="H330" s="8" t="str">
        <f t="shared" si="40"/>
        <v/>
      </c>
      <c r="I330" s="8" t="str">
        <f t="shared" si="41"/>
        <v/>
      </c>
      <c r="J330" s="8" t="str">
        <f t="shared" si="42"/>
        <v/>
      </c>
      <c r="K330" s="8">
        <f t="shared" si="43"/>
        <v>0.11987381703470024</v>
      </c>
      <c r="L330" s="13" t="str">
        <f t="shared" si="44"/>
        <v/>
      </c>
      <c r="M330" t="str">
        <f t="shared" si="45"/>
        <v/>
      </c>
      <c r="N330">
        <f t="shared" si="46"/>
        <v>2</v>
      </c>
      <c r="O330">
        <v>1</v>
      </c>
      <c r="P330">
        <v>201</v>
      </c>
      <c r="Q330" s="8">
        <f t="shared" si="47"/>
        <v>8.2317073170731669E-2</v>
      </c>
    </row>
    <row r="331" spans="1:17">
      <c r="A331">
        <v>152</v>
      </c>
      <c r="B331" t="s">
        <v>850</v>
      </c>
      <c r="C331" s="11">
        <v>45622</v>
      </c>
      <c r="D331">
        <v>0.253</v>
      </c>
      <c r="E331">
        <v>0.3</v>
      </c>
      <c r="F331">
        <v>0.23</v>
      </c>
      <c r="G331" t="e">
        <f>INDEX('اسعار الاسهم'!A:B,MATCH(B331,'اسعار الاسهم'!K:K,0),2)</f>
        <v>#N/A</v>
      </c>
      <c r="H331" s="8" t="e">
        <f t="shared" si="40"/>
        <v>#N/A</v>
      </c>
      <c r="I331" s="8" t="e">
        <f t="shared" si="41"/>
        <v>#N/A</v>
      </c>
      <c r="J331" s="8" t="e">
        <f t="shared" si="42"/>
        <v>#N/A</v>
      </c>
      <c r="K331" s="8">
        <f t="shared" si="43"/>
        <v>0.30434782608695632</v>
      </c>
      <c r="L331" s="13" t="e">
        <f t="shared" si="44"/>
        <v>#N/A</v>
      </c>
      <c r="M331" t="e">
        <f t="shared" si="45"/>
        <v>#N/A</v>
      </c>
      <c r="N331">
        <f t="shared" si="46"/>
        <v>3</v>
      </c>
      <c r="Q331" s="8" t="str">
        <f t="shared" si="47"/>
        <v/>
      </c>
    </row>
    <row r="332" spans="1:17">
      <c r="A332">
        <v>145</v>
      </c>
      <c r="B332" t="s">
        <v>835</v>
      </c>
      <c r="C332" s="11">
        <v>45621</v>
      </c>
      <c r="D332">
        <v>0.93100000000000005</v>
      </c>
      <c r="E332">
        <v>1.1100000000000001</v>
      </c>
      <c r="F332">
        <v>0.86</v>
      </c>
      <c r="G332">
        <f>INDEX('اسعار الاسهم'!A:B,MATCH(B332,'اسعار الاسهم'!K:K,0),2)</f>
        <v>1.17</v>
      </c>
      <c r="H332" s="8">
        <f t="shared" si="40"/>
        <v>0.25671321160042959</v>
      </c>
      <c r="I332" s="8">
        <f t="shared" si="41"/>
        <v>-5.12820512820511E-2</v>
      </c>
      <c r="J332" s="8">
        <f t="shared" si="42"/>
        <v>0.2649572649572649</v>
      </c>
      <c r="K332" s="8">
        <f t="shared" si="43"/>
        <v>0.29069767441860472</v>
      </c>
      <c r="L332" s="13">
        <f t="shared" si="44"/>
        <v>-0.19354838709677355</v>
      </c>
      <c r="M332" t="str">
        <f t="shared" si="45"/>
        <v>up</v>
      </c>
      <c r="N332">
        <f t="shared" si="46"/>
        <v>2</v>
      </c>
      <c r="Q332" s="8" t="str">
        <f t="shared" si="47"/>
        <v/>
      </c>
    </row>
    <row r="333" spans="1:17">
      <c r="A333">
        <v>138</v>
      </c>
      <c r="B333" t="s">
        <v>850</v>
      </c>
      <c r="C333" s="11">
        <v>45620</v>
      </c>
      <c r="D333">
        <v>0.24</v>
      </c>
      <c r="E333">
        <v>0.27</v>
      </c>
      <c r="F333">
        <v>0.22500000000000001</v>
      </c>
      <c r="G333" t="e">
        <f>INDEX('اسعار الاسهم'!A:B,MATCH(B333,'اسعار الاسهم'!K:K,0),2)</f>
        <v>#N/A</v>
      </c>
      <c r="H333" s="8" t="e">
        <f t="shared" si="40"/>
        <v>#N/A</v>
      </c>
      <c r="I333" s="8" t="e">
        <f t="shared" si="41"/>
        <v>#N/A</v>
      </c>
      <c r="J333" s="8" t="e">
        <f t="shared" si="42"/>
        <v>#N/A</v>
      </c>
      <c r="K333" s="8">
        <f t="shared" si="43"/>
        <v>0.19999999999999996</v>
      </c>
      <c r="L333" s="13" t="e">
        <f t="shared" si="44"/>
        <v>#N/A</v>
      </c>
      <c r="M333" t="e">
        <f t="shared" si="45"/>
        <v>#N/A</v>
      </c>
      <c r="N333">
        <f t="shared" si="46"/>
        <v>3</v>
      </c>
      <c r="Q333" s="8" t="str">
        <f t="shared" si="47"/>
        <v/>
      </c>
    </row>
    <row r="334" spans="1:17">
      <c r="A334">
        <v>139</v>
      </c>
      <c r="B334" t="s">
        <v>752</v>
      </c>
      <c r="C334" s="11">
        <v>45620</v>
      </c>
      <c r="D334">
        <v>5.42</v>
      </c>
      <c r="E334">
        <v>5.9</v>
      </c>
      <c r="F334">
        <v>5.0999999999999996</v>
      </c>
      <c r="G334">
        <f>INDEX('اسعار الاسهم'!A:B,MATCH(B334,'اسعار الاسهم'!K:K,0),2)</f>
        <v>9.4600000000000009</v>
      </c>
      <c r="H334" s="8">
        <f t="shared" si="40"/>
        <v>0.74538745387453886</v>
      </c>
      <c r="I334" s="8">
        <f t="shared" si="41"/>
        <v>-0.37632135306553915</v>
      </c>
      <c r="J334" s="8">
        <f t="shared" si="42"/>
        <v>0.4608879492600424</v>
      </c>
      <c r="K334" s="8">
        <f t="shared" si="43"/>
        <v>0.15686274509803932</v>
      </c>
      <c r="L334" s="13">
        <f t="shared" si="44"/>
        <v>-0.81651376146788979</v>
      </c>
      <c r="M334" t="str">
        <f t="shared" si="45"/>
        <v>up</v>
      </c>
      <c r="N334">
        <f t="shared" si="46"/>
        <v>4</v>
      </c>
      <c r="Q334" s="8" t="str">
        <f t="shared" si="47"/>
        <v/>
      </c>
    </row>
    <row r="335" spans="1:17">
      <c r="A335">
        <v>121</v>
      </c>
      <c r="B335" t="s">
        <v>808</v>
      </c>
      <c r="C335" s="11">
        <v>45617</v>
      </c>
      <c r="D335">
        <v>25.69</v>
      </c>
      <c r="E335">
        <v>30.5</v>
      </c>
      <c r="F335">
        <v>24.1</v>
      </c>
      <c r="G335">
        <f>INDEX('اسعار الاسهم'!A:B,MATCH(B335,'اسعار الاسهم'!K:K,0),2)</f>
        <v>41.43</v>
      </c>
      <c r="H335" s="8">
        <f t="shared" si="40"/>
        <v>0.61268976255352259</v>
      </c>
      <c r="I335" s="8">
        <f t="shared" si="41"/>
        <v>-0.26381848901762006</v>
      </c>
      <c r="J335" s="8">
        <f t="shared" si="42"/>
        <v>0.41829592083031619</v>
      </c>
      <c r="K335" s="8">
        <f t="shared" si="43"/>
        <v>0.26556016597510368</v>
      </c>
      <c r="L335" s="13">
        <f t="shared" si="44"/>
        <v>-0.63069821119446046</v>
      </c>
      <c r="M335" t="str">
        <f t="shared" si="45"/>
        <v>up</v>
      </c>
      <c r="N335">
        <f t="shared" si="46"/>
        <v>3</v>
      </c>
      <c r="Q335" s="8" t="str">
        <f t="shared" si="47"/>
        <v/>
      </c>
    </row>
    <row r="336" spans="1:17">
      <c r="A336">
        <v>126</v>
      </c>
      <c r="B336" t="s">
        <v>847</v>
      </c>
      <c r="C336" s="11">
        <v>45617</v>
      </c>
      <c r="D336">
        <v>18.63</v>
      </c>
      <c r="E336">
        <v>21.8</v>
      </c>
      <c r="F336">
        <v>16.7</v>
      </c>
      <c r="G336">
        <f>INDEX('اسعار الاسهم'!A:B,MATCH(B336,'اسعار الاسهم'!K:K,0),2)</f>
        <v>21.15</v>
      </c>
      <c r="H336" s="8">
        <f t="shared" si="40"/>
        <v>0.13526570048309172</v>
      </c>
      <c r="I336" s="8">
        <f t="shared" si="41"/>
        <v>3.0732860520094718E-2</v>
      </c>
      <c r="J336" s="8">
        <f t="shared" si="42"/>
        <v>0.21040189125295505</v>
      </c>
      <c r="K336" s="8">
        <f t="shared" si="43"/>
        <v>0.3053892215568863</v>
      </c>
      <c r="L336" s="13">
        <f t="shared" si="44"/>
        <v>0.14606741573033782</v>
      </c>
      <c r="M336" t="str">
        <f t="shared" si="45"/>
        <v>up</v>
      </c>
      <c r="N336">
        <f t="shared" si="46"/>
        <v>2</v>
      </c>
      <c r="Q336" s="8" t="str">
        <f t="shared" si="47"/>
        <v/>
      </c>
    </row>
    <row r="337" spans="1:17">
      <c r="A337">
        <v>116</v>
      </c>
      <c r="B337" t="s">
        <v>823</v>
      </c>
      <c r="C337" s="11">
        <v>45616</v>
      </c>
      <c r="D337">
        <v>24.81</v>
      </c>
      <c r="E337">
        <v>29</v>
      </c>
      <c r="F337">
        <v>22</v>
      </c>
      <c r="G337">
        <f>INDEX('اسعار الاسهم'!A:B,MATCH(B337,'اسعار الاسهم'!K:K,0),2)</f>
        <v>32.76</v>
      </c>
      <c r="H337" s="8">
        <f t="shared" si="40"/>
        <v>0.32043530834340994</v>
      </c>
      <c r="I337" s="8">
        <f t="shared" si="41"/>
        <v>-0.1147741147741147</v>
      </c>
      <c r="J337" s="8">
        <f t="shared" si="42"/>
        <v>0.32844932844932839</v>
      </c>
      <c r="K337" s="8">
        <f t="shared" si="43"/>
        <v>0.31818181818181812</v>
      </c>
      <c r="L337" s="13">
        <f t="shared" si="44"/>
        <v>-0.34944237918215598</v>
      </c>
      <c r="M337" t="str">
        <f t="shared" si="45"/>
        <v>up</v>
      </c>
      <c r="N337">
        <f t="shared" si="46"/>
        <v>2</v>
      </c>
      <c r="Q337" s="8" t="str">
        <f t="shared" si="47"/>
        <v/>
      </c>
    </row>
    <row r="338" spans="1:17">
      <c r="A338">
        <v>120</v>
      </c>
      <c r="B338" t="s">
        <v>841</v>
      </c>
      <c r="C338" s="11">
        <v>45616</v>
      </c>
      <c r="D338">
        <v>4.45</v>
      </c>
      <c r="E338">
        <v>5</v>
      </c>
      <c r="F338">
        <v>4.1500000000000004</v>
      </c>
      <c r="G338">
        <f>INDEX('اسعار الاسهم'!A:B,MATCH(B338,'اسعار الاسهم'!K:K,0),2)</f>
        <v>4.8</v>
      </c>
      <c r="H338" s="8">
        <f t="shared" si="40"/>
        <v>7.8651685393258397E-2</v>
      </c>
      <c r="I338" s="8">
        <f t="shared" si="41"/>
        <v>4.1666666666666741E-2</v>
      </c>
      <c r="J338" s="8">
        <f t="shared" si="42"/>
        <v>0.13541666666666652</v>
      </c>
      <c r="K338" s="8">
        <f t="shared" si="43"/>
        <v>0.20481927710843362</v>
      </c>
      <c r="L338" s="13">
        <f t="shared" si="44"/>
        <v>0.3076923076923086</v>
      </c>
      <c r="M338" t="str">
        <f t="shared" si="45"/>
        <v>up</v>
      </c>
      <c r="N338">
        <f t="shared" si="46"/>
        <v>1</v>
      </c>
      <c r="Q338" s="8" t="str">
        <f t="shared" si="47"/>
        <v/>
      </c>
    </row>
    <row r="339" spans="1:17">
      <c r="A339" s="3">
        <v>106</v>
      </c>
      <c r="B339" t="s">
        <v>837</v>
      </c>
      <c r="C339" s="11">
        <v>45615</v>
      </c>
      <c r="D339">
        <v>31.95</v>
      </c>
      <c r="E339">
        <v>40</v>
      </c>
      <c r="F339">
        <v>30.9</v>
      </c>
      <c r="G339">
        <f>INDEX('اسعار الاسهم'!A:B,MATCH(B339,'اسعار الاسهم'!K:K,0),2)</f>
        <v>35.5</v>
      </c>
      <c r="H339" s="8">
        <f t="shared" si="40"/>
        <v>0.11111111111111116</v>
      </c>
      <c r="I339" s="8">
        <f t="shared" si="41"/>
        <v>0.12676056338028174</v>
      </c>
      <c r="J339" s="8">
        <f t="shared" si="42"/>
        <v>0.12957746478873244</v>
      </c>
      <c r="K339" s="8">
        <f t="shared" si="43"/>
        <v>0.29449838187702282</v>
      </c>
      <c r="L339" s="13" t="str">
        <f t="shared" si="44"/>
        <v/>
      </c>
      <c r="M339" t="str">
        <f t="shared" si="45"/>
        <v>up</v>
      </c>
      <c r="N339">
        <f t="shared" si="46"/>
        <v>1</v>
      </c>
      <c r="P339">
        <v>37</v>
      </c>
      <c r="Q339" s="8">
        <f t="shared" si="47"/>
        <v>-3.2863849765258246E-2</v>
      </c>
    </row>
    <row r="340" spans="1:17">
      <c r="A340">
        <v>107</v>
      </c>
      <c r="B340" t="s">
        <v>838</v>
      </c>
      <c r="C340" s="11">
        <v>45615</v>
      </c>
      <c r="D340">
        <v>12.46</v>
      </c>
      <c r="E340">
        <v>15.25</v>
      </c>
      <c r="F340">
        <v>11.45</v>
      </c>
      <c r="G340">
        <f>INDEX('اسعار الاسهم'!A:B,MATCH(B340,'اسعار الاسهم'!K:K,0),2)</f>
        <v>10.33</v>
      </c>
      <c r="H340" s="8">
        <f t="shared" si="40"/>
        <v>-0.1709470304975923</v>
      </c>
      <c r="I340" s="8">
        <f t="shared" si="41"/>
        <v>0.47628267182962247</v>
      </c>
      <c r="J340" s="8">
        <f t="shared" si="42"/>
        <v>-0.10842207163601159</v>
      </c>
      <c r="K340" s="8">
        <f t="shared" si="43"/>
        <v>0.33187772925764203</v>
      </c>
      <c r="L340" s="13">
        <f t="shared" si="44"/>
        <v>-4.3928571428571441</v>
      </c>
      <c r="M340" t="str">
        <f t="shared" si="45"/>
        <v>down</v>
      </c>
      <c r="N340">
        <f t="shared" si="46"/>
        <v>1</v>
      </c>
      <c r="Q340" s="8" t="str">
        <f t="shared" si="47"/>
        <v/>
      </c>
    </row>
    <row r="341" spans="1:17">
      <c r="A341">
        <v>113</v>
      </c>
      <c r="B341" t="s">
        <v>832</v>
      </c>
      <c r="C341" s="11">
        <v>45615</v>
      </c>
      <c r="D341">
        <v>15.36</v>
      </c>
      <c r="E341">
        <v>17.899999999999999</v>
      </c>
      <c r="F341">
        <v>14.6</v>
      </c>
      <c r="G341">
        <f>INDEX('اسعار الاسهم'!A:B,MATCH(B341,'اسعار الاسهم'!K:K,0),2)</f>
        <v>54.2</v>
      </c>
      <c r="H341" s="8">
        <f t="shared" si="40"/>
        <v>2.5286458333333335</v>
      </c>
      <c r="I341" s="8">
        <f t="shared" si="41"/>
        <v>-0.6697416974169742</v>
      </c>
      <c r="J341" s="8">
        <f t="shared" si="42"/>
        <v>0.73062730627306283</v>
      </c>
      <c r="K341" s="8">
        <f t="shared" si="43"/>
        <v>0.22602739726027399</v>
      </c>
      <c r="L341" s="13">
        <f t="shared" si="44"/>
        <v>-0.91666666666666663</v>
      </c>
      <c r="M341" t="str">
        <f t="shared" si="45"/>
        <v>up</v>
      </c>
      <c r="N341">
        <f t="shared" si="46"/>
        <v>6</v>
      </c>
      <c r="Q341" s="8" t="str">
        <f t="shared" si="47"/>
        <v/>
      </c>
    </row>
    <row r="342" spans="1:17">
      <c r="A342">
        <v>99</v>
      </c>
      <c r="B342" t="s">
        <v>835</v>
      </c>
      <c r="C342" s="11">
        <v>45614</v>
      </c>
      <c r="D342">
        <v>0.89500000000000002</v>
      </c>
      <c r="E342">
        <v>1.1100000000000001</v>
      </c>
      <c r="F342">
        <v>0.83</v>
      </c>
      <c r="G342">
        <f>INDEX('اسعار الاسهم'!A:B,MATCH(B342,'اسعار الاسهم'!K:K,0),2)</f>
        <v>1.17</v>
      </c>
      <c r="H342" s="8">
        <f t="shared" si="40"/>
        <v>0.30726256983240208</v>
      </c>
      <c r="I342" s="8">
        <f t="shared" si="41"/>
        <v>-5.12820512820511E-2</v>
      </c>
      <c r="J342" s="8">
        <f t="shared" si="42"/>
        <v>0.29059829059829057</v>
      </c>
      <c r="K342" s="8">
        <f t="shared" si="43"/>
        <v>0.33734939759036164</v>
      </c>
      <c r="L342" s="13">
        <f t="shared" si="44"/>
        <v>-0.17647058823529352</v>
      </c>
      <c r="M342" t="str">
        <f t="shared" si="45"/>
        <v>up</v>
      </c>
      <c r="N342">
        <f t="shared" si="46"/>
        <v>2</v>
      </c>
      <c r="Q342" s="8" t="str">
        <f t="shared" si="47"/>
        <v/>
      </c>
    </row>
    <row r="343" spans="1:17">
      <c r="A343" s="3">
        <v>101</v>
      </c>
      <c r="B343" t="s">
        <v>769</v>
      </c>
      <c r="C343" s="11">
        <v>45614</v>
      </c>
      <c r="D343">
        <v>0.53500000000000003</v>
      </c>
      <c r="E343">
        <v>0.62</v>
      </c>
      <c r="F343">
        <v>0.52</v>
      </c>
      <c r="G343">
        <f>INDEX('اسعار الاسهم'!A:B,MATCH(B343,'اسعار الاسهم'!K:K,0),2)</f>
        <v>0.34</v>
      </c>
      <c r="H343" s="8">
        <f t="shared" si="40"/>
        <v>-0.36448598130841126</v>
      </c>
      <c r="I343" s="8">
        <f t="shared" si="41"/>
        <v>0.82352941176470584</v>
      </c>
      <c r="J343" s="8">
        <f t="shared" si="42"/>
        <v>-0.52941176470588225</v>
      </c>
      <c r="K343" s="8">
        <f t="shared" si="43"/>
        <v>0.19230769230769229</v>
      </c>
      <c r="L343" s="13" t="str">
        <f t="shared" si="44"/>
        <v/>
      </c>
      <c r="M343" t="str">
        <f t="shared" si="45"/>
        <v>down</v>
      </c>
      <c r="N343">
        <f t="shared" si="46"/>
        <v>2</v>
      </c>
      <c r="P343">
        <v>39</v>
      </c>
      <c r="Q343" s="8">
        <f t="shared" si="47"/>
        <v>-2.8037383177570097E-2</v>
      </c>
    </row>
    <row r="344" spans="1:17">
      <c r="A344">
        <v>84</v>
      </c>
      <c r="B344" t="s">
        <v>728</v>
      </c>
      <c r="C344" s="11">
        <v>45613</v>
      </c>
      <c r="D344">
        <v>19.329999999999998</v>
      </c>
      <c r="E344">
        <v>22.7</v>
      </c>
      <c r="F344">
        <v>17.7</v>
      </c>
      <c r="G344">
        <f>INDEX('اسعار الاسهم'!A:B,MATCH(B344,'اسعار الاسهم'!K:K,0),2)</f>
        <v>19.68</v>
      </c>
      <c r="H344" s="8">
        <f t="shared" si="40"/>
        <v>1.8106570098292973E-2</v>
      </c>
      <c r="I344" s="8">
        <f t="shared" si="41"/>
        <v>0.15345528455284541</v>
      </c>
      <c r="J344" s="8">
        <f t="shared" si="42"/>
        <v>0.10060975609756095</v>
      </c>
      <c r="K344" s="8">
        <f t="shared" si="43"/>
        <v>0.28248587570621475</v>
      </c>
      <c r="L344" s="13">
        <f t="shared" si="44"/>
        <v>1.5252525252525244</v>
      </c>
      <c r="M344" t="str">
        <f t="shared" si="45"/>
        <v>down</v>
      </c>
      <c r="N344">
        <f t="shared" si="46"/>
        <v>3</v>
      </c>
      <c r="Q344" s="8" t="str">
        <f t="shared" si="47"/>
        <v/>
      </c>
    </row>
    <row r="345" spans="1:17">
      <c r="A345">
        <v>86</v>
      </c>
      <c r="B345" t="s">
        <v>752</v>
      </c>
      <c r="C345" s="11">
        <v>45613</v>
      </c>
      <c r="D345">
        <v>5.27</v>
      </c>
      <c r="E345">
        <v>6.55</v>
      </c>
      <c r="F345">
        <v>4.5</v>
      </c>
      <c r="G345">
        <f>INDEX('اسعار الاسهم'!A:B,MATCH(B345,'اسعار الاسهم'!K:K,0),2)</f>
        <v>9.4600000000000009</v>
      </c>
      <c r="H345" s="8">
        <f t="shared" si="40"/>
        <v>0.7950664136622394</v>
      </c>
      <c r="I345" s="8">
        <f t="shared" si="41"/>
        <v>-0.30761099365750533</v>
      </c>
      <c r="J345" s="8">
        <f t="shared" si="42"/>
        <v>0.52431289640591972</v>
      </c>
      <c r="K345" s="8">
        <f t="shared" si="43"/>
        <v>0.45555555555555549</v>
      </c>
      <c r="L345" s="13">
        <f t="shared" si="44"/>
        <v>-0.58669354838709675</v>
      </c>
      <c r="M345" t="str">
        <f t="shared" si="45"/>
        <v>up</v>
      </c>
      <c r="N345">
        <f t="shared" si="46"/>
        <v>4</v>
      </c>
      <c r="Q345" s="8" t="str">
        <f t="shared" si="47"/>
        <v/>
      </c>
    </row>
    <row r="346" spans="1:17">
      <c r="A346">
        <v>90</v>
      </c>
      <c r="B346" t="s">
        <v>832</v>
      </c>
      <c r="C346" s="11">
        <v>45613</v>
      </c>
      <c r="D346">
        <v>15</v>
      </c>
      <c r="E346">
        <v>17.899999999999999</v>
      </c>
      <c r="F346">
        <v>14.5</v>
      </c>
      <c r="G346">
        <f>INDEX('اسعار الاسهم'!A:B,MATCH(B346,'اسعار الاسهم'!K:K,0),2)</f>
        <v>54.2</v>
      </c>
      <c r="H346" s="8">
        <f t="shared" si="40"/>
        <v>2.6133333333333337</v>
      </c>
      <c r="I346" s="8">
        <f t="shared" si="41"/>
        <v>-0.6697416974169742</v>
      </c>
      <c r="J346" s="8">
        <f t="shared" si="42"/>
        <v>0.73247232472324719</v>
      </c>
      <c r="K346" s="8">
        <f t="shared" si="43"/>
        <v>0.23448275862068946</v>
      </c>
      <c r="L346" s="13">
        <f t="shared" si="44"/>
        <v>-0.91435768261964745</v>
      </c>
      <c r="M346" t="str">
        <f t="shared" si="45"/>
        <v>up</v>
      </c>
      <c r="N346">
        <f t="shared" si="46"/>
        <v>6</v>
      </c>
      <c r="Q346" s="8" t="str">
        <f t="shared" si="47"/>
        <v/>
      </c>
    </row>
    <row r="347" spans="1:17">
      <c r="A347">
        <v>91</v>
      </c>
      <c r="B347" t="s">
        <v>728</v>
      </c>
      <c r="C347" s="11">
        <v>45613</v>
      </c>
      <c r="D347">
        <v>19.329999999999998</v>
      </c>
      <c r="E347">
        <v>25</v>
      </c>
      <c r="F347">
        <v>17.7</v>
      </c>
      <c r="G347">
        <f>INDEX('اسعار الاسهم'!A:B,MATCH(B347,'اسعار الاسهم'!K:K,0),2)</f>
        <v>19.68</v>
      </c>
      <c r="H347" s="8">
        <f t="shared" si="40"/>
        <v>1.8106570098292973E-2</v>
      </c>
      <c r="I347" s="8">
        <f t="shared" si="41"/>
        <v>0.27032520325203246</v>
      </c>
      <c r="J347" s="8">
        <f t="shared" si="42"/>
        <v>0.10060975609756095</v>
      </c>
      <c r="K347" s="8">
        <f t="shared" si="43"/>
        <v>0.41242937853107353</v>
      </c>
      <c r="L347" s="13">
        <f t="shared" si="44"/>
        <v>2.6868686868686869</v>
      </c>
      <c r="M347" t="str">
        <f t="shared" si="45"/>
        <v>down</v>
      </c>
      <c r="N347">
        <f t="shared" si="46"/>
        <v>3</v>
      </c>
      <c r="Q347" s="8" t="str">
        <f t="shared" si="47"/>
        <v/>
      </c>
    </row>
    <row r="348" spans="1:17">
      <c r="A348">
        <v>78</v>
      </c>
      <c r="B348" t="s">
        <v>768</v>
      </c>
      <c r="C348" s="11">
        <v>45610</v>
      </c>
      <c r="D348">
        <v>1.45</v>
      </c>
      <c r="E348">
        <v>1.7</v>
      </c>
      <c r="F348">
        <v>1.35</v>
      </c>
      <c r="G348">
        <f>INDEX('اسعار الاسهم'!A:B,MATCH(B348,'اسعار الاسهم'!K:K,0),2)</f>
        <v>2.33</v>
      </c>
      <c r="H348" s="8">
        <f t="shared" si="40"/>
        <v>0.60689655172413803</v>
      </c>
      <c r="I348" s="8">
        <f t="shared" si="41"/>
        <v>-0.27038626609442062</v>
      </c>
      <c r="J348" s="8">
        <f t="shared" si="42"/>
        <v>0.42060085836909866</v>
      </c>
      <c r="K348" s="8">
        <f t="shared" si="43"/>
        <v>0.25925925925925908</v>
      </c>
      <c r="L348" s="13">
        <f t="shared" si="44"/>
        <v>-0.64285714285714302</v>
      </c>
      <c r="M348" t="str">
        <f t="shared" si="45"/>
        <v>up</v>
      </c>
      <c r="N348">
        <f t="shared" si="46"/>
        <v>4</v>
      </c>
      <c r="Q348" s="8" t="str">
        <f t="shared" si="47"/>
        <v/>
      </c>
    </row>
    <row r="349" spans="1:17">
      <c r="A349">
        <v>83</v>
      </c>
      <c r="B349" t="s">
        <v>819</v>
      </c>
      <c r="C349" s="11">
        <v>45610</v>
      </c>
      <c r="D349">
        <v>2.54</v>
      </c>
      <c r="E349">
        <v>3.45</v>
      </c>
      <c r="F349">
        <v>2.2000000000000002</v>
      </c>
      <c r="G349">
        <f>INDEX('اسعار الاسهم'!A:B,MATCH(B349,'اسعار الاسهم'!K:K,0),2)</f>
        <v>2.73</v>
      </c>
      <c r="H349" s="8">
        <f t="shared" si="40"/>
        <v>7.480314960629908E-2</v>
      </c>
      <c r="I349" s="8">
        <f t="shared" si="41"/>
        <v>0.26373626373626391</v>
      </c>
      <c r="J349" s="8">
        <f t="shared" si="42"/>
        <v>0.19413919413919412</v>
      </c>
      <c r="K349" s="8">
        <f t="shared" si="43"/>
        <v>0.56818181818181812</v>
      </c>
      <c r="L349" s="13">
        <f t="shared" si="44"/>
        <v>1.3584905660377369</v>
      </c>
      <c r="M349" t="str">
        <f t="shared" si="45"/>
        <v>down</v>
      </c>
      <c r="N349">
        <f t="shared" si="46"/>
        <v>3</v>
      </c>
      <c r="Q349" s="8" t="str">
        <f t="shared" si="47"/>
        <v/>
      </c>
    </row>
    <row r="350" spans="1:17">
      <c r="A350">
        <v>67</v>
      </c>
      <c r="B350" t="s">
        <v>824</v>
      </c>
      <c r="C350" s="11">
        <v>45609</v>
      </c>
      <c r="D350">
        <v>33.5</v>
      </c>
      <c r="E350">
        <v>37</v>
      </c>
      <c r="F350">
        <v>31</v>
      </c>
      <c r="G350" t="e">
        <f>INDEX('اسعار الاسهم'!A:B,MATCH(B350,'اسعار الاسهم'!K:K,0),2)</f>
        <v>#N/A</v>
      </c>
      <c r="H350" s="8" t="e">
        <f t="shared" si="40"/>
        <v>#N/A</v>
      </c>
      <c r="I350" s="8" t="e">
        <f t="shared" si="41"/>
        <v>#N/A</v>
      </c>
      <c r="J350" s="8" t="e">
        <f t="shared" si="42"/>
        <v>#N/A</v>
      </c>
      <c r="K350" s="8">
        <f t="shared" si="43"/>
        <v>0.19354838709677424</v>
      </c>
      <c r="L350" s="13" t="e">
        <f t="shared" si="44"/>
        <v>#N/A</v>
      </c>
      <c r="M350" t="e">
        <f t="shared" si="45"/>
        <v>#N/A</v>
      </c>
      <c r="N350">
        <f t="shared" si="46"/>
        <v>1</v>
      </c>
      <c r="Q350" s="8" t="str">
        <f t="shared" si="47"/>
        <v/>
      </c>
    </row>
    <row r="351" spans="1:17">
      <c r="A351">
        <v>69</v>
      </c>
      <c r="B351" t="s">
        <v>788</v>
      </c>
      <c r="C351" s="11">
        <v>45609</v>
      </c>
      <c r="D351">
        <v>8.44</v>
      </c>
      <c r="E351">
        <v>9.1</v>
      </c>
      <c r="F351">
        <v>8</v>
      </c>
      <c r="G351">
        <f>INDEX('اسعار الاسهم'!A:B,MATCH(B351,'اسعار الاسهم'!K:K,0),2)</f>
        <v>19.32</v>
      </c>
      <c r="H351" s="8">
        <f t="shared" si="40"/>
        <v>1.2890995260663507</v>
      </c>
      <c r="I351" s="8">
        <f t="shared" si="41"/>
        <v>-0.52898550724637683</v>
      </c>
      <c r="J351" s="8">
        <f t="shared" si="42"/>
        <v>0.58592132505175987</v>
      </c>
      <c r="K351" s="8">
        <f t="shared" si="43"/>
        <v>0.13749999999999996</v>
      </c>
      <c r="L351" s="13">
        <f t="shared" si="44"/>
        <v>-0.90282685512367489</v>
      </c>
      <c r="M351" t="str">
        <f t="shared" si="45"/>
        <v>up</v>
      </c>
      <c r="N351">
        <f t="shared" si="46"/>
        <v>2</v>
      </c>
      <c r="Q351" s="8" t="str">
        <f t="shared" si="47"/>
        <v/>
      </c>
    </row>
    <row r="352" spans="1:17">
      <c r="A352">
        <v>70</v>
      </c>
      <c r="B352" t="s">
        <v>768</v>
      </c>
      <c r="C352" s="11">
        <v>45609</v>
      </c>
      <c r="D352">
        <v>1.39</v>
      </c>
      <c r="E352">
        <v>1.7</v>
      </c>
      <c r="F352">
        <v>1.3</v>
      </c>
      <c r="G352">
        <f>INDEX('اسعار الاسهم'!A:B,MATCH(B352,'اسعار الاسهم'!K:K,0),2)</f>
        <v>2.33</v>
      </c>
      <c r="H352" s="8">
        <f t="shared" si="40"/>
        <v>0.67625899280575563</v>
      </c>
      <c r="I352" s="8">
        <f t="shared" si="41"/>
        <v>-0.27038626609442062</v>
      </c>
      <c r="J352" s="8">
        <f t="shared" si="42"/>
        <v>0.44206008583690992</v>
      </c>
      <c r="K352" s="8">
        <f t="shared" si="43"/>
        <v>0.30769230769230771</v>
      </c>
      <c r="L352" s="13">
        <f t="shared" si="44"/>
        <v>-0.61165048543689315</v>
      </c>
      <c r="M352" t="str">
        <f t="shared" si="45"/>
        <v>up</v>
      </c>
      <c r="N352">
        <f t="shared" si="46"/>
        <v>4</v>
      </c>
      <c r="Q352" s="8" t="str">
        <f t="shared" si="47"/>
        <v/>
      </c>
    </row>
    <row r="353" spans="1:17">
      <c r="A353">
        <v>52</v>
      </c>
      <c r="B353" t="s">
        <v>810</v>
      </c>
      <c r="C353" s="11">
        <v>45608</v>
      </c>
      <c r="D353">
        <v>0.26</v>
      </c>
      <c r="E353">
        <v>0.32</v>
      </c>
      <c r="F353">
        <v>0.22</v>
      </c>
      <c r="G353">
        <f>INDEX('اسعار الاسهم'!A:B,MATCH(B353,'اسعار الاسهم'!K:K,0),2)</f>
        <v>1.52</v>
      </c>
      <c r="H353" s="8">
        <f t="shared" si="40"/>
        <v>4.8461538461538458</v>
      </c>
      <c r="I353" s="8">
        <f t="shared" si="41"/>
        <v>-0.78947368421052633</v>
      </c>
      <c r="J353" s="8">
        <f t="shared" si="42"/>
        <v>0.85526315789473684</v>
      </c>
      <c r="K353" s="8">
        <f t="shared" si="43"/>
        <v>0.45454545454545459</v>
      </c>
      <c r="L353" s="13">
        <f t="shared" si="44"/>
        <v>-0.92307692307692313</v>
      </c>
      <c r="M353" t="str">
        <f t="shared" si="45"/>
        <v>up</v>
      </c>
      <c r="N353">
        <f t="shared" si="46"/>
        <v>1</v>
      </c>
      <c r="Q353" s="8" t="str">
        <f t="shared" si="47"/>
        <v/>
      </c>
    </row>
    <row r="354" spans="1:17">
      <c r="A354" s="3">
        <v>56</v>
      </c>
      <c r="B354" t="s">
        <v>761</v>
      </c>
      <c r="C354" s="11">
        <v>45608</v>
      </c>
      <c r="D354" s="39">
        <f>7.53*9/17</f>
        <v>3.986470588235294</v>
      </c>
      <c r="E354" s="39">
        <f>8.95*9/17</f>
        <v>4.7382352941176471</v>
      </c>
      <c r="F354" s="39">
        <f>6.9*9/17</f>
        <v>3.6529411764705881</v>
      </c>
      <c r="G354">
        <f>INDEX('اسعار الاسهم'!A:B,MATCH(B354,'اسعار الاسهم'!K:K,0),2)</f>
        <v>5.86</v>
      </c>
      <c r="H354" s="8">
        <f t="shared" si="40"/>
        <v>0.4699719639958686</v>
      </c>
      <c r="I354" s="8">
        <f t="shared" si="41"/>
        <v>-0.19142742421200565</v>
      </c>
      <c r="J354" s="8">
        <f t="shared" si="42"/>
        <v>0.37663119855450722</v>
      </c>
      <c r="K354" s="8">
        <f t="shared" si="43"/>
        <v>0.29710144927536231</v>
      </c>
      <c r="L354" s="13" t="str">
        <f t="shared" si="44"/>
        <v/>
      </c>
      <c r="M354" t="str">
        <f t="shared" si="45"/>
        <v>up</v>
      </c>
      <c r="N354">
        <f t="shared" si="46"/>
        <v>3</v>
      </c>
      <c r="P354">
        <v>52</v>
      </c>
      <c r="Q354" s="8">
        <f t="shared" si="47"/>
        <v>-8.3665338645418363E-2</v>
      </c>
    </row>
    <row r="355" spans="1:17">
      <c r="A355" s="3">
        <v>57</v>
      </c>
      <c r="B355" t="s">
        <v>808</v>
      </c>
      <c r="C355" s="11">
        <v>45608</v>
      </c>
      <c r="D355">
        <v>24.84</v>
      </c>
      <c r="E355">
        <v>28</v>
      </c>
      <c r="F355">
        <v>23.6</v>
      </c>
      <c r="G355">
        <f>INDEX('اسعار الاسهم'!A:B,MATCH(B355,'اسعار الاسهم'!K:K,0),2)</f>
        <v>41.43</v>
      </c>
      <c r="H355" s="8">
        <f t="shared" si="40"/>
        <v>0.66787439613526578</v>
      </c>
      <c r="I355" s="8">
        <f t="shared" si="41"/>
        <v>-0.32416123581945455</v>
      </c>
      <c r="J355" s="8">
        <f t="shared" si="42"/>
        <v>0.43036447019068302</v>
      </c>
      <c r="K355" s="8">
        <f t="shared" si="43"/>
        <v>0.18644067796610164</v>
      </c>
      <c r="L355" s="13">
        <f t="shared" si="44"/>
        <v>-0.75322490185081348</v>
      </c>
      <c r="M355" t="str">
        <f t="shared" si="45"/>
        <v>up</v>
      </c>
      <c r="N355">
        <f t="shared" si="46"/>
        <v>3</v>
      </c>
      <c r="Q355" s="8" t="str">
        <f t="shared" si="47"/>
        <v/>
      </c>
    </row>
    <row r="356" spans="1:17">
      <c r="A356" s="3">
        <v>59</v>
      </c>
      <c r="B356" t="s">
        <v>741</v>
      </c>
      <c r="C356" s="11">
        <v>45608</v>
      </c>
      <c r="D356">
        <v>2.6</v>
      </c>
      <c r="E356">
        <v>2.9</v>
      </c>
      <c r="F356">
        <v>2.4</v>
      </c>
      <c r="G356">
        <f>INDEX('اسعار الاسهم'!A:B,MATCH(B356,'اسعار الاسهم'!K:K,0),2)</f>
        <v>5.2</v>
      </c>
      <c r="H356" s="8">
        <f t="shared" si="40"/>
        <v>1</v>
      </c>
      <c r="I356" s="8">
        <f t="shared" si="41"/>
        <v>-0.44230769230769229</v>
      </c>
      <c r="J356" s="8">
        <f t="shared" si="42"/>
        <v>0.53846153846153855</v>
      </c>
      <c r="K356" s="8">
        <f t="shared" si="43"/>
        <v>0.20833333333333326</v>
      </c>
      <c r="L356" s="13" t="str">
        <f t="shared" si="44"/>
        <v/>
      </c>
      <c r="M356" t="str">
        <f t="shared" si="45"/>
        <v>up</v>
      </c>
      <c r="N356">
        <f t="shared" si="46"/>
        <v>3</v>
      </c>
      <c r="P356">
        <f>105</f>
        <v>105</v>
      </c>
      <c r="Q356" s="8">
        <f t="shared" si="47"/>
        <v>-7.6923076923076983E-2</v>
      </c>
    </row>
    <row r="357" spans="1:17">
      <c r="A357">
        <v>45</v>
      </c>
      <c r="B357" t="s">
        <v>814</v>
      </c>
      <c r="C357" s="11">
        <v>45607</v>
      </c>
      <c r="D357">
        <v>10.4</v>
      </c>
      <c r="E357">
        <v>12</v>
      </c>
      <c r="F357">
        <v>9.6</v>
      </c>
      <c r="G357">
        <f>INDEX('اسعار الاسهم'!A:B,MATCH(B357,'اسعار الاسهم'!K:K,0),2)</f>
        <v>15.8</v>
      </c>
      <c r="H357" s="8">
        <f t="shared" si="40"/>
        <v>0.51923076923076916</v>
      </c>
      <c r="I357" s="8">
        <f t="shared" si="41"/>
        <v>-0.24050632911392411</v>
      </c>
      <c r="J357" s="8">
        <f t="shared" si="42"/>
        <v>0.39240506329113933</v>
      </c>
      <c r="K357" s="8">
        <f t="shared" si="43"/>
        <v>0.25</v>
      </c>
      <c r="L357" s="13">
        <f t="shared" si="44"/>
        <v>-0.61290322580645162</v>
      </c>
      <c r="M357" t="str">
        <f t="shared" si="45"/>
        <v>up</v>
      </c>
      <c r="N357">
        <f t="shared" si="46"/>
        <v>1</v>
      </c>
      <c r="Q357" s="8" t="str">
        <f t="shared" si="47"/>
        <v/>
      </c>
    </row>
    <row r="358" spans="1:17">
      <c r="A358" s="3">
        <v>49</v>
      </c>
      <c r="B358" t="s">
        <v>741</v>
      </c>
      <c r="C358" s="11">
        <v>45607</v>
      </c>
      <c r="D358">
        <v>2.4900000000000002</v>
      </c>
      <c r="E358">
        <v>2.9</v>
      </c>
      <c r="F358">
        <v>2.39</v>
      </c>
      <c r="G358">
        <f>INDEX('اسعار الاسهم'!A:B,MATCH(B358,'اسعار الاسهم'!K:K,0),2)</f>
        <v>5.2</v>
      </c>
      <c r="H358" s="8">
        <f t="shared" si="40"/>
        <v>1.0883534136546182</v>
      </c>
      <c r="I358" s="8">
        <f t="shared" si="41"/>
        <v>-0.44230769230769229</v>
      </c>
      <c r="J358" s="8">
        <f t="shared" si="42"/>
        <v>0.54038461538461535</v>
      </c>
      <c r="K358" s="8">
        <f t="shared" si="43"/>
        <v>0.21338912133891208</v>
      </c>
      <c r="L358" s="13" t="str">
        <f t="shared" si="44"/>
        <v/>
      </c>
      <c r="M358" t="str">
        <f t="shared" si="45"/>
        <v>up</v>
      </c>
      <c r="N358">
        <f t="shared" si="46"/>
        <v>3</v>
      </c>
      <c r="P358">
        <v>98</v>
      </c>
      <c r="Q358" s="8">
        <f t="shared" si="47"/>
        <v>-4.016064257028118E-2</v>
      </c>
    </row>
    <row r="359" spans="1:17">
      <c r="A359" s="3">
        <v>41</v>
      </c>
      <c r="B359" t="s">
        <v>761</v>
      </c>
      <c r="C359" s="11">
        <v>45606</v>
      </c>
      <c r="D359" s="12">
        <f>7.37*9/17</f>
        <v>3.901764705882353</v>
      </c>
      <c r="E359" s="12">
        <f>8.05*9/17</f>
        <v>4.2617647058823529</v>
      </c>
      <c r="F359" s="12">
        <f>7.1*9/17</f>
        <v>3.7588235294117647</v>
      </c>
      <c r="G359">
        <f>INDEX('اسعار الاسهم'!A:B,MATCH(B359,'اسعار الاسهم'!K:K,0),2)</f>
        <v>5.86</v>
      </c>
      <c r="H359" s="8">
        <f t="shared" si="40"/>
        <v>0.50188451680988999</v>
      </c>
      <c r="I359" s="8">
        <f t="shared" si="41"/>
        <v>-0.27273639831359164</v>
      </c>
      <c r="J359" s="8">
        <f t="shared" si="42"/>
        <v>0.35856253764304358</v>
      </c>
      <c r="K359" s="8">
        <f t="shared" si="43"/>
        <v>0.13380281690140849</v>
      </c>
      <c r="L359" s="13" t="str">
        <f t="shared" si="44"/>
        <v/>
      </c>
      <c r="M359" t="str">
        <f t="shared" si="45"/>
        <v>up</v>
      </c>
      <c r="N359">
        <f t="shared" si="46"/>
        <v>3</v>
      </c>
      <c r="P359">
        <v>97</v>
      </c>
      <c r="Q359" s="8">
        <f t="shared" si="47"/>
        <v>-3.6635006784260571E-2</v>
      </c>
    </row>
    <row r="360" spans="1:17">
      <c r="A360">
        <v>32</v>
      </c>
      <c r="B360" t="s">
        <v>787</v>
      </c>
      <c r="C360" s="11">
        <v>45603</v>
      </c>
      <c r="D360">
        <v>14.65</v>
      </c>
      <c r="E360">
        <v>17.649999999999999</v>
      </c>
      <c r="F360">
        <v>13.4</v>
      </c>
      <c r="G360">
        <f>INDEX('اسعار الاسهم'!A:B,MATCH(B360,'اسعار الاسهم'!K:K,0),2)</f>
        <v>25.67</v>
      </c>
      <c r="H360" s="8">
        <f t="shared" si="40"/>
        <v>0.75221843003412969</v>
      </c>
      <c r="I360" s="8">
        <f t="shared" si="41"/>
        <v>-0.31242695753798222</v>
      </c>
      <c r="J360" s="8">
        <f t="shared" si="42"/>
        <v>0.47798987144526683</v>
      </c>
      <c r="K360" s="8">
        <f t="shared" si="43"/>
        <v>0.31716417910447747</v>
      </c>
      <c r="L360" s="13">
        <f t="shared" si="44"/>
        <v>-0.65362673186634102</v>
      </c>
      <c r="M360" t="str">
        <f t="shared" si="45"/>
        <v>up</v>
      </c>
      <c r="N360">
        <f t="shared" si="46"/>
        <v>3</v>
      </c>
      <c r="Q360" s="8" t="str">
        <f t="shared" si="47"/>
        <v/>
      </c>
    </row>
    <row r="361" spans="1:17">
      <c r="A361">
        <v>28</v>
      </c>
      <c r="B361" t="s">
        <v>752</v>
      </c>
      <c r="C361" s="11">
        <v>45602</v>
      </c>
      <c r="D361">
        <v>5.38</v>
      </c>
      <c r="E361">
        <v>6.45</v>
      </c>
      <c r="F361">
        <v>4.9000000000000004</v>
      </c>
      <c r="G361">
        <f>INDEX('اسعار الاسهم'!A:B,MATCH(B361,'اسعار الاسهم'!K:K,0),2)</f>
        <v>9.4600000000000009</v>
      </c>
      <c r="H361" s="8">
        <f t="shared" si="40"/>
        <v>0.75836431226765821</v>
      </c>
      <c r="I361" s="8">
        <f t="shared" si="41"/>
        <v>-0.31818181818181823</v>
      </c>
      <c r="J361" s="8">
        <f t="shared" si="42"/>
        <v>0.48202959830866809</v>
      </c>
      <c r="K361" s="8">
        <f t="shared" si="43"/>
        <v>0.31632653061224492</v>
      </c>
      <c r="L361" s="13">
        <f t="shared" si="44"/>
        <v>-0.66008771929824572</v>
      </c>
      <c r="M361" t="str">
        <f t="shared" si="45"/>
        <v>up</v>
      </c>
      <c r="N361">
        <f t="shared" si="46"/>
        <v>4</v>
      </c>
      <c r="Q361" s="8" t="str">
        <f t="shared" si="47"/>
        <v/>
      </c>
    </row>
    <row r="362" spans="1:17">
      <c r="A362">
        <v>5</v>
      </c>
      <c r="B362" t="s">
        <v>789</v>
      </c>
      <c r="C362" s="11">
        <v>45599</v>
      </c>
      <c r="D362">
        <v>3.89</v>
      </c>
      <c r="E362">
        <v>5.05</v>
      </c>
      <c r="F362">
        <v>3.2</v>
      </c>
      <c r="G362">
        <f>INDEX('اسعار الاسهم'!A:B,MATCH(B362,'اسعار الاسهم'!K:K,0),2)</f>
        <v>9.3000000000000007</v>
      </c>
      <c r="H362" s="8">
        <f t="shared" si="40"/>
        <v>1.3907455012853474</v>
      </c>
      <c r="I362" s="8">
        <f t="shared" si="41"/>
        <v>-0.456989247311828</v>
      </c>
      <c r="J362" s="8">
        <f t="shared" si="42"/>
        <v>0.65591397849462374</v>
      </c>
      <c r="K362" s="8">
        <f t="shared" si="43"/>
        <v>0.57812499999999978</v>
      </c>
      <c r="L362" s="13">
        <f t="shared" si="44"/>
        <v>-0.69672131147540983</v>
      </c>
      <c r="M362" t="str">
        <f t="shared" si="45"/>
        <v>up</v>
      </c>
      <c r="N362">
        <f t="shared" si="46"/>
        <v>3</v>
      </c>
      <c r="Q362" s="8" t="str">
        <f t="shared" si="47"/>
        <v/>
      </c>
    </row>
    <row r="363" spans="1:17">
      <c r="A363" s="3">
        <v>8</v>
      </c>
      <c r="B363" s="10" t="s">
        <v>782</v>
      </c>
      <c r="C363" s="11">
        <v>45599</v>
      </c>
      <c r="D363">
        <v>21.35</v>
      </c>
      <c r="E363">
        <v>24.7</v>
      </c>
      <c r="F363">
        <v>20.2</v>
      </c>
      <c r="G363">
        <f>INDEX('اسعار الاسهم'!A:B,MATCH(B363,'اسعار الاسهم'!K:K,0),2)</f>
        <v>21.76</v>
      </c>
      <c r="H363" s="8">
        <f t="shared" si="40"/>
        <v>1.9203747072599642E-2</v>
      </c>
      <c r="I363" s="8">
        <f t="shared" si="41"/>
        <v>0.13511029411764697</v>
      </c>
      <c r="J363" s="8">
        <f t="shared" si="42"/>
        <v>7.1691176470588314E-2</v>
      </c>
      <c r="K363" s="8">
        <f t="shared" si="43"/>
        <v>0.22277227722772275</v>
      </c>
      <c r="L363" s="13" t="str">
        <f t="shared" si="44"/>
        <v/>
      </c>
      <c r="M363" t="str">
        <f t="shared" si="45"/>
        <v>down</v>
      </c>
      <c r="N363">
        <f t="shared" si="46"/>
        <v>2</v>
      </c>
      <c r="P363">
        <v>104</v>
      </c>
      <c r="Q363" s="8">
        <f t="shared" si="47"/>
        <v>-5.3864168618267039E-2</v>
      </c>
    </row>
    <row r="364" spans="1:17">
      <c r="A364" s="3">
        <v>9</v>
      </c>
      <c r="B364" t="s">
        <v>741</v>
      </c>
      <c r="C364" s="11">
        <v>45599</v>
      </c>
      <c r="D364">
        <v>2.42</v>
      </c>
      <c r="E364">
        <v>2.8</v>
      </c>
      <c r="F364">
        <v>2.25</v>
      </c>
      <c r="G364">
        <f>INDEX('اسعار الاسهم'!A:B,MATCH(B364,'اسعار الاسهم'!K:K,0),2)</f>
        <v>5.2</v>
      </c>
      <c r="H364" s="8">
        <f t="shared" si="40"/>
        <v>1.1487603305785123</v>
      </c>
      <c r="I364" s="8">
        <f t="shared" si="41"/>
        <v>-0.46153846153846156</v>
      </c>
      <c r="J364" s="8">
        <f t="shared" si="42"/>
        <v>0.56730769230769229</v>
      </c>
      <c r="K364" s="8">
        <f t="shared" si="43"/>
        <v>0.24444444444444446</v>
      </c>
      <c r="L364" s="13" t="str">
        <f t="shared" si="44"/>
        <v/>
      </c>
      <c r="M364" t="str">
        <f t="shared" si="45"/>
        <v>up</v>
      </c>
      <c r="N364">
        <f t="shared" si="46"/>
        <v>3</v>
      </c>
      <c r="P364">
        <v>35</v>
      </c>
      <c r="Q364" s="8">
        <f t="shared" si="47"/>
        <v>-7.0247933884297509E-2</v>
      </c>
    </row>
    <row r="365" spans="1:17">
      <c r="A365">
        <v>10</v>
      </c>
      <c r="B365" t="s">
        <v>820</v>
      </c>
      <c r="C365" s="11">
        <v>45599</v>
      </c>
      <c r="D365">
        <v>0.52</v>
      </c>
      <c r="E365">
        <v>0.625</v>
      </c>
      <c r="F365">
        <v>0.49</v>
      </c>
      <c r="G365">
        <f>INDEX('اسعار الاسهم'!A:B,MATCH(B365,'اسعار الاسهم'!K:K,0),2)</f>
        <v>0.34</v>
      </c>
      <c r="H365" s="8">
        <f t="shared" si="40"/>
        <v>-0.34615384615384615</v>
      </c>
      <c r="I365" s="8">
        <f t="shared" si="41"/>
        <v>0.83823529411764697</v>
      </c>
      <c r="J365" s="8">
        <f t="shared" si="42"/>
        <v>-0.44117647058823506</v>
      </c>
      <c r="K365" s="8">
        <f t="shared" si="43"/>
        <v>0.27551020408163263</v>
      </c>
      <c r="L365" s="13">
        <f t="shared" si="44"/>
        <v>-1.9000000000000008</v>
      </c>
      <c r="M365" t="str">
        <f t="shared" si="45"/>
        <v>down</v>
      </c>
      <c r="N365">
        <f t="shared" si="46"/>
        <v>2</v>
      </c>
      <c r="Q365" s="8" t="str">
        <f t="shared" si="47"/>
        <v/>
      </c>
    </row>
    <row r="366" spans="1:17">
      <c r="A366">
        <v>195</v>
      </c>
      <c r="B366" t="s">
        <v>751</v>
      </c>
      <c r="C366" s="11">
        <v>45599</v>
      </c>
      <c r="D366">
        <v>22.88</v>
      </c>
      <c r="E366">
        <v>25.5</v>
      </c>
      <c r="F366">
        <v>20.6</v>
      </c>
      <c r="G366">
        <f>INDEX('اسعار الاسهم'!A:B,MATCH(B366,'اسعار الاسهم'!K:K,0),2)</f>
        <v>28.85</v>
      </c>
      <c r="H366" s="8">
        <f t="shared" si="40"/>
        <v>0.26092657342657355</v>
      </c>
      <c r="I366" s="8">
        <f t="shared" si="41"/>
        <v>-0.11611785095320626</v>
      </c>
      <c r="J366" s="8">
        <f t="shared" si="42"/>
        <v>0.28596187175043331</v>
      </c>
      <c r="K366" s="8">
        <f t="shared" si="43"/>
        <v>0.23786407766990281</v>
      </c>
      <c r="L366" s="13">
        <f t="shared" si="44"/>
        <v>-0.40606060606060607</v>
      </c>
      <c r="M366" t="str">
        <f t="shared" si="45"/>
        <v>up</v>
      </c>
      <c r="N366">
        <f t="shared" si="46"/>
        <v>3</v>
      </c>
      <c r="Q366" s="8" t="str">
        <f t="shared" si="47"/>
        <v/>
      </c>
    </row>
    <row r="367" spans="1:17">
      <c r="A367">
        <v>187</v>
      </c>
      <c r="B367" t="s">
        <v>795</v>
      </c>
      <c r="C367" s="11">
        <v>45598</v>
      </c>
      <c r="D367">
        <v>52.95</v>
      </c>
      <c r="E367">
        <v>56.5</v>
      </c>
      <c r="F367">
        <v>50.6</v>
      </c>
      <c r="G367">
        <f>INDEX('اسعار الاسهم'!A:B,MATCH(B367,'اسعار الاسهم'!K:K,0),2)</f>
        <v>143.44999999999999</v>
      </c>
      <c r="H367" s="8">
        <f t="shared" si="40"/>
        <v>1.7091595845136918</v>
      </c>
      <c r="I367" s="8">
        <f t="shared" si="41"/>
        <v>-0.60613454165214353</v>
      </c>
      <c r="J367" s="8">
        <f t="shared" si="42"/>
        <v>0.64726385500174266</v>
      </c>
      <c r="K367" s="8">
        <f t="shared" si="43"/>
        <v>0.11660079051383399</v>
      </c>
      <c r="L367" s="13">
        <f t="shared" si="44"/>
        <v>-0.93645665051157789</v>
      </c>
      <c r="M367" t="str">
        <f t="shared" si="45"/>
        <v>up</v>
      </c>
      <c r="N367">
        <f t="shared" si="46"/>
        <v>3</v>
      </c>
      <c r="Q367" s="8" t="str">
        <f t="shared" si="47"/>
        <v/>
      </c>
    </row>
    <row r="368" spans="1:17">
      <c r="A368" s="3">
        <v>2</v>
      </c>
      <c r="B368" t="s">
        <v>769</v>
      </c>
      <c r="C368" s="11">
        <v>45594</v>
      </c>
      <c r="D368">
        <v>0.496</v>
      </c>
      <c r="E368">
        <v>0.62</v>
      </c>
      <c r="F368">
        <v>0.47</v>
      </c>
      <c r="G368">
        <f>INDEX('اسعار الاسهم'!A:B,MATCH(B368,'اسعار الاسهم'!K:K,0),2)</f>
        <v>0.34</v>
      </c>
      <c r="H368" s="8">
        <f t="shared" si="40"/>
        <v>-0.31451612903225801</v>
      </c>
      <c r="I368" s="8">
        <f t="shared" si="41"/>
        <v>0.82352941176470584</v>
      </c>
      <c r="J368" s="8">
        <f t="shared" si="42"/>
        <v>-0.38235294117647034</v>
      </c>
      <c r="K368" s="8">
        <f t="shared" si="43"/>
        <v>0.31914893617021289</v>
      </c>
      <c r="L368" s="13">
        <f t="shared" si="44"/>
        <v>-2.1538461538461551</v>
      </c>
      <c r="M368" t="str">
        <f t="shared" si="45"/>
        <v>down</v>
      </c>
      <c r="N368">
        <f t="shared" si="46"/>
        <v>2</v>
      </c>
      <c r="Q368" s="8" t="str">
        <f t="shared" si="47"/>
        <v/>
      </c>
    </row>
    <row r="369" spans="1:17">
      <c r="A369" s="3">
        <v>1</v>
      </c>
      <c r="B369" t="s">
        <v>760</v>
      </c>
      <c r="C369" s="11">
        <v>45585</v>
      </c>
      <c r="D369">
        <v>33.700000000000003</v>
      </c>
      <c r="E369">
        <v>41.8</v>
      </c>
      <c r="F369">
        <v>31.3</v>
      </c>
      <c r="G369">
        <f>INDEX('اسعار الاسهم'!A:B,MATCH(B369,'اسعار الاسهم'!K:K,0),2)</f>
        <v>41.67</v>
      </c>
      <c r="H369" s="8">
        <f t="shared" si="40"/>
        <v>0.23649851632047469</v>
      </c>
      <c r="I369" s="8">
        <f t="shared" si="41"/>
        <v>3.1197504199662607E-3</v>
      </c>
      <c r="J369" s="8">
        <f t="shared" si="42"/>
        <v>0.24886009119270458</v>
      </c>
      <c r="K369" s="8">
        <f t="shared" si="43"/>
        <v>0.3354632587859423</v>
      </c>
      <c r="L369" s="13" t="str">
        <f t="shared" si="44"/>
        <v/>
      </c>
      <c r="M369" t="str">
        <f t="shared" si="45"/>
        <v>up</v>
      </c>
      <c r="N369">
        <f t="shared" si="46"/>
        <v>2</v>
      </c>
      <c r="P369">
        <v>50</v>
      </c>
      <c r="Q369" s="8">
        <f t="shared" si="47"/>
        <v>-7.1216617210682509E-2</v>
      </c>
    </row>
    <row r="370" spans="1:17">
      <c r="G370" t="e">
        <f>INDEX('اسعار الاسهم'!A:B,MATCH(B370,'اسعار الاسهم'!K:K,0),2)</f>
        <v>#N/A</v>
      </c>
      <c r="H370" s="8" t="e">
        <f t="shared" si="40"/>
        <v>#N/A</v>
      </c>
      <c r="I370" s="8" t="e">
        <f t="shared" si="41"/>
        <v>#N/A</v>
      </c>
      <c r="J370" s="8" t="e">
        <f t="shared" si="42"/>
        <v>#N/A</v>
      </c>
      <c r="K370" s="8" t="e">
        <f t="shared" si="43"/>
        <v>#DIV/0!</v>
      </c>
      <c r="L370" s="13" t="e">
        <f t="shared" si="44"/>
        <v>#N/A</v>
      </c>
      <c r="M370" t="e">
        <f t="shared" si="45"/>
        <v>#N/A</v>
      </c>
      <c r="N370">
        <f t="shared" si="46"/>
        <v>0</v>
      </c>
      <c r="Q370" s="8" t="str">
        <f t="shared" si="47"/>
        <v/>
      </c>
    </row>
    <row r="371" spans="1:17">
      <c r="G371" t="e">
        <f>INDEX('اسعار الاسهم'!A:B,MATCH(B371,'اسعار الاسهم'!K:K,0),2)</f>
        <v>#N/A</v>
      </c>
      <c r="H371" s="8" t="e">
        <f t="shared" si="40"/>
        <v>#N/A</v>
      </c>
      <c r="I371" s="8" t="e">
        <f t="shared" si="41"/>
        <v>#N/A</v>
      </c>
      <c r="J371" s="8" t="e">
        <f t="shared" si="42"/>
        <v>#N/A</v>
      </c>
      <c r="K371" s="8" t="e">
        <f t="shared" si="43"/>
        <v>#DIV/0!</v>
      </c>
      <c r="L371" s="13" t="e">
        <f t="shared" si="44"/>
        <v>#N/A</v>
      </c>
      <c r="M371" t="e">
        <f t="shared" si="45"/>
        <v>#N/A</v>
      </c>
      <c r="N371">
        <f t="shared" si="46"/>
        <v>0</v>
      </c>
      <c r="Q371" s="8" t="str">
        <f t="shared" si="47"/>
        <v/>
      </c>
    </row>
    <row r="372" spans="1:17">
      <c r="G372" t="e">
        <f>INDEX('اسعار الاسهم'!A:B,MATCH(B372,'اسعار الاسهم'!K:K,0),2)</f>
        <v>#N/A</v>
      </c>
      <c r="H372" s="8" t="e">
        <f t="shared" si="40"/>
        <v>#N/A</v>
      </c>
      <c r="I372" s="8" t="e">
        <f t="shared" si="41"/>
        <v>#N/A</v>
      </c>
      <c r="J372" s="8" t="e">
        <f t="shared" si="42"/>
        <v>#N/A</v>
      </c>
      <c r="K372" s="8" t="e">
        <f t="shared" si="43"/>
        <v>#DIV/0!</v>
      </c>
      <c r="L372" s="13" t="e">
        <f t="shared" si="44"/>
        <v>#N/A</v>
      </c>
      <c r="M372" t="e">
        <f t="shared" si="45"/>
        <v>#N/A</v>
      </c>
      <c r="N372">
        <f t="shared" si="46"/>
        <v>0</v>
      </c>
      <c r="Q372" s="8" t="str">
        <f t="shared" si="47"/>
        <v/>
      </c>
    </row>
    <row r="373" spans="1:17">
      <c r="G373" t="e">
        <f>INDEX('اسعار الاسهم'!A:B,MATCH(B373,'اسعار الاسهم'!K:K,0),2)</f>
        <v>#N/A</v>
      </c>
      <c r="H373" s="8" t="e">
        <f t="shared" si="40"/>
        <v>#N/A</v>
      </c>
      <c r="I373" s="8" t="e">
        <f t="shared" si="41"/>
        <v>#N/A</v>
      </c>
      <c r="J373" s="8" t="e">
        <f t="shared" si="42"/>
        <v>#N/A</v>
      </c>
      <c r="K373" s="8" t="e">
        <f t="shared" si="43"/>
        <v>#DIV/0!</v>
      </c>
      <c r="L373" s="13" t="e">
        <f t="shared" si="44"/>
        <v>#N/A</v>
      </c>
      <c r="M373" t="e">
        <f t="shared" si="45"/>
        <v>#N/A</v>
      </c>
      <c r="N373">
        <f t="shared" si="46"/>
        <v>0</v>
      </c>
      <c r="Q373" s="8" t="str">
        <f t="shared" si="47"/>
        <v/>
      </c>
    </row>
    <row r="374" spans="1:17">
      <c r="G374" t="e">
        <f>INDEX('اسعار الاسهم'!A:B,MATCH(B374,'اسعار الاسهم'!K:K,0),2)</f>
        <v>#N/A</v>
      </c>
      <c r="H374" s="8" t="e">
        <f t="shared" si="40"/>
        <v>#N/A</v>
      </c>
      <c r="I374" s="8" t="e">
        <f t="shared" si="41"/>
        <v>#N/A</v>
      </c>
      <c r="J374" s="8" t="e">
        <f t="shared" si="42"/>
        <v>#N/A</v>
      </c>
      <c r="K374" s="8" t="e">
        <f t="shared" si="43"/>
        <v>#DIV/0!</v>
      </c>
      <c r="L374" s="13" t="e">
        <f t="shared" si="44"/>
        <v>#N/A</v>
      </c>
      <c r="M374" t="e">
        <f t="shared" si="45"/>
        <v>#N/A</v>
      </c>
      <c r="N374">
        <f t="shared" si="46"/>
        <v>0</v>
      </c>
      <c r="Q374" s="8" t="str">
        <f t="shared" si="47"/>
        <v/>
      </c>
    </row>
    <row r="375" spans="1:17">
      <c r="G375" t="e">
        <f>INDEX('اسعار الاسهم'!A:B,MATCH(B375,'اسعار الاسهم'!K:K,0),2)</f>
        <v>#N/A</v>
      </c>
      <c r="H375" s="8" t="e">
        <f t="shared" si="40"/>
        <v>#N/A</v>
      </c>
      <c r="I375" s="8" t="e">
        <f t="shared" si="41"/>
        <v>#N/A</v>
      </c>
      <c r="J375" s="8" t="e">
        <f t="shared" si="42"/>
        <v>#N/A</v>
      </c>
      <c r="K375" s="8" t="e">
        <f t="shared" si="43"/>
        <v>#DIV/0!</v>
      </c>
      <c r="L375" s="13" t="e">
        <f t="shared" si="44"/>
        <v>#N/A</v>
      </c>
      <c r="M375" t="e">
        <f t="shared" si="45"/>
        <v>#N/A</v>
      </c>
      <c r="N375">
        <f t="shared" si="46"/>
        <v>0</v>
      </c>
      <c r="Q375" s="8" t="str">
        <f t="shared" si="47"/>
        <v/>
      </c>
    </row>
    <row r="376" spans="1:17">
      <c r="G376" t="e">
        <f>INDEX('اسعار الاسهم'!A:B,MATCH(B376,'اسعار الاسهم'!K:K,0),2)</f>
        <v>#N/A</v>
      </c>
      <c r="H376" s="8" t="e">
        <f t="shared" si="40"/>
        <v>#N/A</v>
      </c>
      <c r="I376" s="8" t="e">
        <f t="shared" si="41"/>
        <v>#N/A</v>
      </c>
      <c r="J376" s="8" t="e">
        <f t="shared" si="42"/>
        <v>#N/A</v>
      </c>
      <c r="K376" s="8" t="e">
        <f t="shared" si="43"/>
        <v>#DIV/0!</v>
      </c>
      <c r="L376" s="13" t="e">
        <f t="shared" si="44"/>
        <v>#N/A</v>
      </c>
      <c r="M376" t="e">
        <f t="shared" si="45"/>
        <v>#N/A</v>
      </c>
      <c r="N376">
        <f t="shared" si="46"/>
        <v>0</v>
      </c>
      <c r="Q376" s="8" t="str">
        <f t="shared" si="47"/>
        <v/>
      </c>
    </row>
    <row r="377" spans="1:17">
      <c r="G377" t="e">
        <f>INDEX('اسعار الاسهم'!A:B,MATCH(B377,'اسعار الاسهم'!K:K,0),2)</f>
        <v>#N/A</v>
      </c>
      <c r="H377" s="8" t="e">
        <f t="shared" si="40"/>
        <v>#N/A</v>
      </c>
      <c r="I377" s="8" t="e">
        <f t="shared" si="41"/>
        <v>#N/A</v>
      </c>
      <c r="J377" s="8" t="e">
        <f t="shared" si="42"/>
        <v>#N/A</v>
      </c>
      <c r="K377" s="8" t="e">
        <f t="shared" si="43"/>
        <v>#DIV/0!</v>
      </c>
      <c r="L377" s="13" t="e">
        <f t="shared" si="44"/>
        <v>#N/A</v>
      </c>
      <c r="M377" t="e">
        <f t="shared" si="45"/>
        <v>#N/A</v>
      </c>
      <c r="N377">
        <f t="shared" si="46"/>
        <v>0</v>
      </c>
      <c r="Q377" s="8" t="str">
        <f t="shared" si="47"/>
        <v/>
      </c>
    </row>
    <row r="378" spans="1:17">
      <c r="G378" t="e">
        <f>INDEX('اسعار الاسهم'!A:B,MATCH(B378,'اسعار الاسهم'!K:K,0),2)</f>
        <v>#N/A</v>
      </c>
      <c r="H378" s="8" t="e">
        <f t="shared" si="40"/>
        <v>#N/A</v>
      </c>
      <c r="I378" s="8" t="e">
        <f t="shared" si="41"/>
        <v>#N/A</v>
      </c>
      <c r="J378" s="8" t="e">
        <f t="shared" si="42"/>
        <v>#N/A</v>
      </c>
      <c r="K378" s="8" t="e">
        <f t="shared" si="43"/>
        <v>#DIV/0!</v>
      </c>
      <c r="L378" s="13" t="e">
        <f t="shared" si="44"/>
        <v>#N/A</v>
      </c>
      <c r="M378" t="e">
        <f t="shared" si="45"/>
        <v>#N/A</v>
      </c>
      <c r="N378">
        <f t="shared" si="46"/>
        <v>0</v>
      </c>
      <c r="Q378" s="8" t="str">
        <f t="shared" si="47"/>
        <v/>
      </c>
    </row>
    <row r="379" spans="1:17">
      <c r="G379" t="e">
        <f>INDEX('اسعار الاسهم'!A:B,MATCH(B379,'اسعار الاسهم'!K:K,0),2)</f>
        <v>#N/A</v>
      </c>
      <c r="H379" s="8" t="e">
        <f t="shared" si="40"/>
        <v>#N/A</v>
      </c>
      <c r="I379" s="8" t="e">
        <f t="shared" si="41"/>
        <v>#N/A</v>
      </c>
      <c r="J379" s="8" t="e">
        <f t="shared" si="42"/>
        <v>#N/A</v>
      </c>
      <c r="K379" s="8" t="e">
        <f t="shared" si="43"/>
        <v>#DIV/0!</v>
      </c>
      <c r="L379" s="13" t="e">
        <f t="shared" si="44"/>
        <v>#N/A</v>
      </c>
      <c r="M379" t="e">
        <f t="shared" si="45"/>
        <v>#N/A</v>
      </c>
      <c r="N379">
        <f t="shared" si="46"/>
        <v>0</v>
      </c>
      <c r="Q379" s="8" t="str">
        <f t="shared" si="47"/>
        <v/>
      </c>
    </row>
    <row r="380" spans="1:17">
      <c r="G380" t="e">
        <f>INDEX('اسعار الاسهم'!A:B,MATCH(B380,'اسعار الاسهم'!K:K,0),2)</f>
        <v>#N/A</v>
      </c>
      <c r="H380" s="8" t="e">
        <f t="shared" si="40"/>
        <v>#N/A</v>
      </c>
      <c r="I380" s="8" t="e">
        <f t="shared" si="41"/>
        <v>#N/A</v>
      </c>
      <c r="J380" s="8" t="e">
        <f t="shared" si="42"/>
        <v>#N/A</v>
      </c>
      <c r="K380" s="8" t="e">
        <f t="shared" si="43"/>
        <v>#DIV/0!</v>
      </c>
      <c r="L380" s="13" t="e">
        <f t="shared" si="44"/>
        <v>#N/A</v>
      </c>
      <c r="M380" t="e">
        <f t="shared" si="45"/>
        <v>#N/A</v>
      </c>
      <c r="N380">
        <f t="shared" si="46"/>
        <v>0</v>
      </c>
      <c r="Q380" s="8" t="str">
        <f t="shared" si="47"/>
        <v/>
      </c>
    </row>
    <row r="381" spans="1:17">
      <c r="G381" t="e">
        <f>INDEX('اسعار الاسهم'!A:B,MATCH(B381,'اسعار الاسهم'!K:K,0),2)</f>
        <v>#N/A</v>
      </c>
      <c r="H381" s="8" t="e">
        <f t="shared" si="40"/>
        <v>#N/A</v>
      </c>
      <c r="I381" s="8" t="e">
        <f t="shared" si="41"/>
        <v>#N/A</v>
      </c>
      <c r="J381" s="8" t="e">
        <f t="shared" si="42"/>
        <v>#N/A</v>
      </c>
      <c r="K381" s="8" t="e">
        <f t="shared" si="43"/>
        <v>#DIV/0!</v>
      </c>
      <c r="L381" s="13" t="e">
        <f t="shared" si="44"/>
        <v>#N/A</v>
      </c>
      <c r="M381" t="e">
        <f t="shared" si="45"/>
        <v>#N/A</v>
      </c>
      <c r="N381">
        <f t="shared" si="46"/>
        <v>0</v>
      </c>
      <c r="Q381" s="8" t="str">
        <f t="shared" si="47"/>
        <v/>
      </c>
    </row>
    <row r="382" spans="1:17">
      <c r="G382" t="e">
        <f>INDEX('اسعار الاسهم'!A:B,MATCH(B382,'اسعار الاسهم'!K:K,0),2)</f>
        <v>#N/A</v>
      </c>
      <c r="H382" s="8" t="e">
        <f t="shared" si="40"/>
        <v>#N/A</v>
      </c>
      <c r="I382" s="8" t="e">
        <f t="shared" si="41"/>
        <v>#N/A</v>
      </c>
      <c r="J382" s="8" t="e">
        <f t="shared" si="42"/>
        <v>#N/A</v>
      </c>
      <c r="K382" s="8" t="e">
        <f t="shared" si="43"/>
        <v>#DIV/0!</v>
      </c>
      <c r="L382" s="13" t="e">
        <f t="shared" si="44"/>
        <v>#N/A</v>
      </c>
      <c r="M382" t="e">
        <f t="shared" si="45"/>
        <v>#N/A</v>
      </c>
      <c r="N382">
        <f t="shared" si="46"/>
        <v>0</v>
      </c>
      <c r="Q382" s="8" t="str">
        <f t="shared" si="47"/>
        <v/>
      </c>
    </row>
    <row r="383" spans="1:17">
      <c r="G383" t="e">
        <f>INDEX('اسعار الاسهم'!A:B,MATCH(B383,'اسعار الاسهم'!K:K,0),2)</f>
        <v>#N/A</v>
      </c>
      <c r="H383" s="8" t="e">
        <f t="shared" si="40"/>
        <v>#N/A</v>
      </c>
      <c r="I383" s="8" t="e">
        <f t="shared" si="41"/>
        <v>#N/A</v>
      </c>
      <c r="J383" s="8" t="e">
        <f t="shared" si="42"/>
        <v>#N/A</v>
      </c>
      <c r="K383" s="8" t="e">
        <f t="shared" si="43"/>
        <v>#DIV/0!</v>
      </c>
      <c r="L383" s="13" t="e">
        <f t="shared" si="44"/>
        <v>#N/A</v>
      </c>
      <c r="M383" t="e">
        <f t="shared" si="45"/>
        <v>#N/A</v>
      </c>
      <c r="N383">
        <f t="shared" si="46"/>
        <v>0</v>
      </c>
      <c r="Q383" s="8" t="str">
        <f t="shared" si="47"/>
        <v/>
      </c>
    </row>
    <row r="384" spans="1:17">
      <c r="G384" t="e">
        <f>INDEX('اسعار الاسهم'!A:B,MATCH(B384,'اسعار الاسهم'!K:K,0),2)</f>
        <v>#N/A</v>
      </c>
      <c r="H384" s="8" t="e">
        <f t="shared" si="40"/>
        <v>#N/A</v>
      </c>
      <c r="I384" s="8" t="e">
        <f t="shared" si="41"/>
        <v>#N/A</v>
      </c>
      <c r="J384" s="8" t="e">
        <f t="shared" si="42"/>
        <v>#N/A</v>
      </c>
      <c r="K384" s="8" t="e">
        <f t="shared" si="43"/>
        <v>#DIV/0!</v>
      </c>
      <c r="L384" s="13" t="e">
        <f t="shared" si="44"/>
        <v>#N/A</v>
      </c>
      <c r="M384" t="e">
        <f t="shared" si="45"/>
        <v>#N/A</v>
      </c>
      <c r="N384">
        <f t="shared" si="46"/>
        <v>0</v>
      </c>
      <c r="Q384" s="8" t="str">
        <f t="shared" si="47"/>
        <v/>
      </c>
    </row>
    <row r="385" spans="7:17">
      <c r="G385" t="e">
        <f>INDEX('اسعار الاسهم'!A:B,MATCH(B385,'اسعار الاسهم'!K:K,0),2)</f>
        <v>#N/A</v>
      </c>
      <c r="H385" s="8" t="e">
        <f t="shared" si="40"/>
        <v>#N/A</v>
      </c>
      <c r="I385" s="8" t="e">
        <f t="shared" si="41"/>
        <v>#N/A</v>
      </c>
      <c r="J385" s="8" t="e">
        <f t="shared" si="42"/>
        <v>#N/A</v>
      </c>
      <c r="K385" s="8" t="e">
        <f t="shared" si="43"/>
        <v>#DIV/0!</v>
      </c>
      <c r="L385" s="13" t="e">
        <f t="shared" si="44"/>
        <v>#N/A</v>
      </c>
      <c r="M385" t="e">
        <f t="shared" si="45"/>
        <v>#N/A</v>
      </c>
      <c r="N385">
        <f t="shared" si="46"/>
        <v>0</v>
      </c>
      <c r="Q385" s="8" t="str">
        <f t="shared" si="47"/>
        <v/>
      </c>
    </row>
    <row r="386" spans="7:17">
      <c r="G386" t="e">
        <f>INDEX('اسعار الاسهم'!A:B,MATCH(B386,'اسعار الاسهم'!K:K,0),2)</f>
        <v>#N/A</v>
      </c>
      <c r="H386" s="8" t="e">
        <f t="shared" ref="H386:H449" si="48">IF(O386="", G386/D386-1,"")</f>
        <v>#N/A</v>
      </c>
      <c r="I386" s="8" t="e">
        <f t="shared" ref="I386:I449" si="49">IF(O386="", E386/G386-1,"")</f>
        <v>#N/A</v>
      </c>
      <c r="J386" s="8" t="e">
        <f t="shared" ref="J386:J449" si="50">IF(O386="",  1-F386/G386,"")</f>
        <v>#N/A</v>
      </c>
      <c r="K386" s="8" t="e">
        <f t="shared" ref="K386:K449" si="51">E386/F386-1</f>
        <v>#DIV/0!</v>
      </c>
      <c r="L386" s="13" t="e">
        <f t="shared" ref="L386:L449" si="52">IF( P386="",I386/J386,"")</f>
        <v>#N/A</v>
      </c>
      <c r="M386" t="e">
        <f t="shared" ref="M386:M449" si="53">IF(O386="",IF(I386&lt;J386,"up","down"),"")</f>
        <v>#N/A</v>
      </c>
      <c r="N386">
        <f t="shared" ref="N386:N449" si="54">COUNTIFS(B:B,B386,O:O,"")</f>
        <v>0</v>
      </c>
      <c r="Q386" s="8" t="str">
        <f t="shared" ref="Q386:Q449" si="55">IF(NOT( P386=""),IF(O386=1,E386/D386-1,F386/D386-1),"")</f>
        <v/>
      </c>
    </row>
    <row r="387" spans="7:17">
      <c r="G387" t="e">
        <f>INDEX('اسعار الاسهم'!A:B,MATCH(B387,'اسعار الاسهم'!K:K,0),2)</f>
        <v>#N/A</v>
      </c>
      <c r="H387" s="8" t="e">
        <f t="shared" si="48"/>
        <v>#N/A</v>
      </c>
      <c r="I387" s="8" t="e">
        <f t="shared" si="49"/>
        <v>#N/A</v>
      </c>
      <c r="J387" s="8" t="e">
        <f t="shared" si="50"/>
        <v>#N/A</v>
      </c>
      <c r="K387" s="8" t="e">
        <f t="shared" si="51"/>
        <v>#DIV/0!</v>
      </c>
      <c r="L387" s="13" t="e">
        <f t="shared" si="52"/>
        <v>#N/A</v>
      </c>
      <c r="M387" t="e">
        <f t="shared" si="53"/>
        <v>#N/A</v>
      </c>
      <c r="N387">
        <f t="shared" si="54"/>
        <v>0</v>
      </c>
      <c r="Q387" s="8" t="str">
        <f t="shared" si="55"/>
        <v/>
      </c>
    </row>
    <row r="388" spans="7:17">
      <c r="G388" t="e">
        <f>INDEX('اسعار الاسهم'!A:B,MATCH(B388,'اسعار الاسهم'!K:K,0),2)</f>
        <v>#N/A</v>
      </c>
      <c r="H388" s="8" t="e">
        <f t="shared" si="48"/>
        <v>#N/A</v>
      </c>
      <c r="I388" s="8" t="e">
        <f t="shared" si="49"/>
        <v>#N/A</v>
      </c>
      <c r="J388" s="8" t="e">
        <f t="shared" si="50"/>
        <v>#N/A</v>
      </c>
      <c r="K388" s="8" t="e">
        <f t="shared" si="51"/>
        <v>#DIV/0!</v>
      </c>
      <c r="L388" s="13" t="e">
        <f t="shared" si="52"/>
        <v>#N/A</v>
      </c>
      <c r="M388" t="e">
        <f t="shared" si="53"/>
        <v>#N/A</v>
      </c>
      <c r="N388">
        <f t="shared" si="54"/>
        <v>0</v>
      </c>
      <c r="Q388" s="8" t="str">
        <f t="shared" si="55"/>
        <v/>
      </c>
    </row>
    <row r="389" spans="7:17">
      <c r="G389" t="e">
        <f>INDEX('اسعار الاسهم'!A:B,MATCH(B389,'اسعار الاسهم'!K:K,0),2)</f>
        <v>#N/A</v>
      </c>
      <c r="H389" s="8" t="e">
        <f t="shared" si="48"/>
        <v>#N/A</v>
      </c>
      <c r="I389" s="8" t="e">
        <f t="shared" si="49"/>
        <v>#N/A</v>
      </c>
      <c r="J389" s="8" t="e">
        <f t="shared" si="50"/>
        <v>#N/A</v>
      </c>
      <c r="K389" s="8" t="e">
        <f t="shared" si="51"/>
        <v>#DIV/0!</v>
      </c>
      <c r="L389" s="13" t="e">
        <f t="shared" si="52"/>
        <v>#N/A</v>
      </c>
      <c r="M389" t="e">
        <f t="shared" si="53"/>
        <v>#N/A</v>
      </c>
      <c r="N389">
        <f t="shared" si="54"/>
        <v>0</v>
      </c>
      <c r="Q389" s="8" t="str">
        <f t="shared" si="55"/>
        <v/>
      </c>
    </row>
    <row r="390" spans="7:17">
      <c r="G390" t="e">
        <f>INDEX('اسعار الاسهم'!A:B,MATCH(B390,'اسعار الاسهم'!K:K,0),2)</f>
        <v>#N/A</v>
      </c>
      <c r="H390" s="8" t="e">
        <f t="shared" si="48"/>
        <v>#N/A</v>
      </c>
      <c r="I390" s="8" t="e">
        <f t="shared" si="49"/>
        <v>#N/A</v>
      </c>
      <c r="J390" s="8" t="e">
        <f t="shared" si="50"/>
        <v>#N/A</v>
      </c>
      <c r="K390" s="8" t="e">
        <f t="shared" si="51"/>
        <v>#DIV/0!</v>
      </c>
      <c r="L390" s="13" t="e">
        <f t="shared" si="52"/>
        <v>#N/A</v>
      </c>
      <c r="M390" t="e">
        <f t="shared" si="53"/>
        <v>#N/A</v>
      </c>
      <c r="N390">
        <f t="shared" si="54"/>
        <v>0</v>
      </c>
      <c r="Q390" s="8" t="str">
        <f t="shared" si="55"/>
        <v/>
      </c>
    </row>
    <row r="391" spans="7:17">
      <c r="G391" t="e">
        <f>INDEX('اسعار الاسهم'!A:B,MATCH(B391,'اسعار الاسهم'!K:K,0),2)</f>
        <v>#N/A</v>
      </c>
      <c r="H391" s="8" t="e">
        <f t="shared" si="48"/>
        <v>#N/A</v>
      </c>
      <c r="I391" s="8" t="e">
        <f t="shared" si="49"/>
        <v>#N/A</v>
      </c>
      <c r="J391" s="8" t="e">
        <f t="shared" si="50"/>
        <v>#N/A</v>
      </c>
      <c r="K391" s="8" t="e">
        <f t="shared" si="51"/>
        <v>#DIV/0!</v>
      </c>
      <c r="L391" s="13" t="e">
        <f t="shared" si="52"/>
        <v>#N/A</v>
      </c>
      <c r="M391" t="e">
        <f t="shared" si="53"/>
        <v>#N/A</v>
      </c>
      <c r="N391">
        <f t="shared" si="54"/>
        <v>0</v>
      </c>
      <c r="Q391" s="8" t="str">
        <f t="shared" si="55"/>
        <v/>
      </c>
    </row>
    <row r="392" spans="7:17">
      <c r="G392" t="e">
        <f>INDEX('اسعار الاسهم'!A:B,MATCH(B392,'اسعار الاسهم'!K:K,0),2)</f>
        <v>#N/A</v>
      </c>
      <c r="H392" s="8" t="e">
        <f t="shared" si="48"/>
        <v>#N/A</v>
      </c>
      <c r="I392" s="8" t="e">
        <f t="shared" si="49"/>
        <v>#N/A</v>
      </c>
      <c r="J392" s="8" t="e">
        <f t="shared" si="50"/>
        <v>#N/A</v>
      </c>
      <c r="K392" s="8" t="e">
        <f t="shared" si="51"/>
        <v>#DIV/0!</v>
      </c>
      <c r="L392" s="13" t="e">
        <f t="shared" si="52"/>
        <v>#N/A</v>
      </c>
      <c r="M392" t="e">
        <f t="shared" si="53"/>
        <v>#N/A</v>
      </c>
      <c r="N392">
        <f t="shared" si="54"/>
        <v>0</v>
      </c>
      <c r="Q392" s="8" t="str">
        <f t="shared" si="55"/>
        <v/>
      </c>
    </row>
    <row r="393" spans="7:17">
      <c r="G393" t="e">
        <f>INDEX('اسعار الاسهم'!A:B,MATCH(B393,'اسعار الاسهم'!K:K,0),2)</f>
        <v>#N/A</v>
      </c>
      <c r="H393" s="8" t="e">
        <f t="shared" si="48"/>
        <v>#N/A</v>
      </c>
      <c r="I393" s="8" t="e">
        <f t="shared" si="49"/>
        <v>#N/A</v>
      </c>
      <c r="J393" s="8" t="e">
        <f t="shared" si="50"/>
        <v>#N/A</v>
      </c>
      <c r="K393" s="8" t="e">
        <f t="shared" si="51"/>
        <v>#DIV/0!</v>
      </c>
      <c r="L393" s="13" t="e">
        <f t="shared" si="52"/>
        <v>#N/A</v>
      </c>
      <c r="M393" t="e">
        <f t="shared" si="53"/>
        <v>#N/A</v>
      </c>
      <c r="N393">
        <f t="shared" si="54"/>
        <v>0</v>
      </c>
      <c r="Q393" s="8" t="str">
        <f t="shared" si="55"/>
        <v/>
      </c>
    </row>
    <row r="394" spans="7:17">
      <c r="G394" t="e">
        <f>INDEX('اسعار الاسهم'!A:B,MATCH(B394,'اسعار الاسهم'!K:K,0),2)</f>
        <v>#N/A</v>
      </c>
      <c r="H394" s="8" t="e">
        <f t="shared" si="48"/>
        <v>#N/A</v>
      </c>
      <c r="I394" s="8" t="e">
        <f t="shared" si="49"/>
        <v>#N/A</v>
      </c>
      <c r="J394" s="8" t="e">
        <f t="shared" si="50"/>
        <v>#N/A</v>
      </c>
      <c r="K394" s="8" t="e">
        <f t="shared" si="51"/>
        <v>#DIV/0!</v>
      </c>
      <c r="L394" s="13" t="e">
        <f t="shared" si="52"/>
        <v>#N/A</v>
      </c>
      <c r="M394" t="e">
        <f t="shared" si="53"/>
        <v>#N/A</v>
      </c>
      <c r="N394">
        <f t="shared" si="54"/>
        <v>0</v>
      </c>
      <c r="Q394" s="8" t="str">
        <f t="shared" si="55"/>
        <v/>
      </c>
    </row>
    <row r="395" spans="7:17">
      <c r="G395" t="e">
        <f>INDEX('اسعار الاسهم'!A:B,MATCH(B395,'اسعار الاسهم'!K:K,0),2)</f>
        <v>#N/A</v>
      </c>
      <c r="H395" s="8" t="e">
        <f t="shared" si="48"/>
        <v>#N/A</v>
      </c>
      <c r="I395" s="8" t="e">
        <f t="shared" si="49"/>
        <v>#N/A</v>
      </c>
      <c r="J395" s="8" t="e">
        <f t="shared" si="50"/>
        <v>#N/A</v>
      </c>
      <c r="K395" s="8" t="e">
        <f t="shared" si="51"/>
        <v>#DIV/0!</v>
      </c>
      <c r="L395" s="13" t="e">
        <f t="shared" si="52"/>
        <v>#N/A</v>
      </c>
      <c r="M395" t="e">
        <f t="shared" si="53"/>
        <v>#N/A</v>
      </c>
      <c r="N395">
        <f t="shared" si="54"/>
        <v>0</v>
      </c>
      <c r="Q395" s="8" t="str">
        <f t="shared" si="55"/>
        <v/>
      </c>
    </row>
    <row r="396" spans="7:17">
      <c r="G396" t="e">
        <f>INDEX('اسعار الاسهم'!A:B,MATCH(B396,'اسعار الاسهم'!K:K,0),2)</f>
        <v>#N/A</v>
      </c>
      <c r="H396" s="8" t="e">
        <f t="shared" si="48"/>
        <v>#N/A</v>
      </c>
      <c r="I396" s="8" t="e">
        <f t="shared" si="49"/>
        <v>#N/A</v>
      </c>
      <c r="J396" s="8" t="e">
        <f t="shared" si="50"/>
        <v>#N/A</v>
      </c>
      <c r="K396" s="8" t="e">
        <f t="shared" si="51"/>
        <v>#DIV/0!</v>
      </c>
      <c r="L396" s="13" t="e">
        <f t="shared" si="52"/>
        <v>#N/A</v>
      </c>
      <c r="M396" t="e">
        <f t="shared" si="53"/>
        <v>#N/A</v>
      </c>
      <c r="N396">
        <f t="shared" si="54"/>
        <v>0</v>
      </c>
      <c r="Q396" s="8" t="str">
        <f t="shared" si="55"/>
        <v/>
      </c>
    </row>
    <row r="397" spans="7:17">
      <c r="G397" t="e">
        <f>INDEX('اسعار الاسهم'!A:B,MATCH(B397,'اسعار الاسهم'!K:K,0),2)</f>
        <v>#N/A</v>
      </c>
      <c r="H397" s="8" t="e">
        <f t="shared" si="48"/>
        <v>#N/A</v>
      </c>
      <c r="I397" s="8" t="e">
        <f t="shared" si="49"/>
        <v>#N/A</v>
      </c>
      <c r="J397" s="8" t="e">
        <f t="shared" si="50"/>
        <v>#N/A</v>
      </c>
      <c r="K397" s="8" t="e">
        <f t="shared" si="51"/>
        <v>#DIV/0!</v>
      </c>
      <c r="L397" s="13" t="e">
        <f t="shared" si="52"/>
        <v>#N/A</v>
      </c>
      <c r="M397" t="e">
        <f t="shared" si="53"/>
        <v>#N/A</v>
      </c>
      <c r="N397">
        <f t="shared" si="54"/>
        <v>0</v>
      </c>
      <c r="Q397" s="8" t="str">
        <f t="shared" si="55"/>
        <v/>
      </c>
    </row>
    <row r="398" spans="7:17">
      <c r="G398" t="e">
        <f>INDEX('اسعار الاسهم'!A:B,MATCH(B398,'اسعار الاسهم'!K:K,0),2)</f>
        <v>#N/A</v>
      </c>
      <c r="H398" s="8" t="e">
        <f t="shared" si="48"/>
        <v>#N/A</v>
      </c>
      <c r="I398" s="8" t="e">
        <f t="shared" si="49"/>
        <v>#N/A</v>
      </c>
      <c r="J398" s="8" t="e">
        <f t="shared" si="50"/>
        <v>#N/A</v>
      </c>
      <c r="K398" s="8" t="e">
        <f t="shared" si="51"/>
        <v>#DIV/0!</v>
      </c>
      <c r="L398" s="13" t="e">
        <f t="shared" si="52"/>
        <v>#N/A</v>
      </c>
      <c r="M398" t="e">
        <f t="shared" si="53"/>
        <v>#N/A</v>
      </c>
      <c r="N398">
        <f t="shared" si="54"/>
        <v>0</v>
      </c>
      <c r="Q398" s="8" t="str">
        <f t="shared" si="55"/>
        <v/>
      </c>
    </row>
    <row r="399" spans="7:17">
      <c r="G399" t="e">
        <f>INDEX('اسعار الاسهم'!A:B,MATCH(B399,'اسعار الاسهم'!K:K,0),2)</f>
        <v>#N/A</v>
      </c>
      <c r="H399" s="8" t="e">
        <f t="shared" si="48"/>
        <v>#N/A</v>
      </c>
      <c r="I399" s="8" t="e">
        <f t="shared" si="49"/>
        <v>#N/A</v>
      </c>
      <c r="J399" s="8" t="e">
        <f t="shared" si="50"/>
        <v>#N/A</v>
      </c>
      <c r="K399" s="8" t="e">
        <f t="shared" si="51"/>
        <v>#DIV/0!</v>
      </c>
      <c r="L399" s="13" t="e">
        <f t="shared" si="52"/>
        <v>#N/A</v>
      </c>
      <c r="M399" t="e">
        <f t="shared" si="53"/>
        <v>#N/A</v>
      </c>
      <c r="N399">
        <f t="shared" si="54"/>
        <v>0</v>
      </c>
      <c r="Q399" s="8" t="str">
        <f t="shared" si="55"/>
        <v/>
      </c>
    </row>
    <row r="400" spans="7:17">
      <c r="G400" t="e">
        <f>INDEX('اسعار الاسهم'!A:B,MATCH(B400,'اسعار الاسهم'!K:K,0),2)</f>
        <v>#N/A</v>
      </c>
      <c r="H400" s="8" t="e">
        <f t="shared" si="48"/>
        <v>#N/A</v>
      </c>
      <c r="I400" s="8" t="e">
        <f t="shared" si="49"/>
        <v>#N/A</v>
      </c>
      <c r="J400" s="8" t="e">
        <f t="shared" si="50"/>
        <v>#N/A</v>
      </c>
      <c r="K400" s="8" t="e">
        <f t="shared" si="51"/>
        <v>#DIV/0!</v>
      </c>
      <c r="L400" s="13" t="e">
        <f t="shared" si="52"/>
        <v>#N/A</v>
      </c>
      <c r="M400" t="e">
        <f t="shared" si="53"/>
        <v>#N/A</v>
      </c>
      <c r="N400">
        <f t="shared" si="54"/>
        <v>0</v>
      </c>
      <c r="Q400" s="8" t="str">
        <f t="shared" si="55"/>
        <v/>
      </c>
    </row>
    <row r="401" spans="7:17">
      <c r="G401" t="e">
        <f>INDEX('اسعار الاسهم'!A:B,MATCH(B401,'اسعار الاسهم'!K:K,0),2)</f>
        <v>#N/A</v>
      </c>
      <c r="H401" s="8" t="e">
        <f t="shared" si="48"/>
        <v>#N/A</v>
      </c>
      <c r="I401" s="8" t="e">
        <f t="shared" si="49"/>
        <v>#N/A</v>
      </c>
      <c r="J401" s="8" t="e">
        <f t="shared" si="50"/>
        <v>#N/A</v>
      </c>
      <c r="K401" s="8" t="e">
        <f t="shared" si="51"/>
        <v>#DIV/0!</v>
      </c>
      <c r="L401" s="13" t="e">
        <f t="shared" si="52"/>
        <v>#N/A</v>
      </c>
      <c r="M401" t="e">
        <f t="shared" si="53"/>
        <v>#N/A</v>
      </c>
      <c r="N401">
        <f t="shared" si="54"/>
        <v>0</v>
      </c>
      <c r="Q401" s="8" t="str">
        <f t="shared" si="55"/>
        <v/>
      </c>
    </row>
    <row r="402" spans="7:17">
      <c r="G402" t="e">
        <f>INDEX('اسعار الاسهم'!A:B,MATCH(B402,'اسعار الاسهم'!K:K,0),2)</f>
        <v>#N/A</v>
      </c>
      <c r="H402" s="8" t="e">
        <f t="shared" si="48"/>
        <v>#N/A</v>
      </c>
      <c r="I402" s="8" t="e">
        <f t="shared" si="49"/>
        <v>#N/A</v>
      </c>
      <c r="J402" s="8" t="e">
        <f t="shared" si="50"/>
        <v>#N/A</v>
      </c>
      <c r="K402" s="8" t="e">
        <f t="shared" si="51"/>
        <v>#DIV/0!</v>
      </c>
      <c r="L402" s="13" t="e">
        <f t="shared" si="52"/>
        <v>#N/A</v>
      </c>
      <c r="M402" t="e">
        <f t="shared" si="53"/>
        <v>#N/A</v>
      </c>
      <c r="N402">
        <f t="shared" si="54"/>
        <v>0</v>
      </c>
      <c r="Q402" s="8" t="str">
        <f t="shared" si="55"/>
        <v/>
      </c>
    </row>
    <row r="403" spans="7:17">
      <c r="G403" t="e">
        <f>INDEX('اسعار الاسهم'!A:B,MATCH(B403,'اسعار الاسهم'!K:K,0),2)</f>
        <v>#N/A</v>
      </c>
      <c r="H403" s="8" t="e">
        <f t="shared" si="48"/>
        <v>#N/A</v>
      </c>
      <c r="I403" s="8" t="e">
        <f t="shared" si="49"/>
        <v>#N/A</v>
      </c>
      <c r="J403" s="8" t="e">
        <f t="shared" si="50"/>
        <v>#N/A</v>
      </c>
      <c r="K403" s="8" t="e">
        <f t="shared" si="51"/>
        <v>#DIV/0!</v>
      </c>
      <c r="L403" s="13" t="e">
        <f t="shared" si="52"/>
        <v>#N/A</v>
      </c>
      <c r="M403" t="e">
        <f t="shared" si="53"/>
        <v>#N/A</v>
      </c>
      <c r="N403">
        <f t="shared" si="54"/>
        <v>0</v>
      </c>
      <c r="Q403" s="8" t="str">
        <f t="shared" si="55"/>
        <v/>
      </c>
    </row>
    <row r="404" spans="7:17">
      <c r="G404" t="e">
        <f>INDEX('اسعار الاسهم'!A:B,MATCH(B404,'اسعار الاسهم'!K:K,0),2)</f>
        <v>#N/A</v>
      </c>
      <c r="H404" s="8" t="e">
        <f t="shared" si="48"/>
        <v>#N/A</v>
      </c>
      <c r="I404" s="8" t="e">
        <f t="shared" si="49"/>
        <v>#N/A</v>
      </c>
      <c r="J404" s="8" t="e">
        <f t="shared" si="50"/>
        <v>#N/A</v>
      </c>
      <c r="K404" s="8" t="e">
        <f t="shared" si="51"/>
        <v>#DIV/0!</v>
      </c>
      <c r="L404" s="13" t="e">
        <f t="shared" si="52"/>
        <v>#N/A</v>
      </c>
      <c r="M404" t="e">
        <f t="shared" si="53"/>
        <v>#N/A</v>
      </c>
      <c r="N404">
        <f t="shared" si="54"/>
        <v>0</v>
      </c>
      <c r="Q404" s="8" t="str">
        <f t="shared" si="55"/>
        <v/>
      </c>
    </row>
    <row r="405" spans="7:17">
      <c r="G405" t="e">
        <f>INDEX('اسعار الاسهم'!A:B,MATCH(B405,'اسعار الاسهم'!K:K,0),2)</f>
        <v>#N/A</v>
      </c>
      <c r="H405" s="8" t="e">
        <f t="shared" si="48"/>
        <v>#N/A</v>
      </c>
      <c r="I405" s="8" t="e">
        <f t="shared" si="49"/>
        <v>#N/A</v>
      </c>
      <c r="J405" s="8" t="e">
        <f t="shared" si="50"/>
        <v>#N/A</v>
      </c>
      <c r="K405" s="8" t="e">
        <f t="shared" si="51"/>
        <v>#DIV/0!</v>
      </c>
      <c r="L405" s="13" t="e">
        <f t="shared" si="52"/>
        <v>#N/A</v>
      </c>
      <c r="M405" t="e">
        <f t="shared" si="53"/>
        <v>#N/A</v>
      </c>
      <c r="N405">
        <f t="shared" si="54"/>
        <v>0</v>
      </c>
      <c r="Q405" s="8" t="str">
        <f t="shared" si="55"/>
        <v/>
      </c>
    </row>
    <row r="406" spans="7:17">
      <c r="G406" t="e">
        <f>INDEX('اسعار الاسهم'!A:B,MATCH(B406,'اسعار الاسهم'!K:K,0),2)</f>
        <v>#N/A</v>
      </c>
      <c r="H406" s="8" t="e">
        <f t="shared" si="48"/>
        <v>#N/A</v>
      </c>
      <c r="I406" s="8" t="e">
        <f t="shared" si="49"/>
        <v>#N/A</v>
      </c>
      <c r="J406" s="8" t="e">
        <f t="shared" si="50"/>
        <v>#N/A</v>
      </c>
      <c r="K406" s="8" t="e">
        <f t="shared" si="51"/>
        <v>#DIV/0!</v>
      </c>
      <c r="L406" s="13" t="e">
        <f t="shared" si="52"/>
        <v>#N/A</v>
      </c>
      <c r="M406" t="e">
        <f t="shared" si="53"/>
        <v>#N/A</v>
      </c>
      <c r="N406">
        <f t="shared" si="54"/>
        <v>0</v>
      </c>
      <c r="Q406" s="8" t="str">
        <f t="shared" si="55"/>
        <v/>
      </c>
    </row>
    <row r="407" spans="7:17">
      <c r="G407" t="e">
        <f>INDEX('اسعار الاسهم'!A:B,MATCH(B407,'اسعار الاسهم'!K:K,0),2)</f>
        <v>#N/A</v>
      </c>
      <c r="H407" s="8" t="e">
        <f t="shared" si="48"/>
        <v>#N/A</v>
      </c>
      <c r="I407" s="8" t="e">
        <f t="shared" si="49"/>
        <v>#N/A</v>
      </c>
      <c r="J407" s="8" t="e">
        <f t="shared" si="50"/>
        <v>#N/A</v>
      </c>
      <c r="K407" s="8" t="e">
        <f t="shared" si="51"/>
        <v>#DIV/0!</v>
      </c>
      <c r="L407" s="13" t="e">
        <f t="shared" si="52"/>
        <v>#N/A</v>
      </c>
      <c r="M407" t="e">
        <f t="shared" si="53"/>
        <v>#N/A</v>
      </c>
      <c r="N407">
        <f t="shared" si="54"/>
        <v>0</v>
      </c>
      <c r="Q407" s="8" t="str">
        <f t="shared" si="55"/>
        <v/>
      </c>
    </row>
    <row r="408" spans="7:17">
      <c r="G408" t="e">
        <f>INDEX('اسعار الاسهم'!A:B,MATCH(B408,'اسعار الاسهم'!K:K,0),2)</f>
        <v>#N/A</v>
      </c>
      <c r="H408" s="8" t="e">
        <f t="shared" si="48"/>
        <v>#N/A</v>
      </c>
      <c r="I408" s="8" t="e">
        <f t="shared" si="49"/>
        <v>#N/A</v>
      </c>
      <c r="J408" s="8" t="e">
        <f t="shared" si="50"/>
        <v>#N/A</v>
      </c>
      <c r="K408" s="8" t="e">
        <f t="shared" si="51"/>
        <v>#DIV/0!</v>
      </c>
      <c r="L408" s="13" t="e">
        <f t="shared" si="52"/>
        <v>#N/A</v>
      </c>
      <c r="M408" t="e">
        <f t="shared" si="53"/>
        <v>#N/A</v>
      </c>
      <c r="N408">
        <f t="shared" si="54"/>
        <v>0</v>
      </c>
      <c r="Q408" s="8" t="str">
        <f t="shared" si="55"/>
        <v/>
      </c>
    </row>
    <row r="409" spans="7:17">
      <c r="G409" t="e">
        <f>INDEX('اسعار الاسهم'!A:B,MATCH(B409,'اسعار الاسهم'!K:K,0),2)</f>
        <v>#N/A</v>
      </c>
      <c r="H409" s="8" t="e">
        <f t="shared" si="48"/>
        <v>#N/A</v>
      </c>
      <c r="I409" s="8" t="e">
        <f t="shared" si="49"/>
        <v>#N/A</v>
      </c>
      <c r="J409" s="8" t="e">
        <f t="shared" si="50"/>
        <v>#N/A</v>
      </c>
      <c r="K409" s="8" t="e">
        <f t="shared" si="51"/>
        <v>#DIV/0!</v>
      </c>
      <c r="L409" s="13" t="e">
        <f t="shared" si="52"/>
        <v>#N/A</v>
      </c>
      <c r="M409" t="e">
        <f t="shared" si="53"/>
        <v>#N/A</v>
      </c>
      <c r="N409">
        <f t="shared" si="54"/>
        <v>0</v>
      </c>
      <c r="Q409" s="8" t="str">
        <f t="shared" si="55"/>
        <v/>
      </c>
    </row>
    <row r="410" spans="7:17">
      <c r="G410" t="e">
        <f>INDEX('اسعار الاسهم'!A:B,MATCH(B410,'اسعار الاسهم'!K:K,0),2)</f>
        <v>#N/A</v>
      </c>
      <c r="H410" s="8" t="e">
        <f t="shared" si="48"/>
        <v>#N/A</v>
      </c>
      <c r="I410" s="8" t="e">
        <f t="shared" si="49"/>
        <v>#N/A</v>
      </c>
      <c r="J410" s="8" t="e">
        <f t="shared" si="50"/>
        <v>#N/A</v>
      </c>
      <c r="K410" s="8" t="e">
        <f t="shared" si="51"/>
        <v>#DIV/0!</v>
      </c>
      <c r="L410" s="13" t="e">
        <f t="shared" si="52"/>
        <v>#N/A</v>
      </c>
      <c r="M410" t="e">
        <f t="shared" si="53"/>
        <v>#N/A</v>
      </c>
      <c r="N410">
        <f t="shared" si="54"/>
        <v>0</v>
      </c>
      <c r="Q410" s="8" t="str">
        <f t="shared" si="55"/>
        <v/>
      </c>
    </row>
    <row r="411" spans="7:17">
      <c r="G411" t="e">
        <f>INDEX('اسعار الاسهم'!A:B,MATCH(B411,'اسعار الاسهم'!K:K,0),2)</f>
        <v>#N/A</v>
      </c>
      <c r="H411" s="8" t="e">
        <f t="shared" si="48"/>
        <v>#N/A</v>
      </c>
      <c r="I411" s="8" t="e">
        <f t="shared" si="49"/>
        <v>#N/A</v>
      </c>
      <c r="J411" s="8" t="e">
        <f t="shared" si="50"/>
        <v>#N/A</v>
      </c>
      <c r="K411" s="8" t="e">
        <f t="shared" si="51"/>
        <v>#DIV/0!</v>
      </c>
      <c r="L411" s="13" t="e">
        <f t="shared" si="52"/>
        <v>#N/A</v>
      </c>
      <c r="M411" t="e">
        <f t="shared" si="53"/>
        <v>#N/A</v>
      </c>
      <c r="N411">
        <f t="shared" si="54"/>
        <v>0</v>
      </c>
      <c r="Q411" s="8" t="str">
        <f t="shared" si="55"/>
        <v/>
      </c>
    </row>
    <row r="412" spans="7:17">
      <c r="G412" t="e">
        <f>INDEX('اسعار الاسهم'!A:B,MATCH(B412,'اسعار الاسهم'!K:K,0),2)</f>
        <v>#N/A</v>
      </c>
      <c r="H412" s="8" t="e">
        <f t="shared" si="48"/>
        <v>#N/A</v>
      </c>
      <c r="I412" s="8" t="e">
        <f t="shared" si="49"/>
        <v>#N/A</v>
      </c>
      <c r="J412" s="8" t="e">
        <f t="shared" si="50"/>
        <v>#N/A</v>
      </c>
      <c r="K412" s="8" t="e">
        <f t="shared" si="51"/>
        <v>#DIV/0!</v>
      </c>
      <c r="L412" s="13" t="e">
        <f t="shared" si="52"/>
        <v>#N/A</v>
      </c>
      <c r="M412" t="e">
        <f t="shared" si="53"/>
        <v>#N/A</v>
      </c>
      <c r="N412">
        <f t="shared" si="54"/>
        <v>0</v>
      </c>
      <c r="Q412" s="8" t="str">
        <f t="shared" si="55"/>
        <v/>
      </c>
    </row>
    <row r="413" spans="7:17">
      <c r="G413" t="e">
        <f>INDEX('اسعار الاسهم'!A:B,MATCH(B413,'اسعار الاسهم'!K:K,0),2)</f>
        <v>#N/A</v>
      </c>
      <c r="H413" s="8" t="e">
        <f t="shared" si="48"/>
        <v>#N/A</v>
      </c>
      <c r="I413" s="8" t="e">
        <f t="shared" si="49"/>
        <v>#N/A</v>
      </c>
      <c r="J413" s="8" t="e">
        <f t="shared" si="50"/>
        <v>#N/A</v>
      </c>
      <c r="K413" s="8" t="e">
        <f t="shared" si="51"/>
        <v>#DIV/0!</v>
      </c>
      <c r="L413" s="13" t="e">
        <f t="shared" si="52"/>
        <v>#N/A</v>
      </c>
      <c r="M413" t="e">
        <f t="shared" si="53"/>
        <v>#N/A</v>
      </c>
      <c r="N413">
        <f t="shared" si="54"/>
        <v>0</v>
      </c>
      <c r="Q413" s="8" t="str">
        <f t="shared" si="55"/>
        <v/>
      </c>
    </row>
    <row r="414" spans="7:17">
      <c r="G414" t="e">
        <f>INDEX('اسعار الاسهم'!A:B,MATCH(B414,'اسعار الاسهم'!K:K,0),2)</f>
        <v>#N/A</v>
      </c>
      <c r="H414" s="8" t="e">
        <f t="shared" si="48"/>
        <v>#N/A</v>
      </c>
      <c r="I414" s="8" t="e">
        <f t="shared" si="49"/>
        <v>#N/A</v>
      </c>
      <c r="J414" s="8" t="e">
        <f t="shared" si="50"/>
        <v>#N/A</v>
      </c>
      <c r="K414" s="8" t="e">
        <f t="shared" si="51"/>
        <v>#DIV/0!</v>
      </c>
      <c r="L414" s="13" t="e">
        <f t="shared" si="52"/>
        <v>#N/A</v>
      </c>
      <c r="M414" t="e">
        <f t="shared" si="53"/>
        <v>#N/A</v>
      </c>
      <c r="N414">
        <f t="shared" si="54"/>
        <v>0</v>
      </c>
      <c r="Q414" s="8" t="str">
        <f t="shared" si="55"/>
        <v/>
      </c>
    </row>
    <row r="415" spans="7:17">
      <c r="G415" t="e">
        <f>INDEX('اسعار الاسهم'!A:B,MATCH(B415,'اسعار الاسهم'!K:K,0),2)</f>
        <v>#N/A</v>
      </c>
      <c r="H415" s="8" t="e">
        <f t="shared" si="48"/>
        <v>#N/A</v>
      </c>
      <c r="I415" s="8" t="e">
        <f t="shared" si="49"/>
        <v>#N/A</v>
      </c>
      <c r="J415" s="8" t="e">
        <f t="shared" si="50"/>
        <v>#N/A</v>
      </c>
      <c r="K415" s="8" t="e">
        <f t="shared" si="51"/>
        <v>#DIV/0!</v>
      </c>
      <c r="L415" s="13" t="e">
        <f t="shared" si="52"/>
        <v>#N/A</v>
      </c>
      <c r="M415" t="e">
        <f t="shared" si="53"/>
        <v>#N/A</v>
      </c>
      <c r="N415">
        <f t="shared" si="54"/>
        <v>0</v>
      </c>
      <c r="Q415" s="8" t="str">
        <f t="shared" si="55"/>
        <v/>
      </c>
    </row>
    <row r="416" spans="7:17">
      <c r="G416" t="e">
        <f>INDEX('اسعار الاسهم'!A:B,MATCH(B416,'اسعار الاسهم'!K:K,0),2)</f>
        <v>#N/A</v>
      </c>
      <c r="H416" s="8" t="e">
        <f t="shared" si="48"/>
        <v>#N/A</v>
      </c>
      <c r="I416" s="8" t="e">
        <f t="shared" si="49"/>
        <v>#N/A</v>
      </c>
      <c r="J416" s="8" t="e">
        <f t="shared" si="50"/>
        <v>#N/A</v>
      </c>
      <c r="K416" s="8" t="e">
        <f t="shared" si="51"/>
        <v>#DIV/0!</v>
      </c>
      <c r="L416" s="13" t="e">
        <f t="shared" si="52"/>
        <v>#N/A</v>
      </c>
      <c r="M416" t="e">
        <f t="shared" si="53"/>
        <v>#N/A</v>
      </c>
      <c r="N416">
        <f t="shared" si="54"/>
        <v>0</v>
      </c>
      <c r="Q416" s="8" t="str">
        <f t="shared" si="55"/>
        <v/>
      </c>
    </row>
    <row r="417" spans="7:17">
      <c r="G417" t="e">
        <f>INDEX('اسعار الاسهم'!A:B,MATCH(B417,'اسعار الاسهم'!K:K,0),2)</f>
        <v>#N/A</v>
      </c>
      <c r="H417" s="8" t="e">
        <f t="shared" si="48"/>
        <v>#N/A</v>
      </c>
      <c r="I417" s="8" t="e">
        <f t="shared" si="49"/>
        <v>#N/A</v>
      </c>
      <c r="J417" s="8" t="e">
        <f t="shared" si="50"/>
        <v>#N/A</v>
      </c>
      <c r="K417" s="8" t="e">
        <f t="shared" si="51"/>
        <v>#DIV/0!</v>
      </c>
      <c r="L417" s="13" t="e">
        <f t="shared" si="52"/>
        <v>#N/A</v>
      </c>
      <c r="M417" t="e">
        <f t="shared" si="53"/>
        <v>#N/A</v>
      </c>
      <c r="N417">
        <f t="shared" si="54"/>
        <v>0</v>
      </c>
      <c r="Q417" s="8" t="str">
        <f t="shared" si="55"/>
        <v/>
      </c>
    </row>
    <row r="418" spans="7:17">
      <c r="G418" t="e">
        <f>INDEX('اسعار الاسهم'!A:B,MATCH(B418,'اسعار الاسهم'!K:K,0),2)</f>
        <v>#N/A</v>
      </c>
      <c r="H418" s="8" t="e">
        <f t="shared" si="48"/>
        <v>#N/A</v>
      </c>
      <c r="I418" s="8" t="e">
        <f t="shared" si="49"/>
        <v>#N/A</v>
      </c>
      <c r="J418" s="8" t="e">
        <f t="shared" si="50"/>
        <v>#N/A</v>
      </c>
      <c r="K418" s="8" t="e">
        <f t="shared" si="51"/>
        <v>#DIV/0!</v>
      </c>
      <c r="L418" s="13" t="e">
        <f t="shared" si="52"/>
        <v>#N/A</v>
      </c>
      <c r="M418" t="e">
        <f t="shared" si="53"/>
        <v>#N/A</v>
      </c>
      <c r="N418">
        <f t="shared" si="54"/>
        <v>0</v>
      </c>
      <c r="Q418" s="8" t="str">
        <f t="shared" si="55"/>
        <v/>
      </c>
    </row>
    <row r="419" spans="7:17">
      <c r="G419" t="e">
        <f>INDEX('اسعار الاسهم'!A:B,MATCH(B419,'اسعار الاسهم'!K:K,0),2)</f>
        <v>#N/A</v>
      </c>
      <c r="H419" s="8" t="e">
        <f t="shared" si="48"/>
        <v>#N/A</v>
      </c>
      <c r="I419" s="8" t="e">
        <f t="shared" si="49"/>
        <v>#N/A</v>
      </c>
      <c r="J419" s="8" t="e">
        <f t="shared" si="50"/>
        <v>#N/A</v>
      </c>
      <c r="K419" s="8" t="e">
        <f t="shared" si="51"/>
        <v>#DIV/0!</v>
      </c>
      <c r="L419" s="13" t="e">
        <f t="shared" si="52"/>
        <v>#N/A</v>
      </c>
      <c r="M419" t="e">
        <f t="shared" si="53"/>
        <v>#N/A</v>
      </c>
      <c r="N419">
        <f t="shared" si="54"/>
        <v>0</v>
      </c>
      <c r="Q419" s="8" t="str">
        <f t="shared" si="55"/>
        <v/>
      </c>
    </row>
    <row r="420" spans="7:17">
      <c r="G420" t="e">
        <f>INDEX('اسعار الاسهم'!A:B,MATCH(B420,'اسعار الاسهم'!K:K,0),2)</f>
        <v>#N/A</v>
      </c>
      <c r="H420" s="8" t="e">
        <f t="shared" si="48"/>
        <v>#N/A</v>
      </c>
      <c r="I420" s="8" t="e">
        <f t="shared" si="49"/>
        <v>#N/A</v>
      </c>
      <c r="J420" s="8" t="e">
        <f t="shared" si="50"/>
        <v>#N/A</v>
      </c>
      <c r="K420" s="8" t="e">
        <f t="shared" si="51"/>
        <v>#DIV/0!</v>
      </c>
      <c r="L420" s="13" t="e">
        <f t="shared" si="52"/>
        <v>#N/A</v>
      </c>
      <c r="M420" t="e">
        <f t="shared" si="53"/>
        <v>#N/A</v>
      </c>
      <c r="N420">
        <f t="shared" si="54"/>
        <v>0</v>
      </c>
      <c r="Q420" s="8" t="str">
        <f t="shared" si="55"/>
        <v/>
      </c>
    </row>
    <row r="421" spans="7:17">
      <c r="G421" t="e">
        <f>INDEX('اسعار الاسهم'!A:B,MATCH(B421,'اسعار الاسهم'!K:K,0),2)</f>
        <v>#N/A</v>
      </c>
      <c r="H421" s="8" t="e">
        <f t="shared" si="48"/>
        <v>#N/A</v>
      </c>
      <c r="I421" s="8" t="e">
        <f t="shared" si="49"/>
        <v>#N/A</v>
      </c>
      <c r="J421" s="8" t="e">
        <f t="shared" si="50"/>
        <v>#N/A</v>
      </c>
      <c r="K421" s="8" t="e">
        <f t="shared" si="51"/>
        <v>#DIV/0!</v>
      </c>
      <c r="L421" s="13" t="e">
        <f t="shared" si="52"/>
        <v>#N/A</v>
      </c>
      <c r="M421" t="e">
        <f t="shared" si="53"/>
        <v>#N/A</v>
      </c>
      <c r="N421">
        <f t="shared" si="54"/>
        <v>0</v>
      </c>
      <c r="Q421" s="8" t="str">
        <f t="shared" si="55"/>
        <v/>
      </c>
    </row>
    <row r="422" spans="7:17">
      <c r="G422" t="e">
        <f>INDEX('اسعار الاسهم'!A:B,MATCH(B422,'اسعار الاسهم'!K:K,0),2)</f>
        <v>#N/A</v>
      </c>
      <c r="H422" s="8" t="e">
        <f t="shared" si="48"/>
        <v>#N/A</v>
      </c>
      <c r="I422" s="8" t="e">
        <f t="shared" si="49"/>
        <v>#N/A</v>
      </c>
      <c r="J422" s="8" t="e">
        <f t="shared" si="50"/>
        <v>#N/A</v>
      </c>
      <c r="K422" s="8" t="e">
        <f t="shared" si="51"/>
        <v>#DIV/0!</v>
      </c>
      <c r="L422" s="13" t="e">
        <f t="shared" si="52"/>
        <v>#N/A</v>
      </c>
      <c r="M422" t="e">
        <f t="shared" si="53"/>
        <v>#N/A</v>
      </c>
      <c r="N422">
        <f t="shared" si="54"/>
        <v>0</v>
      </c>
      <c r="Q422" s="8" t="str">
        <f t="shared" si="55"/>
        <v/>
      </c>
    </row>
    <row r="423" spans="7:17">
      <c r="G423" t="e">
        <f>INDEX('اسعار الاسهم'!A:B,MATCH(B423,'اسعار الاسهم'!K:K,0),2)</f>
        <v>#N/A</v>
      </c>
      <c r="H423" s="8" t="e">
        <f t="shared" si="48"/>
        <v>#N/A</v>
      </c>
      <c r="I423" s="8" t="e">
        <f t="shared" si="49"/>
        <v>#N/A</v>
      </c>
      <c r="J423" s="8" t="e">
        <f t="shared" si="50"/>
        <v>#N/A</v>
      </c>
      <c r="K423" s="8" t="e">
        <f t="shared" si="51"/>
        <v>#DIV/0!</v>
      </c>
      <c r="L423" s="13" t="e">
        <f t="shared" si="52"/>
        <v>#N/A</v>
      </c>
      <c r="M423" t="e">
        <f t="shared" si="53"/>
        <v>#N/A</v>
      </c>
      <c r="N423">
        <f t="shared" si="54"/>
        <v>0</v>
      </c>
      <c r="Q423" s="8" t="str">
        <f t="shared" si="55"/>
        <v/>
      </c>
    </row>
    <row r="424" spans="7:17">
      <c r="G424" t="e">
        <f>INDEX('اسعار الاسهم'!A:B,MATCH(B424,'اسعار الاسهم'!K:K,0),2)</f>
        <v>#N/A</v>
      </c>
      <c r="H424" s="8" t="e">
        <f t="shared" si="48"/>
        <v>#N/A</v>
      </c>
      <c r="I424" s="8" t="e">
        <f t="shared" si="49"/>
        <v>#N/A</v>
      </c>
      <c r="J424" s="8" t="e">
        <f t="shared" si="50"/>
        <v>#N/A</v>
      </c>
      <c r="K424" s="8" t="e">
        <f t="shared" si="51"/>
        <v>#DIV/0!</v>
      </c>
      <c r="L424" s="13" t="e">
        <f t="shared" si="52"/>
        <v>#N/A</v>
      </c>
      <c r="M424" t="e">
        <f t="shared" si="53"/>
        <v>#N/A</v>
      </c>
      <c r="N424">
        <f t="shared" si="54"/>
        <v>0</v>
      </c>
      <c r="Q424" s="8" t="str">
        <f t="shared" si="55"/>
        <v/>
      </c>
    </row>
    <row r="425" spans="7:17">
      <c r="G425" t="e">
        <f>INDEX('اسعار الاسهم'!A:B,MATCH(B425,'اسعار الاسهم'!K:K,0),2)</f>
        <v>#N/A</v>
      </c>
      <c r="H425" s="8" t="e">
        <f t="shared" si="48"/>
        <v>#N/A</v>
      </c>
      <c r="I425" s="8" t="e">
        <f t="shared" si="49"/>
        <v>#N/A</v>
      </c>
      <c r="J425" s="8" t="e">
        <f t="shared" si="50"/>
        <v>#N/A</v>
      </c>
      <c r="K425" s="8" t="e">
        <f t="shared" si="51"/>
        <v>#DIV/0!</v>
      </c>
      <c r="L425" s="13" t="e">
        <f t="shared" si="52"/>
        <v>#N/A</v>
      </c>
      <c r="M425" t="e">
        <f t="shared" si="53"/>
        <v>#N/A</v>
      </c>
      <c r="N425">
        <f t="shared" si="54"/>
        <v>0</v>
      </c>
      <c r="Q425" s="8" t="str">
        <f t="shared" si="55"/>
        <v/>
      </c>
    </row>
    <row r="426" spans="7:17">
      <c r="G426" t="e">
        <f>INDEX('اسعار الاسهم'!A:B,MATCH(B426,'اسعار الاسهم'!K:K,0),2)</f>
        <v>#N/A</v>
      </c>
      <c r="H426" s="8" t="e">
        <f t="shared" si="48"/>
        <v>#N/A</v>
      </c>
      <c r="I426" s="8" t="e">
        <f t="shared" si="49"/>
        <v>#N/A</v>
      </c>
      <c r="J426" s="8" t="e">
        <f t="shared" si="50"/>
        <v>#N/A</v>
      </c>
      <c r="K426" s="8" t="e">
        <f t="shared" si="51"/>
        <v>#DIV/0!</v>
      </c>
      <c r="L426" s="13" t="e">
        <f t="shared" si="52"/>
        <v>#N/A</v>
      </c>
      <c r="M426" t="e">
        <f t="shared" si="53"/>
        <v>#N/A</v>
      </c>
      <c r="N426">
        <f t="shared" si="54"/>
        <v>0</v>
      </c>
      <c r="Q426" s="8" t="str">
        <f t="shared" si="55"/>
        <v/>
      </c>
    </row>
    <row r="427" spans="7:17">
      <c r="G427" t="e">
        <f>INDEX('اسعار الاسهم'!A:B,MATCH(B427,'اسعار الاسهم'!K:K,0),2)</f>
        <v>#N/A</v>
      </c>
      <c r="H427" s="8" t="e">
        <f t="shared" si="48"/>
        <v>#N/A</v>
      </c>
      <c r="I427" s="8" t="e">
        <f t="shared" si="49"/>
        <v>#N/A</v>
      </c>
      <c r="J427" s="8" t="e">
        <f t="shared" si="50"/>
        <v>#N/A</v>
      </c>
      <c r="K427" s="8" t="e">
        <f t="shared" si="51"/>
        <v>#DIV/0!</v>
      </c>
      <c r="L427" s="13" t="e">
        <f t="shared" si="52"/>
        <v>#N/A</v>
      </c>
      <c r="M427" t="e">
        <f t="shared" si="53"/>
        <v>#N/A</v>
      </c>
      <c r="N427">
        <f t="shared" si="54"/>
        <v>0</v>
      </c>
      <c r="Q427" s="8" t="str">
        <f t="shared" si="55"/>
        <v/>
      </c>
    </row>
    <row r="428" spans="7:17">
      <c r="G428" t="e">
        <f>INDEX('اسعار الاسهم'!A:B,MATCH(B428,'اسعار الاسهم'!K:K,0),2)</f>
        <v>#N/A</v>
      </c>
      <c r="H428" s="8" t="e">
        <f t="shared" si="48"/>
        <v>#N/A</v>
      </c>
      <c r="I428" s="8" t="e">
        <f t="shared" si="49"/>
        <v>#N/A</v>
      </c>
      <c r="J428" s="8" t="e">
        <f t="shared" si="50"/>
        <v>#N/A</v>
      </c>
      <c r="K428" s="8" t="e">
        <f t="shared" si="51"/>
        <v>#DIV/0!</v>
      </c>
      <c r="L428" s="13" t="e">
        <f t="shared" si="52"/>
        <v>#N/A</v>
      </c>
      <c r="M428" t="e">
        <f t="shared" si="53"/>
        <v>#N/A</v>
      </c>
      <c r="N428">
        <f t="shared" si="54"/>
        <v>0</v>
      </c>
      <c r="Q428" s="8" t="str">
        <f t="shared" si="55"/>
        <v/>
      </c>
    </row>
    <row r="429" spans="7:17">
      <c r="G429" t="e">
        <f>INDEX('اسعار الاسهم'!A:B,MATCH(B429,'اسعار الاسهم'!K:K,0),2)</f>
        <v>#N/A</v>
      </c>
      <c r="H429" s="8" t="e">
        <f t="shared" si="48"/>
        <v>#N/A</v>
      </c>
      <c r="I429" s="8" t="e">
        <f t="shared" si="49"/>
        <v>#N/A</v>
      </c>
      <c r="J429" s="8" t="e">
        <f t="shared" si="50"/>
        <v>#N/A</v>
      </c>
      <c r="K429" s="8" t="e">
        <f t="shared" si="51"/>
        <v>#DIV/0!</v>
      </c>
      <c r="L429" s="13" t="e">
        <f t="shared" si="52"/>
        <v>#N/A</v>
      </c>
      <c r="M429" t="e">
        <f t="shared" si="53"/>
        <v>#N/A</v>
      </c>
      <c r="N429">
        <f t="shared" si="54"/>
        <v>0</v>
      </c>
      <c r="Q429" s="8" t="str">
        <f t="shared" si="55"/>
        <v/>
      </c>
    </row>
    <row r="430" spans="7:17">
      <c r="G430" t="e">
        <f>INDEX('اسعار الاسهم'!A:B,MATCH(B430,'اسعار الاسهم'!K:K,0),2)</f>
        <v>#N/A</v>
      </c>
      <c r="H430" s="8" t="e">
        <f t="shared" si="48"/>
        <v>#N/A</v>
      </c>
      <c r="I430" s="8" t="e">
        <f t="shared" si="49"/>
        <v>#N/A</v>
      </c>
      <c r="J430" s="8" t="e">
        <f t="shared" si="50"/>
        <v>#N/A</v>
      </c>
      <c r="K430" s="8" t="e">
        <f t="shared" si="51"/>
        <v>#DIV/0!</v>
      </c>
      <c r="L430" s="13" t="e">
        <f t="shared" si="52"/>
        <v>#N/A</v>
      </c>
      <c r="M430" t="e">
        <f t="shared" si="53"/>
        <v>#N/A</v>
      </c>
      <c r="N430">
        <f t="shared" si="54"/>
        <v>0</v>
      </c>
      <c r="Q430" s="8" t="str">
        <f t="shared" si="55"/>
        <v/>
      </c>
    </row>
    <row r="431" spans="7:17">
      <c r="G431" t="e">
        <f>INDEX('اسعار الاسهم'!A:B,MATCH(B431,'اسعار الاسهم'!K:K,0),2)</f>
        <v>#N/A</v>
      </c>
      <c r="H431" s="8" t="e">
        <f t="shared" si="48"/>
        <v>#N/A</v>
      </c>
      <c r="I431" s="8" t="e">
        <f t="shared" si="49"/>
        <v>#N/A</v>
      </c>
      <c r="J431" s="8" t="e">
        <f t="shared" si="50"/>
        <v>#N/A</v>
      </c>
      <c r="K431" s="8" t="e">
        <f t="shared" si="51"/>
        <v>#DIV/0!</v>
      </c>
      <c r="L431" s="13" t="e">
        <f t="shared" si="52"/>
        <v>#N/A</v>
      </c>
      <c r="M431" t="e">
        <f t="shared" si="53"/>
        <v>#N/A</v>
      </c>
      <c r="N431">
        <f t="shared" si="54"/>
        <v>0</v>
      </c>
      <c r="Q431" s="8" t="str">
        <f t="shared" si="55"/>
        <v/>
      </c>
    </row>
    <row r="432" spans="7:17">
      <c r="G432" t="e">
        <f>INDEX('اسعار الاسهم'!A:B,MATCH(B432,'اسعار الاسهم'!K:K,0),2)</f>
        <v>#N/A</v>
      </c>
      <c r="H432" s="8" t="e">
        <f t="shared" si="48"/>
        <v>#N/A</v>
      </c>
      <c r="I432" s="8" t="e">
        <f t="shared" si="49"/>
        <v>#N/A</v>
      </c>
      <c r="J432" s="8" t="e">
        <f t="shared" si="50"/>
        <v>#N/A</v>
      </c>
      <c r="K432" s="8" t="e">
        <f t="shared" si="51"/>
        <v>#DIV/0!</v>
      </c>
      <c r="L432" s="13" t="e">
        <f t="shared" si="52"/>
        <v>#N/A</v>
      </c>
      <c r="M432" t="e">
        <f t="shared" si="53"/>
        <v>#N/A</v>
      </c>
      <c r="N432">
        <f t="shared" si="54"/>
        <v>0</v>
      </c>
      <c r="Q432" s="8" t="str">
        <f t="shared" si="55"/>
        <v/>
      </c>
    </row>
    <row r="433" spans="7:17">
      <c r="G433" t="e">
        <f>INDEX('اسعار الاسهم'!A:B,MATCH(B433,'اسعار الاسهم'!K:K,0),2)</f>
        <v>#N/A</v>
      </c>
      <c r="H433" s="8" t="e">
        <f t="shared" si="48"/>
        <v>#N/A</v>
      </c>
      <c r="I433" s="8" t="e">
        <f t="shared" si="49"/>
        <v>#N/A</v>
      </c>
      <c r="J433" s="8" t="e">
        <f t="shared" si="50"/>
        <v>#N/A</v>
      </c>
      <c r="K433" s="8" t="e">
        <f t="shared" si="51"/>
        <v>#DIV/0!</v>
      </c>
      <c r="L433" s="13" t="e">
        <f t="shared" si="52"/>
        <v>#N/A</v>
      </c>
      <c r="M433" t="e">
        <f t="shared" si="53"/>
        <v>#N/A</v>
      </c>
      <c r="N433">
        <f t="shared" si="54"/>
        <v>0</v>
      </c>
      <c r="Q433" s="8" t="str">
        <f t="shared" si="55"/>
        <v/>
      </c>
    </row>
    <row r="434" spans="7:17">
      <c r="G434" t="e">
        <f>INDEX('اسعار الاسهم'!A:B,MATCH(B434,'اسعار الاسهم'!K:K,0),2)</f>
        <v>#N/A</v>
      </c>
      <c r="H434" s="8" t="e">
        <f t="shared" si="48"/>
        <v>#N/A</v>
      </c>
      <c r="I434" s="8" t="e">
        <f t="shared" si="49"/>
        <v>#N/A</v>
      </c>
      <c r="J434" s="8" t="e">
        <f t="shared" si="50"/>
        <v>#N/A</v>
      </c>
      <c r="K434" s="8" t="e">
        <f t="shared" si="51"/>
        <v>#DIV/0!</v>
      </c>
      <c r="L434" s="13" t="e">
        <f t="shared" si="52"/>
        <v>#N/A</v>
      </c>
      <c r="M434" t="e">
        <f t="shared" si="53"/>
        <v>#N/A</v>
      </c>
      <c r="N434">
        <f t="shared" si="54"/>
        <v>0</v>
      </c>
      <c r="Q434" s="8" t="str">
        <f t="shared" si="55"/>
        <v/>
      </c>
    </row>
    <row r="435" spans="7:17">
      <c r="G435" t="e">
        <f>INDEX('اسعار الاسهم'!A:B,MATCH(B435,'اسعار الاسهم'!K:K,0),2)</f>
        <v>#N/A</v>
      </c>
      <c r="H435" s="8" t="e">
        <f t="shared" si="48"/>
        <v>#N/A</v>
      </c>
      <c r="I435" s="8" t="e">
        <f t="shared" si="49"/>
        <v>#N/A</v>
      </c>
      <c r="J435" s="8" t="e">
        <f t="shared" si="50"/>
        <v>#N/A</v>
      </c>
      <c r="K435" s="8" t="e">
        <f t="shared" si="51"/>
        <v>#DIV/0!</v>
      </c>
      <c r="L435" s="13" t="e">
        <f t="shared" si="52"/>
        <v>#N/A</v>
      </c>
      <c r="M435" t="e">
        <f t="shared" si="53"/>
        <v>#N/A</v>
      </c>
      <c r="N435">
        <f t="shared" si="54"/>
        <v>0</v>
      </c>
      <c r="Q435" s="8" t="str">
        <f t="shared" si="55"/>
        <v/>
      </c>
    </row>
    <row r="436" spans="7:17">
      <c r="G436" t="e">
        <f>INDEX('اسعار الاسهم'!A:B,MATCH(B436,'اسعار الاسهم'!K:K,0),2)</f>
        <v>#N/A</v>
      </c>
      <c r="H436" s="8" t="e">
        <f t="shared" si="48"/>
        <v>#N/A</v>
      </c>
      <c r="I436" s="8" t="e">
        <f t="shared" si="49"/>
        <v>#N/A</v>
      </c>
      <c r="J436" s="8" t="e">
        <f t="shared" si="50"/>
        <v>#N/A</v>
      </c>
      <c r="K436" s="8" t="e">
        <f t="shared" si="51"/>
        <v>#DIV/0!</v>
      </c>
      <c r="L436" s="13" t="e">
        <f t="shared" si="52"/>
        <v>#N/A</v>
      </c>
      <c r="M436" t="e">
        <f t="shared" si="53"/>
        <v>#N/A</v>
      </c>
      <c r="N436">
        <f t="shared" si="54"/>
        <v>0</v>
      </c>
      <c r="Q436" s="8" t="str">
        <f t="shared" si="55"/>
        <v/>
      </c>
    </row>
    <row r="437" spans="7:17">
      <c r="G437" t="e">
        <f>INDEX('اسعار الاسهم'!A:B,MATCH(B437,'اسعار الاسهم'!K:K,0),2)</f>
        <v>#N/A</v>
      </c>
      <c r="H437" s="8" t="e">
        <f t="shared" si="48"/>
        <v>#N/A</v>
      </c>
      <c r="I437" s="8" t="e">
        <f t="shared" si="49"/>
        <v>#N/A</v>
      </c>
      <c r="J437" s="8" t="e">
        <f t="shared" si="50"/>
        <v>#N/A</v>
      </c>
      <c r="K437" s="8" t="e">
        <f t="shared" si="51"/>
        <v>#DIV/0!</v>
      </c>
      <c r="L437" s="13" t="e">
        <f t="shared" si="52"/>
        <v>#N/A</v>
      </c>
      <c r="M437" t="e">
        <f t="shared" si="53"/>
        <v>#N/A</v>
      </c>
      <c r="N437">
        <f t="shared" si="54"/>
        <v>0</v>
      </c>
      <c r="Q437" s="8" t="str">
        <f t="shared" si="55"/>
        <v/>
      </c>
    </row>
    <row r="438" spans="7:17">
      <c r="G438" t="e">
        <f>INDEX('اسعار الاسهم'!A:B,MATCH(B438,'اسعار الاسهم'!K:K,0),2)</f>
        <v>#N/A</v>
      </c>
      <c r="H438" s="8" t="e">
        <f t="shared" si="48"/>
        <v>#N/A</v>
      </c>
      <c r="I438" s="8" t="e">
        <f t="shared" si="49"/>
        <v>#N/A</v>
      </c>
      <c r="J438" s="8" t="e">
        <f t="shared" si="50"/>
        <v>#N/A</v>
      </c>
      <c r="K438" s="8" t="e">
        <f t="shared" si="51"/>
        <v>#DIV/0!</v>
      </c>
      <c r="L438" s="13" t="e">
        <f t="shared" si="52"/>
        <v>#N/A</v>
      </c>
      <c r="M438" t="e">
        <f t="shared" si="53"/>
        <v>#N/A</v>
      </c>
      <c r="N438">
        <f t="shared" si="54"/>
        <v>0</v>
      </c>
      <c r="Q438" s="8" t="str">
        <f t="shared" si="55"/>
        <v/>
      </c>
    </row>
    <row r="439" spans="7:17">
      <c r="G439" t="e">
        <f>INDEX('اسعار الاسهم'!A:B,MATCH(B439,'اسعار الاسهم'!K:K,0),2)</f>
        <v>#N/A</v>
      </c>
      <c r="H439" s="8" t="e">
        <f t="shared" si="48"/>
        <v>#N/A</v>
      </c>
      <c r="I439" s="8" t="e">
        <f t="shared" si="49"/>
        <v>#N/A</v>
      </c>
      <c r="J439" s="8" t="e">
        <f t="shared" si="50"/>
        <v>#N/A</v>
      </c>
      <c r="K439" s="8" t="e">
        <f t="shared" si="51"/>
        <v>#DIV/0!</v>
      </c>
      <c r="L439" s="13" t="e">
        <f t="shared" si="52"/>
        <v>#N/A</v>
      </c>
      <c r="M439" t="e">
        <f t="shared" si="53"/>
        <v>#N/A</v>
      </c>
      <c r="N439">
        <f t="shared" si="54"/>
        <v>0</v>
      </c>
      <c r="Q439" s="8" t="str">
        <f t="shared" si="55"/>
        <v/>
      </c>
    </row>
    <row r="440" spans="7:17">
      <c r="G440" t="e">
        <f>INDEX('اسعار الاسهم'!A:B,MATCH(B440,'اسعار الاسهم'!K:K,0),2)</f>
        <v>#N/A</v>
      </c>
      <c r="H440" s="8" t="e">
        <f t="shared" si="48"/>
        <v>#N/A</v>
      </c>
      <c r="I440" s="8" t="e">
        <f t="shared" si="49"/>
        <v>#N/A</v>
      </c>
      <c r="J440" s="8" t="e">
        <f t="shared" si="50"/>
        <v>#N/A</v>
      </c>
      <c r="K440" s="8" t="e">
        <f t="shared" si="51"/>
        <v>#DIV/0!</v>
      </c>
      <c r="L440" s="13" t="e">
        <f t="shared" si="52"/>
        <v>#N/A</v>
      </c>
      <c r="M440" t="e">
        <f t="shared" si="53"/>
        <v>#N/A</v>
      </c>
      <c r="N440">
        <f t="shared" si="54"/>
        <v>0</v>
      </c>
      <c r="Q440" s="8" t="str">
        <f t="shared" si="55"/>
        <v/>
      </c>
    </row>
    <row r="441" spans="7:17">
      <c r="G441" t="e">
        <f>INDEX('اسعار الاسهم'!A:B,MATCH(B441,'اسعار الاسهم'!K:K,0),2)</f>
        <v>#N/A</v>
      </c>
      <c r="H441" s="8" t="e">
        <f t="shared" si="48"/>
        <v>#N/A</v>
      </c>
      <c r="I441" s="8" t="e">
        <f t="shared" si="49"/>
        <v>#N/A</v>
      </c>
      <c r="J441" s="8" t="e">
        <f t="shared" si="50"/>
        <v>#N/A</v>
      </c>
      <c r="K441" s="8" t="e">
        <f t="shared" si="51"/>
        <v>#DIV/0!</v>
      </c>
      <c r="L441" s="13" t="e">
        <f t="shared" si="52"/>
        <v>#N/A</v>
      </c>
      <c r="M441" t="e">
        <f t="shared" si="53"/>
        <v>#N/A</v>
      </c>
      <c r="N441">
        <f t="shared" si="54"/>
        <v>0</v>
      </c>
      <c r="Q441" s="8" t="str">
        <f t="shared" si="55"/>
        <v/>
      </c>
    </row>
    <row r="442" spans="7:17">
      <c r="G442" t="e">
        <f>INDEX('اسعار الاسهم'!A:B,MATCH(B442,'اسعار الاسهم'!K:K,0),2)</f>
        <v>#N/A</v>
      </c>
      <c r="H442" s="8" t="e">
        <f t="shared" si="48"/>
        <v>#N/A</v>
      </c>
      <c r="I442" s="8" t="e">
        <f t="shared" si="49"/>
        <v>#N/A</v>
      </c>
      <c r="J442" s="8" t="e">
        <f t="shared" si="50"/>
        <v>#N/A</v>
      </c>
      <c r="K442" s="8" t="e">
        <f t="shared" si="51"/>
        <v>#DIV/0!</v>
      </c>
      <c r="L442" s="13" t="e">
        <f t="shared" si="52"/>
        <v>#N/A</v>
      </c>
      <c r="M442" t="e">
        <f t="shared" si="53"/>
        <v>#N/A</v>
      </c>
      <c r="N442">
        <f t="shared" si="54"/>
        <v>0</v>
      </c>
      <c r="Q442" s="8" t="str">
        <f t="shared" si="55"/>
        <v/>
      </c>
    </row>
    <row r="443" spans="7:17">
      <c r="G443" t="e">
        <f>INDEX('اسعار الاسهم'!A:B,MATCH(B443,'اسعار الاسهم'!K:K,0),2)</f>
        <v>#N/A</v>
      </c>
      <c r="H443" s="8" t="e">
        <f t="shared" si="48"/>
        <v>#N/A</v>
      </c>
      <c r="I443" s="8" t="e">
        <f t="shared" si="49"/>
        <v>#N/A</v>
      </c>
      <c r="J443" s="8" t="e">
        <f t="shared" si="50"/>
        <v>#N/A</v>
      </c>
      <c r="K443" s="8" t="e">
        <f t="shared" si="51"/>
        <v>#DIV/0!</v>
      </c>
      <c r="L443" s="13" t="e">
        <f t="shared" si="52"/>
        <v>#N/A</v>
      </c>
      <c r="M443" t="e">
        <f t="shared" si="53"/>
        <v>#N/A</v>
      </c>
      <c r="N443">
        <f t="shared" si="54"/>
        <v>0</v>
      </c>
      <c r="Q443" s="8" t="str">
        <f t="shared" si="55"/>
        <v/>
      </c>
    </row>
    <row r="444" spans="7:17">
      <c r="G444" t="e">
        <f>INDEX('اسعار الاسهم'!A:B,MATCH(B444,'اسعار الاسهم'!K:K,0),2)</f>
        <v>#N/A</v>
      </c>
      <c r="H444" s="8" t="e">
        <f t="shared" si="48"/>
        <v>#N/A</v>
      </c>
      <c r="I444" s="8" t="e">
        <f t="shared" si="49"/>
        <v>#N/A</v>
      </c>
      <c r="J444" s="8" t="e">
        <f t="shared" si="50"/>
        <v>#N/A</v>
      </c>
      <c r="K444" s="8" t="e">
        <f t="shared" si="51"/>
        <v>#DIV/0!</v>
      </c>
      <c r="L444" s="13" t="e">
        <f t="shared" si="52"/>
        <v>#N/A</v>
      </c>
      <c r="M444" t="e">
        <f t="shared" si="53"/>
        <v>#N/A</v>
      </c>
      <c r="N444">
        <f t="shared" si="54"/>
        <v>0</v>
      </c>
      <c r="Q444" s="8" t="str">
        <f t="shared" si="55"/>
        <v/>
      </c>
    </row>
    <row r="445" spans="7:17">
      <c r="G445" t="e">
        <f>INDEX('اسعار الاسهم'!A:B,MATCH(B445,'اسعار الاسهم'!K:K,0),2)</f>
        <v>#N/A</v>
      </c>
      <c r="H445" s="8" t="e">
        <f t="shared" si="48"/>
        <v>#N/A</v>
      </c>
      <c r="I445" s="8" t="e">
        <f t="shared" si="49"/>
        <v>#N/A</v>
      </c>
      <c r="J445" s="8" t="e">
        <f t="shared" si="50"/>
        <v>#N/A</v>
      </c>
      <c r="K445" s="8" t="e">
        <f t="shared" si="51"/>
        <v>#DIV/0!</v>
      </c>
      <c r="L445" s="13" t="e">
        <f t="shared" si="52"/>
        <v>#N/A</v>
      </c>
      <c r="M445" t="e">
        <f t="shared" si="53"/>
        <v>#N/A</v>
      </c>
      <c r="N445">
        <f t="shared" si="54"/>
        <v>0</v>
      </c>
      <c r="Q445" s="8" t="str">
        <f t="shared" si="55"/>
        <v/>
      </c>
    </row>
    <row r="446" spans="7:17">
      <c r="G446" t="e">
        <f>INDEX('اسعار الاسهم'!A:B,MATCH(B446,'اسعار الاسهم'!K:K,0),2)</f>
        <v>#N/A</v>
      </c>
      <c r="H446" s="8" t="e">
        <f t="shared" si="48"/>
        <v>#N/A</v>
      </c>
      <c r="I446" s="8" t="e">
        <f t="shared" si="49"/>
        <v>#N/A</v>
      </c>
      <c r="J446" s="8" t="e">
        <f t="shared" si="50"/>
        <v>#N/A</v>
      </c>
      <c r="K446" s="8" t="e">
        <f t="shared" si="51"/>
        <v>#DIV/0!</v>
      </c>
      <c r="L446" s="13" t="e">
        <f t="shared" si="52"/>
        <v>#N/A</v>
      </c>
      <c r="M446" t="e">
        <f t="shared" si="53"/>
        <v>#N/A</v>
      </c>
      <c r="N446">
        <f t="shared" si="54"/>
        <v>0</v>
      </c>
      <c r="Q446" s="8" t="str">
        <f t="shared" si="55"/>
        <v/>
      </c>
    </row>
    <row r="447" spans="7:17">
      <c r="G447" t="e">
        <f>INDEX('اسعار الاسهم'!A:B,MATCH(B447,'اسعار الاسهم'!K:K,0),2)</f>
        <v>#N/A</v>
      </c>
      <c r="H447" s="8" t="e">
        <f t="shared" si="48"/>
        <v>#N/A</v>
      </c>
      <c r="I447" s="8" t="e">
        <f t="shared" si="49"/>
        <v>#N/A</v>
      </c>
      <c r="J447" s="8" t="e">
        <f t="shared" si="50"/>
        <v>#N/A</v>
      </c>
      <c r="K447" s="8" t="e">
        <f t="shared" si="51"/>
        <v>#DIV/0!</v>
      </c>
      <c r="L447" s="13" t="e">
        <f t="shared" si="52"/>
        <v>#N/A</v>
      </c>
      <c r="M447" t="e">
        <f t="shared" si="53"/>
        <v>#N/A</v>
      </c>
      <c r="N447">
        <f t="shared" si="54"/>
        <v>0</v>
      </c>
      <c r="Q447" s="8" t="str">
        <f t="shared" si="55"/>
        <v/>
      </c>
    </row>
    <row r="448" spans="7:17">
      <c r="G448" t="e">
        <f>INDEX('اسعار الاسهم'!A:B,MATCH(B448,'اسعار الاسهم'!K:K,0),2)</f>
        <v>#N/A</v>
      </c>
      <c r="H448" s="8" t="e">
        <f t="shared" si="48"/>
        <v>#N/A</v>
      </c>
      <c r="I448" s="8" t="e">
        <f t="shared" si="49"/>
        <v>#N/A</v>
      </c>
      <c r="J448" s="8" t="e">
        <f t="shared" si="50"/>
        <v>#N/A</v>
      </c>
      <c r="K448" s="8" t="e">
        <f t="shared" si="51"/>
        <v>#DIV/0!</v>
      </c>
      <c r="L448" s="13" t="e">
        <f t="shared" si="52"/>
        <v>#N/A</v>
      </c>
      <c r="M448" t="e">
        <f t="shared" si="53"/>
        <v>#N/A</v>
      </c>
      <c r="N448">
        <f t="shared" si="54"/>
        <v>0</v>
      </c>
      <c r="Q448" s="8" t="str">
        <f t="shared" si="55"/>
        <v/>
      </c>
    </row>
    <row r="449" spans="7:17">
      <c r="G449" t="e">
        <f>INDEX('اسعار الاسهم'!A:B,MATCH(B449,'اسعار الاسهم'!K:K,0),2)</f>
        <v>#N/A</v>
      </c>
      <c r="H449" s="8" t="e">
        <f t="shared" si="48"/>
        <v>#N/A</v>
      </c>
      <c r="I449" s="8" t="e">
        <f t="shared" si="49"/>
        <v>#N/A</v>
      </c>
      <c r="J449" s="8" t="e">
        <f t="shared" si="50"/>
        <v>#N/A</v>
      </c>
      <c r="K449" s="8" t="e">
        <f t="shared" si="51"/>
        <v>#DIV/0!</v>
      </c>
      <c r="L449" s="13" t="e">
        <f t="shared" si="52"/>
        <v>#N/A</v>
      </c>
      <c r="M449" t="e">
        <f t="shared" si="53"/>
        <v>#N/A</v>
      </c>
      <c r="N449">
        <f t="shared" si="54"/>
        <v>0</v>
      </c>
      <c r="Q449" s="8" t="str">
        <f t="shared" si="55"/>
        <v/>
      </c>
    </row>
    <row r="450" spans="7:17">
      <c r="G450" t="e">
        <f>INDEX('اسعار الاسهم'!A:B,MATCH(B450,'اسعار الاسهم'!K:K,0),2)</f>
        <v>#N/A</v>
      </c>
      <c r="H450" s="8" t="e">
        <f t="shared" ref="H450:H509" si="56">IF(O450="", G450/D450-1,"")</f>
        <v>#N/A</v>
      </c>
      <c r="I450" s="8" t="e">
        <f t="shared" ref="I450:I509" si="57">IF(O450="", E450/G450-1,"")</f>
        <v>#N/A</v>
      </c>
      <c r="J450" s="8" t="e">
        <f t="shared" ref="J450:J509" si="58">IF(O450="",  1-F450/G450,"")</f>
        <v>#N/A</v>
      </c>
      <c r="K450" s="8" t="e">
        <f t="shared" ref="K450:K509" si="59">E450/F450-1</f>
        <v>#DIV/0!</v>
      </c>
      <c r="L450" s="13" t="e">
        <f t="shared" ref="L450:L509" si="60">IF( P450="",I450/J450,"")</f>
        <v>#N/A</v>
      </c>
      <c r="M450" t="e">
        <f t="shared" ref="M450:M509" si="61">IF(O450="",IF(I450&lt;J450,"up","down"),"")</f>
        <v>#N/A</v>
      </c>
      <c r="N450">
        <f t="shared" ref="N450:N509" si="62">COUNTIFS(B:B,B450,O:O,"")</f>
        <v>0</v>
      </c>
      <c r="Q450" s="8" t="str">
        <f t="shared" ref="Q450:Q509" si="63">IF(NOT( P450=""),IF(O450=1,E450/D450-1,F450/D450-1),"")</f>
        <v/>
      </c>
    </row>
    <row r="451" spans="7:17">
      <c r="G451" t="e">
        <f>INDEX('اسعار الاسهم'!A:B,MATCH(B451,'اسعار الاسهم'!K:K,0),2)</f>
        <v>#N/A</v>
      </c>
      <c r="H451" s="8" t="e">
        <f t="shared" si="56"/>
        <v>#N/A</v>
      </c>
      <c r="I451" s="8" t="e">
        <f t="shared" si="57"/>
        <v>#N/A</v>
      </c>
      <c r="J451" s="8" t="e">
        <f t="shared" si="58"/>
        <v>#N/A</v>
      </c>
      <c r="K451" s="8" t="e">
        <f t="shared" si="59"/>
        <v>#DIV/0!</v>
      </c>
      <c r="L451" s="13" t="e">
        <f t="shared" si="60"/>
        <v>#N/A</v>
      </c>
      <c r="M451" t="e">
        <f t="shared" si="61"/>
        <v>#N/A</v>
      </c>
      <c r="N451">
        <f t="shared" si="62"/>
        <v>0</v>
      </c>
      <c r="Q451" s="8" t="str">
        <f t="shared" si="63"/>
        <v/>
      </c>
    </row>
    <row r="452" spans="7:17">
      <c r="G452" t="e">
        <f>INDEX('اسعار الاسهم'!A:B,MATCH(B452,'اسعار الاسهم'!K:K,0),2)</f>
        <v>#N/A</v>
      </c>
      <c r="H452" s="8" t="e">
        <f t="shared" si="56"/>
        <v>#N/A</v>
      </c>
      <c r="I452" s="8" t="e">
        <f t="shared" si="57"/>
        <v>#N/A</v>
      </c>
      <c r="J452" s="8" t="e">
        <f t="shared" si="58"/>
        <v>#N/A</v>
      </c>
      <c r="K452" s="8" t="e">
        <f t="shared" si="59"/>
        <v>#DIV/0!</v>
      </c>
      <c r="L452" s="13" t="e">
        <f t="shared" si="60"/>
        <v>#N/A</v>
      </c>
      <c r="M452" t="e">
        <f t="shared" si="61"/>
        <v>#N/A</v>
      </c>
      <c r="N452">
        <f t="shared" si="62"/>
        <v>0</v>
      </c>
      <c r="Q452" s="8" t="str">
        <f t="shared" si="63"/>
        <v/>
      </c>
    </row>
    <row r="453" spans="7:17">
      <c r="G453" t="e">
        <f>INDEX('اسعار الاسهم'!A:B,MATCH(B453,'اسعار الاسهم'!K:K,0),2)</f>
        <v>#N/A</v>
      </c>
      <c r="H453" s="8" t="e">
        <f t="shared" si="56"/>
        <v>#N/A</v>
      </c>
      <c r="I453" s="8" t="e">
        <f t="shared" si="57"/>
        <v>#N/A</v>
      </c>
      <c r="J453" s="8" t="e">
        <f t="shared" si="58"/>
        <v>#N/A</v>
      </c>
      <c r="K453" s="8" t="e">
        <f t="shared" si="59"/>
        <v>#DIV/0!</v>
      </c>
      <c r="L453" s="13" t="e">
        <f t="shared" si="60"/>
        <v>#N/A</v>
      </c>
      <c r="M453" t="e">
        <f t="shared" si="61"/>
        <v>#N/A</v>
      </c>
      <c r="N453">
        <f t="shared" si="62"/>
        <v>0</v>
      </c>
      <c r="Q453" s="8" t="str">
        <f t="shared" si="63"/>
        <v/>
      </c>
    </row>
    <row r="454" spans="7:17">
      <c r="G454" t="e">
        <f>INDEX('اسعار الاسهم'!A:B,MATCH(B454,'اسعار الاسهم'!K:K,0),2)</f>
        <v>#N/A</v>
      </c>
      <c r="H454" s="8" t="e">
        <f t="shared" si="56"/>
        <v>#N/A</v>
      </c>
      <c r="I454" s="8" t="e">
        <f t="shared" si="57"/>
        <v>#N/A</v>
      </c>
      <c r="J454" s="8" t="e">
        <f t="shared" si="58"/>
        <v>#N/A</v>
      </c>
      <c r="K454" s="8" t="e">
        <f t="shared" si="59"/>
        <v>#DIV/0!</v>
      </c>
      <c r="L454" s="13" t="e">
        <f t="shared" si="60"/>
        <v>#N/A</v>
      </c>
      <c r="M454" t="e">
        <f t="shared" si="61"/>
        <v>#N/A</v>
      </c>
      <c r="N454">
        <f t="shared" si="62"/>
        <v>0</v>
      </c>
      <c r="Q454" s="8" t="str">
        <f t="shared" si="63"/>
        <v/>
      </c>
    </row>
    <row r="455" spans="7:17">
      <c r="G455" t="e">
        <f>INDEX('اسعار الاسهم'!A:B,MATCH(B455,'اسعار الاسهم'!K:K,0),2)</f>
        <v>#N/A</v>
      </c>
      <c r="H455" s="8" t="e">
        <f t="shared" si="56"/>
        <v>#N/A</v>
      </c>
      <c r="I455" s="8" t="e">
        <f t="shared" si="57"/>
        <v>#N/A</v>
      </c>
      <c r="J455" s="8" t="e">
        <f t="shared" si="58"/>
        <v>#N/A</v>
      </c>
      <c r="K455" s="8" t="e">
        <f t="shared" si="59"/>
        <v>#DIV/0!</v>
      </c>
      <c r="L455" s="13" t="e">
        <f t="shared" si="60"/>
        <v>#N/A</v>
      </c>
      <c r="M455" t="e">
        <f t="shared" si="61"/>
        <v>#N/A</v>
      </c>
      <c r="N455">
        <f t="shared" si="62"/>
        <v>0</v>
      </c>
      <c r="Q455" s="8" t="str">
        <f t="shared" si="63"/>
        <v/>
      </c>
    </row>
    <row r="456" spans="7:17">
      <c r="G456" t="e">
        <f>INDEX('اسعار الاسهم'!A:B,MATCH(B456,'اسعار الاسهم'!K:K,0),2)</f>
        <v>#N/A</v>
      </c>
      <c r="H456" s="8" t="e">
        <f t="shared" si="56"/>
        <v>#N/A</v>
      </c>
      <c r="I456" s="8" t="e">
        <f t="shared" si="57"/>
        <v>#N/A</v>
      </c>
      <c r="J456" s="8" t="e">
        <f t="shared" si="58"/>
        <v>#N/A</v>
      </c>
      <c r="K456" s="8" t="e">
        <f t="shared" si="59"/>
        <v>#DIV/0!</v>
      </c>
      <c r="L456" s="13" t="e">
        <f t="shared" si="60"/>
        <v>#N/A</v>
      </c>
      <c r="M456" t="e">
        <f t="shared" si="61"/>
        <v>#N/A</v>
      </c>
      <c r="N456">
        <f t="shared" si="62"/>
        <v>0</v>
      </c>
      <c r="Q456" s="8" t="str">
        <f t="shared" si="63"/>
        <v/>
      </c>
    </row>
    <row r="457" spans="7:17">
      <c r="G457" t="e">
        <f>INDEX('اسعار الاسهم'!A:B,MATCH(B457,'اسعار الاسهم'!K:K,0),2)</f>
        <v>#N/A</v>
      </c>
      <c r="H457" s="8" t="e">
        <f t="shared" si="56"/>
        <v>#N/A</v>
      </c>
      <c r="I457" s="8" t="e">
        <f t="shared" si="57"/>
        <v>#N/A</v>
      </c>
      <c r="J457" s="8" t="e">
        <f t="shared" si="58"/>
        <v>#N/A</v>
      </c>
      <c r="K457" s="8" t="e">
        <f t="shared" si="59"/>
        <v>#DIV/0!</v>
      </c>
      <c r="L457" s="13" t="e">
        <f t="shared" si="60"/>
        <v>#N/A</v>
      </c>
      <c r="M457" t="e">
        <f t="shared" si="61"/>
        <v>#N/A</v>
      </c>
      <c r="N457">
        <f t="shared" si="62"/>
        <v>0</v>
      </c>
      <c r="Q457" s="8" t="str">
        <f t="shared" si="63"/>
        <v/>
      </c>
    </row>
    <row r="458" spans="7:17">
      <c r="G458" t="e">
        <f>INDEX('اسعار الاسهم'!A:B,MATCH(B458,'اسعار الاسهم'!K:K,0),2)</f>
        <v>#N/A</v>
      </c>
      <c r="H458" s="8" t="e">
        <f t="shared" si="56"/>
        <v>#N/A</v>
      </c>
      <c r="I458" s="8" t="e">
        <f t="shared" si="57"/>
        <v>#N/A</v>
      </c>
      <c r="J458" s="8" t="e">
        <f t="shared" si="58"/>
        <v>#N/A</v>
      </c>
      <c r="K458" s="8" t="e">
        <f t="shared" si="59"/>
        <v>#DIV/0!</v>
      </c>
      <c r="L458" s="13" t="e">
        <f t="shared" si="60"/>
        <v>#N/A</v>
      </c>
      <c r="M458" t="e">
        <f t="shared" si="61"/>
        <v>#N/A</v>
      </c>
      <c r="N458">
        <f t="shared" si="62"/>
        <v>0</v>
      </c>
      <c r="Q458" s="8" t="str">
        <f t="shared" si="63"/>
        <v/>
      </c>
    </row>
    <row r="459" spans="7:17">
      <c r="G459" t="e">
        <f>INDEX('اسعار الاسهم'!A:B,MATCH(B459,'اسعار الاسهم'!K:K,0),2)</f>
        <v>#N/A</v>
      </c>
      <c r="H459" s="8" t="e">
        <f t="shared" si="56"/>
        <v>#N/A</v>
      </c>
      <c r="I459" s="8" t="e">
        <f t="shared" si="57"/>
        <v>#N/A</v>
      </c>
      <c r="J459" s="8" t="e">
        <f t="shared" si="58"/>
        <v>#N/A</v>
      </c>
      <c r="K459" s="8" t="e">
        <f t="shared" si="59"/>
        <v>#DIV/0!</v>
      </c>
      <c r="L459" s="13" t="e">
        <f t="shared" si="60"/>
        <v>#N/A</v>
      </c>
      <c r="M459" t="e">
        <f t="shared" si="61"/>
        <v>#N/A</v>
      </c>
      <c r="N459">
        <f t="shared" si="62"/>
        <v>0</v>
      </c>
      <c r="Q459" s="8" t="str">
        <f t="shared" si="63"/>
        <v/>
      </c>
    </row>
    <row r="460" spans="7:17">
      <c r="G460" t="e">
        <f>INDEX('اسعار الاسهم'!A:B,MATCH(B460,'اسعار الاسهم'!K:K,0),2)</f>
        <v>#N/A</v>
      </c>
      <c r="H460" s="8" t="e">
        <f t="shared" si="56"/>
        <v>#N/A</v>
      </c>
      <c r="I460" s="8" t="e">
        <f t="shared" si="57"/>
        <v>#N/A</v>
      </c>
      <c r="J460" s="8" t="e">
        <f t="shared" si="58"/>
        <v>#N/A</v>
      </c>
      <c r="K460" s="8" t="e">
        <f t="shared" si="59"/>
        <v>#DIV/0!</v>
      </c>
      <c r="L460" s="13" t="e">
        <f t="shared" si="60"/>
        <v>#N/A</v>
      </c>
      <c r="M460" t="e">
        <f t="shared" si="61"/>
        <v>#N/A</v>
      </c>
      <c r="N460">
        <f t="shared" si="62"/>
        <v>0</v>
      </c>
      <c r="Q460" s="8" t="str">
        <f t="shared" si="63"/>
        <v/>
      </c>
    </row>
    <row r="461" spans="7:17">
      <c r="G461" t="e">
        <f>INDEX('اسعار الاسهم'!A:B,MATCH(B461,'اسعار الاسهم'!K:K,0),2)</f>
        <v>#N/A</v>
      </c>
      <c r="H461" s="8" t="e">
        <f t="shared" si="56"/>
        <v>#N/A</v>
      </c>
      <c r="I461" s="8" t="e">
        <f t="shared" si="57"/>
        <v>#N/A</v>
      </c>
      <c r="J461" s="8" t="e">
        <f t="shared" si="58"/>
        <v>#N/A</v>
      </c>
      <c r="K461" s="8" t="e">
        <f t="shared" si="59"/>
        <v>#DIV/0!</v>
      </c>
      <c r="L461" s="13" t="e">
        <f t="shared" si="60"/>
        <v>#N/A</v>
      </c>
      <c r="M461" t="e">
        <f t="shared" si="61"/>
        <v>#N/A</v>
      </c>
      <c r="N461">
        <f t="shared" si="62"/>
        <v>0</v>
      </c>
      <c r="Q461" s="8" t="str">
        <f t="shared" si="63"/>
        <v/>
      </c>
    </row>
    <row r="462" spans="7:17">
      <c r="G462" t="e">
        <f>INDEX('اسعار الاسهم'!A:B,MATCH(B462,'اسعار الاسهم'!K:K,0),2)</f>
        <v>#N/A</v>
      </c>
      <c r="H462" s="8" t="e">
        <f t="shared" si="56"/>
        <v>#N/A</v>
      </c>
      <c r="I462" s="8" t="e">
        <f t="shared" si="57"/>
        <v>#N/A</v>
      </c>
      <c r="J462" s="8" t="e">
        <f t="shared" si="58"/>
        <v>#N/A</v>
      </c>
      <c r="K462" s="8" t="e">
        <f t="shared" si="59"/>
        <v>#DIV/0!</v>
      </c>
      <c r="L462" s="13" t="e">
        <f t="shared" si="60"/>
        <v>#N/A</v>
      </c>
      <c r="M462" t="e">
        <f t="shared" si="61"/>
        <v>#N/A</v>
      </c>
      <c r="N462">
        <f t="shared" si="62"/>
        <v>0</v>
      </c>
      <c r="Q462" s="8" t="str">
        <f t="shared" si="63"/>
        <v/>
      </c>
    </row>
    <row r="463" spans="7:17">
      <c r="G463" t="e">
        <f>INDEX('اسعار الاسهم'!A:B,MATCH(B463,'اسعار الاسهم'!K:K,0),2)</f>
        <v>#N/A</v>
      </c>
      <c r="H463" s="8" t="e">
        <f t="shared" si="56"/>
        <v>#N/A</v>
      </c>
      <c r="I463" s="8" t="e">
        <f t="shared" si="57"/>
        <v>#N/A</v>
      </c>
      <c r="J463" s="8" t="e">
        <f t="shared" si="58"/>
        <v>#N/A</v>
      </c>
      <c r="K463" s="8" t="e">
        <f t="shared" si="59"/>
        <v>#DIV/0!</v>
      </c>
      <c r="L463" s="13" t="e">
        <f t="shared" si="60"/>
        <v>#N/A</v>
      </c>
      <c r="M463" t="e">
        <f t="shared" si="61"/>
        <v>#N/A</v>
      </c>
      <c r="N463">
        <f t="shared" si="62"/>
        <v>0</v>
      </c>
      <c r="Q463" s="8" t="str">
        <f t="shared" si="63"/>
        <v/>
      </c>
    </row>
    <row r="464" spans="7:17">
      <c r="G464" t="e">
        <f>INDEX('اسعار الاسهم'!A:B,MATCH(B464,'اسعار الاسهم'!K:K,0),2)</f>
        <v>#N/A</v>
      </c>
      <c r="H464" s="8" t="e">
        <f t="shared" si="56"/>
        <v>#N/A</v>
      </c>
      <c r="I464" s="8" t="e">
        <f t="shared" si="57"/>
        <v>#N/A</v>
      </c>
      <c r="J464" s="8" t="e">
        <f t="shared" si="58"/>
        <v>#N/A</v>
      </c>
      <c r="K464" s="8" t="e">
        <f t="shared" si="59"/>
        <v>#DIV/0!</v>
      </c>
      <c r="L464" s="13" t="e">
        <f t="shared" si="60"/>
        <v>#N/A</v>
      </c>
      <c r="M464" t="e">
        <f t="shared" si="61"/>
        <v>#N/A</v>
      </c>
      <c r="N464">
        <f t="shared" si="62"/>
        <v>0</v>
      </c>
      <c r="Q464" s="8" t="str">
        <f t="shared" si="63"/>
        <v/>
      </c>
    </row>
    <row r="465" spans="7:17">
      <c r="G465" t="e">
        <f>INDEX('اسعار الاسهم'!A:B,MATCH(B465,'اسعار الاسهم'!K:K,0),2)</f>
        <v>#N/A</v>
      </c>
      <c r="H465" s="8" t="e">
        <f t="shared" si="56"/>
        <v>#N/A</v>
      </c>
      <c r="I465" s="8" t="e">
        <f t="shared" si="57"/>
        <v>#N/A</v>
      </c>
      <c r="J465" s="8" t="e">
        <f t="shared" si="58"/>
        <v>#N/A</v>
      </c>
      <c r="K465" s="8" t="e">
        <f t="shared" si="59"/>
        <v>#DIV/0!</v>
      </c>
      <c r="L465" s="13" t="e">
        <f t="shared" si="60"/>
        <v>#N/A</v>
      </c>
      <c r="M465" t="e">
        <f t="shared" si="61"/>
        <v>#N/A</v>
      </c>
      <c r="N465">
        <f t="shared" si="62"/>
        <v>0</v>
      </c>
      <c r="Q465" s="8" t="str">
        <f t="shared" si="63"/>
        <v/>
      </c>
    </row>
    <row r="466" spans="7:17">
      <c r="G466" t="e">
        <f>INDEX('اسعار الاسهم'!A:B,MATCH(B466,'اسعار الاسهم'!K:K,0),2)</f>
        <v>#N/A</v>
      </c>
      <c r="H466" s="8" t="e">
        <f t="shared" si="56"/>
        <v>#N/A</v>
      </c>
      <c r="I466" s="8" t="e">
        <f t="shared" si="57"/>
        <v>#N/A</v>
      </c>
      <c r="J466" s="8" t="e">
        <f t="shared" si="58"/>
        <v>#N/A</v>
      </c>
      <c r="K466" s="8" t="e">
        <f t="shared" si="59"/>
        <v>#DIV/0!</v>
      </c>
      <c r="L466" s="13" t="e">
        <f t="shared" si="60"/>
        <v>#N/A</v>
      </c>
      <c r="M466" t="e">
        <f t="shared" si="61"/>
        <v>#N/A</v>
      </c>
      <c r="N466">
        <f t="shared" si="62"/>
        <v>0</v>
      </c>
      <c r="Q466" s="8" t="str">
        <f t="shared" si="63"/>
        <v/>
      </c>
    </row>
    <row r="467" spans="7:17">
      <c r="G467" t="e">
        <f>INDEX('اسعار الاسهم'!A:B,MATCH(B467,'اسعار الاسهم'!K:K,0),2)</f>
        <v>#N/A</v>
      </c>
      <c r="H467" s="8" t="e">
        <f t="shared" si="56"/>
        <v>#N/A</v>
      </c>
      <c r="I467" s="8" t="e">
        <f t="shared" si="57"/>
        <v>#N/A</v>
      </c>
      <c r="J467" s="8" t="e">
        <f t="shared" si="58"/>
        <v>#N/A</v>
      </c>
      <c r="K467" s="8" t="e">
        <f t="shared" si="59"/>
        <v>#DIV/0!</v>
      </c>
      <c r="L467" s="13" t="e">
        <f t="shared" si="60"/>
        <v>#N/A</v>
      </c>
      <c r="M467" t="e">
        <f t="shared" si="61"/>
        <v>#N/A</v>
      </c>
      <c r="N467">
        <f t="shared" si="62"/>
        <v>0</v>
      </c>
      <c r="Q467" s="8" t="str">
        <f t="shared" si="63"/>
        <v/>
      </c>
    </row>
    <row r="468" spans="7:17">
      <c r="G468" t="e">
        <f>INDEX('اسعار الاسهم'!A:B,MATCH(B468,'اسعار الاسهم'!K:K,0),2)</f>
        <v>#N/A</v>
      </c>
      <c r="H468" s="8" t="e">
        <f t="shared" si="56"/>
        <v>#N/A</v>
      </c>
      <c r="I468" s="8" t="e">
        <f t="shared" si="57"/>
        <v>#N/A</v>
      </c>
      <c r="J468" s="8" t="e">
        <f t="shared" si="58"/>
        <v>#N/A</v>
      </c>
      <c r="K468" s="8" t="e">
        <f t="shared" si="59"/>
        <v>#DIV/0!</v>
      </c>
      <c r="L468" s="13" t="e">
        <f t="shared" si="60"/>
        <v>#N/A</v>
      </c>
      <c r="M468" t="e">
        <f t="shared" si="61"/>
        <v>#N/A</v>
      </c>
      <c r="N468">
        <f t="shared" si="62"/>
        <v>0</v>
      </c>
      <c r="Q468" s="8" t="str">
        <f t="shared" si="63"/>
        <v/>
      </c>
    </row>
    <row r="469" spans="7:17">
      <c r="G469" t="e">
        <f>INDEX('اسعار الاسهم'!A:B,MATCH(B469,'اسعار الاسهم'!K:K,0),2)</f>
        <v>#N/A</v>
      </c>
      <c r="H469" s="8" t="e">
        <f t="shared" si="56"/>
        <v>#N/A</v>
      </c>
      <c r="I469" s="8" t="e">
        <f t="shared" si="57"/>
        <v>#N/A</v>
      </c>
      <c r="J469" s="8" t="e">
        <f t="shared" si="58"/>
        <v>#N/A</v>
      </c>
      <c r="K469" s="8" t="e">
        <f t="shared" si="59"/>
        <v>#DIV/0!</v>
      </c>
      <c r="L469" s="13" t="e">
        <f t="shared" si="60"/>
        <v>#N/A</v>
      </c>
      <c r="M469" t="e">
        <f t="shared" si="61"/>
        <v>#N/A</v>
      </c>
      <c r="N469">
        <f t="shared" si="62"/>
        <v>0</v>
      </c>
      <c r="Q469" s="8" t="str">
        <f t="shared" si="63"/>
        <v/>
      </c>
    </row>
    <row r="470" spans="7:17">
      <c r="G470" t="e">
        <f>INDEX('اسعار الاسهم'!A:B,MATCH(B470,'اسعار الاسهم'!K:K,0),2)</f>
        <v>#N/A</v>
      </c>
      <c r="H470" s="8" t="e">
        <f t="shared" si="56"/>
        <v>#N/A</v>
      </c>
      <c r="I470" s="8" t="e">
        <f t="shared" si="57"/>
        <v>#N/A</v>
      </c>
      <c r="J470" s="8" t="e">
        <f t="shared" si="58"/>
        <v>#N/A</v>
      </c>
      <c r="K470" s="8" t="e">
        <f t="shared" si="59"/>
        <v>#DIV/0!</v>
      </c>
      <c r="L470" s="13" t="e">
        <f t="shared" si="60"/>
        <v>#N/A</v>
      </c>
      <c r="M470" t="e">
        <f t="shared" si="61"/>
        <v>#N/A</v>
      </c>
      <c r="N470">
        <f t="shared" si="62"/>
        <v>0</v>
      </c>
      <c r="Q470" s="8" t="str">
        <f t="shared" si="63"/>
        <v/>
      </c>
    </row>
    <row r="471" spans="7:17">
      <c r="G471" t="e">
        <f>INDEX('اسعار الاسهم'!A:B,MATCH(B471,'اسعار الاسهم'!K:K,0),2)</f>
        <v>#N/A</v>
      </c>
      <c r="H471" s="8" t="e">
        <f t="shared" si="56"/>
        <v>#N/A</v>
      </c>
      <c r="I471" s="8" t="e">
        <f t="shared" si="57"/>
        <v>#N/A</v>
      </c>
      <c r="J471" s="8" t="e">
        <f t="shared" si="58"/>
        <v>#N/A</v>
      </c>
      <c r="K471" s="8" t="e">
        <f t="shared" si="59"/>
        <v>#DIV/0!</v>
      </c>
      <c r="L471" s="13" t="e">
        <f t="shared" si="60"/>
        <v>#N/A</v>
      </c>
      <c r="M471" t="e">
        <f t="shared" si="61"/>
        <v>#N/A</v>
      </c>
      <c r="N471">
        <f t="shared" si="62"/>
        <v>0</v>
      </c>
      <c r="Q471" s="8" t="str">
        <f t="shared" si="63"/>
        <v/>
      </c>
    </row>
    <row r="472" spans="7:17">
      <c r="G472" t="e">
        <f>INDEX('اسعار الاسهم'!A:B,MATCH(B472,'اسعار الاسهم'!K:K,0),2)</f>
        <v>#N/A</v>
      </c>
      <c r="H472" s="8" t="e">
        <f t="shared" si="56"/>
        <v>#N/A</v>
      </c>
      <c r="I472" s="8" t="e">
        <f t="shared" si="57"/>
        <v>#N/A</v>
      </c>
      <c r="J472" s="8" t="e">
        <f t="shared" si="58"/>
        <v>#N/A</v>
      </c>
      <c r="K472" s="8" t="e">
        <f t="shared" si="59"/>
        <v>#DIV/0!</v>
      </c>
      <c r="L472" s="13" t="e">
        <f t="shared" si="60"/>
        <v>#N/A</v>
      </c>
      <c r="M472" t="e">
        <f t="shared" si="61"/>
        <v>#N/A</v>
      </c>
      <c r="N472">
        <f t="shared" si="62"/>
        <v>0</v>
      </c>
      <c r="Q472" s="8" t="str">
        <f t="shared" si="63"/>
        <v/>
      </c>
    </row>
    <row r="473" spans="7:17">
      <c r="G473" t="e">
        <f>INDEX('اسعار الاسهم'!A:B,MATCH(B473,'اسعار الاسهم'!K:K,0),2)</f>
        <v>#N/A</v>
      </c>
      <c r="H473" s="8" t="e">
        <f t="shared" si="56"/>
        <v>#N/A</v>
      </c>
      <c r="I473" s="8" t="e">
        <f t="shared" si="57"/>
        <v>#N/A</v>
      </c>
      <c r="J473" s="8" t="e">
        <f t="shared" si="58"/>
        <v>#N/A</v>
      </c>
      <c r="K473" s="8" t="e">
        <f t="shared" si="59"/>
        <v>#DIV/0!</v>
      </c>
      <c r="L473" s="13" t="e">
        <f t="shared" si="60"/>
        <v>#N/A</v>
      </c>
      <c r="M473" t="e">
        <f t="shared" si="61"/>
        <v>#N/A</v>
      </c>
      <c r="N473">
        <f t="shared" si="62"/>
        <v>0</v>
      </c>
      <c r="Q473" s="8" t="str">
        <f t="shared" si="63"/>
        <v/>
      </c>
    </row>
    <row r="474" spans="7:17">
      <c r="G474" t="e">
        <f>INDEX('اسعار الاسهم'!A:B,MATCH(B474,'اسعار الاسهم'!K:K,0),2)</f>
        <v>#N/A</v>
      </c>
      <c r="H474" s="8" t="e">
        <f t="shared" si="56"/>
        <v>#N/A</v>
      </c>
      <c r="I474" s="8" t="e">
        <f t="shared" si="57"/>
        <v>#N/A</v>
      </c>
      <c r="J474" s="8" t="e">
        <f t="shared" si="58"/>
        <v>#N/A</v>
      </c>
      <c r="K474" s="8" t="e">
        <f t="shared" si="59"/>
        <v>#DIV/0!</v>
      </c>
      <c r="L474" s="13" t="e">
        <f t="shared" si="60"/>
        <v>#N/A</v>
      </c>
      <c r="M474" t="e">
        <f t="shared" si="61"/>
        <v>#N/A</v>
      </c>
      <c r="N474">
        <f t="shared" si="62"/>
        <v>0</v>
      </c>
      <c r="Q474" s="8" t="str">
        <f t="shared" si="63"/>
        <v/>
      </c>
    </row>
    <row r="475" spans="7:17">
      <c r="G475" t="e">
        <f>INDEX('اسعار الاسهم'!A:B,MATCH(B475,'اسعار الاسهم'!K:K,0),2)</f>
        <v>#N/A</v>
      </c>
      <c r="H475" s="8" t="e">
        <f t="shared" si="56"/>
        <v>#N/A</v>
      </c>
      <c r="I475" s="8" t="e">
        <f t="shared" si="57"/>
        <v>#N/A</v>
      </c>
      <c r="J475" s="8" t="e">
        <f t="shared" si="58"/>
        <v>#N/A</v>
      </c>
      <c r="K475" s="8" t="e">
        <f t="shared" si="59"/>
        <v>#DIV/0!</v>
      </c>
      <c r="L475" s="13" t="e">
        <f t="shared" si="60"/>
        <v>#N/A</v>
      </c>
      <c r="M475" t="e">
        <f t="shared" si="61"/>
        <v>#N/A</v>
      </c>
      <c r="N475">
        <f t="shared" si="62"/>
        <v>0</v>
      </c>
      <c r="Q475" s="8" t="str">
        <f t="shared" si="63"/>
        <v/>
      </c>
    </row>
    <row r="476" spans="7:17">
      <c r="G476" t="e">
        <f>INDEX('اسعار الاسهم'!A:B,MATCH(B476,'اسعار الاسهم'!K:K,0),2)</f>
        <v>#N/A</v>
      </c>
      <c r="H476" s="8" t="e">
        <f t="shared" si="56"/>
        <v>#N/A</v>
      </c>
      <c r="I476" s="8" t="e">
        <f t="shared" si="57"/>
        <v>#N/A</v>
      </c>
      <c r="J476" s="8" t="e">
        <f t="shared" si="58"/>
        <v>#N/A</v>
      </c>
      <c r="K476" s="8" t="e">
        <f t="shared" si="59"/>
        <v>#DIV/0!</v>
      </c>
      <c r="L476" s="13" t="e">
        <f t="shared" si="60"/>
        <v>#N/A</v>
      </c>
      <c r="M476" t="e">
        <f t="shared" si="61"/>
        <v>#N/A</v>
      </c>
      <c r="N476">
        <f t="shared" si="62"/>
        <v>0</v>
      </c>
      <c r="Q476" s="8" t="str">
        <f t="shared" si="63"/>
        <v/>
      </c>
    </row>
    <row r="477" spans="7:17">
      <c r="G477" t="e">
        <f>INDEX('اسعار الاسهم'!A:B,MATCH(B477,'اسعار الاسهم'!K:K,0),2)</f>
        <v>#N/A</v>
      </c>
      <c r="H477" s="8" t="e">
        <f t="shared" si="56"/>
        <v>#N/A</v>
      </c>
      <c r="I477" s="8" t="e">
        <f t="shared" si="57"/>
        <v>#N/A</v>
      </c>
      <c r="J477" s="8" t="e">
        <f t="shared" si="58"/>
        <v>#N/A</v>
      </c>
      <c r="K477" s="8" t="e">
        <f t="shared" si="59"/>
        <v>#DIV/0!</v>
      </c>
      <c r="L477" s="13" t="e">
        <f t="shared" si="60"/>
        <v>#N/A</v>
      </c>
      <c r="M477" t="e">
        <f t="shared" si="61"/>
        <v>#N/A</v>
      </c>
      <c r="N477">
        <f t="shared" si="62"/>
        <v>0</v>
      </c>
      <c r="Q477" s="8" t="str">
        <f t="shared" si="63"/>
        <v/>
      </c>
    </row>
    <row r="478" spans="7:17">
      <c r="G478" t="e">
        <f>INDEX('اسعار الاسهم'!A:B,MATCH(B478,'اسعار الاسهم'!K:K,0),2)</f>
        <v>#N/A</v>
      </c>
      <c r="H478" s="8" t="e">
        <f t="shared" si="56"/>
        <v>#N/A</v>
      </c>
      <c r="I478" s="8" t="e">
        <f t="shared" si="57"/>
        <v>#N/A</v>
      </c>
      <c r="J478" s="8" t="e">
        <f t="shared" si="58"/>
        <v>#N/A</v>
      </c>
      <c r="K478" s="8" t="e">
        <f t="shared" si="59"/>
        <v>#DIV/0!</v>
      </c>
      <c r="L478" s="13" t="e">
        <f t="shared" si="60"/>
        <v>#N/A</v>
      </c>
      <c r="M478" t="e">
        <f t="shared" si="61"/>
        <v>#N/A</v>
      </c>
      <c r="N478">
        <f t="shared" si="62"/>
        <v>0</v>
      </c>
      <c r="Q478" s="8" t="str">
        <f t="shared" si="63"/>
        <v/>
      </c>
    </row>
    <row r="479" spans="7:17">
      <c r="G479" t="e">
        <f>INDEX('اسعار الاسهم'!A:B,MATCH(B479,'اسعار الاسهم'!K:K,0),2)</f>
        <v>#N/A</v>
      </c>
      <c r="H479" s="8" t="e">
        <f t="shared" si="56"/>
        <v>#N/A</v>
      </c>
      <c r="I479" s="8" t="e">
        <f t="shared" si="57"/>
        <v>#N/A</v>
      </c>
      <c r="J479" s="8" t="e">
        <f t="shared" si="58"/>
        <v>#N/A</v>
      </c>
      <c r="K479" s="8" t="e">
        <f t="shared" si="59"/>
        <v>#DIV/0!</v>
      </c>
      <c r="L479" s="13" t="e">
        <f t="shared" si="60"/>
        <v>#N/A</v>
      </c>
      <c r="M479" t="e">
        <f t="shared" si="61"/>
        <v>#N/A</v>
      </c>
      <c r="N479">
        <f t="shared" si="62"/>
        <v>0</v>
      </c>
      <c r="Q479" s="8" t="str">
        <f t="shared" si="63"/>
        <v/>
      </c>
    </row>
    <row r="480" spans="7:17">
      <c r="G480" t="e">
        <f>INDEX('اسعار الاسهم'!A:B,MATCH(B480,'اسعار الاسهم'!K:K,0),2)</f>
        <v>#N/A</v>
      </c>
      <c r="H480" s="8" t="e">
        <f t="shared" si="56"/>
        <v>#N/A</v>
      </c>
      <c r="I480" s="8" t="e">
        <f t="shared" si="57"/>
        <v>#N/A</v>
      </c>
      <c r="J480" s="8" t="e">
        <f t="shared" si="58"/>
        <v>#N/A</v>
      </c>
      <c r="K480" s="8" t="e">
        <f t="shared" si="59"/>
        <v>#DIV/0!</v>
      </c>
      <c r="L480" s="13" t="e">
        <f t="shared" si="60"/>
        <v>#N/A</v>
      </c>
      <c r="M480" t="e">
        <f t="shared" si="61"/>
        <v>#N/A</v>
      </c>
      <c r="N480">
        <f t="shared" si="62"/>
        <v>0</v>
      </c>
      <c r="Q480" s="8" t="str">
        <f t="shared" si="63"/>
        <v/>
      </c>
    </row>
    <row r="481" spans="7:17">
      <c r="G481" t="e">
        <f>INDEX('اسعار الاسهم'!A:B,MATCH(B481,'اسعار الاسهم'!K:K,0),2)</f>
        <v>#N/A</v>
      </c>
      <c r="H481" s="8" t="e">
        <f t="shared" si="56"/>
        <v>#N/A</v>
      </c>
      <c r="I481" s="8" t="e">
        <f t="shared" si="57"/>
        <v>#N/A</v>
      </c>
      <c r="J481" s="8" t="e">
        <f t="shared" si="58"/>
        <v>#N/A</v>
      </c>
      <c r="K481" s="8" t="e">
        <f t="shared" si="59"/>
        <v>#DIV/0!</v>
      </c>
      <c r="L481" s="13" t="e">
        <f t="shared" si="60"/>
        <v>#N/A</v>
      </c>
      <c r="M481" t="e">
        <f t="shared" si="61"/>
        <v>#N/A</v>
      </c>
      <c r="N481">
        <f t="shared" si="62"/>
        <v>0</v>
      </c>
      <c r="Q481" s="8" t="str">
        <f t="shared" si="63"/>
        <v/>
      </c>
    </row>
    <row r="482" spans="7:17">
      <c r="G482" t="e">
        <f>INDEX('اسعار الاسهم'!A:B,MATCH(B482,'اسعار الاسهم'!K:K,0),2)</f>
        <v>#N/A</v>
      </c>
      <c r="H482" s="8" t="e">
        <f t="shared" si="56"/>
        <v>#N/A</v>
      </c>
      <c r="I482" s="8" t="e">
        <f t="shared" si="57"/>
        <v>#N/A</v>
      </c>
      <c r="J482" s="8" t="e">
        <f t="shared" si="58"/>
        <v>#N/A</v>
      </c>
      <c r="K482" s="8" t="e">
        <f t="shared" si="59"/>
        <v>#DIV/0!</v>
      </c>
      <c r="L482" s="13" t="e">
        <f t="shared" si="60"/>
        <v>#N/A</v>
      </c>
      <c r="M482" t="e">
        <f t="shared" si="61"/>
        <v>#N/A</v>
      </c>
      <c r="N482">
        <f t="shared" si="62"/>
        <v>0</v>
      </c>
      <c r="Q482" s="8" t="str">
        <f t="shared" si="63"/>
        <v/>
      </c>
    </row>
    <row r="483" spans="7:17">
      <c r="G483" t="e">
        <f>INDEX('اسعار الاسهم'!A:B,MATCH(B483,'اسعار الاسهم'!K:K,0),2)</f>
        <v>#N/A</v>
      </c>
      <c r="H483" s="8" t="e">
        <f t="shared" si="56"/>
        <v>#N/A</v>
      </c>
      <c r="I483" s="8" t="e">
        <f t="shared" si="57"/>
        <v>#N/A</v>
      </c>
      <c r="J483" s="8" t="e">
        <f t="shared" si="58"/>
        <v>#N/A</v>
      </c>
      <c r="K483" s="8" t="e">
        <f t="shared" si="59"/>
        <v>#DIV/0!</v>
      </c>
      <c r="L483" s="13" t="e">
        <f t="shared" si="60"/>
        <v>#N/A</v>
      </c>
      <c r="M483" t="e">
        <f t="shared" si="61"/>
        <v>#N/A</v>
      </c>
      <c r="N483">
        <f t="shared" si="62"/>
        <v>0</v>
      </c>
      <c r="Q483" s="8" t="str">
        <f t="shared" si="63"/>
        <v/>
      </c>
    </row>
    <row r="484" spans="7:17">
      <c r="G484" t="e">
        <f>INDEX('اسعار الاسهم'!A:B,MATCH(B484,'اسعار الاسهم'!K:K,0),2)</f>
        <v>#N/A</v>
      </c>
      <c r="H484" s="8" t="e">
        <f t="shared" si="56"/>
        <v>#N/A</v>
      </c>
      <c r="I484" s="8" t="e">
        <f t="shared" si="57"/>
        <v>#N/A</v>
      </c>
      <c r="J484" s="8" t="e">
        <f t="shared" si="58"/>
        <v>#N/A</v>
      </c>
      <c r="K484" s="8" t="e">
        <f t="shared" si="59"/>
        <v>#DIV/0!</v>
      </c>
      <c r="L484" s="13" t="e">
        <f t="shared" si="60"/>
        <v>#N/A</v>
      </c>
      <c r="M484" t="e">
        <f t="shared" si="61"/>
        <v>#N/A</v>
      </c>
      <c r="N484">
        <f t="shared" si="62"/>
        <v>0</v>
      </c>
      <c r="Q484" s="8" t="str">
        <f t="shared" si="63"/>
        <v/>
      </c>
    </row>
    <row r="485" spans="7:17">
      <c r="G485" t="e">
        <f>INDEX('اسعار الاسهم'!A:B,MATCH(B485,'اسعار الاسهم'!K:K,0),2)</f>
        <v>#N/A</v>
      </c>
      <c r="H485" s="8" t="e">
        <f t="shared" si="56"/>
        <v>#N/A</v>
      </c>
      <c r="I485" s="8" t="e">
        <f t="shared" si="57"/>
        <v>#N/A</v>
      </c>
      <c r="J485" s="8" t="e">
        <f t="shared" si="58"/>
        <v>#N/A</v>
      </c>
      <c r="K485" s="8" t="e">
        <f t="shared" si="59"/>
        <v>#DIV/0!</v>
      </c>
      <c r="L485" s="13" t="e">
        <f t="shared" si="60"/>
        <v>#N/A</v>
      </c>
      <c r="M485" t="e">
        <f t="shared" si="61"/>
        <v>#N/A</v>
      </c>
      <c r="N485">
        <f t="shared" si="62"/>
        <v>0</v>
      </c>
      <c r="Q485" s="8" t="str">
        <f t="shared" si="63"/>
        <v/>
      </c>
    </row>
    <row r="486" spans="7:17">
      <c r="G486" t="e">
        <f>INDEX('اسعار الاسهم'!A:B,MATCH(B486,'اسعار الاسهم'!K:K,0),2)</f>
        <v>#N/A</v>
      </c>
      <c r="H486" s="8" t="e">
        <f t="shared" si="56"/>
        <v>#N/A</v>
      </c>
      <c r="I486" s="8" t="e">
        <f t="shared" si="57"/>
        <v>#N/A</v>
      </c>
      <c r="J486" s="8" t="e">
        <f t="shared" si="58"/>
        <v>#N/A</v>
      </c>
      <c r="K486" s="8" t="e">
        <f t="shared" si="59"/>
        <v>#DIV/0!</v>
      </c>
      <c r="L486" s="13" t="e">
        <f t="shared" si="60"/>
        <v>#N/A</v>
      </c>
      <c r="M486" t="e">
        <f t="shared" si="61"/>
        <v>#N/A</v>
      </c>
      <c r="N486">
        <f t="shared" si="62"/>
        <v>0</v>
      </c>
      <c r="Q486" s="8" t="str">
        <f t="shared" si="63"/>
        <v/>
      </c>
    </row>
    <row r="487" spans="7:17">
      <c r="G487" t="e">
        <f>INDEX('اسعار الاسهم'!A:B,MATCH(B487,'اسعار الاسهم'!K:K,0),2)</f>
        <v>#N/A</v>
      </c>
      <c r="H487" s="8" t="e">
        <f t="shared" si="56"/>
        <v>#N/A</v>
      </c>
      <c r="I487" s="8" t="e">
        <f t="shared" si="57"/>
        <v>#N/A</v>
      </c>
      <c r="J487" s="8" t="e">
        <f t="shared" si="58"/>
        <v>#N/A</v>
      </c>
      <c r="K487" s="8" t="e">
        <f t="shared" si="59"/>
        <v>#DIV/0!</v>
      </c>
      <c r="L487" s="13" t="e">
        <f t="shared" si="60"/>
        <v>#N/A</v>
      </c>
      <c r="M487" t="e">
        <f t="shared" si="61"/>
        <v>#N/A</v>
      </c>
      <c r="N487">
        <f t="shared" si="62"/>
        <v>0</v>
      </c>
      <c r="Q487" s="8" t="str">
        <f t="shared" si="63"/>
        <v/>
      </c>
    </row>
    <row r="488" spans="7:17">
      <c r="G488" t="e">
        <f>INDEX('اسعار الاسهم'!A:B,MATCH(B488,'اسعار الاسهم'!K:K,0),2)</f>
        <v>#N/A</v>
      </c>
      <c r="H488" s="8" t="e">
        <f t="shared" si="56"/>
        <v>#N/A</v>
      </c>
      <c r="I488" s="8" t="e">
        <f t="shared" si="57"/>
        <v>#N/A</v>
      </c>
      <c r="J488" s="8" t="e">
        <f t="shared" si="58"/>
        <v>#N/A</v>
      </c>
      <c r="K488" s="8" t="e">
        <f t="shared" si="59"/>
        <v>#DIV/0!</v>
      </c>
      <c r="L488" s="13" t="e">
        <f t="shared" si="60"/>
        <v>#N/A</v>
      </c>
      <c r="M488" t="e">
        <f t="shared" si="61"/>
        <v>#N/A</v>
      </c>
      <c r="N488">
        <f t="shared" si="62"/>
        <v>0</v>
      </c>
      <c r="Q488" s="8" t="str">
        <f t="shared" si="63"/>
        <v/>
      </c>
    </row>
    <row r="489" spans="7:17">
      <c r="G489" t="e">
        <f>INDEX('اسعار الاسهم'!A:B,MATCH(B489,'اسعار الاسهم'!K:K,0),2)</f>
        <v>#N/A</v>
      </c>
      <c r="H489" s="8" t="e">
        <f t="shared" si="56"/>
        <v>#N/A</v>
      </c>
      <c r="I489" s="8" t="e">
        <f t="shared" si="57"/>
        <v>#N/A</v>
      </c>
      <c r="J489" s="8" t="e">
        <f t="shared" si="58"/>
        <v>#N/A</v>
      </c>
      <c r="K489" s="8" t="e">
        <f t="shared" si="59"/>
        <v>#DIV/0!</v>
      </c>
      <c r="L489" s="13" t="e">
        <f t="shared" si="60"/>
        <v>#N/A</v>
      </c>
      <c r="M489" t="e">
        <f t="shared" si="61"/>
        <v>#N/A</v>
      </c>
      <c r="N489">
        <f t="shared" si="62"/>
        <v>0</v>
      </c>
      <c r="Q489" s="8" t="str">
        <f t="shared" si="63"/>
        <v/>
      </c>
    </row>
    <row r="490" spans="7:17">
      <c r="G490" t="e">
        <f>INDEX('اسعار الاسهم'!A:B,MATCH(B490,'اسعار الاسهم'!K:K,0),2)</f>
        <v>#N/A</v>
      </c>
      <c r="H490" s="8" t="e">
        <f t="shared" si="56"/>
        <v>#N/A</v>
      </c>
      <c r="I490" s="8" t="e">
        <f t="shared" si="57"/>
        <v>#N/A</v>
      </c>
      <c r="J490" s="8" t="e">
        <f t="shared" si="58"/>
        <v>#N/A</v>
      </c>
      <c r="K490" s="8" t="e">
        <f t="shared" si="59"/>
        <v>#DIV/0!</v>
      </c>
      <c r="L490" s="13" t="e">
        <f t="shared" si="60"/>
        <v>#N/A</v>
      </c>
      <c r="M490" t="e">
        <f t="shared" si="61"/>
        <v>#N/A</v>
      </c>
      <c r="N490">
        <f t="shared" si="62"/>
        <v>0</v>
      </c>
      <c r="Q490" s="8" t="str">
        <f t="shared" si="63"/>
        <v/>
      </c>
    </row>
    <row r="491" spans="7:17">
      <c r="G491" t="e">
        <f>INDEX('اسعار الاسهم'!A:B,MATCH(B491,'اسعار الاسهم'!K:K,0),2)</f>
        <v>#N/A</v>
      </c>
      <c r="H491" s="8" t="e">
        <f t="shared" si="56"/>
        <v>#N/A</v>
      </c>
      <c r="I491" s="8" t="e">
        <f t="shared" si="57"/>
        <v>#N/A</v>
      </c>
      <c r="J491" s="8" t="e">
        <f t="shared" si="58"/>
        <v>#N/A</v>
      </c>
      <c r="K491" s="8" t="e">
        <f t="shared" si="59"/>
        <v>#DIV/0!</v>
      </c>
      <c r="L491" s="13" t="e">
        <f t="shared" si="60"/>
        <v>#N/A</v>
      </c>
      <c r="M491" t="e">
        <f t="shared" si="61"/>
        <v>#N/A</v>
      </c>
      <c r="N491">
        <f t="shared" si="62"/>
        <v>0</v>
      </c>
      <c r="Q491" s="8" t="str">
        <f t="shared" si="63"/>
        <v/>
      </c>
    </row>
    <row r="492" spans="7:17">
      <c r="G492" t="e">
        <f>INDEX('اسعار الاسهم'!A:B,MATCH(B492,'اسعار الاسهم'!K:K,0),2)</f>
        <v>#N/A</v>
      </c>
      <c r="H492" s="8" t="e">
        <f t="shared" si="56"/>
        <v>#N/A</v>
      </c>
      <c r="I492" s="8" t="e">
        <f t="shared" si="57"/>
        <v>#N/A</v>
      </c>
      <c r="J492" s="8" t="e">
        <f t="shared" si="58"/>
        <v>#N/A</v>
      </c>
      <c r="K492" s="8" t="e">
        <f t="shared" si="59"/>
        <v>#DIV/0!</v>
      </c>
      <c r="L492" s="13" t="e">
        <f t="shared" si="60"/>
        <v>#N/A</v>
      </c>
      <c r="M492" t="e">
        <f t="shared" si="61"/>
        <v>#N/A</v>
      </c>
      <c r="N492">
        <f t="shared" si="62"/>
        <v>0</v>
      </c>
      <c r="Q492" s="8" t="str">
        <f t="shared" si="63"/>
        <v/>
      </c>
    </row>
    <row r="493" spans="7:17">
      <c r="G493" t="e">
        <f>INDEX('اسعار الاسهم'!A:B,MATCH(B493,'اسعار الاسهم'!K:K,0),2)</f>
        <v>#N/A</v>
      </c>
      <c r="H493" s="8" t="e">
        <f t="shared" si="56"/>
        <v>#N/A</v>
      </c>
      <c r="I493" s="8" t="e">
        <f t="shared" si="57"/>
        <v>#N/A</v>
      </c>
      <c r="J493" s="8" t="e">
        <f t="shared" si="58"/>
        <v>#N/A</v>
      </c>
      <c r="K493" s="8" t="e">
        <f t="shared" si="59"/>
        <v>#DIV/0!</v>
      </c>
      <c r="L493" s="13" t="e">
        <f t="shared" si="60"/>
        <v>#N/A</v>
      </c>
      <c r="M493" t="e">
        <f t="shared" si="61"/>
        <v>#N/A</v>
      </c>
      <c r="N493">
        <f t="shared" si="62"/>
        <v>0</v>
      </c>
      <c r="Q493" s="8" t="str">
        <f t="shared" si="63"/>
        <v/>
      </c>
    </row>
    <row r="494" spans="7:17">
      <c r="G494" t="e">
        <f>INDEX('اسعار الاسهم'!A:B,MATCH(B494,'اسعار الاسهم'!K:K,0),2)</f>
        <v>#N/A</v>
      </c>
      <c r="H494" s="8" t="e">
        <f t="shared" si="56"/>
        <v>#N/A</v>
      </c>
      <c r="I494" s="8" t="e">
        <f t="shared" si="57"/>
        <v>#N/A</v>
      </c>
      <c r="J494" s="8" t="e">
        <f t="shared" si="58"/>
        <v>#N/A</v>
      </c>
      <c r="K494" s="8" t="e">
        <f t="shared" si="59"/>
        <v>#DIV/0!</v>
      </c>
      <c r="L494" s="13" t="e">
        <f t="shared" si="60"/>
        <v>#N/A</v>
      </c>
      <c r="M494" t="e">
        <f t="shared" si="61"/>
        <v>#N/A</v>
      </c>
      <c r="N494">
        <f t="shared" si="62"/>
        <v>0</v>
      </c>
      <c r="Q494" s="8" t="str">
        <f t="shared" si="63"/>
        <v/>
      </c>
    </row>
    <row r="495" spans="7:17">
      <c r="G495" t="e">
        <f>INDEX('اسعار الاسهم'!A:B,MATCH(B495,'اسعار الاسهم'!K:K,0),2)</f>
        <v>#N/A</v>
      </c>
      <c r="H495" s="8" t="e">
        <f t="shared" si="56"/>
        <v>#N/A</v>
      </c>
      <c r="I495" s="8" t="e">
        <f t="shared" si="57"/>
        <v>#N/A</v>
      </c>
      <c r="J495" s="8" t="e">
        <f t="shared" si="58"/>
        <v>#N/A</v>
      </c>
      <c r="K495" s="8" t="e">
        <f t="shared" si="59"/>
        <v>#DIV/0!</v>
      </c>
      <c r="L495" s="13" t="e">
        <f t="shared" si="60"/>
        <v>#N/A</v>
      </c>
      <c r="M495" t="e">
        <f t="shared" si="61"/>
        <v>#N/A</v>
      </c>
      <c r="N495">
        <f t="shared" si="62"/>
        <v>0</v>
      </c>
      <c r="Q495" s="8" t="str">
        <f t="shared" si="63"/>
        <v/>
      </c>
    </row>
    <row r="496" spans="7:17">
      <c r="G496" t="e">
        <f>INDEX('اسعار الاسهم'!A:B,MATCH(B496,'اسعار الاسهم'!K:K,0),2)</f>
        <v>#N/A</v>
      </c>
      <c r="H496" s="8" t="e">
        <f t="shared" si="56"/>
        <v>#N/A</v>
      </c>
      <c r="I496" s="8" t="e">
        <f t="shared" si="57"/>
        <v>#N/A</v>
      </c>
      <c r="J496" s="8" t="e">
        <f t="shared" si="58"/>
        <v>#N/A</v>
      </c>
      <c r="K496" s="8" t="e">
        <f t="shared" si="59"/>
        <v>#DIV/0!</v>
      </c>
      <c r="L496" s="13" t="e">
        <f t="shared" si="60"/>
        <v>#N/A</v>
      </c>
      <c r="M496" t="e">
        <f t="shared" si="61"/>
        <v>#N/A</v>
      </c>
      <c r="N496">
        <f t="shared" si="62"/>
        <v>0</v>
      </c>
      <c r="Q496" s="8" t="str">
        <f t="shared" si="63"/>
        <v/>
      </c>
    </row>
    <row r="497" spans="7:17">
      <c r="G497" t="e">
        <f>INDEX('اسعار الاسهم'!A:B,MATCH(B497,'اسعار الاسهم'!K:K,0),2)</f>
        <v>#N/A</v>
      </c>
      <c r="H497" s="8" t="e">
        <f t="shared" si="56"/>
        <v>#N/A</v>
      </c>
      <c r="I497" s="8" t="e">
        <f t="shared" si="57"/>
        <v>#N/A</v>
      </c>
      <c r="J497" s="8" t="e">
        <f t="shared" si="58"/>
        <v>#N/A</v>
      </c>
      <c r="K497" s="8" t="e">
        <f t="shared" si="59"/>
        <v>#DIV/0!</v>
      </c>
      <c r="L497" s="13" t="e">
        <f t="shared" si="60"/>
        <v>#N/A</v>
      </c>
      <c r="M497" t="e">
        <f t="shared" si="61"/>
        <v>#N/A</v>
      </c>
      <c r="N497">
        <f t="shared" si="62"/>
        <v>0</v>
      </c>
      <c r="Q497" s="8" t="str">
        <f t="shared" si="63"/>
        <v/>
      </c>
    </row>
    <row r="498" spans="7:17">
      <c r="G498" t="e">
        <f>INDEX('اسعار الاسهم'!A:B,MATCH(B498,'اسعار الاسهم'!K:K,0),2)</f>
        <v>#N/A</v>
      </c>
      <c r="H498" s="8" t="e">
        <f t="shared" si="56"/>
        <v>#N/A</v>
      </c>
      <c r="I498" s="8" t="e">
        <f t="shared" si="57"/>
        <v>#N/A</v>
      </c>
      <c r="J498" s="8" t="e">
        <f t="shared" si="58"/>
        <v>#N/A</v>
      </c>
      <c r="K498" s="8" t="e">
        <f t="shared" si="59"/>
        <v>#DIV/0!</v>
      </c>
      <c r="L498" s="13" t="e">
        <f t="shared" si="60"/>
        <v>#N/A</v>
      </c>
      <c r="M498" t="e">
        <f t="shared" si="61"/>
        <v>#N/A</v>
      </c>
      <c r="N498">
        <f t="shared" si="62"/>
        <v>0</v>
      </c>
      <c r="Q498" s="8" t="str">
        <f t="shared" si="63"/>
        <v/>
      </c>
    </row>
    <row r="499" spans="7:17">
      <c r="G499" t="e">
        <f>INDEX('اسعار الاسهم'!A:B,MATCH(B499,'اسعار الاسهم'!K:K,0),2)</f>
        <v>#N/A</v>
      </c>
      <c r="H499" s="8" t="e">
        <f t="shared" si="56"/>
        <v>#N/A</v>
      </c>
      <c r="I499" s="8" t="e">
        <f t="shared" si="57"/>
        <v>#N/A</v>
      </c>
      <c r="J499" s="8" t="e">
        <f t="shared" si="58"/>
        <v>#N/A</v>
      </c>
      <c r="K499" s="8" t="e">
        <f t="shared" si="59"/>
        <v>#DIV/0!</v>
      </c>
      <c r="L499" s="13" t="e">
        <f t="shared" si="60"/>
        <v>#N/A</v>
      </c>
      <c r="M499" t="e">
        <f t="shared" si="61"/>
        <v>#N/A</v>
      </c>
      <c r="N499">
        <f t="shared" si="62"/>
        <v>0</v>
      </c>
      <c r="Q499" s="8" t="str">
        <f t="shared" si="63"/>
        <v/>
      </c>
    </row>
    <row r="500" spans="7:17">
      <c r="G500" t="e">
        <f>INDEX('اسعار الاسهم'!A:B,MATCH(B500,'اسعار الاسهم'!K:K,0),2)</f>
        <v>#N/A</v>
      </c>
      <c r="H500" s="8" t="e">
        <f t="shared" si="56"/>
        <v>#N/A</v>
      </c>
      <c r="I500" s="8" t="e">
        <f t="shared" si="57"/>
        <v>#N/A</v>
      </c>
      <c r="J500" s="8" t="e">
        <f t="shared" si="58"/>
        <v>#N/A</v>
      </c>
      <c r="K500" s="8" t="e">
        <f t="shared" si="59"/>
        <v>#DIV/0!</v>
      </c>
      <c r="L500" s="13" t="e">
        <f t="shared" si="60"/>
        <v>#N/A</v>
      </c>
      <c r="M500" t="e">
        <f t="shared" si="61"/>
        <v>#N/A</v>
      </c>
      <c r="N500">
        <f t="shared" si="62"/>
        <v>0</v>
      </c>
      <c r="Q500" s="8" t="str">
        <f t="shared" si="63"/>
        <v/>
      </c>
    </row>
    <row r="501" spans="7:17">
      <c r="G501" t="e">
        <f>INDEX('اسعار الاسهم'!A:B,MATCH(B501,'اسعار الاسهم'!K:K,0),2)</f>
        <v>#N/A</v>
      </c>
      <c r="H501" s="8" t="e">
        <f t="shared" si="56"/>
        <v>#N/A</v>
      </c>
      <c r="I501" s="8" t="e">
        <f t="shared" si="57"/>
        <v>#N/A</v>
      </c>
      <c r="J501" s="8" t="e">
        <f t="shared" si="58"/>
        <v>#N/A</v>
      </c>
      <c r="K501" s="8" t="e">
        <f t="shared" si="59"/>
        <v>#DIV/0!</v>
      </c>
      <c r="L501" s="13" t="e">
        <f t="shared" si="60"/>
        <v>#N/A</v>
      </c>
      <c r="M501" t="e">
        <f t="shared" si="61"/>
        <v>#N/A</v>
      </c>
      <c r="N501">
        <f t="shared" si="62"/>
        <v>0</v>
      </c>
      <c r="Q501" s="8" t="str">
        <f t="shared" si="63"/>
        <v/>
      </c>
    </row>
    <row r="502" spans="7:17">
      <c r="G502" t="e">
        <f>INDEX('اسعار الاسهم'!A:B,MATCH(B502,'اسعار الاسهم'!K:K,0),2)</f>
        <v>#N/A</v>
      </c>
      <c r="H502" s="8" t="e">
        <f t="shared" si="56"/>
        <v>#N/A</v>
      </c>
      <c r="I502" s="8" t="e">
        <f t="shared" si="57"/>
        <v>#N/A</v>
      </c>
      <c r="J502" s="8" t="e">
        <f t="shared" si="58"/>
        <v>#N/A</v>
      </c>
      <c r="K502" s="8" t="e">
        <f t="shared" si="59"/>
        <v>#DIV/0!</v>
      </c>
      <c r="L502" s="13" t="e">
        <f t="shared" si="60"/>
        <v>#N/A</v>
      </c>
      <c r="M502" t="e">
        <f t="shared" si="61"/>
        <v>#N/A</v>
      </c>
      <c r="N502">
        <f t="shared" si="62"/>
        <v>0</v>
      </c>
      <c r="Q502" s="8" t="str">
        <f t="shared" si="63"/>
        <v/>
      </c>
    </row>
    <row r="503" spans="7:17">
      <c r="G503" t="e">
        <f>INDEX('اسعار الاسهم'!A:B,MATCH(B503,'اسعار الاسهم'!K:K,0),2)</f>
        <v>#N/A</v>
      </c>
      <c r="H503" s="8" t="e">
        <f t="shared" si="56"/>
        <v>#N/A</v>
      </c>
      <c r="I503" s="8" t="e">
        <f t="shared" si="57"/>
        <v>#N/A</v>
      </c>
      <c r="J503" s="8" t="e">
        <f t="shared" si="58"/>
        <v>#N/A</v>
      </c>
      <c r="K503" s="8" t="e">
        <f t="shared" si="59"/>
        <v>#DIV/0!</v>
      </c>
      <c r="L503" s="13" t="e">
        <f t="shared" si="60"/>
        <v>#N/A</v>
      </c>
      <c r="M503" t="e">
        <f t="shared" si="61"/>
        <v>#N/A</v>
      </c>
      <c r="N503">
        <f t="shared" si="62"/>
        <v>0</v>
      </c>
      <c r="Q503" s="8" t="str">
        <f t="shared" si="63"/>
        <v/>
      </c>
    </row>
    <row r="504" spans="7:17">
      <c r="G504" t="e">
        <f>INDEX('اسعار الاسهم'!A:B,MATCH(B504,'اسعار الاسهم'!K:K,0),2)</f>
        <v>#N/A</v>
      </c>
      <c r="H504" s="8" t="e">
        <f t="shared" si="56"/>
        <v>#N/A</v>
      </c>
      <c r="I504" s="8" t="e">
        <f t="shared" si="57"/>
        <v>#N/A</v>
      </c>
      <c r="J504" s="8" t="e">
        <f t="shared" si="58"/>
        <v>#N/A</v>
      </c>
      <c r="K504" s="8" t="e">
        <f t="shared" si="59"/>
        <v>#DIV/0!</v>
      </c>
      <c r="L504" s="13" t="e">
        <f t="shared" si="60"/>
        <v>#N/A</v>
      </c>
      <c r="M504" t="e">
        <f t="shared" si="61"/>
        <v>#N/A</v>
      </c>
      <c r="N504">
        <f t="shared" si="62"/>
        <v>0</v>
      </c>
      <c r="Q504" s="8" t="str">
        <f t="shared" si="63"/>
        <v/>
      </c>
    </row>
    <row r="505" spans="7:17">
      <c r="G505" t="e">
        <f>INDEX('اسعار الاسهم'!A:B,MATCH(B505,'اسعار الاسهم'!K:K,0),2)</f>
        <v>#N/A</v>
      </c>
      <c r="H505" s="8" t="e">
        <f t="shared" si="56"/>
        <v>#N/A</v>
      </c>
      <c r="I505" s="8" t="e">
        <f t="shared" si="57"/>
        <v>#N/A</v>
      </c>
      <c r="J505" s="8" t="e">
        <f t="shared" si="58"/>
        <v>#N/A</v>
      </c>
      <c r="K505" s="8" t="e">
        <f t="shared" si="59"/>
        <v>#DIV/0!</v>
      </c>
      <c r="L505" s="13" t="e">
        <f t="shared" si="60"/>
        <v>#N/A</v>
      </c>
      <c r="M505" t="e">
        <f t="shared" si="61"/>
        <v>#N/A</v>
      </c>
      <c r="N505">
        <f t="shared" si="62"/>
        <v>0</v>
      </c>
      <c r="Q505" s="8" t="str">
        <f t="shared" si="63"/>
        <v/>
      </c>
    </row>
    <row r="506" spans="7:17">
      <c r="G506" t="e">
        <f>INDEX('اسعار الاسهم'!A:B,MATCH(B506,'اسعار الاسهم'!K:K,0),2)</f>
        <v>#N/A</v>
      </c>
      <c r="H506" s="8" t="e">
        <f t="shared" si="56"/>
        <v>#N/A</v>
      </c>
      <c r="I506" s="8" t="e">
        <f t="shared" si="57"/>
        <v>#N/A</v>
      </c>
      <c r="J506" s="8" t="e">
        <f t="shared" si="58"/>
        <v>#N/A</v>
      </c>
      <c r="K506" s="8" t="e">
        <f t="shared" si="59"/>
        <v>#DIV/0!</v>
      </c>
      <c r="L506" s="13" t="e">
        <f t="shared" si="60"/>
        <v>#N/A</v>
      </c>
      <c r="M506" t="e">
        <f t="shared" si="61"/>
        <v>#N/A</v>
      </c>
      <c r="N506">
        <f t="shared" si="62"/>
        <v>0</v>
      </c>
      <c r="Q506" s="8" t="str">
        <f t="shared" si="63"/>
        <v/>
      </c>
    </row>
    <row r="507" spans="7:17">
      <c r="G507" t="e">
        <f>INDEX('اسعار الاسهم'!A:B,MATCH(B507,'اسعار الاسهم'!K:K,0),2)</f>
        <v>#N/A</v>
      </c>
      <c r="H507" s="8" t="e">
        <f t="shared" si="56"/>
        <v>#N/A</v>
      </c>
      <c r="I507" s="8" t="e">
        <f t="shared" si="57"/>
        <v>#N/A</v>
      </c>
      <c r="J507" s="8" t="e">
        <f t="shared" si="58"/>
        <v>#N/A</v>
      </c>
      <c r="K507" s="8" t="e">
        <f t="shared" si="59"/>
        <v>#DIV/0!</v>
      </c>
      <c r="L507" s="13" t="e">
        <f t="shared" si="60"/>
        <v>#N/A</v>
      </c>
      <c r="M507" t="e">
        <f t="shared" si="61"/>
        <v>#N/A</v>
      </c>
      <c r="N507">
        <f t="shared" si="62"/>
        <v>0</v>
      </c>
      <c r="Q507" s="8" t="str">
        <f t="shared" si="63"/>
        <v/>
      </c>
    </row>
    <row r="508" spans="7:17">
      <c r="G508" t="e">
        <f>INDEX('اسعار الاسهم'!A:B,MATCH(B508,'اسعار الاسهم'!K:K,0),2)</f>
        <v>#N/A</v>
      </c>
      <c r="H508" s="8" t="e">
        <f t="shared" si="56"/>
        <v>#N/A</v>
      </c>
      <c r="I508" s="8" t="e">
        <f t="shared" si="57"/>
        <v>#N/A</v>
      </c>
      <c r="J508" s="8" t="e">
        <f t="shared" si="58"/>
        <v>#N/A</v>
      </c>
      <c r="K508" s="8" t="e">
        <f t="shared" si="59"/>
        <v>#DIV/0!</v>
      </c>
      <c r="L508" s="13" t="e">
        <f t="shared" si="60"/>
        <v>#N/A</v>
      </c>
      <c r="M508" t="e">
        <f t="shared" si="61"/>
        <v>#N/A</v>
      </c>
      <c r="N508">
        <f t="shared" si="62"/>
        <v>0</v>
      </c>
      <c r="Q508" s="8" t="str">
        <f t="shared" si="63"/>
        <v/>
      </c>
    </row>
    <row r="509" spans="7:17">
      <c r="G509" t="e">
        <f>INDEX('اسعار الاسهم'!A:B,MATCH(B509,'اسعار الاسهم'!K:K,0),2)</f>
        <v>#N/A</v>
      </c>
      <c r="H509" s="8" t="e">
        <f t="shared" si="56"/>
        <v>#N/A</v>
      </c>
      <c r="I509" s="8" t="e">
        <f t="shared" si="57"/>
        <v>#N/A</v>
      </c>
      <c r="J509" s="8" t="e">
        <f t="shared" si="58"/>
        <v>#N/A</v>
      </c>
      <c r="K509" s="8" t="e">
        <f t="shared" si="59"/>
        <v>#DIV/0!</v>
      </c>
      <c r="L509" s="13" t="e">
        <f t="shared" si="60"/>
        <v>#N/A</v>
      </c>
      <c r="M509" t="e">
        <f t="shared" si="61"/>
        <v>#N/A</v>
      </c>
      <c r="N509">
        <f t="shared" si="62"/>
        <v>0</v>
      </c>
      <c r="Q509" s="8" t="str">
        <f t="shared" si="63"/>
        <v/>
      </c>
    </row>
  </sheetData>
  <autoFilter ref="A1:Q393" xr:uid="{6866BDE5-B1E6-1643-B698-AFE75BAA56C6}">
    <filterColumn colId="14">
      <filters blank="1"/>
    </filterColumn>
    <sortState xmlns:xlrd2="http://schemas.microsoft.com/office/spreadsheetml/2017/richdata2" ref="A2:Q393">
      <sortCondition descending="1" ref="C1:C393"/>
    </sortState>
  </autoFilter>
  <sortState xmlns:xlrd2="http://schemas.microsoft.com/office/spreadsheetml/2017/richdata2" ref="A2:Q393">
    <sortCondition descending="1" ref="N2:N393"/>
  </sortState>
  <conditionalFormatting sqref="H2:H509"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:I509"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3:J124 J126:J128 J130:J131 J134 J141:J144 J147:J149 J151 J153 J155:J156 J164 J168 J171 J173:J175 J177:J178 J181:J182 J185 J187:J188 J194 J202:J203 J207 J209:J210 J215 J217:J218 J2:J120 J223:J230 J234:J50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1:K122 J231:K233 K2:K120 J125:K125 K123:K124 J129:K129 K126:K128 J132:K133 K130:K131 J135:K140 K134 J145:K146 K141:K144 J150:K150 K147:K149 J152:K152 K151 J154:K154 K153 J157:K163 K155:K156 J165:K167 K164 J169:K170 K168 J172:K172 K171 J176:K176 K173:K175 J179:K180 K177:K178 J183:K184 K181:K182 J186:K186 K185 J189:K193 K187:K188 J195:K201 K194 J204:K206 K202:K203 J208:K208 K207 J211:K214 K209:K210 J216:K216 K215 J219:K222 K217:K218 K234:K509 K223:K230"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:L509"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:Q50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6C8E9-8C04-8F4B-B1BB-06B48AA98131}">
  <sheetPr filterMode="1"/>
  <dimension ref="A1:Y420"/>
  <sheetViews>
    <sheetView zoomScaleNormal="60" zoomScaleSheetLayoutView="100" workbookViewId="0">
      <pane xSplit="2" ySplit="1" topLeftCell="E2" activePane="bottomRight" state="frozen"/>
      <selection pane="topRight" activeCell="Q1" sqref="Q1"/>
      <selection pane="bottomLeft" activeCell="A2" sqref="A2"/>
      <selection pane="bottomRight" activeCell="E423" sqref="E423"/>
    </sheetView>
  </sheetViews>
  <sheetFormatPr defaultRowHeight="14.4"/>
  <cols>
    <col min="2" max="2" width="8.21875" bestFit="1" customWidth="1"/>
    <col min="3" max="3" width="12.5546875" bestFit="1" customWidth="1"/>
    <col min="4" max="6" width="12" bestFit="1" customWidth="1"/>
    <col min="8" max="8" width="8.5546875" style="4"/>
    <col min="9" max="9" width="10.6640625" style="4" customWidth="1"/>
    <col min="10" max="10" width="11.88671875" style="4" customWidth="1"/>
    <col min="11" max="11" width="8.44140625" style="4" bestFit="1" customWidth="1"/>
    <col min="12" max="12" width="8.5546875" style="12"/>
    <col min="13" max="13" width="7.6640625" hidden="1" customWidth="1"/>
    <col min="14" max="14" width="11.88671875" customWidth="1"/>
    <col min="15" max="15" width="8.44140625" bestFit="1" customWidth="1"/>
    <col min="16" max="16" width="12.5546875" bestFit="1" customWidth="1"/>
    <col min="17" max="17" width="12.21875" bestFit="1" customWidth="1"/>
    <col min="18" max="18" width="11" bestFit="1" customWidth="1"/>
    <col min="19" max="19" width="12.5546875" customWidth="1"/>
    <col min="20" max="20" width="11.88671875" style="4" bestFit="1" customWidth="1"/>
    <col min="22" max="22" width="21.88671875" bestFit="1" customWidth="1"/>
    <col min="23" max="23" width="21.109375" bestFit="1" customWidth="1"/>
    <col min="24" max="24" width="15.33203125" bestFit="1" customWidth="1"/>
    <col min="25" max="25" width="12" bestFit="1" customWidth="1"/>
  </cols>
  <sheetData>
    <row r="1" spans="1:25">
      <c r="A1" t="s">
        <v>806</v>
      </c>
      <c r="B1" t="s">
        <v>797</v>
      </c>
      <c r="C1" t="s">
        <v>827</v>
      </c>
      <c r="D1" t="s">
        <v>735</v>
      </c>
      <c r="E1" t="s">
        <v>798</v>
      </c>
      <c r="F1" t="s">
        <v>799</v>
      </c>
      <c r="G1" t="s">
        <v>800</v>
      </c>
      <c r="H1" s="4" t="s">
        <v>804</v>
      </c>
      <c r="I1" s="4" t="s">
        <v>801</v>
      </c>
      <c r="J1" s="4" t="s">
        <v>802</v>
      </c>
      <c r="K1" s="4" t="s">
        <v>842</v>
      </c>
      <c r="L1" s="12" t="s">
        <v>719</v>
      </c>
      <c r="M1" t="s">
        <v>803</v>
      </c>
      <c r="N1" t="s">
        <v>836</v>
      </c>
      <c r="O1" t="s">
        <v>996</v>
      </c>
      <c r="P1" t="s">
        <v>805</v>
      </c>
      <c r="Q1" t="s">
        <v>990</v>
      </c>
      <c r="R1" t="s">
        <v>994</v>
      </c>
      <c r="S1" t="s">
        <v>809</v>
      </c>
      <c r="T1" s="4" t="s">
        <v>804</v>
      </c>
      <c r="V1" t="s">
        <v>997</v>
      </c>
      <c r="W1" t="s">
        <v>998</v>
      </c>
      <c r="X1" t="s">
        <v>999</v>
      </c>
      <c r="Y1" t="s">
        <v>1000</v>
      </c>
    </row>
    <row r="2" spans="1:25">
      <c r="A2">
        <v>300</v>
      </c>
      <c r="B2" t="s">
        <v>807</v>
      </c>
      <c r="C2" s="11">
        <v>45729</v>
      </c>
      <c r="D2">
        <v>23.6</v>
      </c>
      <c r="E2">
        <v>26.5</v>
      </c>
      <c r="F2">
        <v>22</v>
      </c>
      <c r="G2">
        <f>INDEX('اسعار الاسهم'!A:B,MATCH(B2,'اسعار الاسهم'!K:K,0),2)</f>
        <v>30.5</v>
      </c>
      <c r="H2" s="8">
        <f t="shared" ref="H2:H65" si="0">IF(P2="", G2/D2-1,"")</f>
        <v>0.29237288135593209</v>
      </c>
      <c r="I2" s="8">
        <f t="shared" ref="I2:I65" si="1">IF(P2="", E2/G2-1,"")</f>
        <v>-0.13114754098360659</v>
      </c>
      <c r="J2" s="8">
        <f t="shared" ref="J2:J33" si="2">IF(P2="",  1-F2/G2,"")</f>
        <v>0.27868852459016391</v>
      </c>
      <c r="K2" s="8">
        <f t="shared" ref="K2:K65" si="3">E2/F2-1</f>
        <v>0.20454545454545459</v>
      </c>
      <c r="L2" s="13">
        <f t="shared" ref="L2:L65" si="4">IF( S2="",I2/J2,"")</f>
        <v>-0.47058823529411781</v>
      </c>
      <c r="M2" t="str">
        <f t="shared" ref="M2:M65" si="5">IF(P2="",IF(I2&lt;J2,"up","down"),"")</f>
        <v>up</v>
      </c>
      <c r="N2">
        <f t="shared" ref="N2:N65" si="6">COUNTIFS(B:B,B2,Q:Q,"")</f>
        <v>1</v>
      </c>
      <c r="O2">
        <f t="shared" ref="O2:O65" si="7">COUNTIFS(B:B,B2)</f>
        <v>2</v>
      </c>
      <c r="R2" t="str">
        <f t="shared" ref="R2:R33" si="8">IF(Q2, Q2-C2+2,"")</f>
        <v/>
      </c>
      <c r="T2" s="8" t="str">
        <f t="shared" ref="T2:T65" si="9">IF(NOT( S2=""),IF(P2=1,E2/D2-1,F2/D2-1),"")</f>
        <v/>
      </c>
      <c r="V2" s="4">
        <f>AVERAGE(T:T)</f>
        <v>1.4523676118457333E-2</v>
      </c>
      <c r="W2">
        <f>MAX(S:S)</f>
        <v>238</v>
      </c>
      <c r="X2">
        <f>AVERAGE(R:R)</f>
        <v>21.743697478991596</v>
      </c>
      <c r="Y2" s="4">
        <f xml:space="preserve"> POWER(1+V2,365/X2)</f>
        <v>1.2738551011927941</v>
      </c>
    </row>
    <row r="3" spans="1:25">
      <c r="A3">
        <v>255</v>
      </c>
      <c r="B3" t="s">
        <v>790</v>
      </c>
      <c r="C3" s="11">
        <v>45713</v>
      </c>
      <c r="D3">
        <v>6.12</v>
      </c>
      <c r="E3">
        <v>6.8</v>
      </c>
      <c r="F3">
        <v>5.7</v>
      </c>
      <c r="G3">
        <f>INDEX('اسعار الاسهم'!A:B,MATCH(B3,'اسعار الاسهم'!K:K,0),2)</f>
        <v>8.3800000000000008</v>
      </c>
      <c r="H3" s="8">
        <f t="shared" si="0"/>
        <v>0.36928104575163401</v>
      </c>
      <c r="I3" s="8">
        <f t="shared" si="1"/>
        <v>-0.18854415274463021</v>
      </c>
      <c r="J3" s="8">
        <f t="shared" si="2"/>
        <v>0.31980906921241059</v>
      </c>
      <c r="K3" s="8">
        <f t="shared" si="3"/>
        <v>0.19298245614035081</v>
      </c>
      <c r="L3" s="13">
        <f t="shared" si="4"/>
        <v>-0.58955223880597041</v>
      </c>
      <c r="M3" t="str">
        <f t="shared" si="5"/>
        <v>up</v>
      </c>
      <c r="N3">
        <f t="shared" si="6"/>
        <v>2</v>
      </c>
      <c r="O3">
        <f t="shared" si="7"/>
        <v>3</v>
      </c>
      <c r="R3" t="str">
        <f t="shared" si="8"/>
        <v/>
      </c>
      <c r="T3" s="8" t="str">
        <f t="shared" si="9"/>
        <v/>
      </c>
    </row>
    <row r="4" spans="1:25">
      <c r="A4">
        <v>304</v>
      </c>
      <c r="B4" s="46" t="s">
        <v>808</v>
      </c>
      <c r="C4" s="11">
        <v>45732</v>
      </c>
      <c r="D4">
        <v>22.8</v>
      </c>
      <c r="E4">
        <v>25.4</v>
      </c>
      <c r="F4">
        <v>21.3</v>
      </c>
      <c r="G4">
        <f>INDEX('اسعار الاسهم'!A:B,MATCH(B4,'اسعار الاسهم'!K:K,0),2)</f>
        <v>41.43</v>
      </c>
      <c r="H4" s="8">
        <f t="shared" si="0"/>
        <v>0.81710526315789456</v>
      </c>
      <c r="I4" s="8">
        <f t="shared" si="1"/>
        <v>-0.38691769249336228</v>
      </c>
      <c r="J4" s="8">
        <f t="shared" si="2"/>
        <v>0.48587979724837072</v>
      </c>
      <c r="K4" s="8">
        <f t="shared" si="3"/>
        <v>0.19248826291079801</v>
      </c>
      <c r="L4" s="13">
        <f t="shared" si="4"/>
        <v>-0.79632389468455045</v>
      </c>
      <c r="M4" t="str">
        <f t="shared" si="5"/>
        <v>up</v>
      </c>
      <c r="N4">
        <f t="shared" si="6"/>
        <v>1</v>
      </c>
      <c r="O4">
        <f t="shared" si="7"/>
        <v>2</v>
      </c>
      <c r="R4" t="str">
        <f t="shared" si="8"/>
        <v/>
      </c>
      <c r="T4" s="8" t="str">
        <f t="shared" si="9"/>
        <v/>
      </c>
    </row>
    <row r="5" spans="1:25">
      <c r="A5">
        <v>187</v>
      </c>
      <c r="B5" t="s">
        <v>790</v>
      </c>
      <c r="C5" s="11">
        <v>45687</v>
      </c>
      <c r="D5">
        <v>6.12</v>
      </c>
      <c r="E5">
        <v>6.9</v>
      </c>
      <c r="F5">
        <v>5.7</v>
      </c>
      <c r="G5">
        <f>INDEX('اسعار الاسهم'!A:B,MATCH(B5,'اسعار الاسهم'!K:K,0),2)</f>
        <v>8.3800000000000008</v>
      </c>
      <c r="H5" s="8">
        <f t="shared" si="0"/>
        <v>0.36928104575163401</v>
      </c>
      <c r="I5" s="8">
        <f t="shared" si="1"/>
        <v>-0.1766109785202864</v>
      </c>
      <c r="J5" s="8">
        <f t="shared" si="2"/>
        <v>0.31980906921241059</v>
      </c>
      <c r="K5" s="8">
        <f t="shared" si="3"/>
        <v>0.21052631578947367</v>
      </c>
      <c r="L5" s="13">
        <f t="shared" si="4"/>
        <v>-0.55223880597014907</v>
      </c>
      <c r="M5" t="str">
        <f t="shared" si="5"/>
        <v>up</v>
      </c>
      <c r="N5">
        <f t="shared" si="6"/>
        <v>2</v>
      </c>
      <c r="O5">
        <f t="shared" si="7"/>
        <v>3</v>
      </c>
      <c r="R5" t="str">
        <f t="shared" si="8"/>
        <v/>
      </c>
      <c r="T5" s="8" t="str">
        <f t="shared" si="9"/>
        <v/>
      </c>
    </row>
    <row r="6" spans="1:25">
      <c r="A6">
        <v>160</v>
      </c>
      <c r="B6" t="s">
        <v>725</v>
      </c>
      <c r="C6" s="11">
        <v>45678</v>
      </c>
      <c r="D6">
        <v>1.1599999999999999</v>
      </c>
      <c r="E6">
        <v>1.33</v>
      </c>
      <c r="F6">
        <v>1.07</v>
      </c>
      <c r="G6">
        <f>INDEX('اسعار الاسهم'!A:B,MATCH(B6,'اسعار الاسهم'!K:K,0),2)</f>
        <v>2.57</v>
      </c>
      <c r="H6" s="8">
        <f t="shared" si="0"/>
        <v>1.2155172413793105</v>
      </c>
      <c r="I6" s="8">
        <f t="shared" si="1"/>
        <v>-0.48249027237354081</v>
      </c>
      <c r="J6" s="8">
        <f t="shared" si="2"/>
        <v>0.58365758754863806</v>
      </c>
      <c r="K6" s="8">
        <f t="shared" si="3"/>
        <v>0.2429906542056075</v>
      </c>
      <c r="L6" s="13">
        <f t="shared" si="4"/>
        <v>-0.82666666666666666</v>
      </c>
      <c r="M6" t="str">
        <f t="shared" si="5"/>
        <v>up</v>
      </c>
      <c r="N6">
        <f t="shared" si="6"/>
        <v>2</v>
      </c>
      <c r="O6">
        <f t="shared" si="7"/>
        <v>4</v>
      </c>
      <c r="R6" t="str">
        <f t="shared" si="8"/>
        <v/>
      </c>
      <c r="T6" s="8" t="str">
        <f t="shared" si="9"/>
        <v/>
      </c>
    </row>
    <row r="7" spans="1:25">
      <c r="A7">
        <v>217</v>
      </c>
      <c r="B7" s="3" t="s">
        <v>851</v>
      </c>
      <c r="C7" s="11">
        <v>45699</v>
      </c>
      <c r="D7">
        <v>0.42699999999999999</v>
      </c>
      <c r="E7">
        <v>0.47499999999999998</v>
      </c>
      <c r="F7">
        <v>0.40500000000000003</v>
      </c>
      <c r="G7">
        <f>INDEX('اسعار الاسهم'!A:B,MATCH(B7,'اسعار الاسهم'!K:K,0),2)</f>
        <v>0.61</v>
      </c>
      <c r="H7" s="8">
        <f t="shared" si="0"/>
        <v>0.4285714285714286</v>
      </c>
      <c r="I7" s="8">
        <f t="shared" si="1"/>
        <v>-0.22131147540983609</v>
      </c>
      <c r="J7" s="8">
        <f t="shared" si="2"/>
        <v>0.33606557377049173</v>
      </c>
      <c r="K7" s="8">
        <f t="shared" si="3"/>
        <v>0.17283950617283939</v>
      </c>
      <c r="L7" s="13" t="str">
        <f t="shared" si="4"/>
        <v/>
      </c>
      <c r="M7" t="str">
        <f t="shared" si="5"/>
        <v>up</v>
      </c>
      <c r="N7">
        <f t="shared" si="6"/>
        <v>0</v>
      </c>
      <c r="O7">
        <f t="shared" si="7"/>
        <v>1</v>
      </c>
      <c r="Q7" s="11">
        <v>45699</v>
      </c>
      <c r="R7">
        <f t="shared" si="8"/>
        <v>2</v>
      </c>
      <c r="S7">
        <v>143</v>
      </c>
      <c r="T7" s="8">
        <f t="shared" si="9"/>
        <v>-5.1522248243559665E-2</v>
      </c>
    </row>
    <row r="8" spans="1:25">
      <c r="A8">
        <v>254</v>
      </c>
      <c r="B8" t="s">
        <v>725</v>
      </c>
      <c r="C8" s="11">
        <v>45712</v>
      </c>
      <c r="D8">
        <v>1.2150000000000001</v>
      </c>
      <c r="E8">
        <v>1.35</v>
      </c>
      <c r="F8">
        <v>1.1399999999999999</v>
      </c>
      <c r="G8">
        <f>INDEX('اسعار الاسهم'!A:B,MATCH(B8,'اسعار الاسهم'!K:K,0),2)</f>
        <v>2.57</v>
      </c>
      <c r="H8" s="8">
        <f t="shared" si="0"/>
        <v>1.1152263374485596</v>
      </c>
      <c r="I8" s="8">
        <f t="shared" si="1"/>
        <v>-0.47470817120622566</v>
      </c>
      <c r="J8" s="8">
        <f t="shared" si="2"/>
        <v>0.55642023346303504</v>
      </c>
      <c r="K8" s="8">
        <f t="shared" si="3"/>
        <v>0.1842105263157896</v>
      </c>
      <c r="L8" s="13">
        <f t="shared" si="4"/>
        <v>-0.85314685314685312</v>
      </c>
      <c r="M8" t="str">
        <f t="shared" si="5"/>
        <v>up</v>
      </c>
      <c r="N8">
        <f t="shared" si="6"/>
        <v>2</v>
      </c>
      <c r="O8">
        <f t="shared" si="7"/>
        <v>4</v>
      </c>
      <c r="R8" t="str">
        <f t="shared" si="8"/>
        <v/>
      </c>
      <c r="T8" s="8" t="str">
        <f t="shared" si="9"/>
        <v/>
      </c>
    </row>
    <row r="9" spans="1:25">
      <c r="A9">
        <v>246</v>
      </c>
      <c r="B9" t="s">
        <v>848</v>
      </c>
      <c r="C9" s="11">
        <v>45711</v>
      </c>
      <c r="D9">
        <v>37.6</v>
      </c>
      <c r="E9">
        <v>42</v>
      </c>
      <c r="F9">
        <v>35.299999999999997</v>
      </c>
      <c r="G9">
        <f>INDEX('اسعار الاسهم'!A:B,MATCH(B9,'اسعار الاسهم'!K:K,0),2)</f>
        <v>70.459999999999994</v>
      </c>
      <c r="H9" s="8">
        <f t="shared" si="0"/>
        <v>0.87393617021276571</v>
      </c>
      <c r="I9" s="8">
        <f t="shared" si="1"/>
        <v>-0.40391711609423786</v>
      </c>
      <c r="J9" s="8">
        <f t="shared" si="2"/>
        <v>0.4990065285268237</v>
      </c>
      <c r="K9" s="8">
        <f t="shared" si="3"/>
        <v>0.18980169971671401</v>
      </c>
      <c r="L9" s="13">
        <f t="shared" si="4"/>
        <v>-0.80944254835039819</v>
      </c>
      <c r="M9" t="str">
        <f t="shared" si="5"/>
        <v>up</v>
      </c>
      <c r="N9">
        <f t="shared" si="6"/>
        <v>1</v>
      </c>
      <c r="O9">
        <f t="shared" si="7"/>
        <v>2</v>
      </c>
      <c r="R9" t="str">
        <f t="shared" si="8"/>
        <v/>
      </c>
      <c r="T9" s="8" t="str">
        <f t="shared" si="9"/>
        <v/>
      </c>
    </row>
    <row r="10" spans="1:25">
      <c r="A10">
        <v>62</v>
      </c>
      <c r="B10" t="s">
        <v>781</v>
      </c>
      <c r="C10" s="11">
        <v>45636</v>
      </c>
      <c r="D10">
        <v>33.6</v>
      </c>
      <c r="E10">
        <v>38.5</v>
      </c>
      <c r="F10">
        <v>32</v>
      </c>
      <c r="G10">
        <f>INDEX('اسعار الاسهم'!A:B,MATCH(B10,'اسعار الاسهم'!K:K,0),2)</f>
        <v>95.5</v>
      </c>
      <c r="H10" s="8">
        <f t="shared" si="0"/>
        <v>1.8422619047619047</v>
      </c>
      <c r="I10" s="8">
        <f t="shared" si="1"/>
        <v>-0.59685863874345557</v>
      </c>
      <c r="J10" s="8">
        <f t="shared" si="2"/>
        <v>0.66492146596858637</v>
      </c>
      <c r="K10" s="8">
        <f t="shared" si="3"/>
        <v>0.203125</v>
      </c>
      <c r="L10" s="13">
        <f t="shared" si="4"/>
        <v>-0.89763779527559073</v>
      </c>
      <c r="M10" t="str">
        <f t="shared" si="5"/>
        <v>up</v>
      </c>
      <c r="N10">
        <f t="shared" si="6"/>
        <v>1</v>
      </c>
      <c r="O10">
        <f t="shared" si="7"/>
        <v>1</v>
      </c>
      <c r="Q10" s="11"/>
      <c r="R10" t="str">
        <f t="shared" si="8"/>
        <v/>
      </c>
      <c r="T10" s="8" t="str">
        <f t="shared" si="9"/>
        <v/>
      </c>
    </row>
    <row r="11" spans="1:25">
      <c r="A11">
        <v>239</v>
      </c>
      <c r="B11" t="s">
        <v>778</v>
      </c>
      <c r="C11" s="11">
        <v>45707</v>
      </c>
      <c r="D11">
        <v>2.0499999999999998</v>
      </c>
      <c r="E11">
        <v>2.2799999999999998</v>
      </c>
      <c r="F11">
        <v>1.85</v>
      </c>
      <c r="G11">
        <f>INDEX('اسعار الاسهم'!A:B,MATCH(B11,'اسعار الاسهم'!K:K,0),2)</f>
        <v>1.23</v>
      </c>
      <c r="H11" s="8">
        <f t="shared" si="0"/>
        <v>-0.39999999999999991</v>
      </c>
      <c r="I11" s="8">
        <f t="shared" si="1"/>
        <v>0.85365853658536572</v>
      </c>
      <c r="J11" s="8">
        <f t="shared" si="2"/>
        <v>-0.50406504065040658</v>
      </c>
      <c r="K11" s="8">
        <f t="shared" si="3"/>
        <v>0.23243243243243228</v>
      </c>
      <c r="L11" s="13">
        <f t="shared" si="4"/>
        <v>-1.6935483870967736</v>
      </c>
      <c r="M11" t="str">
        <f t="shared" si="5"/>
        <v>down</v>
      </c>
      <c r="N11">
        <f t="shared" si="6"/>
        <v>2</v>
      </c>
      <c r="O11">
        <f t="shared" si="7"/>
        <v>4</v>
      </c>
      <c r="R11" t="str">
        <f t="shared" si="8"/>
        <v/>
      </c>
      <c r="T11" s="8" t="str">
        <f t="shared" si="9"/>
        <v/>
      </c>
    </row>
    <row r="12" spans="1:25">
      <c r="A12">
        <v>235</v>
      </c>
      <c r="B12" t="s">
        <v>748</v>
      </c>
      <c r="C12" s="11">
        <v>45706</v>
      </c>
      <c r="D12">
        <v>7.3</v>
      </c>
      <c r="E12">
        <v>8.3000000000000007</v>
      </c>
      <c r="F12">
        <v>6.85</v>
      </c>
      <c r="G12">
        <f>INDEX('اسعار الاسهم'!A:B,MATCH(B12,'اسعار الاسهم'!K:K,0),2)</f>
        <v>8.7899999999999991</v>
      </c>
      <c r="H12" s="8">
        <f t="shared" si="0"/>
        <v>0.20410958904109577</v>
      </c>
      <c r="I12" s="8">
        <f t="shared" si="1"/>
        <v>-5.5745164960181892E-2</v>
      </c>
      <c r="J12" s="8">
        <f t="shared" si="2"/>
        <v>0.22070534698521038</v>
      </c>
      <c r="K12" s="8">
        <f t="shared" si="3"/>
        <v>0.2116788321167884</v>
      </c>
      <c r="L12" s="13">
        <f t="shared" si="4"/>
        <v>-0.25257731958762836</v>
      </c>
      <c r="M12" t="str">
        <f t="shared" si="5"/>
        <v>up</v>
      </c>
      <c r="N12">
        <f t="shared" si="6"/>
        <v>2</v>
      </c>
      <c r="O12">
        <f t="shared" si="7"/>
        <v>3</v>
      </c>
      <c r="R12" t="str">
        <f t="shared" si="8"/>
        <v/>
      </c>
      <c r="T12" s="8" t="str">
        <f t="shared" si="9"/>
        <v/>
      </c>
    </row>
    <row r="13" spans="1:25">
      <c r="A13">
        <v>146</v>
      </c>
      <c r="B13" t="s">
        <v>857</v>
      </c>
      <c r="C13" s="11">
        <v>45676</v>
      </c>
      <c r="D13">
        <v>46</v>
      </c>
      <c r="E13">
        <v>52</v>
      </c>
      <c r="F13">
        <v>43.5</v>
      </c>
      <c r="G13">
        <f>INDEX('اسعار الاسهم'!A:B,MATCH(B13,'اسعار الاسهم'!K:K,0),2)</f>
        <v>84.5</v>
      </c>
      <c r="H13" s="8">
        <f t="shared" si="0"/>
        <v>0.83695652173913038</v>
      </c>
      <c r="I13" s="8">
        <f t="shared" si="1"/>
        <v>-0.38461538461538458</v>
      </c>
      <c r="J13" s="8">
        <f t="shared" si="2"/>
        <v>0.48520710059171601</v>
      </c>
      <c r="K13" s="8">
        <f t="shared" si="3"/>
        <v>0.19540229885057481</v>
      </c>
      <c r="L13" s="13">
        <f t="shared" si="4"/>
        <v>-0.79268292682926822</v>
      </c>
      <c r="M13" t="str">
        <f t="shared" si="5"/>
        <v>up</v>
      </c>
      <c r="N13">
        <f t="shared" si="6"/>
        <v>2</v>
      </c>
      <c r="O13">
        <f t="shared" si="7"/>
        <v>4</v>
      </c>
      <c r="R13" t="str">
        <f t="shared" si="8"/>
        <v/>
      </c>
      <c r="T13" s="8" t="str">
        <f t="shared" si="9"/>
        <v/>
      </c>
    </row>
    <row r="14" spans="1:25">
      <c r="A14">
        <v>216</v>
      </c>
      <c r="B14" s="3" t="s">
        <v>742</v>
      </c>
      <c r="C14" s="11">
        <v>45699</v>
      </c>
      <c r="D14">
        <v>10.6</v>
      </c>
      <c r="E14">
        <v>11.9</v>
      </c>
      <c r="F14">
        <v>10</v>
      </c>
      <c r="G14">
        <f>INDEX('اسعار الاسهم'!A:B,MATCH(B14,'اسعار الاسهم'!K:K,0),2)</f>
        <v>6.43</v>
      </c>
      <c r="H14" s="8">
        <f t="shared" si="0"/>
        <v>-0.39339622641509431</v>
      </c>
      <c r="I14" s="8">
        <f t="shared" si="1"/>
        <v>0.85069984447900482</v>
      </c>
      <c r="J14" s="8">
        <f t="shared" si="2"/>
        <v>-0.55520995334370138</v>
      </c>
      <c r="K14" s="8">
        <f t="shared" si="3"/>
        <v>0.18999999999999995</v>
      </c>
      <c r="L14" s="13" t="str">
        <f t="shared" si="4"/>
        <v/>
      </c>
      <c r="M14" t="str">
        <f t="shared" si="5"/>
        <v>down</v>
      </c>
      <c r="N14">
        <f t="shared" si="6"/>
        <v>0</v>
      </c>
      <c r="O14">
        <f t="shared" si="7"/>
        <v>2</v>
      </c>
      <c r="Q14" s="11">
        <v>45700</v>
      </c>
      <c r="R14">
        <f t="shared" si="8"/>
        <v>3</v>
      </c>
      <c r="S14">
        <v>155</v>
      </c>
      <c r="T14" s="8">
        <f t="shared" si="9"/>
        <v>-5.6603773584905648E-2</v>
      </c>
    </row>
    <row r="15" spans="1:25">
      <c r="A15">
        <v>288</v>
      </c>
      <c r="B15" t="s">
        <v>748</v>
      </c>
      <c r="C15" s="11">
        <v>45726</v>
      </c>
      <c r="D15">
        <v>7.5</v>
      </c>
      <c r="E15">
        <v>8.4</v>
      </c>
      <c r="F15">
        <v>7</v>
      </c>
      <c r="G15">
        <f>INDEX('اسعار الاسهم'!A:B,MATCH(B15,'اسعار الاسهم'!K:K,0),2)</f>
        <v>8.7899999999999991</v>
      </c>
      <c r="H15" s="8">
        <f t="shared" si="0"/>
        <v>0.17199999999999993</v>
      </c>
      <c r="I15" s="8">
        <f t="shared" si="1"/>
        <v>-4.436860068259374E-2</v>
      </c>
      <c r="J15" s="8">
        <f t="shared" si="2"/>
        <v>0.2036405005688281</v>
      </c>
      <c r="K15" s="8">
        <f t="shared" si="3"/>
        <v>0.19999999999999996</v>
      </c>
      <c r="L15" s="13">
        <f t="shared" si="4"/>
        <v>-0.21787709497206659</v>
      </c>
      <c r="M15" t="str">
        <f t="shared" si="5"/>
        <v>up</v>
      </c>
      <c r="N15">
        <f t="shared" si="6"/>
        <v>2</v>
      </c>
      <c r="O15">
        <f t="shared" si="7"/>
        <v>3</v>
      </c>
      <c r="R15" t="str">
        <f t="shared" si="8"/>
        <v/>
      </c>
      <c r="T15" s="8" t="str">
        <f t="shared" si="9"/>
        <v/>
      </c>
    </row>
    <row r="16" spans="1:25">
      <c r="A16">
        <v>280</v>
      </c>
      <c r="B16" t="s">
        <v>778</v>
      </c>
      <c r="C16" s="11">
        <v>45725</v>
      </c>
      <c r="D16">
        <v>2.1</v>
      </c>
      <c r="E16">
        <v>2.35</v>
      </c>
      <c r="F16">
        <v>1.94</v>
      </c>
      <c r="G16">
        <f>INDEX('اسعار الاسهم'!A:B,MATCH(B16,'اسعار الاسهم'!K:K,0),2)</f>
        <v>1.23</v>
      </c>
      <c r="H16" s="8">
        <f t="shared" si="0"/>
        <v>-0.41428571428571437</v>
      </c>
      <c r="I16" s="8">
        <f t="shared" si="1"/>
        <v>0.91056910569105698</v>
      </c>
      <c r="J16" s="8">
        <f t="shared" si="2"/>
        <v>-0.5772357723577235</v>
      </c>
      <c r="K16" s="8">
        <f t="shared" si="3"/>
        <v>0.21134020618556715</v>
      </c>
      <c r="L16" s="13">
        <f t="shared" si="4"/>
        <v>-1.5774647887323947</v>
      </c>
      <c r="M16" t="str">
        <f t="shared" si="5"/>
        <v>down</v>
      </c>
      <c r="N16">
        <f t="shared" si="6"/>
        <v>2</v>
      </c>
      <c r="O16">
        <f t="shared" si="7"/>
        <v>4</v>
      </c>
      <c r="R16" t="str">
        <f t="shared" si="8"/>
        <v/>
      </c>
      <c r="T16" s="8" t="str">
        <f t="shared" si="9"/>
        <v/>
      </c>
    </row>
    <row r="17" spans="1:20">
      <c r="A17">
        <v>287</v>
      </c>
      <c r="B17" t="s">
        <v>900</v>
      </c>
      <c r="C17" s="11">
        <v>45726</v>
      </c>
      <c r="D17">
        <v>1.23</v>
      </c>
      <c r="E17">
        <v>1.35</v>
      </c>
      <c r="F17">
        <v>1.1200000000000001</v>
      </c>
      <c r="G17">
        <f>INDEX('اسعار الاسهم'!A:B,MATCH(B17,'اسعار الاسهم'!K:K,0),2)</f>
        <v>3.43</v>
      </c>
      <c r="H17" s="8">
        <f t="shared" si="0"/>
        <v>1.7886178861788617</v>
      </c>
      <c r="I17" s="8">
        <f t="shared" si="1"/>
        <v>-0.60641399416909625</v>
      </c>
      <c r="J17" s="8">
        <f t="shared" si="2"/>
        <v>0.67346938775510201</v>
      </c>
      <c r="K17" s="8">
        <f t="shared" si="3"/>
        <v>0.20535714285714279</v>
      </c>
      <c r="L17" s="13">
        <f t="shared" si="4"/>
        <v>-0.90043290043290058</v>
      </c>
      <c r="M17" t="str">
        <f t="shared" si="5"/>
        <v>up</v>
      </c>
      <c r="N17">
        <f t="shared" si="6"/>
        <v>1</v>
      </c>
      <c r="O17">
        <f t="shared" si="7"/>
        <v>4</v>
      </c>
      <c r="R17" t="str">
        <f t="shared" si="8"/>
        <v/>
      </c>
      <c r="T17" s="8" t="str">
        <f t="shared" si="9"/>
        <v/>
      </c>
    </row>
    <row r="18" spans="1:20">
      <c r="A18">
        <v>58</v>
      </c>
      <c r="B18" s="46" t="s">
        <v>808</v>
      </c>
      <c r="C18" s="11">
        <v>45635</v>
      </c>
      <c r="D18">
        <v>25.25</v>
      </c>
      <c r="E18">
        <v>29</v>
      </c>
      <c r="F18">
        <v>23.9</v>
      </c>
      <c r="G18">
        <f>INDEX('اسعار الاسهم'!A:B,MATCH(B18,'اسعار الاسهم'!K:K,0),2)</f>
        <v>41.43</v>
      </c>
      <c r="H18" s="8">
        <f t="shared" si="0"/>
        <v>0.6407920792079207</v>
      </c>
      <c r="I18" s="8">
        <f t="shared" si="1"/>
        <v>-0.30002413709872078</v>
      </c>
      <c r="J18" s="8">
        <f t="shared" si="2"/>
        <v>0.42312334057446299</v>
      </c>
      <c r="K18" s="8">
        <f t="shared" si="3"/>
        <v>0.2133891213389123</v>
      </c>
      <c r="L18" s="13" t="str">
        <f t="shared" si="4"/>
        <v/>
      </c>
      <c r="M18" t="str">
        <f t="shared" si="5"/>
        <v>up</v>
      </c>
      <c r="N18">
        <f t="shared" si="6"/>
        <v>1</v>
      </c>
      <c r="O18">
        <f t="shared" si="7"/>
        <v>2</v>
      </c>
      <c r="Q18" s="11">
        <v>45690</v>
      </c>
      <c r="R18">
        <f t="shared" si="8"/>
        <v>57</v>
      </c>
      <c r="S18">
        <v>126</v>
      </c>
      <c r="T18" s="8">
        <f t="shared" si="9"/>
        <v>-5.3465346534653513E-2</v>
      </c>
    </row>
    <row r="19" spans="1:20">
      <c r="A19">
        <v>266</v>
      </c>
      <c r="B19" s="46" t="s">
        <v>857</v>
      </c>
      <c r="C19" s="11">
        <v>45718</v>
      </c>
      <c r="D19">
        <v>47.6</v>
      </c>
      <c r="E19">
        <v>53</v>
      </c>
      <c r="F19">
        <v>44.5</v>
      </c>
      <c r="G19">
        <f>INDEX('اسعار الاسهم'!A:B,MATCH(B19,'اسعار الاسهم'!K:K,0),2)</f>
        <v>84.5</v>
      </c>
      <c r="H19" s="8">
        <f t="shared" si="0"/>
        <v>0.77521008403361336</v>
      </c>
      <c r="I19" s="8">
        <f t="shared" si="1"/>
        <v>-0.37278106508875741</v>
      </c>
      <c r="J19" s="8">
        <f t="shared" si="2"/>
        <v>0.47337278106508873</v>
      </c>
      <c r="K19" s="8">
        <f t="shared" si="3"/>
        <v>0.1910112359550562</v>
      </c>
      <c r="L19" s="13">
        <f t="shared" si="4"/>
        <v>-0.78750000000000009</v>
      </c>
      <c r="M19" t="str">
        <f t="shared" si="5"/>
        <v>up</v>
      </c>
      <c r="N19">
        <f t="shared" si="6"/>
        <v>2</v>
      </c>
      <c r="O19">
        <f t="shared" si="7"/>
        <v>4</v>
      </c>
      <c r="R19" t="str">
        <f t="shared" si="8"/>
        <v/>
      </c>
      <c r="T19" s="8" t="str">
        <f t="shared" si="9"/>
        <v/>
      </c>
    </row>
    <row r="20" spans="1:20">
      <c r="A20">
        <v>222</v>
      </c>
      <c r="B20" s="3" t="s">
        <v>783</v>
      </c>
      <c r="C20" s="11">
        <v>45701</v>
      </c>
      <c r="D20">
        <v>39</v>
      </c>
      <c r="E20">
        <v>44.9</v>
      </c>
      <c r="F20">
        <v>37</v>
      </c>
      <c r="G20">
        <f>INDEX('اسعار الاسهم'!A:B,MATCH(B20,'اسعار الاسهم'!K:K,0),2)</f>
        <v>46.1</v>
      </c>
      <c r="H20" s="8">
        <f t="shared" si="0"/>
        <v>0.18205128205128207</v>
      </c>
      <c r="I20" s="8">
        <f t="shared" si="1"/>
        <v>-2.6030368763557576E-2</v>
      </c>
      <c r="J20" s="8">
        <f t="shared" si="2"/>
        <v>0.1973969631236443</v>
      </c>
      <c r="K20" s="8">
        <f t="shared" si="3"/>
        <v>0.21351351351351355</v>
      </c>
      <c r="L20" s="13">
        <f t="shared" si="4"/>
        <v>-0.13186813186813232</v>
      </c>
      <c r="M20" t="str">
        <f t="shared" si="5"/>
        <v>up</v>
      </c>
      <c r="N20">
        <f t="shared" si="6"/>
        <v>2</v>
      </c>
      <c r="O20">
        <f t="shared" si="7"/>
        <v>8</v>
      </c>
      <c r="R20" t="str">
        <f t="shared" si="8"/>
        <v/>
      </c>
      <c r="T20" s="8" t="str">
        <f t="shared" si="9"/>
        <v/>
      </c>
    </row>
    <row r="21" spans="1:20">
      <c r="A21">
        <v>186</v>
      </c>
      <c r="B21" t="s">
        <v>856</v>
      </c>
      <c r="C21" s="11">
        <v>45687</v>
      </c>
      <c r="D21">
        <v>17.100000000000001</v>
      </c>
      <c r="E21">
        <v>20</v>
      </c>
      <c r="F21">
        <v>16.100000000000001</v>
      </c>
      <c r="G21">
        <f>INDEX('اسعار الاسهم'!A:B,MATCH(B21,'اسعار الاسهم'!K:K,0),2)</f>
        <v>18.73</v>
      </c>
      <c r="H21" s="8">
        <f t="shared" si="0"/>
        <v>9.5321637426900585E-2</v>
      </c>
      <c r="I21" s="8">
        <f t="shared" si="1"/>
        <v>6.780565936999472E-2</v>
      </c>
      <c r="J21" s="8">
        <f t="shared" si="2"/>
        <v>0.14041644420715427</v>
      </c>
      <c r="K21" s="8">
        <f t="shared" si="3"/>
        <v>0.2422360248447204</v>
      </c>
      <c r="L21" s="13">
        <f t="shared" si="4"/>
        <v>0.4828897338403047</v>
      </c>
      <c r="M21" t="str">
        <f t="shared" si="5"/>
        <v>up</v>
      </c>
      <c r="N21">
        <f t="shared" si="6"/>
        <v>1</v>
      </c>
      <c r="O21">
        <f t="shared" si="7"/>
        <v>3</v>
      </c>
      <c r="Q21" s="11"/>
      <c r="R21" t="str">
        <f t="shared" si="8"/>
        <v/>
      </c>
      <c r="T21" s="8" t="str">
        <f t="shared" si="9"/>
        <v/>
      </c>
    </row>
    <row r="22" spans="1:20">
      <c r="A22">
        <v>283</v>
      </c>
      <c r="B22" t="s">
        <v>887</v>
      </c>
      <c r="C22" s="11">
        <v>45725</v>
      </c>
      <c r="D22">
        <v>25</v>
      </c>
      <c r="E22">
        <v>28</v>
      </c>
      <c r="F22">
        <v>23.27</v>
      </c>
      <c r="G22">
        <f>INDEX('اسعار الاسهم'!A:B,MATCH(B22,'اسعار الاسهم'!K:K,0),2)</f>
        <v>70.95</v>
      </c>
      <c r="H22" s="8">
        <f t="shared" si="0"/>
        <v>1.8380000000000001</v>
      </c>
      <c r="I22" s="8">
        <f t="shared" si="1"/>
        <v>-0.60535588442565191</v>
      </c>
      <c r="J22" s="8">
        <f t="shared" si="2"/>
        <v>0.67202255109231857</v>
      </c>
      <c r="K22" s="8">
        <f t="shared" si="3"/>
        <v>0.20326600773528147</v>
      </c>
      <c r="L22" s="13">
        <f t="shared" si="4"/>
        <v>-0.90079697986577179</v>
      </c>
      <c r="M22" t="str">
        <f t="shared" si="5"/>
        <v>up</v>
      </c>
      <c r="N22">
        <f t="shared" si="6"/>
        <v>1</v>
      </c>
      <c r="O22">
        <f t="shared" si="7"/>
        <v>4</v>
      </c>
      <c r="R22" t="str">
        <f t="shared" si="8"/>
        <v/>
      </c>
      <c r="T22" s="8" t="str">
        <f t="shared" si="9"/>
        <v/>
      </c>
    </row>
    <row r="23" spans="1:20">
      <c r="A23">
        <v>208</v>
      </c>
      <c r="B23" t="s">
        <v>744</v>
      </c>
      <c r="C23" s="11">
        <v>45697</v>
      </c>
      <c r="D23">
        <v>49</v>
      </c>
      <c r="E23">
        <v>55</v>
      </c>
      <c r="F23">
        <v>47</v>
      </c>
      <c r="G23">
        <f>INDEX('اسعار الاسهم'!A:B,MATCH(B23,'اسعار الاسهم'!K:K,0),2)</f>
        <v>48.78</v>
      </c>
      <c r="H23" s="8">
        <f t="shared" si="0"/>
        <v>-4.4897959183672898E-3</v>
      </c>
      <c r="I23" s="8">
        <f t="shared" si="1"/>
        <v>0.12751127511275118</v>
      </c>
      <c r="J23" s="8">
        <f t="shared" si="2"/>
        <v>3.6490364903649097E-2</v>
      </c>
      <c r="K23" s="8">
        <f t="shared" si="3"/>
        <v>0.17021276595744683</v>
      </c>
      <c r="L23" s="13">
        <f t="shared" si="4"/>
        <v>3.4943820224719055</v>
      </c>
      <c r="M23" t="str">
        <f t="shared" si="5"/>
        <v>down</v>
      </c>
      <c r="N23">
        <f t="shared" si="6"/>
        <v>4</v>
      </c>
      <c r="O23">
        <f t="shared" si="7"/>
        <v>4</v>
      </c>
      <c r="R23" t="str">
        <f t="shared" si="8"/>
        <v/>
      </c>
      <c r="T23" s="8" t="str">
        <f t="shared" si="9"/>
        <v/>
      </c>
    </row>
    <row r="24" spans="1:20">
      <c r="A24">
        <v>305</v>
      </c>
      <c r="B24" s="46" t="s">
        <v>761</v>
      </c>
      <c r="C24" s="11">
        <v>45733</v>
      </c>
      <c r="D24">
        <v>3.38</v>
      </c>
      <c r="E24">
        <v>3.75</v>
      </c>
      <c r="F24">
        <v>3.17</v>
      </c>
      <c r="G24">
        <f>INDEX('اسعار الاسهم'!A:B,MATCH(B24,'اسعار الاسهم'!K:K,0),2)</f>
        <v>5.86</v>
      </c>
      <c r="H24" s="8">
        <f t="shared" si="0"/>
        <v>0.73372781065088777</v>
      </c>
      <c r="I24" s="8">
        <f t="shared" si="1"/>
        <v>-0.36006825938566556</v>
      </c>
      <c r="J24" s="8">
        <f t="shared" si="2"/>
        <v>0.45904436860068265</v>
      </c>
      <c r="K24" s="8">
        <f t="shared" si="3"/>
        <v>0.18296529968454256</v>
      </c>
      <c r="L24" s="13">
        <f t="shared" si="4"/>
        <v>-0.78438661710037172</v>
      </c>
      <c r="M24" t="str">
        <f t="shared" si="5"/>
        <v>up</v>
      </c>
      <c r="N24">
        <f t="shared" si="6"/>
        <v>2</v>
      </c>
      <c r="O24">
        <f t="shared" si="7"/>
        <v>2</v>
      </c>
      <c r="R24" t="str">
        <f t="shared" si="8"/>
        <v/>
      </c>
      <c r="T24" s="8" t="str">
        <f t="shared" si="9"/>
        <v/>
      </c>
    </row>
    <row r="25" spans="1:20">
      <c r="A25">
        <v>264</v>
      </c>
      <c r="B25" t="s">
        <v>830</v>
      </c>
      <c r="C25" s="11">
        <v>45715</v>
      </c>
      <c r="D25">
        <v>10.56</v>
      </c>
      <c r="E25">
        <v>11.9</v>
      </c>
      <c r="F25">
        <v>10</v>
      </c>
      <c r="G25">
        <f>INDEX('اسعار الاسهم'!A:B,MATCH(B25,'اسعار الاسهم'!K:K,0),2)</f>
        <v>22.1</v>
      </c>
      <c r="H25" s="8">
        <f t="shared" si="0"/>
        <v>1.0928030303030303</v>
      </c>
      <c r="I25" s="8">
        <f t="shared" si="1"/>
        <v>-0.46153846153846156</v>
      </c>
      <c r="J25" s="8">
        <f t="shared" si="2"/>
        <v>0.54751131221719462</v>
      </c>
      <c r="K25" s="8">
        <f t="shared" si="3"/>
        <v>0.18999999999999995</v>
      </c>
      <c r="L25" s="13">
        <f t="shared" si="4"/>
        <v>-0.84297520661157022</v>
      </c>
      <c r="M25" t="str">
        <f t="shared" si="5"/>
        <v>up</v>
      </c>
      <c r="N25">
        <f t="shared" si="6"/>
        <v>2</v>
      </c>
      <c r="O25">
        <f t="shared" si="7"/>
        <v>3</v>
      </c>
      <c r="R25" t="str">
        <f t="shared" si="8"/>
        <v/>
      </c>
      <c r="T25" s="8" t="str">
        <f t="shared" si="9"/>
        <v/>
      </c>
    </row>
    <row r="26" spans="1:20">
      <c r="A26">
        <v>245</v>
      </c>
      <c r="B26" t="s">
        <v>838</v>
      </c>
      <c r="C26" s="11">
        <v>45708</v>
      </c>
      <c r="D26">
        <v>11</v>
      </c>
      <c r="E26">
        <v>12.4</v>
      </c>
      <c r="F26">
        <v>10.199999999999999</v>
      </c>
      <c r="G26">
        <f>INDEX('اسعار الاسهم'!A:B,MATCH(B26,'اسعار الاسهم'!K:K,0),2)</f>
        <v>10.33</v>
      </c>
      <c r="H26" s="8">
        <f t="shared" si="0"/>
        <v>-6.0909090909090913E-2</v>
      </c>
      <c r="I26" s="8">
        <f t="shared" si="1"/>
        <v>0.20038722168441425</v>
      </c>
      <c r="J26" s="8">
        <f t="shared" si="2"/>
        <v>1.2584704743465736E-2</v>
      </c>
      <c r="K26" s="8">
        <f t="shared" si="3"/>
        <v>0.21568627450980404</v>
      </c>
      <c r="L26" s="13">
        <f t="shared" si="4"/>
        <v>15.923076923076788</v>
      </c>
      <c r="M26" t="str">
        <f t="shared" si="5"/>
        <v>down</v>
      </c>
      <c r="N26">
        <f t="shared" si="6"/>
        <v>2</v>
      </c>
      <c r="O26">
        <f t="shared" si="7"/>
        <v>2</v>
      </c>
      <c r="R26" t="str">
        <f t="shared" si="8"/>
        <v/>
      </c>
      <c r="T26" s="8" t="str">
        <f t="shared" si="9"/>
        <v/>
      </c>
    </row>
    <row r="27" spans="1:20">
      <c r="A27">
        <v>282</v>
      </c>
      <c r="B27" t="s">
        <v>838</v>
      </c>
      <c r="C27" s="11">
        <v>45725</v>
      </c>
      <c r="D27">
        <v>11.1</v>
      </c>
      <c r="E27">
        <v>12.4</v>
      </c>
      <c r="F27">
        <v>10.45</v>
      </c>
      <c r="G27">
        <f>INDEX('اسعار الاسهم'!A:B,MATCH(B27,'اسعار الاسهم'!K:K,0),2)</f>
        <v>10.33</v>
      </c>
      <c r="H27" s="8">
        <f t="shared" si="0"/>
        <v>-6.9369369369369327E-2</v>
      </c>
      <c r="I27" s="8">
        <f t="shared" si="1"/>
        <v>0.20038722168441425</v>
      </c>
      <c r="J27" s="8">
        <f t="shared" si="2"/>
        <v>-1.1616650532429773E-2</v>
      </c>
      <c r="K27" s="8">
        <f t="shared" si="3"/>
        <v>0.18660287081339733</v>
      </c>
      <c r="L27" s="13">
        <f t="shared" si="4"/>
        <v>-17.250000000000057</v>
      </c>
      <c r="M27" t="str">
        <f t="shared" si="5"/>
        <v>down</v>
      </c>
      <c r="N27">
        <f t="shared" si="6"/>
        <v>2</v>
      </c>
      <c r="O27">
        <f t="shared" si="7"/>
        <v>2</v>
      </c>
      <c r="R27" t="str">
        <f t="shared" si="8"/>
        <v/>
      </c>
      <c r="T27" s="8" t="str">
        <f t="shared" si="9"/>
        <v/>
      </c>
    </row>
    <row r="28" spans="1:20">
      <c r="A28">
        <v>182</v>
      </c>
      <c r="B28" t="s">
        <v>830</v>
      </c>
      <c r="C28" s="11">
        <v>45686</v>
      </c>
      <c r="D28">
        <v>10.68</v>
      </c>
      <c r="E28">
        <v>11.95</v>
      </c>
      <c r="F28">
        <v>9.9</v>
      </c>
      <c r="G28">
        <f>INDEX('اسعار الاسهم'!A:B,MATCH(B28,'اسعار الاسهم'!K:K,0),2)</f>
        <v>22.1</v>
      </c>
      <c r="H28" s="8">
        <f t="shared" si="0"/>
        <v>1.0692883895131087</v>
      </c>
      <c r="I28" s="8">
        <f t="shared" si="1"/>
        <v>-0.45927601809954754</v>
      </c>
      <c r="J28" s="8">
        <f t="shared" si="2"/>
        <v>0.55203619909502266</v>
      </c>
      <c r="K28" s="8">
        <f t="shared" si="3"/>
        <v>0.20707070707070696</v>
      </c>
      <c r="L28" s="13">
        <f t="shared" si="4"/>
        <v>-0.83196721311475408</v>
      </c>
      <c r="M28" t="str">
        <f t="shared" si="5"/>
        <v>up</v>
      </c>
      <c r="N28">
        <f t="shared" si="6"/>
        <v>2</v>
      </c>
      <c r="O28">
        <f t="shared" si="7"/>
        <v>3</v>
      </c>
      <c r="R28" t="str">
        <f t="shared" si="8"/>
        <v/>
      </c>
      <c r="T28" s="8" t="str">
        <f t="shared" si="9"/>
        <v/>
      </c>
    </row>
    <row r="29" spans="1:20">
      <c r="A29">
        <v>145</v>
      </c>
      <c r="B29" t="s">
        <v>744</v>
      </c>
      <c r="C29" s="11">
        <v>45673</v>
      </c>
      <c r="D29">
        <v>49</v>
      </c>
      <c r="E29">
        <v>55.3</v>
      </c>
      <c r="F29">
        <v>46</v>
      </c>
      <c r="G29">
        <f>INDEX('اسعار الاسهم'!A:B,MATCH(B29,'اسعار الاسهم'!K:K,0),2)</f>
        <v>48.78</v>
      </c>
      <c r="H29" s="8">
        <f t="shared" si="0"/>
        <v>-4.4897959183672898E-3</v>
      </c>
      <c r="I29" s="8">
        <f t="shared" si="1"/>
        <v>0.1336613366133661</v>
      </c>
      <c r="J29" s="8">
        <f t="shared" si="2"/>
        <v>5.6990569905699062E-2</v>
      </c>
      <c r="K29" s="8">
        <f t="shared" si="3"/>
        <v>0.20217391304347809</v>
      </c>
      <c r="L29" s="13">
        <f t="shared" si="4"/>
        <v>2.3453237410071934</v>
      </c>
      <c r="M29" t="str">
        <f t="shared" si="5"/>
        <v>down</v>
      </c>
      <c r="N29">
        <f t="shared" si="6"/>
        <v>4</v>
      </c>
      <c r="O29">
        <f t="shared" si="7"/>
        <v>4</v>
      </c>
      <c r="R29" t="str">
        <f t="shared" si="8"/>
        <v/>
      </c>
      <c r="T29" s="8" t="str">
        <f t="shared" si="9"/>
        <v/>
      </c>
    </row>
    <row r="30" spans="1:20">
      <c r="A30">
        <v>188</v>
      </c>
      <c r="B30" t="s">
        <v>744</v>
      </c>
      <c r="C30" s="11">
        <v>45687</v>
      </c>
      <c r="D30">
        <v>49.3</v>
      </c>
      <c r="E30">
        <v>55.3</v>
      </c>
      <c r="F30">
        <v>47</v>
      </c>
      <c r="G30">
        <f>INDEX('اسعار الاسهم'!A:B,MATCH(B30,'اسعار الاسهم'!K:K,0),2)</f>
        <v>48.78</v>
      </c>
      <c r="H30" s="8">
        <f t="shared" si="0"/>
        <v>-1.0547667342799105E-2</v>
      </c>
      <c r="I30" s="8">
        <f t="shared" si="1"/>
        <v>0.1336613366133661</v>
      </c>
      <c r="J30" s="8">
        <f t="shared" si="2"/>
        <v>3.6490364903649097E-2</v>
      </c>
      <c r="K30" s="8">
        <f t="shared" si="3"/>
        <v>0.17659574468085104</v>
      </c>
      <c r="L30" s="13">
        <f t="shared" si="4"/>
        <v>3.6629213483145997</v>
      </c>
      <c r="M30" t="str">
        <f t="shared" si="5"/>
        <v>down</v>
      </c>
      <c r="N30">
        <f t="shared" si="6"/>
        <v>4</v>
      </c>
      <c r="O30">
        <f t="shared" si="7"/>
        <v>4</v>
      </c>
      <c r="R30" t="str">
        <f t="shared" si="8"/>
        <v/>
      </c>
      <c r="T30" s="8" t="str">
        <f t="shared" si="9"/>
        <v/>
      </c>
    </row>
    <row r="31" spans="1:20">
      <c r="A31">
        <v>194</v>
      </c>
      <c r="B31" t="s">
        <v>744</v>
      </c>
      <c r="C31" s="11">
        <v>45691</v>
      </c>
      <c r="D31">
        <v>49.58</v>
      </c>
      <c r="E31">
        <v>55.4</v>
      </c>
      <c r="F31">
        <v>47</v>
      </c>
      <c r="G31">
        <f>INDEX('اسعار الاسهم'!A:B,MATCH(B31,'اسعار الاسهم'!K:K,0),2)</f>
        <v>48.78</v>
      </c>
      <c r="H31" s="8">
        <f t="shared" si="0"/>
        <v>-1.613553852359817E-2</v>
      </c>
      <c r="I31" s="8">
        <f t="shared" si="1"/>
        <v>0.13571135711357107</v>
      </c>
      <c r="J31" s="8">
        <f t="shared" si="2"/>
        <v>3.6490364903649097E-2</v>
      </c>
      <c r="K31" s="8">
        <f t="shared" si="3"/>
        <v>0.17872340425531918</v>
      </c>
      <c r="L31" s="13">
        <f t="shared" si="4"/>
        <v>3.7191011235954976</v>
      </c>
      <c r="M31" t="str">
        <f t="shared" si="5"/>
        <v>down</v>
      </c>
      <c r="N31">
        <f t="shared" si="6"/>
        <v>4</v>
      </c>
      <c r="O31">
        <f t="shared" si="7"/>
        <v>4</v>
      </c>
      <c r="R31" t="str">
        <f t="shared" si="8"/>
        <v/>
      </c>
      <c r="T31" s="8" t="str">
        <f t="shared" si="9"/>
        <v/>
      </c>
    </row>
    <row r="32" spans="1:20">
      <c r="A32">
        <v>226</v>
      </c>
      <c r="B32" s="3" t="s">
        <v>747</v>
      </c>
      <c r="C32" s="11">
        <v>45704</v>
      </c>
      <c r="D32">
        <v>51</v>
      </c>
      <c r="E32">
        <v>56.5</v>
      </c>
      <c r="F32">
        <v>48.7</v>
      </c>
      <c r="G32">
        <f>INDEX('اسعار الاسهم'!A:B,MATCH(B32,'اسعار الاسهم'!K:K,0),2)</f>
        <v>99.48</v>
      </c>
      <c r="H32" s="8">
        <f t="shared" si="0"/>
        <v>0.95058823529411773</v>
      </c>
      <c r="I32" s="8">
        <f t="shared" si="1"/>
        <v>-0.43204664254121439</v>
      </c>
      <c r="J32" s="8">
        <f t="shared" si="2"/>
        <v>0.510454362685967</v>
      </c>
      <c r="K32" s="8">
        <f t="shared" si="3"/>
        <v>0.16016427104722797</v>
      </c>
      <c r="L32" s="13">
        <f t="shared" si="4"/>
        <v>-0.84639621898385209</v>
      </c>
      <c r="M32" t="str">
        <f t="shared" si="5"/>
        <v>up</v>
      </c>
      <c r="N32">
        <f t="shared" si="6"/>
        <v>1</v>
      </c>
      <c r="O32">
        <f t="shared" si="7"/>
        <v>3</v>
      </c>
      <c r="R32" t="str">
        <f t="shared" si="8"/>
        <v/>
      </c>
      <c r="T32" s="8" t="str">
        <f t="shared" si="9"/>
        <v/>
      </c>
    </row>
    <row r="33" spans="1:20">
      <c r="A33">
        <v>122</v>
      </c>
      <c r="B33" t="s">
        <v>727</v>
      </c>
      <c r="C33" s="11">
        <v>45665</v>
      </c>
      <c r="D33">
        <v>12.2</v>
      </c>
      <c r="E33">
        <v>13.4</v>
      </c>
      <c r="F33">
        <v>11.55</v>
      </c>
      <c r="G33">
        <f>INDEX('اسعار الاسهم'!A:B,MATCH(B33,'اسعار الاسهم'!K:K,0),2)</f>
        <v>13.19</v>
      </c>
      <c r="H33" s="8">
        <f t="shared" si="0"/>
        <v>8.1147540983606659E-2</v>
      </c>
      <c r="I33" s="8">
        <f t="shared" si="1"/>
        <v>1.5921152388172821E-2</v>
      </c>
      <c r="J33" s="8">
        <f t="shared" si="2"/>
        <v>0.12433661865049273</v>
      </c>
      <c r="K33" s="8">
        <f t="shared" si="3"/>
        <v>0.16017316017316019</v>
      </c>
      <c r="L33" s="13">
        <f t="shared" si="4"/>
        <v>0.12804878048780466</v>
      </c>
      <c r="M33" t="str">
        <f t="shared" si="5"/>
        <v>up</v>
      </c>
      <c r="N33">
        <f t="shared" si="6"/>
        <v>4</v>
      </c>
      <c r="O33">
        <f t="shared" si="7"/>
        <v>4</v>
      </c>
      <c r="R33" t="str">
        <f t="shared" si="8"/>
        <v/>
      </c>
      <c r="T33" s="8" t="str">
        <f t="shared" si="9"/>
        <v/>
      </c>
    </row>
    <row r="34" spans="1:20">
      <c r="A34">
        <v>213</v>
      </c>
      <c r="B34" s="44" t="s">
        <v>761</v>
      </c>
      <c r="C34" s="11">
        <v>45698</v>
      </c>
      <c r="D34">
        <v>3.38</v>
      </c>
      <c r="E34">
        <v>3.8</v>
      </c>
      <c r="F34">
        <v>3.1</v>
      </c>
      <c r="G34">
        <f>INDEX('اسعار الاسهم'!A:B,MATCH(B34,'اسعار الاسهم'!K:K,0),2)</f>
        <v>5.86</v>
      </c>
      <c r="H34" s="8">
        <f t="shared" si="0"/>
        <v>0.73372781065088777</v>
      </c>
      <c r="I34" s="8">
        <f t="shared" si="1"/>
        <v>-0.35153583617747441</v>
      </c>
      <c r="J34" s="8">
        <f t="shared" ref="J34:J52" si="10">IF(P34="",  1-F34/G34,"")</f>
        <v>0.47098976109215018</v>
      </c>
      <c r="K34" s="8">
        <f t="shared" si="3"/>
        <v>0.22580645161290303</v>
      </c>
      <c r="L34" s="13">
        <f t="shared" si="4"/>
        <v>-0.74637681159420288</v>
      </c>
      <c r="M34" t="str">
        <f t="shared" si="5"/>
        <v>up</v>
      </c>
      <c r="N34">
        <f t="shared" si="6"/>
        <v>2</v>
      </c>
      <c r="O34">
        <f t="shared" si="7"/>
        <v>2</v>
      </c>
      <c r="R34" t="str">
        <f t="shared" ref="R34:R65" si="11">IF(Q34, Q34-C34+2,"")</f>
        <v/>
      </c>
      <c r="T34" s="8" t="str">
        <f t="shared" si="9"/>
        <v/>
      </c>
    </row>
    <row r="35" spans="1:20">
      <c r="A35">
        <v>307</v>
      </c>
      <c r="B35" t="s">
        <v>983</v>
      </c>
      <c r="C35" s="11">
        <v>45734</v>
      </c>
      <c r="D35">
        <v>103</v>
      </c>
      <c r="E35">
        <v>116</v>
      </c>
      <c r="F35">
        <v>95</v>
      </c>
      <c r="G35">
        <f>INDEX('اسعار الاسهم'!A:B,MATCH(B35,'اسعار الاسهم'!K:K,0),2)</f>
        <v>293</v>
      </c>
      <c r="H35" s="8">
        <f t="shared" si="0"/>
        <v>1.8446601941747574</v>
      </c>
      <c r="I35" s="8">
        <f t="shared" si="1"/>
        <v>-0.60409556313993173</v>
      </c>
      <c r="J35" s="8">
        <f t="shared" si="10"/>
        <v>0.67576791808873726</v>
      </c>
      <c r="K35" s="8">
        <f t="shared" si="3"/>
        <v>0.22105263157894739</v>
      </c>
      <c r="L35" s="13">
        <f t="shared" si="4"/>
        <v>-0.89393939393939381</v>
      </c>
      <c r="M35" t="str">
        <f t="shared" si="5"/>
        <v>up</v>
      </c>
      <c r="N35">
        <f t="shared" si="6"/>
        <v>1</v>
      </c>
      <c r="O35">
        <f t="shared" si="7"/>
        <v>3</v>
      </c>
      <c r="R35" t="str">
        <f t="shared" si="11"/>
        <v/>
      </c>
      <c r="T35" s="8" t="str">
        <f t="shared" si="9"/>
        <v/>
      </c>
    </row>
    <row r="36" spans="1:20">
      <c r="A36">
        <v>298</v>
      </c>
      <c r="B36" s="46" t="s">
        <v>783</v>
      </c>
      <c r="C36" s="11">
        <v>45729</v>
      </c>
      <c r="D36">
        <v>41.5</v>
      </c>
      <c r="E36">
        <v>46.25</v>
      </c>
      <c r="F36">
        <v>39</v>
      </c>
      <c r="G36">
        <f>INDEX('اسعار الاسهم'!A:B,MATCH(B36,'اسعار الاسهم'!K:K,0),2)</f>
        <v>46.1</v>
      </c>
      <c r="H36" s="8">
        <f t="shared" si="0"/>
        <v>0.11084337349397599</v>
      </c>
      <c r="I36" s="8">
        <f t="shared" si="1"/>
        <v>3.2537960954446277E-3</v>
      </c>
      <c r="J36" s="8">
        <f t="shared" si="10"/>
        <v>0.15401301518438182</v>
      </c>
      <c r="K36" s="8">
        <f t="shared" si="3"/>
        <v>0.1858974358974359</v>
      </c>
      <c r="L36" s="13">
        <f t="shared" si="4"/>
        <v>2.11267605633799E-2</v>
      </c>
      <c r="M36" t="str">
        <f t="shared" si="5"/>
        <v>up</v>
      </c>
      <c r="N36">
        <f t="shared" si="6"/>
        <v>2</v>
      </c>
      <c r="O36">
        <f t="shared" si="7"/>
        <v>8</v>
      </c>
      <c r="R36" t="str">
        <f t="shared" si="11"/>
        <v/>
      </c>
      <c r="T36" s="8" t="str">
        <f t="shared" si="9"/>
        <v/>
      </c>
    </row>
    <row r="37" spans="1:20">
      <c r="A37">
        <v>236</v>
      </c>
      <c r="B37" t="s">
        <v>760</v>
      </c>
      <c r="C37" s="11">
        <v>45706</v>
      </c>
      <c r="D37">
        <v>28.2</v>
      </c>
      <c r="E37">
        <v>31.5</v>
      </c>
      <c r="F37">
        <v>26</v>
      </c>
      <c r="G37">
        <f>INDEX('اسعار الاسهم'!A:B,MATCH(B37,'اسعار الاسهم'!K:K,0),2)</f>
        <v>41.67</v>
      </c>
      <c r="H37" s="8">
        <f t="shared" si="0"/>
        <v>0.47765957446808516</v>
      </c>
      <c r="I37" s="8">
        <f t="shared" si="1"/>
        <v>-0.24406047516198703</v>
      </c>
      <c r="J37" s="8">
        <f t="shared" si="10"/>
        <v>0.37604991600671944</v>
      </c>
      <c r="K37" s="8">
        <f t="shared" si="3"/>
        <v>0.21153846153846145</v>
      </c>
      <c r="L37" s="13">
        <f t="shared" si="4"/>
        <v>-0.6490108487555839</v>
      </c>
      <c r="M37" t="str">
        <f t="shared" si="5"/>
        <v>up</v>
      </c>
      <c r="N37">
        <f t="shared" si="6"/>
        <v>1</v>
      </c>
      <c r="O37">
        <f t="shared" si="7"/>
        <v>3</v>
      </c>
      <c r="R37" t="str">
        <f t="shared" si="11"/>
        <v/>
      </c>
      <c r="T37" s="8" t="str">
        <f t="shared" si="9"/>
        <v/>
      </c>
    </row>
    <row r="38" spans="1:20">
      <c r="A38">
        <v>181</v>
      </c>
      <c r="B38" t="s">
        <v>825</v>
      </c>
      <c r="C38" s="11">
        <v>45685</v>
      </c>
      <c r="D38">
        <v>263</v>
      </c>
      <c r="E38">
        <v>292</v>
      </c>
      <c r="F38">
        <v>251</v>
      </c>
      <c r="G38">
        <f>INDEX('اسعار الاسهم'!A:B,MATCH(B38,'اسعار الاسهم'!K:K,0),2)</f>
        <v>708.01</v>
      </c>
      <c r="H38" s="8">
        <f t="shared" si="0"/>
        <v>1.6920532319391635</v>
      </c>
      <c r="I38" s="8">
        <f t="shared" si="1"/>
        <v>-0.58757644666035791</v>
      </c>
      <c r="J38" s="8">
        <f t="shared" si="10"/>
        <v>0.6454852332594172</v>
      </c>
      <c r="K38" s="8">
        <f t="shared" si="3"/>
        <v>0.16334661354581681</v>
      </c>
      <c r="L38" s="13">
        <f t="shared" si="4"/>
        <v>-0.9102864269928449</v>
      </c>
      <c r="M38" t="str">
        <f t="shared" si="5"/>
        <v>up</v>
      </c>
      <c r="N38">
        <f t="shared" si="6"/>
        <v>4</v>
      </c>
      <c r="O38">
        <f t="shared" si="7"/>
        <v>5</v>
      </c>
      <c r="R38" t="str">
        <f t="shared" si="11"/>
        <v/>
      </c>
      <c r="T38" s="8" t="str">
        <f t="shared" si="9"/>
        <v/>
      </c>
    </row>
    <row r="39" spans="1:20">
      <c r="A39">
        <v>238</v>
      </c>
      <c r="B39" t="s">
        <v>741</v>
      </c>
      <c r="C39" s="11">
        <v>45707</v>
      </c>
      <c r="D39">
        <v>2.85</v>
      </c>
      <c r="E39">
        <v>3.2</v>
      </c>
      <c r="F39">
        <v>2.65</v>
      </c>
      <c r="G39">
        <f>INDEX('اسعار الاسهم'!A:B,MATCH(B39,'اسعار الاسهم'!K:K,0),2)</f>
        <v>5.2</v>
      </c>
      <c r="H39" s="8">
        <f t="shared" si="0"/>
        <v>0.82456140350877183</v>
      </c>
      <c r="I39" s="8">
        <f t="shared" si="1"/>
        <v>-0.38461538461538458</v>
      </c>
      <c r="J39" s="8">
        <f t="shared" si="10"/>
        <v>0.49038461538461542</v>
      </c>
      <c r="K39" s="8">
        <f t="shared" si="3"/>
        <v>0.20754716981132093</v>
      </c>
      <c r="L39" s="13">
        <f t="shared" si="4"/>
        <v>-0.78431372549019596</v>
      </c>
      <c r="M39" t="str">
        <f t="shared" si="5"/>
        <v>up</v>
      </c>
      <c r="N39">
        <f t="shared" si="6"/>
        <v>1</v>
      </c>
      <c r="O39">
        <f t="shared" si="7"/>
        <v>3</v>
      </c>
      <c r="R39" t="str">
        <f t="shared" si="11"/>
        <v/>
      </c>
      <c r="T39" s="8" t="str">
        <f t="shared" si="9"/>
        <v/>
      </c>
    </row>
    <row r="40" spans="1:20">
      <c r="A40">
        <v>271</v>
      </c>
      <c r="B40" t="s">
        <v>878</v>
      </c>
      <c r="C40" s="11">
        <v>45719</v>
      </c>
      <c r="D40">
        <v>8.25</v>
      </c>
      <c r="E40">
        <v>9.1999999999999993</v>
      </c>
      <c r="F40">
        <v>7.75</v>
      </c>
      <c r="G40">
        <f>INDEX('اسعار الاسهم'!A:B,MATCH(B40,'اسعار الاسهم'!K:K,0),2)</f>
        <v>15.19</v>
      </c>
      <c r="H40" s="8">
        <f t="shared" si="0"/>
        <v>0.84121212121212108</v>
      </c>
      <c r="I40" s="8">
        <f t="shared" si="1"/>
        <v>-0.39433838051349579</v>
      </c>
      <c r="J40" s="8">
        <f t="shared" si="10"/>
        <v>0.48979591836734693</v>
      </c>
      <c r="K40" s="8">
        <f t="shared" si="3"/>
        <v>0.18709677419354831</v>
      </c>
      <c r="L40" s="13">
        <f t="shared" si="4"/>
        <v>-0.8051075268817206</v>
      </c>
      <c r="M40" t="str">
        <f t="shared" si="5"/>
        <v>up</v>
      </c>
      <c r="N40">
        <f t="shared" si="6"/>
        <v>4</v>
      </c>
      <c r="O40">
        <f t="shared" si="7"/>
        <v>8</v>
      </c>
      <c r="R40" t="str">
        <f t="shared" si="11"/>
        <v/>
      </c>
      <c r="T40" s="8" t="str">
        <f t="shared" si="9"/>
        <v/>
      </c>
    </row>
    <row r="41" spans="1:20">
      <c r="A41">
        <v>193</v>
      </c>
      <c r="B41" t="s">
        <v>825</v>
      </c>
      <c r="C41" s="11">
        <v>45691</v>
      </c>
      <c r="D41">
        <v>265.5</v>
      </c>
      <c r="E41">
        <v>293</v>
      </c>
      <c r="F41">
        <v>249</v>
      </c>
      <c r="G41">
        <f>INDEX('اسعار الاسهم'!A:B,MATCH(B41,'اسعار الاسهم'!K:K,0),2)</f>
        <v>708.01</v>
      </c>
      <c r="H41" s="8">
        <f t="shared" si="0"/>
        <v>1.6667043314500942</v>
      </c>
      <c r="I41" s="8">
        <f t="shared" si="1"/>
        <v>-0.58616403723111254</v>
      </c>
      <c r="J41" s="8">
        <f t="shared" si="10"/>
        <v>0.64831005211790793</v>
      </c>
      <c r="K41" s="8">
        <f t="shared" si="3"/>
        <v>0.17670682730923692</v>
      </c>
      <c r="L41" s="13">
        <f t="shared" si="4"/>
        <v>-0.9041415219711989</v>
      </c>
      <c r="M41" t="str">
        <f t="shared" si="5"/>
        <v>up</v>
      </c>
      <c r="N41">
        <f t="shared" si="6"/>
        <v>4</v>
      </c>
      <c r="O41">
        <f t="shared" si="7"/>
        <v>5</v>
      </c>
      <c r="R41" t="str">
        <f t="shared" si="11"/>
        <v/>
      </c>
      <c r="T41" s="8" t="str">
        <f t="shared" si="9"/>
        <v/>
      </c>
    </row>
    <row r="42" spans="1:20">
      <c r="A42">
        <v>285</v>
      </c>
      <c r="B42" t="s">
        <v>831</v>
      </c>
      <c r="C42" s="11">
        <v>45726</v>
      </c>
      <c r="D42">
        <v>7</v>
      </c>
      <c r="E42">
        <v>7.9</v>
      </c>
      <c r="F42">
        <v>6.4</v>
      </c>
      <c r="G42">
        <f>INDEX('اسعار الاسهم'!A:B,MATCH(B42,'اسعار الاسهم'!K:K,0),2)</f>
        <v>9.6999999999999993</v>
      </c>
      <c r="H42" s="8">
        <f t="shared" si="0"/>
        <v>0.38571428571428568</v>
      </c>
      <c r="I42" s="8">
        <f t="shared" si="1"/>
        <v>-0.18556701030927825</v>
      </c>
      <c r="J42" s="8">
        <f t="shared" si="10"/>
        <v>0.34020618556701021</v>
      </c>
      <c r="K42" s="8">
        <f t="shared" si="3"/>
        <v>0.234375</v>
      </c>
      <c r="L42" s="13">
        <f t="shared" si="4"/>
        <v>-0.5454545454545453</v>
      </c>
      <c r="M42" t="str">
        <f t="shared" si="5"/>
        <v>up</v>
      </c>
      <c r="N42">
        <f t="shared" si="6"/>
        <v>1</v>
      </c>
      <c r="O42">
        <f t="shared" si="7"/>
        <v>1</v>
      </c>
      <c r="R42" t="str">
        <f t="shared" si="11"/>
        <v/>
      </c>
      <c r="T42" s="8" t="str">
        <f t="shared" si="9"/>
        <v/>
      </c>
    </row>
    <row r="43" spans="1:20">
      <c r="A43">
        <v>277</v>
      </c>
      <c r="B43" t="s">
        <v>822</v>
      </c>
      <c r="C43" s="11">
        <v>45722</v>
      </c>
      <c r="D43">
        <v>13.5</v>
      </c>
      <c r="E43">
        <v>15</v>
      </c>
      <c r="F43">
        <v>12.5</v>
      </c>
      <c r="G43">
        <f>INDEX('اسعار الاسهم'!A:B,MATCH(B43,'اسعار الاسهم'!K:K,0),2)</f>
        <v>24.7</v>
      </c>
      <c r="H43" s="8">
        <f t="shared" si="0"/>
        <v>0.82962962962962949</v>
      </c>
      <c r="I43" s="8">
        <f t="shared" si="1"/>
        <v>-0.39271255060728738</v>
      </c>
      <c r="J43" s="8">
        <f t="shared" si="10"/>
        <v>0.49392712550607287</v>
      </c>
      <c r="K43" s="8">
        <f t="shared" si="3"/>
        <v>0.19999999999999996</v>
      </c>
      <c r="L43" s="13">
        <f t="shared" si="4"/>
        <v>-0.79508196721311464</v>
      </c>
      <c r="M43" t="str">
        <f t="shared" si="5"/>
        <v>up</v>
      </c>
      <c r="N43">
        <f t="shared" si="6"/>
        <v>3</v>
      </c>
      <c r="O43">
        <f t="shared" si="7"/>
        <v>4</v>
      </c>
      <c r="R43" t="str">
        <f t="shared" si="11"/>
        <v/>
      </c>
      <c r="T43" s="8" t="str">
        <f t="shared" si="9"/>
        <v/>
      </c>
    </row>
    <row r="44" spans="1:20">
      <c r="A44">
        <v>294</v>
      </c>
      <c r="B44" t="s">
        <v>859</v>
      </c>
      <c r="C44" s="11">
        <v>45728</v>
      </c>
      <c r="D44">
        <v>74</v>
      </c>
      <c r="E44">
        <v>82.5</v>
      </c>
      <c r="F44">
        <v>68</v>
      </c>
      <c r="G44">
        <f>INDEX('اسعار الاسهم'!A:B,MATCH(B44,'اسعار الاسهم'!K:K,0),2)</f>
        <v>104</v>
      </c>
      <c r="H44" s="8">
        <f t="shared" si="0"/>
        <v>0.40540540540540548</v>
      </c>
      <c r="I44" s="8">
        <f t="shared" si="1"/>
        <v>-0.20673076923076927</v>
      </c>
      <c r="J44" s="8">
        <f t="shared" si="10"/>
        <v>0.34615384615384615</v>
      </c>
      <c r="K44" s="8">
        <f t="shared" si="3"/>
        <v>0.21323529411764697</v>
      </c>
      <c r="L44" s="13">
        <f t="shared" si="4"/>
        <v>-0.59722222222222232</v>
      </c>
      <c r="M44" t="str">
        <f t="shared" si="5"/>
        <v>up</v>
      </c>
      <c r="N44">
        <f t="shared" si="6"/>
        <v>1</v>
      </c>
      <c r="O44">
        <f t="shared" si="7"/>
        <v>2</v>
      </c>
      <c r="R44" t="str">
        <f t="shared" si="11"/>
        <v/>
      </c>
      <c r="T44" s="8" t="str">
        <f t="shared" si="9"/>
        <v/>
      </c>
    </row>
    <row r="45" spans="1:20">
      <c r="A45">
        <v>270</v>
      </c>
      <c r="B45" t="s">
        <v>785</v>
      </c>
      <c r="C45" s="11">
        <v>45719</v>
      </c>
      <c r="D45">
        <v>81.2</v>
      </c>
      <c r="E45">
        <v>90</v>
      </c>
      <c r="F45">
        <v>75</v>
      </c>
      <c r="G45">
        <f>INDEX('اسعار الاسهم'!A:B,MATCH(B45,'اسعار الاسهم'!K:K,0),2)</f>
        <v>87.9</v>
      </c>
      <c r="H45" s="8">
        <f t="shared" si="0"/>
        <v>8.2512315270935943E-2</v>
      </c>
      <c r="I45" s="8">
        <f t="shared" si="1"/>
        <v>2.3890784982935065E-2</v>
      </c>
      <c r="J45" s="8">
        <f t="shared" si="10"/>
        <v>0.14675767918088745</v>
      </c>
      <c r="K45" s="8">
        <f t="shared" si="3"/>
        <v>0.19999999999999996</v>
      </c>
      <c r="L45" s="13">
        <f t="shared" si="4"/>
        <v>0.16279069767441792</v>
      </c>
      <c r="M45" t="str">
        <f t="shared" si="5"/>
        <v>up</v>
      </c>
      <c r="N45">
        <f t="shared" si="6"/>
        <v>1</v>
      </c>
      <c r="O45">
        <f t="shared" si="7"/>
        <v>6</v>
      </c>
      <c r="R45" t="str">
        <f t="shared" si="11"/>
        <v/>
      </c>
      <c r="T45" s="8" t="str">
        <f t="shared" si="9"/>
        <v/>
      </c>
    </row>
    <row r="46" spans="1:20">
      <c r="A46">
        <v>134</v>
      </c>
      <c r="B46" t="s">
        <v>826</v>
      </c>
      <c r="C46" s="11">
        <v>45669</v>
      </c>
      <c r="D46">
        <v>7.7</v>
      </c>
      <c r="E46">
        <v>8.5</v>
      </c>
      <c r="F46">
        <v>7.3</v>
      </c>
      <c r="G46">
        <f>INDEX('اسعار الاسهم'!A:B,MATCH(B46,'اسعار الاسهم'!K:K,0),2)</f>
        <v>8.35</v>
      </c>
      <c r="H46" s="8">
        <f t="shared" si="0"/>
        <v>8.4415584415584277E-2</v>
      </c>
      <c r="I46" s="8">
        <f t="shared" si="1"/>
        <v>1.7964071856287456E-2</v>
      </c>
      <c r="J46" s="8">
        <f t="shared" si="10"/>
        <v>0.12574850299401197</v>
      </c>
      <c r="K46" s="8">
        <f t="shared" si="3"/>
        <v>0.16438356164383561</v>
      </c>
      <c r="L46" s="13">
        <f t="shared" si="4"/>
        <v>0.1428571428571431</v>
      </c>
      <c r="M46" t="str">
        <f t="shared" si="5"/>
        <v>up</v>
      </c>
      <c r="N46">
        <f t="shared" si="6"/>
        <v>1</v>
      </c>
      <c r="O46">
        <f t="shared" si="7"/>
        <v>1</v>
      </c>
      <c r="R46" t="str">
        <f t="shared" si="11"/>
        <v/>
      </c>
      <c r="T46" s="8" t="str">
        <f t="shared" si="9"/>
        <v/>
      </c>
    </row>
    <row r="47" spans="1:20">
      <c r="A47">
        <v>207</v>
      </c>
      <c r="B47" t="s">
        <v>766</v>
      </c>
      <c r="C47" s="11">
        <v>45697</v>
      </c>
      <c r="D47">
        <v>20.8</v>
      </c>
      <c r="E47">
        <v>23.9</v>
      </c>
      <c r="F47">
        <v>19.75</v>
      </c>
      <c r="G47">
        <f>INDEX('اسعار الاسهم'!A:B,MATCH(B47,'اسعار الاسهم'!K:K,0),2)</f>
        <v>17.010000000000002</v>
      </c>
      <c r="H47" s="8">
        <f t="shared" si="0"/>
        <v>-0.18221153846153837</v>
      </c>
      <c r="I47" s="8">
        <f t="shared" si="1"/>
        <v>0.40505584950029383</v>
      </c>
      <c r="J47" s="8">
        <f t="shared" si="10"/>
        <v>-0.161081716637272</v>
      </c>
      <c r="K47" s="8">
        <f t="shared" si="3"/>
        <v>0.21012658227848102</v>
      </c>
      <c r="L47" s="13">
        <f t="shared" si="4"/>
        <v>-2.5145985401459878</v>
      </c>
      <c r="M47" t="str">
        <f t="shared" si="5"/>
        <v>down</v>
      </c>
      <c r="N47">
        <f t="shared" si="6"/>
        <v>1</v>
      </c>
      <c r="O47">
        <f t="shared" si="7"/>
        <v>2</v>
      </c>
      <c r="R47" t="str">
        <f t="shared" si="11"/>
        <v/>
      </c>
      <c r="T47" s="8" t="str">
        <f t="shared" si="9"/>
        <v/>
      </c>
    </row>
    <row r="48" spans="1:20">
      <c r="A48">
        <v>165</v>
      </c>
      <c r="B48" t="s">
        <v>878</v>
      </c>
      <c r="C48" s="11">
        <v>45679</v>
      </c>
      <c r="D48">
        <v>8.15</v>
      </c>
      <c r="E48">
        <v>9.35</v>
      </c>
      <c r="F48">
        <v>7.6</v>
      </c>
      <c r="G48">
        <f>INDEX('اسعار الاسهم'!A:B,MATCH(B48,'اسعار الاسهم'!K:K,0),2)</f>
        <v>15.19</v>
      </c>
      <c r="H48" s="8">
        <f t="shared" si="0"/>
        <v>0.86380368098159499</v>
      </c>
      <c r="I48" s="8">
        <f t="shared" si="1"/>
        <v>-0.38446346280447663</v>
      </c>
      <c r="J48" s="8">
        <f t="shared" si="10"/>
        <v>0.49967083607636609</v>
      </c>
      <c r="K48" s="8">
        <f t="shared" si="3"/>
        <v>0.23026315789473695</v>
      </c>
      <c r="L48" s="13">
        <f t="shared" si="4"/>
        <v>-0.76943346508563892</v>
      </c>
      <c r="M48" t="str">
        <f t="shared" si="5"/>
        <v>up</v>
      </c>
      <c r="N48">
        <f t="shared" si="6"/>
        <v>4</v>
      </c>
      <c r="O48">
        <f t="shared" si="7"/>
        <v>8</v>
      </c>
      <c r="R48" t="str">
        <f t="shared" si="11"/>
        <v/>
      </c>
      <c r="T48" s="8" t="str">
        <f t="shared" si="9"/>
        <v/>
      </c>
    </row>
    <row r="49" spans="1:20">
      <c r="A49">
        <v>272</v>
      </c>
      <c r="B49" t="s">
        <v>825</v>
      </c>
      <c r="C49" s="11">
        <v>45720</v>
      </c>
      <c r="D49">
        <v>272</v>
      </c>
      <c r="E49">
        <v>298</v>
      </c>
      <c r="F49">
        <v>262</v>
      </c>
      <c r="G49">
        <f>INDEX('اسعار الاسهم'!A:B,MATCH(B49,'اسعار الاسهم'!K:K,0),2)</f>
        <v>708.01</v>
      </c>
      <c r="H49" s="8">
        <f t="shared" si="0"/>
        <v>1.6029779411764706</v>
      </c>
      <c r="I49" s="8">
        <f t="shared" si="1"/>
        <v>-0.57910199008488572</v>
      </c>
      <c r="J49" s="8">
        <f t="shared" si="10"/>
        <v>0.62994872953771841</v>
      </c>
      <c r="K49" s="8">
        <f t="shared" si="3"/>
        <v>0.13740458015267176</v>
      </c>
      <c r="L49" s="13">
        <f t="shared" si="4"/>
        <v>-0.91928432097935009</v>
      </c>
      <c r="M49" t="str">
        <f t="shared" si="5"/>
        <v>up</v>
      </c>
      <c r="N49">
        <f t="shared" si="6"/>
        <v>4</v>
      </c>
      <c r="O49">
        <f t="shared" si="7"/>
        <v>5</v>
      </c>
      <c r="R49" t="str">
        <f t="shared" si="11"/>
        <v/>
      </c>
      <c r="T49" s="8" t="str">
        <f t="shared" si="9"/>
        <v/>
      </c>
    </row>
    <row r="50" spans="1:20">
      <c r="A50">
        <v>212</v>
      </c>
      <c r="B50" t="s">
        <v>878</v>
      </c>
      <c r="C50" s="11">
        <v>45698</v>
      </c>
      <c r="D50">
        <v>8.25</v>
      </c>
      <c r="E50">
        <v>9.4</v>
      </c>
      <c r="F50">
        <v>7.9</v>
      </c>
      <c r="G50">
        <f>INDEX('اسعار الاسهم'!A:B,MATCH(B50,'اسعار الاسهم'!K:K,0),2)</f>
        <v>15.19</v>
      </c>
      <c r="H50" s="8">
        <f t="shared" si="0"/>
        <v>0.84121212121212108</v>
      </c>
      <c r="I50" s="8">
        <f t="shared" si="1"/>
        <v>-0.38117182356813684</v>
      </c>
      <c r="J50" s="8">
        <f t="shared" si="10"/>
        <v>0.47992100065832777</v>
      </c>
      <c r="K50" s="8">
        <f t="shared" si="3"/>
        <v>0.18987341772151889</v>
      </c>
      <c r="L50" s="13">
        <f t="shared" si="4"/>
        <v>-0.79423868312757195</v>
      </c>
      <c r="M50" t="str">
        <f t="shared" si="5"/>
        <v>up</v>
      </c>
      <c r="N50">
        <f t="shared" si="6"/>
        <v>4</v>
      </c>
      <c r="O50">
        <f t="shared" si="7"/>
        <v>8</v>
      </c>
      <c r="R50" t="str">
        <f t="shared" si="11"/>
        <v/>
      </c>
      <c r="T50" s="8" t="str">
        <f t="shared" si="9"/>
        <v/>
      </c>
    </row>
    <row r="51" spans="1:20">
      <c r="A51">
        <v>302</v>
      </c>
      <c r="B51" t="s">
        <v>878</v>
      </c>
      <c r="C51" s="11">
        <v>45732</v>
      </c>
      <c r="D51">
        <v>8.5</v>
      </c>
      <c r="E51">
        <v>9.4</v>
      </c>
      <c r="F51">
        <v>7.93</v>
      </c>
      <c r="G51">
        <f>INDEX('اسعار الاسهم'!A:B,MATCH(B51,'اسعار الاسهم'!K:K,0),2)</f>
        <v>15.19</v>
      </c>
      <c r="H51" s="8">
        <f t="shared" si="0"/>
        <v>0.78705882352941181</v>
      </c>
      <c r="I51" s="8">
        <f t="shared" si="1"/>
        <v>-0.38117182356813684</v>
      </c>
      <c r="J51" s="8">
        <f t="shared" si="10"/>
        <v>0.47794601711652407</v>
      </c>
      <c r="K51" s="8">
        <f t="shared" si="3"/>
        <v>0.18537200504413631</v>
      </c>
      <c r="L51" s="13">
        <f t="shared" si="4"/>
        <v>-0.79752066115702458</v>
      </c>
      <c r="M51" t="str">
        <f t="shared" si="5"/>
        <v>up</v>
      </c>
      <c r="N51">
        <f t="shared" si="6"/>
        <v>4</v>
      </c>
      <c r="O51">
        <f t="shared" si="7"/>
        <v>8</v>
      </c>
      <c r="R51" t="str">
        <f t="shared" si="11"/>
        <v/>
      </c>
      <c r="T51" s="8" t="str">
        <f t="shared" si="9"/>
        <v/>
      </c>
    </row>
    <row r="52" spans="1:20">
      <c r="A52">
        <v>152</v>
      </c>
      <c r="B52" t="s">
        <v>727</v>
      </c>
      <c r="C52" s="11">
        <v>45677</v>
      </c>
      <c r="D52">
        <v>12.2</v>
      </c>
      <c r="E52">
        <v>14</v>
      </c>
      <c r="F52">
        <v>11.55</v>
      </c>
      <c r="G52">
        <f>INDEX('اسعار الاسهم'!A:B,MATCH(B52,'اسعار الاسهم'!K:K,0),2)</f>
        <v>13.19</v>
      </c>
      <c r="H52" s="8">
        <f t="shared" si="0"/>
        <v>8.1147540983606659E-2</v>
      </c>
      <c r="I52" s="8">
        <f t="shared" si="1"/>
        <v>6.1410159211523929E-2</v>
      </c>
      <c r="J52" s="8">
        <f t="shared" si="10"/>
        <v>0.12433661865049273</v>
      </c>
      <c r="K52" s="8">
        <f t="shared" si="3"/>
        <v>0.21212121212121215</v>
      </c>
      <c r="L52" s="13">
        <f t="shared" si="4"/>
        <v>0.4939024390243909</v>
      </c>
      <c r="M52" t="str">
        <f t="shared" si="5"/>
        <v>up</v>
      </c>
      <c r="N52">
        <f t="shared" si="6"/>
        <v>4</v>
      </c>
      <c r="O52">
        <f t="shared" si="7"/>
        <v>4</v>
      </c>
      <c r="R52" t="str">
        <f t="shared" si="11"/>
        <v/>
      </c>
      <c r="T52" s="8" t="str">
        <f t="shared" si="9"/>
        <v/>
      </c>
    </row>
    <row r="53" spans="1:20">
      <c r="A53">
        <v>195</v>
      </c>
      <c r="B53" t="s">
        <v>727</v>
      </c>
      <c r="C53" s="11">
        <v>45691</v>
      </c>
      <c r="D53">
        <v>12.35</v>
      </c>
      <c r="E53">
        <v>14</v>
      </c>
      <c r="F53">
        <v>11.6</v>
      </c>
      <c r="G53">
        <f>INDEX('اسعار الاسهم'!A:B,MATCH(B53,'اسعار الاسهم'!K:K,0),2)</f>
        <v>13.19</v>
      </c>
      <c r="H53" s="8">
        <f t="shared" si="0"/>
        <v>6.8016194331983693E-2</v>
      </c>
      <c r="I53" s="8">
        <f t="shared" si="1"/>
        <v>6.1410159211523929E-2</v>
      </c>
      <c r="J53" s="8"/>
      <c r="K53" s="8">
        <f t="shared" si="3"/>
        <v>0.2068965517241379</v>
      </c>
      <c r="L53" s="13" t="e">
        <f t="shared" si="4"/>
        <v>#DIV/0!</v>
      </c>
      <c r="M53" t="str">
        <f t="shared" si="5"/>
        <v>down</v>
      </c>
      <c r="N53">
        <f t="shared" si="6"/>
        <v>4</v>
      </c>
      <c r="O53">
        <f t="shared" si="7"/>
        <v>4</v>
      </c>
      <c r="R53" t="str">
        <f t="shared" si="11"/>
        <v/>
      </c>
      <c r="T53" s="8" t="str">
        <f t="shared" si="9"/>
        <v/>
      </c>
    </row>
    <row r="54" spans="1:20">
      <c r="A54">
        <v>223</v>
      </c>
      <c r="B54" t="s">
        <v>727</v>
      </c>
      <c r="C54" s="11">
        <v>45701</v>
      </c>
      <c r="D54">
        <v>12.32</v>
      </c>
      <c r="E54">
        <v>14</v>
      </c>
      <c r="F54">
        <v>11.6</v>
      </c>
      <c r="G54">
        <f>INDEX('اسعار الاسهم'!A:B,MATCH(B54,'اسعار الاسهم'!K:K,0),2)</f>
        <v>13.19</v>
      </c>
      <c r="H54" s="8">
        <f t="shared" si="0"/>
        <v>7.0616883116882967E-2</v>
      </c>
      <c r="I54" s="8">
        <f t="shared" si="1"/>
        <v>6.1410159211523929E-2</v>
      </c>
      <c r="J54" s="8">
        <f t="shared" ref="J54:J117" si="12">IF(P54="",  1-F54/G54,"")</f>
        <v>0.12054586808188017</v>
      </c>
      <c r="K54" s="8">
        <f t="shared" si="3"/>
        <v>0.2068965517241379</v>
      </c>
      <c r="L54" s="13">
        <f t="shared" si="4"/>
        <v>0.5094339622641515</v>
      </c>
      <c r="M54" t="str">
        <f t="shared" si="5"/>
        <v>up</v>
      </c>
      <c r="N54">
        <f t="shared" si="6"/>
        <v>4</v>
      </c>
      <c r="O54">
        <f t="shared" si="7"/>
        <v>4</v>
      </c>
      <c r="R54" t="str">
        <f t="shared" si="11"/>
        <v/>
      </c>
      <c r="T54" s="8" t="str">
        <f t="shared" si="9"/>
        <v/>
      </c>
    </row>
    <row r="55" spans="1:20">
      <c r="A55">
        <v>230</v>
      </c>
      <c r="B55" t="s">
        <v>825</v>
      </c>
      <c r="C55" s="11">
        <v>45705</v>
      </c>
      <c r="D55">
        <v>268</v>
      </c>
      <c r="E55">
        <v>300</v>
      </c>
      <c r="F55">
        <v>259</v>
      </c>
      <c r="G55">
        <f>INDEX('اسعار الاسهم'!A:B,MATCH(B55,'اسعار الاسهم'!K:K,0),2)</f>
        <v>708.01</v>
      </c>
      <c r="H55" s="8">
        <f t="shared" si="0"/>
        <v>1.6418283582089552</v>
      </c>
      <c r="I55" s="8">
        <f t="shared" si="1"/>
        <v>-0.5762771712263951</v>
      </c>
      <c r="J55" s="8">
        <f t="shared" si="12"/>
        <v>0.6341859578254545</v>
      </c>
      <c r="K55" s="8">
        <f t="shared" si="3"/>
        <v>0.15830115830115821</v>
      </c>
      <c r="L55" s="13">
        <f t="shared" si="4"/>
        <v>-0.90868800249437642</v>
      </c>
      <c r="M55" t="str">
        <f t="shared" si="5"/>
        <v>up</v>
      </c>
      <c r="N55">
        <f t="shared" si="6"/>
        <v>4</v>
      </c>
      <c r="O55">
        <f t="shared" si="7"/>
        <v>5</v>
      </c>
      <c r="R55" t="str">
        <f t="shared" si="11"/>
        <v/>
      </c>
      <c r="T55" s="8" t="str">
        <f t="shared" si="9"/>
        <v/>
      </c>
    </row>
    <row r="56" spans="1:20">
      <c r="A56">
        <v>296</v>
      </c>
      <c r="B56" t="s">
        <v>889</v>
      </c>
      <c r="C56" s="11">
        <v>45728</v>
      </c>
      <c r="D56">
        <v>9.3000000000000007</v>
      </c>
      <c r="E56">
        <v>10.7</v>
      </c>
      <c r="F56">
        <v>8.6999999999999993</v>
      </c>
      <c r="G56">
        <f>INDEX('اسعار الاسهم'!A:B,MATCH(B56,'اسعار الاسهم'!K:K,0),2)</f>
        <v>14.35</v>
      </c>
      <c r="H56" s="8">
        <f t="shared" si="0"/>
        <v>0.54301075268817178</v>
      </c>
      <c r="I56" s="8">
        <f t="shared" si="1"/>
        <v>-0.25435540069686413</v>
      </c>
      <c r="J56" s="8">
        <f t="shared" si="12"/>
        <v>0.39372822299651566</v>
      </c>
      <c r="K56" s="8">
        <f t="shared" si="3"/>
        <v>0.22988505747126431</v>
      </c>
      <c r="L56" s="13">
        <f t="shared" si="4"/>
        <v>-0.64601769911504436</v>
      </c>
      <c r="M56" t="str">
        <f t="shared" si="5"/>
        <v>up</v>
      </c>
      <c r="N56">
        <f t="shared" si="6"/>
        <v>1</v>
      </c>
      <c r="O56">
        <f t="shared" si="7"/>
        <v>4</v>
      </c>
      <c r="R56" t="str">
        <f t="shared" si="11"/>
        <v/>
      </c>
      <c r="T56" s="8" t="str">
        <f t="shared" si="9"/>
        <v/>
      </c>
    </row>
    <row r="57" spans="1:20">
      <c r="A57">
        <v>219</v>
      </c>
      <c r="B57" t="s">
        <v>984</v>
      </c>
      <c r="C57" s="11">
        <v>45701</v>
      </c>
      <c r="D57">
        <v>30.5</v>
      </c>
      <c r="E57">
        <v>34.200000000000003</v>
      </c>
      <c r="F57">
        <v>28.5</v>
      </c>
      <c r="G57">
        <f>INDEX('اسعار الاسهم'!A:B,MATCH(B57,'اسعار الاسهم'!K:K,0),2)</f>
        <v>53.39</v>
      </c>
      <c r="H57" s="8">
        <f t="shared" si="0"/>
        <v>0.75049180327868847</v>
      </c>
      <c r="I57" s="8">
        <f t="shared" si="1"/>
        <v>-0.35943060498220636</v>
      </c>
      <c r="J57" s="8">
        <f t="shared" si="12"/>
        <v>0.46619217081850539</v>
      </c>
      <c r="K57" s="8">
        <f t="shared" si="3"/>
        <v>0.20000000000000018</v>
      </c>
      <c r="L57" s="13">
        <f t="shared" si="4"/>
        <v>-0.77099236641221358</v>
      </c>
      <c r="M57" t="str">
        <f t="shared" si="5"/>
        <v>up</v>
      </c>
      <c r="N57">
        <f t="shared" si="6"/>
        <v>1</v>
      </c>
      <c r="O57">
        <f t="shared" si="7"/>
        <v>4</v>
      </c>
      <c r="R57" t="str">
        <f t="shared" si="11"/>
        <v/>
      </c>
      <c r="T57" s="8" t="str">
        <f t="shared" si="9"/>
        <v/>
      </c>
    </row>
    <row r="58" spans="1:20">
      <c r="A58">
        <v>281</v>
      </c>
      <c r="B58" t="s">
        <v>1060</v>
      </c>
      <c r="C58" s="11">
        <v>45725</v>
      </c>
      <c r="D58">
        <v>2.78</v>
      </c>
      <c r="E58">
        <v>3.15</v>
      </c>
      <c r="F58">
        <v>2.6</v>
      </c>
      <c r="G58">
        <f>INDEX('اسعار الاسهم'!A:B,MATCH(B58,'اسعار الاسهم'!K:K,0),2)</f>
        <v>2.1</v>
      </c>
      <c r="H58" s="8">
        <f t="shared" si="0"/>
        <v>-0.24460431654676251</v>
      </c>
      <c r="I58" s="8">
        <f t="shared" si="1"/>
        <v>0.5</v>
      </c>
      <c r="J58" s="8">
        <f t="shared" si="12"/>
        <v>-0.23809523809523814</v>
      </c>
      <c r="K58" s="8">
        <f t="shared" si="3"/>
        <v>0.21153846153846145</v>
      </c>
      <c r="L58" s="13">
        <f t="shared" si="4"/>
        <v>-2.0999999999999996</v>
      </c>
      <c r="M58" t="str">
        <f t="shared" si="5"/>
        <v>down</v>
      </c>
      <c r="N58">
        <f t="shared" si="6"/>
        <v>1</v>
      </c>
      <c r="O58">
        <f t="shared" si="7"/>
        <v>1</v>
      </c>
      <c r="R58" t="str">
        <f t="shared" si="11"/>
        <v/>
      </c>
      <c r="T58" s="8" t="str">
        <f t="shared" si="9"/>
        <v/>
      </c>
    </row>
    <row r="59" spans="1:20">
      <c r="A59">
        <v>210</v>
      </c>
      <c r="B59" s="46" t="s">
        <v>769</v>
      </c>
      <c r="C59" s="11">
        <v>45697</v>
      </c>
      <c r="D59">
        <v>0.54200000000000004</v>
      </c>
      <c r="E59">
        <v>0.62</v>
      </c>
      <c r="F59">
        <v>0.51</v>
      </c>
      <c r="G59">
        <f>INDEX('اسعار الاسهم'!A:B,MATCH(B59,'اسعار الاسهم'!K:K,0),2)</f>
        <v>0.34</v>
      </c>
      <c r="H59" s="8">
        <f t="shared" si="0"/>
        <v>-0.37269372693726932</v>
      </c>
      <c r="I59" s="8">
        <f t="shared" si="1"/>
        <v>0.82352941176470584</v>
      </c>
      <c r="J59" s="8">
        <f t="shared" si="12"/>
        <v>-0.5</v>
      </c>
      <c r="K59" s="8">
        <f t="shared" si="3"/>
        <v>0.21568627450980382</v>
      </c>
      <c r="L59" s="13" t="str">
        <f t="shared" si="4"/>
        <v/>
      </c>
      <c r="M59" t="str">
        <f t="shared" si="5"/>
        <v>down</v>
      </c>
      <c r="N59">
        <f t="shared" si="6"/>
        <v>0</v>
      </c>
      <c r="O59">
        <f t="shared" si="7"/>
        <v>3</v>
      </c>
      <c r="Q59" s="11">
        <v>45720</v>
      </c>
      <c r="R59">
        <f t="shared" si="11"/>
        <v>25</v>
      </c>
      <c r="S59">
        <v>173</v>
      </c>
      <c r="T59" s="8">
        <f t="shared" si="9"/>
        <v>-5.9040590405904148E-2</v>
      </c>
    </row>
    <row r="60" spans="1:20">
      <c r="A60">
        <v>303</v>
      </c>
      <c r="B60" t="s">
        <v>765</v>
      </c>
      <c r="C60" s="11">
        <v>45732</v>
      </c>
      <c r="D60">
        <v>40.299999999999997</v>
      </c>
      <c r="E60">
        <v>45</v>
      </c>
      <c r="F60">
        <v>37.5</v>
      </c>
      <c r="G60">
        <f>INDEX('اسعار الاسهم'!A:B,MATCH(B60,'اسعار الاسهم'!K:K,0),2)</f>
        <v>49</v>
      </c>
      <c r="H60" s="8">
        <f t="shared" si="0"/>
        <v>0.21588089330024829</v>
      </c>
      <c r="I60" s="8">
        <f t="shared" si="1"/>
        <v>-8.1632653061224469E-2</v>
      </c>
      <c r="J60" s="8">
        <f t="shared" si="12"/>
        <v>0.23469387755102045</v>
      </c>
      <c r="K60" s="8">
        <f t="shared" si="3"/>
        <v>0.19999999999999996</v>
      </c>
      <c r="L60" s="13">
        <f t="shared" si="4"/>
        <v>-0.34782608695652162</v>
      </c>
      <c r="M60" t="str">
        <f t="shared" si="5"/>
        <v>up</v>
      </c>
      <c r="N60">
        <f t="shared" si="6"/>
        <v>2</v>
      </c>
      <c r="O60">
        <f t="shared" si="7"/>
        <v>7</v>
      </c>
      <c r="R60" t="str">
        <f t="shared" si="11"/>
        <v/>
      </c>
      <c r="T60" s="8" t="str">
        <f t="shared" si="9"/>
        <v/>
      </c>
    </row>
    <row r="61" spans="1:20">
      <c r="A61">
        <v>247</v>
      </c>
      <c r="B61" t="s">
        <v>822</v>
      </c>
      <c r="C61" s="11">
        <v>45711</v>
      </c>
      <c r="D61">
        <v>13.94</v>
      </c>
      <c r="E61">
        <v>15.5</v>
      </c>
      <c r="F61">
        <v>13</v>
      </c>
      <c r="G61">
        <f>INDEX('اسعار الاسهم'!A:B,MATCH(B61,'اسعار الاسهم'!K:K,0),2)</f>
        <v>24.7</v>
      </c>
      <c r="H61" s="8">
        <f t="shared" si="0"/>
        <v>0.77187948350071744</v>
      </c>
      <c r="I61" s="8">
        <f t="shared" si="1"/>
        <v>-0.37246963562753033</v>
      </c>
      <c r="J61" s="8">
        <f t="shared" si="12"/>
        <v>0.47368421052631582</v>
      </c>
      <c r="K61" s="8">
        <f t="shared" si="3"/>
        <v>0.19230769230769229</v>
      </c>
      <c r="L61" s="13">
        <f t="shared" si="4"/>
        <v>-0.7863247863247862</v>
      </c>
      <c r="M61" t="str">
        <f t="shared" si="5"/>
        <v>up</v>
      </c>
      <c r="N61">
        <f t="shared" si="6"/>
        <v>3</v>
      </c>
      <c r="O61">
        <f t="shared" si="7"/>
        <v>4</v>
      </c>
      <c r="R61" t="str">
        <f t="shared" si="11"/>
        <v/>
      </c>
      <c r="T61" s="8" t="str">
        <f t="shared" si="9"/>
        <v/>
      </c>
    </row>
    <row r="62" spans="1:20">
      <c r="A62">
        <v>170</v>
      </c>
      <c r="B62" t="s">
        <v>820</v>
      </c>
      <c r="C62" s="11">
        <v>45680</v>
      </c>
      <c r="D62">
        <v>0.58199999999999996</v>
      </c>
      <c r="E62">
        <v>0.69499999999999995</v>
      </c>
      <c r="F62">
        <v>0.55000000000000004</v>
      </c>
      <c r="G62">
        <f>INDEX('اسعار الاسهم'!A:B,MATCH(B62,'اسعار الاسهم'!K:K,0),2)</f>
        <v>0.34</v>
      </c>
      <c r="H62" s="8">
        <f t="shared" si="0"/>
        <v>-0.41580756013745701</v>
      </c>
      <c r="I62" s="8">
        <f t="shared" si="1"/>
        <v>1.0441176470588234</v>
      </c>
      <c r="J62" s="8">
        <f t="shared" si="12"/>
        <v>-0.61764705882352944</v>
      </c>
      <c r="K62" s="8">
        <f t="shared" si="3"/>
        <v>0.26363636363636345</v>
      </c>
      <c r="L62" s="13">
        <f t="shared" si="4"/>
        <v>-1.6904761904761902</v>
      </c>
      <c r="M62" t="str">
        <f t="shared" si="5"/>
        <v>down</v>
      </c>
      <c r="N62">
        <f t="shared" si="6"/>
        <v>1</v>
      </c>
      <c r="O62">
        <f t="shared" si="7"/>
        <v>3</v>
      </c>
      <c r="R62" t="str">
        <f t="shared" si="11"/>
        <v/>
      </c>
      <c r="T62" s="8" t="str">
        <f t="shared" si="9"/>
        <v/>
      </c>
    </row>
    <row r="63" spans="1:20">
      <c r="A63">
        <v>117</v>
      </c>
      <c r="B63" s="46" t="s">
        <v>769</v>
      </c>
      <c r="C63" s="11">
        <v>45663</v>
      </c>
      <c r="D63">
        <v>0.56499999999999995</v>
      </c>
      <c r="E63">
        <v>0.625</v>
      </c>
      <c r="F63">
        <v>0.52500000000000002</v>
      </c>
      <c r="G63">
        <f>INDEX('اسعار الاسهم'!A:B,MATCH(B63,'اسعار الاسهم'!K:K,0),2)</f>
        <v>0.34</v>
      </c>
      <c r="H63" s="8">
        <f t="shared" si="0"/>
        <v>-0.39823008849557517</v>
      </c>
      <c r="I63" s="8">
        <f t="shared" si="1"/>
        <v>0.83823529411764697</v>
      </c>
      <c r="J63" s="8">
        <f t="shared" si="12"/>
        <v>-0.54411764705882359</v>
      </c>
      <c r="K63" s="8">
        <f t="shared" si="3"/>
        <v>0.19047619047619047</v>
      </c>
      <c r="L63" s="13" t="str">
        <f t="shared" si="4"/>
        <v/>
      </c>
      <c r="M63" t="str">
        <f t="shared" si="5"/>
        <v>down</v>
      </c>
      <c r="N63">
        <f t="shared" si="6"/>
        <v>0</v>
      </c>
      <c r="O63">
        <f t="shared" si="7"/>
        <v>3</v>
      </c>
      <c r="Q63" s="11">
        <v>45669</v>
      </c>
      <c r="R63">
        <f t="shared" si="11"/>
        <v>8</v>
      </c>
      <c r="S63">
        <v>84</v>
      </c>
      <c r="T63" s="8">
        <f t="shared" si="9"/>
        <v>-7.0796460176991038E-2</v>
      </c>
    </row>
    <row r="64" spans="1:20">
      <c r="A64">
        <v>290</v>
      </c>
      <c r="B64" t="s">
        <v>850</v>
      </c>
      <c r="C64" s="11">
        <v>45727</v>
      </c>
      <c r="D64">
        <v>0.28299999999999997</v>
      </c>
      <c r="E64">
        <v>0.31900000000000001</v>
      </c>
      <c r="F64">
        <v>0.26400000000000001</v>
      </c>
      <c r="G64" t="e">
        <f>INDEX('اسعار الاسهم'!A:B,MATCH(B64,'اسعار الاسهم'!K:K,0),2)</f>
        <v>#N/A</v>
      </c>
      <c r="H64" s="8" t="e">
        <f t="shared" si="0"/>
        <v>#N/A</v>
      </c>
      <c r="I64" s="8" t="e">
        <f t="shared" si="1"/>
        <v>#N/A</v>
      </c>
      <c r="J64" s="8" t="e">
        <f t="shared" si="12"/>
        <v>#N/A</v>
      </c>
      <c r="K64" s="8">
        <f t="shared" si="3"/>
        <v>0.20833333333333326</v>
      </c>
      <c r="L64" s="13" t="e">
        <f t="shared" si="4"/>
        <v>#N/A</v>
      </c>
      <c r="M64" t="e">
        <f t="shared" si="5"/>
        <v>#N/A</v>
      </c>
      <c r="N64">
        <f t="shared" si="6"/>
        <v>1</v>
      </c>
      <c r="O64">
        <f t="shared" si="7"/>
        <v>4</v>
      </c>
      <c r="R64" t="str">
        <f t="shared" si="11"/>
        <v/>
      </c>
      <c r="T64" s="8" t="str">
        <f t="shared" si="9"/>
        <v/>
      </c>
    </row>
    <row r="65" spans="1:20">
      <c r="A65">
        <v>197</v>
      </c>
      <c r="B65" s="44" t="s">
        <v>837</v>
      </c>
      <c r="C65" s="11">
        <v>45692</v>
      </c>
      <c r="D65">
        <v>28.2</v>
      </c>
      <c r="E65">
        <v>32</v>
      </c>
      <c r="F65">
        <v>26.6</v>
      </c>
      <c r="G65">
        <f>INDEX('اسعار الاسهم'!A:B,MATCH(B65,'اسعار الاسهم'!K:K,0),2)</f>
        <v>35.5</v>
      </c>
      <c r="H65" s="8">
        <f t="shared" si="0"/>
        <v>0.25886524822695045</v>
      </c>
      <c r="I65" s="8">
        <f t="shared" si="1"/>
        <v>-9.8591549295774628E-2</v>
      </c>
      <c r="J65" s="8">
        <f t="shared" si="12"/>
        <v>0.25070422535211268</v>
      </c>
      <c r="K65" s="8">
        <f t="shared" si="3"/>
        <v>0.20300751879699241</v>
      </c>
      <c r="L65" s="13" t="str">
        <f t="shared" si="4"/>
        <v/>
      </c>
      <c r="M65" t="str">
        <f t="shared" si="5"/>
        <v>up</v>
      </c>
      <c r="N65">
        <f t="shared" si="6"/>
        <v>0</v>
      </c>
      <c r="O65">
        <f t="shared" si="7"/>
        <v>3</v>
      </c>
      <c r="Q65" s="11">
        <v>45700</v>
      </c>
      <c r="R65">
        <f t="shared" si="11"/>
        <v>10</v>
      </c>
      <c r="S65">
        <v>153</v>
      </c>
      <c r="T65" s="8">
        <f t="shared" si="9"/>
        <v>-5.673758865248224E-2</v>
      </c>
    </row>
    <row r="66" spans="1:20">
      <c r="A66">
        <v>125</v>
      </c>
      <c r="B66" t="s">
        <v>822</v>
      </c>
      <c r="C66" s="11">
        <v>45665</v>
      </c>
      <c r="D66">
        <v>13.95</v>
      </c>
      <c r="E66">
        <v>15.75</v>
      </c>
      <c r="F66">
        <v>13</v>
      </c>
      <c r="G66">
        <f>INDEX('اسعار الاسهم'!A:B,MATCH(B66,'اسعار الاسهم'!K:K,0),2)</f>
        <v>24.7</v>
      </c>
      <c r="H66" s="8">
        <f t="shared" ref="H66:H129" si="13">IF(P66="", G66/D66-1,"")</f>
        <v>0.77060931899641583</v>
      </c>
      <c r="I66" s="8">
        <f t="shared" ref="I66:I129" si="14">IF(P66="", E66/G66-1,"")</f>
        <v>-0.36234817813765186</v>
      </c>
      <c r="J66" s="8">
        <f t="shared" si="12"/>
        <v>0.47368421052631582</v>
      </c>
      <c r="K66" s="8">
        <f t="shared" ref="K66:K129" si="15">E66/F66-1</f>
        <v>0.21153846153846145</v>
      </c>
      <c r="L66" s="13">
        <f t="shared" ref="L66:L129" si="16">IF( S66="",I66/J66,"")</f>
        <v>-0.76495726495726502</v>
      </c>
      <c r="M66" t="str">
        <f t="shared" ref="M66:M129" si="17">IF(P66="",IF(I66&lt;J66,"up","down"),"")</f>
        <v>up</v>
      </c>
      <c r="N66">
        <f t="shared" ref="N66:N129" si="18">COUNTIFS(B:B,B66,Q:Q,"")</f>
        <v>3</v>
      </c>
      <c r="O66">
        <f t="shared" ref="O66:O129" si="19">COUNTIFS(B:B,B66)</f>
        <v>4</v>
      </c>
      <c r="R66" t="str">
        <f t="shared" ref="R66:R97" si="20">IF(Q66, Q66-C66+2,"")</f>
        <v/>
      </c>
      <c r="T66" s="8" t="str">
        <f t="shared" ref="T66:T129" si="21">IF(NOT( S66=""),IF(P66=1,E66/D66-1,F66/D66-1),"")</f>
        <v/>
      </c>
    </row>
    <row r="67" spans="1:20">
      <c r="A67">
        <v>228</v>
      </c>
      <c r="B67" t="s">
        <v>732</v>
      </c>
      <c r="C67" s="11">
        <v>45704</v>
      </c>
      <c r="D67">
        <v>12.05</v>
      </c>
      <c r="E67">
        <v>13.5</v>
      </c>
      <c r="F67">
        <v>11.5</v>
      </c>
      <c r="G67">
        <f>INDEX('اسعار الاسهم'!A:B,MATCH(B67,'اسعار الاسهم'!K:K,0),2)</f>
        <v>22.19</v>
      </c>
      <c r="H67" s="8">
        <f t="shared" si="13"/>
        <v>0.84149377593360986</v>
      </c>
      <c r="I67" s="8">
        <f t="shared" si="14"/>
        <v>-0.39161784587652104</v>
      </c>
      <c r="J67" s="8">
        <f t="shared" si="12"/>
        <v>0.48174853537629569</v>
      </c>
      <c r="K67" s="8">
        <f t="shared" si="15"/>
        <v>0.17391304347826098</v>
      </c>
      <c r="L67" s="13">
        <f t="shared" si="16"/>
        <v>-0.81290926099158101</v>
      </c>
      <c r="M67" t="str">
        <f t="shared" si="17"/>
        <v>up</v>
      </c>
      <c r="N67">
        <f t="shared" si="18"/>
        <v>2</v>
      </c>
      <c r="O67">
        <f t="shared" si="19"/>
        <v>2</v>
      </c>
      <c r="R67" t="str">
        <f t="shared" si="20"/>
        <v/>
      </c>
      <c r="T67" s="8" t="str">
        <f t="shared" si="21"/>
        <v/>
      </c>
    </row>
    <row r="68" spans="1:20">
      <c r="A68">
        <v>258</v>
      </c>
      <c r="B68" t="s">
        <v>730</v>
      </c>
      <c r="C68" s="11">
        <v>45713</v>
      </c>
      <c r="D68">
        <v>28.5</v>
      </c>
      <c r="E68">
        <v>32</v>
      </c>
      <c r="F68">
        <v>26.5</v>
      </c>
      <c r="G68">
        <f>INDEX('اسعار الاسهم'!A:B,MATCH(B68,'اسعار الاسهم'!K:K,0),2)</f>
        <v>27.92</v>
      </c>
      <c r="H68" s="8">
        <f t="shared" si="13"/>
        <v>-2.0350877192982342E-2</v>
      </c>
      <c r="I68" s="8">
        <f t="shared" si="14"/>
        <v>0.14613180515759305</v>
      </c>
      <c r="J68" s="8">
        <f t="shared" si="12"/>
        <v>5.085959885386826E-2</v>
      </c>
      <c r="K68" s="8">
        <f t="shared" si="15"/>
        <v>0.20754716981132071</v>
      </c>
      <c r="L68" s="13">
        <f t="shared" si="16"/>
        <v>2.8732394366197131</v>
      </c>
      <c r="M68" t="str">
        <f t="shared" si="17"/>
        <v>down</v>
      </c>
      <c r="N68">
        <f t="shared" si="18"/>
        <v>1</v>
      </c>
      <c r="O68">
        <f t="shared" si="19"/>
        <v>1</v>
      </c>
      <c r="R68" t="str">
        <f t="shared" si="20"/>
        <v/>
      </c>
      <c r="T68" s="8" t="str">
        <f t="shared" si="21"/>
        <v/>
      </c>
    </row>
    <row r="69" spans="1:20">
      <c r="A69">
        <v>175</v>
      </c>
      <c r="B69" t="s">
        <v>765</v>
      </c>
      <c r="C69" s="11">
        <v>45684</v>
      </c>
      <c r="D69">
        <v>41.25</v>
      </c>
      <c r="E69">
        <v>47</v>
      </c>
      <c r="F69">
        <v>38</v>
      </c>
      <c r="G69">
        <f>INDEX('اسعار الاسهم'!A:B,MATCH(B69,'اسعار الاسهم'!K:K,0),2)</f>
        <v>49</v>
      </c>
      <c r="H69" s="8">
        <f t="shared" si="13"/>
        <v>0.18787878787878798</v>
      </c>
      <c r="I69" s="8">
        <f t="shared" si="14"/>
        <v>-4.081632653061229E-2</v>
      </c>
      <c r="J69" s="8">
        <f t="shared" si="12"/>
        <v>0.22448979591836737</v>
      </c>
      <c r="K69" s="8">
        <f t="shared" si="15"/>
        <v>0.23684210526315796</v>
      </c>
      <c r="L69" s="13">
        <f t="shared" si="16"/>
        <v>-0.18181818181818199</v>
      </c>
      <c r="M69" t="str">
        <f t="shared" si="17"/>
        <v>up</v>
      </c>
      <c r="N69">
        <f t="shared" si="18"/>
        <v>2</v>
      </c>
      <c r="O69">
        <f t="shared" si="19"/>
        <v>7</v>
      </c>
      <c r="R69" t="str">
        <f t="shared" si="20"/>
        <v/>
      </c>
      <c r="T69" s="8" t="str">
        <f t="shared" si="21"/>
        <v/>
      </c>
    </row>
    <row r="70" spans="1:20">
      <c r="A70">
        <v>284</v>
      </c>
      <c r="B70" t="s">
        <v>749</v>
      </c>
      <c r="C70" s="11">
        <v>45726</v>
      </c>
      <c r="D70">
        <v>42.1</v>
      </c>
      <c r="E70">
        <v>46.9</v>
      </c>
      <c r="F70">
        <v>39.5</v>
      </c>
      <c r="G70">
        <f>INDEX('اسعار الاسهم'!A:B,MATCH(B70,'اسعار الاسهم'!K:K,0),2)</f>
        <v>43.48</v>
      </c>
      <c r="H70" s="8">
        <f t="shared" si="13"/>
        <v>3.2779097387173328E-2</v>
      </c>
      <c r="I70" s="8">
        <f t="shared" si="14"/>
        <v>7.8656853725850961E-2</v>
      </c>
      <c r="J70" s="8">
        <f t="shared" si="12"/>
        <v>9.153633854645804E-2</v>
      </c>
      <c r="K70" s="8">
        <f t="shared" si="15"/>
        <v>0.18734177215189862</v>
      </c>
      <c r="L70" s="13">
        <f t="shared" si="16"/>
        <v>0.85929648241206125</v>
      </c>
      <c r="M70" t="str">
        <f t="shared" si="17"/>
        <v>up</v>
      </c>
      <c r="N70">
        <f t="shared" si="18"/>
        <v>1</v>
      </c>
      <c r="O70">
        <f t="shared" si="19"/>
        <v>2</v>
      </c>
      <c r="R70" t="str">
        <f t="shared" si="20"/>
        <v/>
      </c>
      <c r="T70" s="8" t="str">
        <f t="shared" si="21"/>
        <v/>
      </c>
    </row>
    <row r="71" spans="1:20">
      <c r="A71">
        <v>164</v>
      </c>
      <c r="B71" t="s">
        <v>732</v>
      </c>
      <c r="C71" s="11">
        <v>45679</v>
      </c>
      <c r="D71">
        <v>12.22</v>
      </c>
      <c r="E71">
        <v>13.95</v>
      </c>
      <c r="F71">
        <v>11.54</v>
      </c>
      <c r="G71">
        <f>INDEX('اسعار الاسهم'!A:B,MATCH(B71,'اسعار الاسهم'!K:K,0),2)</f>
        <v>22.19</v>
      </c>
      <c r="H71" s="8">
        <f t="shared" si="13"/>
        <v>0.81587561374795414</v>
      </c>
      <c r="I71" s="8">
        <f t="shared" si="14"/>
        <v>-0.37133844073907174</v>
      </c>
      <c r="J71" s="8">
        <f t="shared" si="12"/>
        <v>0.47994592158630023</v>
      </c>
      <c r="K71" s="8">
        <f t="shared" si="15"/>
        <v>0.20883882149046795</v>
      </c>
      <c r="L71" s="13">
        <f t="shared" si="16"/>
        <v>-0.77370892018779347</v>
      </c>
      <c r="M71" t="str">
        <f t="shared" si="17"/>
        <v>up</v>
      </c>
      <c r="N71">
        <f t="shared" si="18"/>
        <v>2</v>
      </c>
      <c r="O71">
        <f t="shared" si="19"/>
        <v>2</v>
      </c>
      <c r="R71" t="str">
        <f t="shared" si="20"/>
        <v/>
      </c>
      <c r="T71" s="8" t="str">
        <f t="shared" si="21"/>
        <v/>
      </c>
    </row>
    <row r="72" spans="1:20">
      <c r="A72">
        <v>85</v>
      </c>
      <c r="B72" t="s">
        <v>796</v>
      </c>
      <c r="C72" s="11">
        <v>45644</v>
      </c>
      <c r="D72">
        <v>1.6</v>
      </c>
      <c r="E72">
        <v>1.94</v>
      </c>
      <c r="F72">
        <v>1.46</v>
      </c>
      <c r="G72">
        <f>INDEX('اسعار الاسهم'!A:B,MATCH(B72,'اسعار الاسهم'!K:K,0),2)</f>
        <v>1.1499999999999999</v>
      </c>
      <c r="H72" s="8">
        <f t="shared" si="13"/>
        <v>-0.28125000000000011</v>
      </c>
      <c r="I72" s="8">
        <f t="shared" si="14"/>
        <v>0.68695652173913047</v>
      </c>
      <c r="J72" s="8">
        <f t="shared" si="12"/>
        <v>-0.26956521739130435</v>
      </c>
      <c r="K72" s="8">
        <f t="shared" si="15"/>
        <v>0.32876712328767121</v>
      </c>
      <c r="L72" s="13">
        <f t="shared" si="16"/>
        <v>-2.5483870967741935</v>
      </c>
      <c r="M72" t="str">
        <f t="shared" si="17"/>
        <v>down</v>
      </c>
      <c r="N72">
        <f t="shared" si="18"/>
        <v>1</v>
      </c>
      <c r="O72">
        <f t="shared" si="19"/>
        <v>4</v>
      </c>
      <c r="Q72" s="11"/>
      <c r="R72" t="str">
        <f t="shared" si="20"/>
        <v/>
      </c>
      <c r="T72" s="8" t="str">
        <f t="shared" si="21"/>
        <v/>
      </c>
    </row>
    <row r="73" spans="1:20">
      <c r="A73">
        <v>218</v>
      </c>
      <c r="B73" s="3" t="s">
        <v>796</v>
      </c>
      <c r="C73" s="11">
        <v>45699</v>
      </c>
      <c r="D73">
        <v>1.67</v>
      </c>
      <c r="E73">
        <v>1.95</v>
      </c>
      <c r="F73">
        <v>1.56</v>
      </c>
      <c r="G73">
        <f>INDEX('اسعار الاسهم'!A:B,MATCH(B73,'اسعار الاسهم'!K:K,0),2)</f>
        <v>1.1499999999999999</v>
      </c>
      <c r="H73" s="8">
        <f t="shared" si="13"/>
        <v>-0.31137724550898205</v>
      </c>
      <c r="I73" s="8">
        <f t="shared" si="14"/>
        <v>0.69565217391304368</v>
      </c>
      <c r="J73" s="8">
        <f t="shared" si="12"/>
        <v>-0.35652173913043494</v>
      </c>
      <c r="K73" s="8">
        <f t="shared" si="15"/>
        <v>0.25</v>
      </c>
      <c r="L73" s="13" t="str">
        <f t="shared" si="16"/>
        <v/>
      </c>
      <c r="M73" t="str">
        <f t="shared" si="17"/>
        <v>down</v>
      </c>
      <c r="N73">
        <f t="shared" si="18"/>
        <v>1</v>
      </c>
      <c r="O73">
        <f t="shared" si="19"/>
        <v>4</v>
      </c>
      <c r="Q73" s="11">
        <v>45712</v>
      </c>
      <c r="R73">
        <f t="shared" si="20"/>
        <v>15</v>
      </c>
      <c r="S73">
        <v>166</v>
      </c>
      <c r="T73" s="8">
        <f t="shared" si="21"/>
        <v>-6.5868263473053856E-2</v>
      </c>
    </row>
    <row r="74" spans="1:20">
      <c r="A74">
        <v>196</v>
      </c>
      <c r="B74" t="s">
        <v>813</v>
      </c>
      <c r="C74" s="11">
        <v>45692</v>
      </c>
      <c r="D74">
        <v>0.40500000000000003</v>
      </c>
      <c r="E74">
        <v>0.46</v>
      </c>
      <c r="F74">
        <v>0.375</v>
      </c>
      <c r="G74">
        <f>INDEX('اسعار الاسهم'!A:B,MATCH(B74,'اسعار الاسهم'!K:K,0),2)</f>
        <v>0.39</v>
      </c>
      <c r="H74" s="8">
        <f t="shared" si="13"/>
        <v>-3.703703703703709E-2</v>
      </c>
      <c r="I74" s="8">
        <f t="shared" si="14"/>
        <v>0.17948717948717952</v>
      </c>
      <c r="J74" s="8">
        <f t="shared" si="12"/>
        <v>3.8461538461538547E-2</v>
      </c>
      <c r="K74" s="8">
        <f t="shared" si="15"/>
        <v>0.22666666666666679</v>
      </c>
      <c r="L74" s="13">
        <f t="shared" si="16"/>
        <v>4.6666666666666572</v>
      </c>
      <c r="M74" t="str">
        <f t="shared" si="17"/>
        <v>down</v>
      </c>
      <c r="N74">
        <f t="shared" si="18"/>
        <v>1</v>
      </c>
      <c r="O74">
        <f t="shared" si="19"/>
        <v>1</v>
      </c>
      <c r="R74" t="str">
        <f t="shared" si="20"/>
        <v/>
      </c>
      <c r="T74" s="8" t="str">
        <f t="shared" si="21"/>
        <v/>
      </c>
    </row>
    <row r="75" spans="1:20">
      <c r="A75">
        <v>297</v>
      </c>
      <c r="B75" t="s">
        <v>1070</v>
      </c>
      <c r="C75" s="11">
        <v>45729</v>
      </c>
      <c r="D75">
        <v>51.5</v>
      </c>
      <c r="E75">
        <v>57.5</v>
      </c>
      <c r="F75">
        <v>47</v>
      </c>
      <c r="G75">
        <f>INDEX('اسعار الاسهم'!A:B,MATCH(B75,'اسعار الاسهم'!K:K,0),2)</f>
        <v>156.04</v>
      </c>
      <c r="H75" s="8">
        <f t="shared" si="13"/>
        <v>2.0299029126213592</v>
      </c>
      <c r="I75" s="8">
        <f t="shared" si="14"/>
        <v>-0.63150474237375032</v>
      </c>
      <c r="J75" s="8">
        <f t="shared" si="12"/>
        <v>0.6987951807228916</v>
      </c>
      <c r="K75" s="8">
        <f t="shared" si="15"/>
        <v>0.22340425531914887</v>
      </c>
      <c r="L75" s="13">
        <f t="shared" si="16"/>
        <v>-0.90370506236243575</v>
      </c>
      <c r="M75" t="str">
        <f t="shared" si="17"/>
        <v>up</v>
      </c>
      <c r="N75">
        <f t="shared" si="18"/>
        <v>1</v>
      </c>
      <c r="O75">
        <f t="shared" si="19"/>
        <v>1</v>
      </c>
      <c r="R75" t="str">
        <f t="shared" si="20"/>
        <v/>
      </c>
      <c r="T75" s="8" t="str">
        <f t="shared" si="21"/>
        <v/>
      </c>
    </row>
    <row r="76" spans="1:20" hidden="1">
      <c r="A76">
        <v>2</v>
      </c>
      <c r="B76" t="s">
        <v>767</v>
      </c>
      <c r="C76" s="11">
        <v>45610</v>
      </c>
      <c r="D76">
        <v>8.43</v>
      </c>
      <c r="E76">
        <v>9.5</v>
      </c>
      <c r="F76">
        <v>7.95</v>
      </c>
      <c r="G76">
        <f>INDEX('اسعار الاسهم'!A:B,MATCH(B76,'اسعار الاسهم'!K:K,0),2)</f>
        <v>14.13</v>
      </c>
      <c r="H76" s="8" t="str">
        <f t="shared" si="13"/>
        <v/>
      </c>
      <c r="I76" s="8" t="str">
        <f t="shared" si="14"/>
        <v/>
      </c>
      <c r="J76" s="8" t="str">
        <f t="shared" si="12"/>
        <v/>
      </c>
      <c r="K76" s="8">
        <f t="shared" si="15"/>
        <v>0.19496855345911945</v>
      </c>
      <c r="L76" s="13" t="str">
        <f t="shared" si="16"/>
        <v/>
      </c>
      <c r="M76" t="str">
        <f t="shared" si="17"/>
        <v/>
      </c>
      <c r="N76">
        <f t="shared" si="18"/>
        <v>0</v>
      </c>
      <c r="O76">
        <f t="shared" si="19"/>
        <v>1</v>
      </c>
      <c r="P76">
        <v>0</v>
      </c>
      <c r="Q76" s="11">
        <v>45621</v>
      </c>
      <c r="R76">
        <f t="shared" si="20"/>
        <v>13</v>
      </c>
      <c r="S76">
        <v>2</v>
      </c>
      <c r="T76" s="8">
        <f t="shared" si="21"/>
        <v>-5.6939501779359358E-2</v>
      </c>
    </row>
    <row r="77" spans="1:20" hidden="1">
      <c r="A77">
        <v>4</v>
      </c>
      <c r="B77" t="s">
        <v>793</v>
      </c>
      <c r="C77" s="11">
        <v>45613</v>
      </c>
      <c r="D77">
        <v>4</v>
      </c>
      <c r="E77">
        <v>4.75</v>
      </c>
      <c r="F77">
        <v>3.71</v>
      </c>
      <c r="G77">
        <f>INDEX('اسعار الاسهم'!A:B,MATCH(B77,'اسعار الاسهم'!K:K,0),2)</f>
        <v>4.54</v>
      </c>
      <c r="H77" s="8" t="str">
        <f t="shared" si="13"/>
        <v/>
      </c>
      <c r="I77" s="8" t="str">
        <f t="shared" si="14"/>
        <v/>
      </c>
      <c r="J77" s="8" t="str">
        <f t="shared" si="12"/>
        <v/>
      </c>
      <c r="K77" s="8">
        <f t="shared" si="15"/>
        <v>0.28032345013477089</v>
      </c>
      <c r="L77" s="13" t="str">
        <f t="shared" si="16"/>
        <v/>
      </c>
      <c r="M77" t="str">
        <f t="shared" si="17"/>
        <v/>
      </c>
      <c r="N77">
        <f t="shared" si="18"/>
        <v>0</v>
      </c>
      <c r="O77">
        <f t="shared" si="19"/>
        <v>3</v>
      </c>
      <c r="P77">
        <v>0</v>
      </c>
      <c r="Q77" s="11">
        <v>45621</v>
      </c>
      <c r="R77">
        <f t="shared" si="20"/>
        <v>10</v>
      </c>
      <c r="S77">
        <v>1</v>
      </c>
      <c r="T77" s="8">
        <f t="shared" si="21"/>
        <v>-7.2500000000000009E-2</v>
      </c>
    </row>
    <row r="78" spans="1:20" hidden="1">
      <c r="A78">
        <v>12</v>
      </c>
      <c r="B78" t="s">
        <v>733</v>
      </c>
      <c r="C78" s="11">
        <v>45617</v>
      </c>
      <c r="D78">
        <v>25.12</v>
      </c>
      <c r="E78">
        <v>28.5</v>
      </c>
      <c r="F78">
        <v>23.75</v>
      </c>
      <c r="G78">
        <f>INDEX('اسعار الاسهم'!A:B,MATCH(B78,'اسعار الاسهم'!K:K,0),2)</f>
        <v>26.64</v>
      </c>
      <c r="H78" s="8" t="str">
        <f t="shared" si="13"/>
        <v/>
      </c>
      <c r="I78" s="8" t="str">
        <f t="shared" si="14"/>
        <v/>
      </c>
      <c r="J78" s="8" t="str">
        <f t="shared" si="12"/>
        <v/>
      </c>
      <c r="K78" s="8">
        <f t="shared" si="15"/>
        <v>0.19999999999999996</v>
      </c>
      <c r="L78" s="13" t="str">
        <f t="shared" si="16"/>
        <v/>
      </c>
      <c r="M78" t="str">
        <f t="shared" si="17"/>
        <v/>
      </c>
      <c r="N78">
        <f t="shared" si="18"/>
        <v>0</v>
      </c>
      <c r="O78">
        <f t="shared" si="19"/>
        <v>3</v>
      </c>
      <c r="P78">
        <v>1</v>
      </c>
      <c r="Q78" s="11">
        <v>45622</v>
      </c>
      <c r="R78">
        <f t="shared" si="20"/>
        <v>7</v>
      </c>
      <c r="S78">
        <v>5</v>
      </c>
      <c r="T78" s="8">
        <f t="shared" si="21"/>
        <v>0.13455414012738842</v>
      </c>
    </row>
    <row r="79" spans="1:20" hidden="1">
      <c r="A79">
        <v>6</v>
      </c>
      <c r="B79" t="s">
        <v>860</v>
      </c>
      <c r="C79" s="11">
        <v>45613</v>
      </c>
      <c r="D79">
        <v>4.43</v>
      </c>
      <c r="E79">
        <v>5.3</v>
      </c>
      <c r="F79">
        <v>4.2</v>
      </c>
      <c r="G79">
        <f>INDEX('اسعار الاسهم'!A:B,MATCH(B79,'اسعار الاسهم'!K:K,0),2)</f>
        <v>7.33</v>
      </c>
      <c r="H79" s="8" t="str">
        <f t="shared" si="13"/>
        <v/>
      </c>
      <c r="I79" s="8" t="str">
        <f t="shared" si="14"/>
        <v/>
      </c>
      <c r="J79" s="8" t="str">
        <f t="shared" si="12"/>
        <v/>
      </c>
      <c r="K79" s="8">
        <f t="shared" si="15"/>
        <v>0.26190476190476186</v>
      </c>
      <c r="L79" s="13" t="str">
        <f t="shared" si="16"/>
        <v/>
      </c>
      <c r="M79" t="str">
        <f t="shared" si="17"/>
        <v/>
      </c>
      <c r="N79">
        <f t="shared" si="18"/>
        <v>0</v>
      </c>
      <c r="O79">
        <f t="shared" si="19"/>
        <v>6</v>
      </c>
      <c r="P79">
        <v>0</v>
      </c>
      <c r="Q79" s="11">
        <v>45622</v>
      </c>
      <c r="R79">
        <f t="shared" si="20"/>
        <v>11</v>
      </c>
      <c r="S79">
        <v>3</v>
      </c>
      <c r="T79" s="8">
        <f t="shared" si="21"/>
        <v>-5.1918735891647749E-2</v>
      </c>
    </row>
    <row r="80" spans="1:20" hidden="1">
      <c r="A80">
        <v>9</v>
      </c>
      <c r="B80" t="s">
        <v>764</v>
      </c>
      <c r="C80" s="11">
        <v>45614</v>
      </c>
      <c r="D80">
        <v>26.85</v>
      </c>
      <c r="E80">
        <v>30.5</v>
      </c>
      <c r="F80">
        <v>25.5</v>
      </c>
      <c r="G80">
        <f>INDEX('اسعار الاسهم'!A:B,MATCH(B80,'اسعار الاسهم'!K:K,0),2)</f>
        <v>21.84</v>
      </c>
      <c r="H80" s="8" t="str">
        <f t="shared" si="13"/>
        <v/>
      </c>
      <c r="I80" s="8" t="str">
        <f t="shared" si="14"/>
        <v/>
      </c>
      <c r="J80" s="8" t="str">
        <f t="shared" si="12"/>
        <v/>
      </c>
      <c r="K80" s="8">
        <f t="shared" si="15"/>
        <v>0.19607843137254899</v>
      </c>
      <c r="L80" s="13" t="str">
        <f t="shared" si="16"/>
        <v/>
      </c>
      <c r="M80" t="str">
        <f t="shared" si="17"/>
        <v/>
      </c>
      <c r="N80">
        <f t="shared" si="18"/>
        <v>0</v>
      </c>
      <c r="O80">
        <f t="shared" si="19"/>
        <v>5</v>
      </c>
      <c r="P80">
        <v>0</v>
      </c>
      <c r="Q80" s="11">
        <v>45622</v>
      </c>
      <c r="R80">
        <f t="shared" si="20"/>
        <v>10</v>
      </c>
      <c r="S80">
        <v>4</v>
      </c>
      <c r="T80" s="8">
        <f t="shared" si="21"/>
        <v>-5.027932960893855E-2</v>
      </c>
    </row>
    <row r="81" spans="1:20" hidden="1">
      <c r="A81">
        <v>18</v>
      </c>
      <c r="B81" t="s">
        <v>860</v>
      </c>
      <c r="C81" s="11">
        <v>45620</v>
      </c>
      <c r="D81">
        <v>4.32</v>
      </c>
      <c r="E81">
        <v>4.8</v>
      </c>
      <c r="F81">
        <v>4.1500000000000004</v>
      </c>
      <c r="G81">
        <f>INDEX('اسعار الاسهم'!A:B,MATCH(B81,'اسعار الاسهم'!K:K,0),2)</f>
        <v>7.33</v>
      </c>
      <c r="H81" s="8" t="str">
        <f t="shared" si="13"/>
        <v/>
      </c>
      <c r="I81" s="8" t="str">
        <f t="shared" si="14"/>
        <v/>
      </c>
      <c r="J81" s="8" t="str">
        <f t="shared" si="12"/>
        <v/>
      </c>
      <c r="K81" s="8">
        <f t="shared" si="15"/>
        <v>0.15662650602409633</v>
      </c>
      <c r="L81" s="13" t="str">
        <f t="shared" si="16"/>
        <v/>
      </c>
      <c r="M81" t="str">
        <f t="shared" si="17"/>
        <v/>
      </c>
      <c r="N81">
        <f t="shared" si="18"/>
        <v>0</v>
      </c>
      <c r="O81">
        <f t="shared" si="19"/>
        <v>6</v>
      </c>
      <c r="P81">
        <v>0</v>
      </c>
      <c r="Q81" s="11">
        <v>45623</v>
      </c>
      <c r="R81">
        <f t="shared" si="20"/>
        <v>5</v>
      </c>
      <c r="S81">
        <v>6</v>
      </c>
      <c r="T81" s="8">
        <f t="shared" si="21"/>
        <v>-3.935185185185186E-2</v>
      </c>
    </row>
    <row r="82" spans="1:20" hidden="1">
      <c r="A82">
        <v>5</v>
      </c>
      <c r="B82" t="s">
        <v>889</v>
      </c>
      <c r="C82" s="11">
        <v>45613</v>
      </c>
      <c r="D82">
        <v>8.5500000000000007</v>
      </c>
      <c r="E82">
        <v>9.6</v>
      </c>
      <c r="F82">
        <v>8</v>
      </c>
      <c r="G82">
        <f>INDEX('اسعار الاسهم'!A:B,MATCH(B82,'اسعار الاسهم'!K:K,0),2)</f>
        <v>14.35</v>
      </c>
      <c r="H82" s="8" t="str">
        <f t="shared" si="13"/>
        <v/>
      </c>
      <c r="I82" s="8" t="str">
        <f t="shared" si="14"/>
        <v/>
      </c>
      <c r="J82" s="8" t="str">
        <f t="shared" si="12"/>
        <v/>
      </c>
      <c r="K82" s="8">
        <f t="shared" si="15"/>
        <v>0.19999999999999996</v>
      </c>
      <c r="L82" s="13" t="str">
        <f t="shared" si="16"/>
        <v/>
      </c>
      <c r="M82" t="str">
        <f t="shared" si="17"/>
        <v/>
      </c>
      <c r="N82">
        <f t="shared" si="18"/>
        <v>1</v>
      </c>
      <c r="O82">
        <f t="shared" si="19"/>
        <v>4</v>
      </c>
      <c r="P82">
        <v>0</v>
      </c>
      <c r="Q82" s="11">
        <v>45623</v>
      </c>
      <c r="R82">
        <f t="shared" si="20"/>
        <v>12</v>
      </c>
      <c r="S82">
        <v>9</v>
      </c>
      <c r="T82" s="8">
        <f t="shared" si="21"/>
        <v>-6.4327485380117011E-2</v>
      </c>
    </row>
    <row r="83" spans="1:20" hidden="1">
      <c r="A83">
        <v>20</v>
      </c>
      <c r="B83" t="s">
        <v>889</v>
      </c>
      <c r="C83" s="11">
        <v>45621</v>
      </c>
      <c r="D83">
        <v>8.65</v>
      </c>
      <c r="E83">
        <v>9.9499999999999993</v>
      </c>
      <c r="F83">
        <v>8</v>
      </c>
      <c r="G83">
        <f>INDEX('اسعار الاسهم'!A:B,MATCH(B83,'اسعار الاسهم'!K:K,0),2)</f>
        <v>14.35</v>
      </c>
      <c r="H83" s="8" t="str">
        <f t="shared" si="13"/>
        <v/>
      </c>
      <c r="I83" s="8" t="str">
        <f t="shared" si="14"/>
        <v/>
      </c>
      <c r="J83" s="8" t="str">
        <f t="shared" si="12"/>
        <v/>
      </c>
      <c r="K83" s="8">
        <f t="shared" si="15"/>
        <v>0.24374999999999991</v>
      </c>
      <c r="L83" s="13" t="str">
        <f t="shared" si="16"/>
        <v/>
      </c>
      <c r="M83" t="str">
        <f t="shared" si="17"/>
        <v/>
      </c>
      <c r="N83">
        <f t="shared" si="18"/>
        <v>1</v>
      </c>
      <c r="O83">
        <f t="shared" si="19"/>
        <v>4</v>
      </c>
      <c r="P83">
        <v>0</v>
      </c>
      <c r="Q83" s="11">
        <v>45623</v>
      </c>
      <c r="R83">
        <f t="shared" si="20"/>
        <v>4</v>
      </c>
      <c r="S83">
        <v>8</v>
      </c>
      <c r="T83" s="8">
        <f t="shared" si="21"/>
        <v>-7.5144508670520249E-2</v>
      </c>
    </row>
    <row r="84" spans="1:20" hidden="1">
      <c r="A84">
        <v>19</v>
      </c>
      <c r="B84" t="s">
        <v>829</v>
      </c>
      <c r="C84" s="11">
        <v>45620</v>
      </c>
      <c r="D84">
        <v>19.05</v>
      </c>
      <c r="E84">
        <v>22</v>
      </c>
      <c r="F84">
        <v>18</v>
      </c>
      <c r="G84">
        <f>INDEX('اسعار الاسهم'!A:B,MATCH(B84,'اسعار الاسهم'!K:K,0),2)</f>
        <v>43.88</v>
      </c>
      <c r="H84" s="8" t="str">
        <f t="shared" si="13"/>
        <v/>
      </c>
      <c r="I84" s="8" t="str">
        <f t="shared" si="14"/>
        <v/>
      </c>
      <c r="J84" s="8" t="str">
        <f t="shared" si="12"/>
        <v/>
      </c>
      <c r="K84" s="8">
        <f t="shared" si="15"/>
        <v>0.22222222222222232</v>
      </c>
      <c r="L84" s="13" t="str">
        <f t="shared" si="16"/>
        <v/>
      </c>
      <c r="M84" t="str">
        <f t="shared" si="17"/>
        <v/>
      </c>
      <c r="N84">
        <f t="shared" si="18"/>
        <v>0</v>
      </c>
      <c r="O84">
        <f t="shared" si="19"/>
        <v>2</v>
      </c>
      <c r="P84">
        <v>0</v>
      </c>
      <c r="Q84" s="11">
        <v>45623</v>
      </c>
      <c r="R84">
        <f t="shared" si="20"/>
        <v>5</v>
      </c>
      <c r="S84">
        <v>7</v>
      </c>
      <c r="T84" s="8">
        <f t="shared" si="21"/>
        <v>-5.5118110236220486E-2</v>
      </c>
    </row>
    <row r="85" spans="1:20" hidden="1">
      <c r="A85">
        <v>7</v>
      </c>
      <c r="B85" t="s">
        <v>814</v>
      </c>
      <c r="C85" s="11">
        <v>45613</v>
      </c>
      <c r="D85">
        <v>10.75</v>
      </c>
      <c r="E85">
        <v>12.5</v>
      </c>
      <c r="F85">
        <v>10.25</v>
      </c>
      <c r="G85">
        <f>INDEX('اسعار الاسهم'!A:B,MATCH(B85,'اسعار الاسهم'!K:K,0),2)</f>
        <v>15.8</v>
      </c>
      <c r="H85" s="8" t="str">
        <f t="shared" si="13"/>
        <v/>
      </c>
      <c r="I85" s="8" t="str">
        <f t="shared" si="14"/>
        <v/>
      </c>
      <c r="J85" s="8" t="str">
        <f t="shared" si="12"/>
        <v/>
      </c>
      <c r="K85" s="8">
        <f t="shared" si="15"/>
        <v>0.21951219512195119</v>
      </c>
      <c r="L85" s="13" t="str">
        <f t="shared" si="16"/>
        <v/>
      </c>
      <c r="M85" t="str">
        <f t="shared" si="17"/>
        <v/>
      </c>
      <c r="N85">
        <f t="shared" si="18"/>
        <v>0</v>
      </c>
      <c r="O85">
        <f t="shared" si="19"/>
        <v>3</v>
      </c>
      <c r="P85">
        <v>0</v>
      </c>
      <c r="Q85" s="11">
        <v>45624</v>
      </c>
      <c r="R85">
        <f t="shared" si="20"/>
        <v>13</v>
      </c>
      <c r="S85">
        <v>10</v>
      </c>
      <c r="T85" s="8">
        <f t="shared" si="21"/>
        <v>-4.6511627906976716E-2</v>
      </c>
    </row>
    <row r="86" spans="1:20" hidden="1">
      <c r="A86">
        <v>22</v>
      </c>
      <c r="B86" t="s">
        <v>888</v>
      </c>
      <c r="C86" s="11">
        <v>45622</v>
      </c>
      <c r="D86">
        <v>4.6500000000000004</v>
      </c>
      <c r="E86">
        <v>5.5</v>
      </c>
      <c r="F86">
        <v>4.4000000000000004</v>
      </c>
      <c r="G86">
        <f>INDEX('اسعار الاسهم'!A:B,MATCH(B86,'اسعار الاسهم'!K:K,0),2)</f>
        <v>8.94</v>
      </c>
      <c r="H86" s="8" t="str">
        <f t="shared" si="13"/>
        <v/>
      </c>
      <c r="I86" s="8" t="str">
        <f t="shared" si="14"/>
        <v/>
      </c>
      <c r="J86" s="8" t="str">
        <f t="shared" si="12"/>
        <v/>
      </c>
      <c r="K86" s="8">
        <f t="shared" si="15"/>
        <v>0.25</v>
      </c>
      <c r="L86" s="13" t="str">
        <f t="shared" si="16"/>
        <v/>
      </c>
      <c r="M86" t="str">
        <f t="shared" si="17"/>
        <v/>
      </c>
      <c r="N86">
        <f t="shared" si="18"/>
        <v>0</v>
      </c>
      <c r="O86">
        <f t="shared" si="19"/>
        <v>1</v>
      </c>
      <c r="P86">
        <v>0</v>
      </c>
      <c r="Q86" s="11">
        <v>45624</v>
      </c>
      <c r="R86">
        <f t="shared" si="20"/>
        <v>4</v>
      </c>
      <c r="S86">
        <v>11</v>
      </c>
      <c r="T86" s="8">
        <f t="shared" si="21"/>
        <v>-5.3763440860215006E-2</v>
      </c>
    </row>
    <row r="87" spans="1:20" hidden="1">
      <c r="A87">
        <v>21</v>
      </c>
      <c r="B87" t="s">
        <v>743</v>
      </c>
      <c r="C87" s="11">
        <v>45622</v>
      </c>
      <c r="D87">
        <v>3.27</v>
      </c>
      <c r="E87">
        <v>3.69</v>
      </c>
      <c r="F87">
        <v>3.1</v>
      </c>
      <c r="G87">
        <f>INDEX('اسعار الاسهم'!A:B,MATCH(B87,'اسعار الاسهم'!K:K,0),2)</f>
        <v>5.0599999999999996</v>
      </c>
      <c r="H87" s="8" t="str">
        <f t="shared" si="13"/>
        <v/>
      </c>
      <c r="I87" s="8" t="str">
        <f t="shared" si="14"/>
        <v/>
      </c>
      <c r="J87" s="8" t="str">
        <f t="shared" si="12"/>
        <v/>
      </c>
      <c r="K87" s="8">
        <f t="shared" si="15"/>
        <v>0.19032258064516117</v>
      </c>
      <c r="L87" s="13" t="str">
        <f t="shared" si="16"/>
        <v/>
      </c>
      <c r="M87" t="str">
        <f t="shared" si="17"/>
        <v/>
      </c>
      <c r="N87">
        <f t="shared" si="18"/>
        <v>0</v>
      </c>
      <c r="O87">
        <f t="shared" si="19"/>
        <v>4</v>
      </c>
      <c r="P87">
        <v>1</v>
      </c>
      <c r="Q87" s="11">
        <v>45627</v>
      </c>
      <c r="R87">
        <f t="shared" si="20"/>
        <v>7</v>
      </c>
      <c r="S87">
        <v>12</v>
      </c>
      <c r="T87" s="8">
        <f t="shared" si="21"/>
        <v>0.12844036697247696</v>
      </c>
    </row>
    <row r="88" spans="1:20" hidden="1">
      <c r="A88">
        <v>1</v>
      </c>
      <c r="B88" t="s">
        <v>818</v>
      </c>
      <c r="C88" s="11">
        <v>45610</v>
      </c>
      <c r="D88">
        <v>63.25</v>
      </c>
      <c r="E88">
        <v>72</v>
      </c>
      <c r="F88">
        <v>60.8</v>
      </c>
      <c r="G88">
        <f>INDEX('اسعار الاسهم'!A:B,MATCH(B88,'اسعار الاسهم'!K:K,0),2)</f>
        <v>133.5</v>
      </c>
      <c r="H88" s="8" t="str">
        <f t="shared" si="13"/>
        <v/>
      </c>
      <c r="I88" s="8" t="str">
        <f t="shared" si="14"/>
        <v/>
      </c>
      <c r="J88" s="8" t="str">
        <f t="shared" si="12"/>
        <v/>
      </c>
      <c r="K88" s="8">
        <f t="shared" si="15"/>
        <v>0.1842105263157896</v>
      </c>
      <c r="L88" s="13" t="str">
        <f t="shared" si="16"/>
        <v/>
      </c>
      <c r="M88" t="str">
        <f t="shared" si="17"/>
        <v/>
      </c>
      <c r="N88">
        <f t="shared" si="18"/>
        <v>0</v>
      </c>
      <c r="O88">
        <f t="shared" si="19"/>
        <v>1</v>
      </c>
      <c r="P88">
        <v>1</v>
      </c>
      <c r="Q88" s="11">
        <v>45628</v>
      </c>
      <c r="R88">
        <f t="shared" si="20"/>
        <v>20</v>
      </c>
      <c r="S88">
        <v>13</v>
      </c>
      <c r="T88" s="8">
        <f t="shared" si="21"/>
        <v>0.13833992094861669</v>
      </c>
    </row>
    <row r="89" spans="1:20" hidden="1">
      <c r="A89">
        <v>10</v>
      </c>
      <c r="B89" t="s">
        <v>891</v>
      </c>
      <c r="C89" s="11">
        <v>45616</v>
      </c>
      <c r="D89">
        <v>0.27700000000000002</v>
      </c>
      <c r="E89">
        <v>0.32</v>
      </c>
      <c r="F89">
        <v>0.26</v>
      </c>
      <c r="G89">
        <f>INDEX('اسعار الاسهم'!A:B,MATCH(B89,'اسعار الاسهم'!K:K,0),2)</f>
        <v>0.43</v>
      </c>
      <c r="H89" s="8" t="str">
        <f t="shared" si="13"/>
        <v/>
      </c>
      <c r="I89" s="8" t="str">
        <f t="shared" si="14"/>
        <v/>
      </c>
      <c r="J89" s="8" t="str">
        <f t="shared" si="12"/>
        <v/>
      </c>
      <c r="K89" s="8">
        <f t="shared" si="15"/>
        <v>0.23076923076923084</v>
      </c>
      <c r="L89" s="13" t="str">
        <f t="shared" si="16"/>
        <v/>
      </c>
      <c r="M89" t="str">
        <f t="shared" si="17"/>
        <v/>
      </c>
      <c r="N89">
        <f t="shared" si="18"/>
        <v>0</v>
      </c>
      <c r="O89">
        <f t="shared" si="19"/>
        <v>2</v>
      </c>
      <c r="P89">
        <v>0</v>
      </c>
      <c r="Q89" s="11">
        <v>45629</v>
      </c>
      <c r="R89">
        <f t="shared" si="20"/>
        <v>15</v>
      </c>
      <c r="S89">
        <v>14</v>
      </c>
      <c r="T89" s="8">
        <f t="shared" si="21"/>
        <v>-6.1371841155234752E-2</v>
      </c>
    </row>
    <row r="90" spans="1:20" hidden="1">
      <c r="A90">
        <v>30</v>
      </c>
      <c r="B90" t="s">
        <v>748</v>
      </c>
      <c r="C90" s="11">
        <v>45627</v>
      </c>
      <c r="D90">
        <v>6.8</v>
      </c>
      <c r="E90">
        <v>7.65</v>
      </c>
      <c r="F90">
        <v>6.4</v>
      </c>
      <c r="G90">
        <f>INDEX('اسعار الاسهم'!A:B,MATCH(B90,'اسعار الاسهم'!K:K,0),2)</f>
        <v>8.7899999999999991</v>
      </c>
      <c r="H90" s="8" t="str">
        <f t="shared" si="13"/>
        <v/>
      </c>
      <c r="I90" s="8" t="str">
        <f t="shared" si="14"/>
        <v/>
      </c>
      <c r="J90" s="8" t="str">
        <f t="shared" si="12"/>
        <v/>
      </c>
      <c r="K90" s="8">
        <f t="shared" si="15"/>
        <v>0.1953125</v>
      </c>
      <c r="L90" s="13" t="str">
        <f t="shared" si="16"/>
        <v/>
      </c>
      <c r="M90" t="str">
        <f t="shared" si="17"/>
        <v/>
      </c>
      <c r="N90">
        <f t="shared" si="18"/>
        <v>2</v>
      </c>
      <c r="O90">
        <f t="shared" si="19"/>
        <v>3</v>
      </c>
      <c r="P90">
        <v>1</v>
      </c>
      <c r="Q90" s="11">
        <v>45631</v>
      </c>
      <c r="R90">
        <f t="shared" si="20"/>
        <v>6</v>
      </c>
      <c r="S90">
        <v>15</v>
      </c>
      <c r="T90" s="8">
        <f t="shared" si="21"/>
        <v>0.125</v>
      </c>
    </row>
    <row r="91" spans="1:20" hidden="1">
      <c r="A91">
        <v>24</v>
      </c>
      <c r="B91" t="s">
        <v>859</v>
      </c>
      <c r="C91" s="11">
        <v>45623</v>
      </c>
      <c r="D91">
        <v>63.85</v>
      </c>
      <c r="E91">
        <v>71.900000000000006</v>
      </c>
      <c r="F91">
        <v>60.3</v>
      </c>
      <c r="G91">
        <f>INDEX('اسعار الاسهم'!A:B,MATCH(B91,'اسعار الاسهم'!K:K,0),2)</f>
        <v>104</v>
      </c>
      <c r="H91" s="8" t="str">
        <f t="shared" si="13"/>
        <v/>
      </c>
      <c r="I91" s="8" t="str">
        <f t="shared" si="14"/>
        <v/>
      </c>
      <c r="J91" s="8" t="str">
        <f t="shared" si="12"/>
        <v/>
      </c>
      <c r="K91" s="8">
        <f t="shared" si="15"/>
        <v>0.19237147595356574</v>
      </c>
      <c r="L91" s="13" t="str">
        <f t="shared" si="16"/>
        <v/>
      </c>
      <c r="M91" t="str">
        <f t="shared" si="17"/>
        <v/>
      </c>
      <c r="N91">
        <f t="shared" si="18"/>
        <v>1</v>
      </c>
      <c r="O91">
        <f t="shared" si="19"/>
        <v>2</v>
      </c>
      <c r="P91">
        <v>1</v>
      </c>
      <c r="Q91" s="11">
        <v>45631</v>
      </c>
      <c r="R91">
        <f t="shared" si="20"/>
        <v>10</v>
      </c>
      <c r="S91">
        <v>16</v>
      </c>
      <c r="T91" s="8">
        <f t="shared" si="21"/>
        <v>0.12607674236491784</v>
      </c>
    </row>
    <row r="92" spans="1:20" hidden="1">
      <c r="A92">
        <v>28</v>
      </c>
      <c r="B92" s="3" t="s">
        <v>784</v>
      </c>
      <c r="C92" s="11">
        <v>45624</v>
      </c>
      <c r="D92">
        <v>20.100000000000001</v>
      </c>
      <c r="E92">
        <v>22</v>
      </c>
      <c r="F92">
        <v>19</v>
      </c>
      <c r="G92">
        <f>INDEX('اسعار الاسهم'!A:B,MATCH(B92,'اسعار الاسهم'!K:K,0),2)</f>
        <v>26.32</v>
      </c>
      <c r="H92" s="8" t="str">
        <f t="shared" si="13"/>
        <v/>
      </c>
      <c r="I92" s="8" t="str">
        <f t="shared" si="14"/>
        <v/>
      </c>
      <c r="J92" s="8" t="str">
        <f t="shared" si="12"/>
        <v/>
      </c>
      <c r="K92" s="8">
        <f t="shared" si="15"/>
        <v>0.15789473684210531</v>
      </c>
      <c r="L92" s="13" t="str">
        <f t="shared" si="16"/>
        <v/>
      </c>
      <c r="M92" t="str">
        <f t="shared" si="17"/>
        <v/>
      </c>
      <c r="N92">
        <f t="shared" si="18"/>
        <v>0</v>
      </c>
      <c r="O92">
        <f t="shared" si="19"/>
        <v>7</v>
      </c>
      <c r="P92">
        <v>1</v>
      </c>
      <c r="Q92" s="11">
        <v>45636</v>
      </c>
      <c r="R92">
        <f t="shared" si="20"/>
        <v>14</v>
      </c>
      <c r="S92">
        <v>17</v>
      </c>
      <c r="T92" s="8">
        <f t="shared" si="21"/>
        <v>9.4527363184079505E-2</v>
      </c>
    </row>
    <row r="93" spans="1:20" hidden="1">
      <c r="A93">
        <v>34</v>
      </c>
      <c r="B93" t="s">
        <v>783</v>
      </c>
      <c r="C93" s="11">
        <v>45627</v>
      </c>
      <c r="D93">
        <v>42.85</v>
      </c>
      <c r="E93">
        <v>48</v>
      </c>
      <c r="F93">
        <v>41.75</v>
      </c>
      <c r="G93">
        <f>INDEX('اسعار الاسهم'!A:B,MATCH(B93,'اسعار الاسهم'!K:K,0),2)</f>
        <v>46.1</v>
      </c>
      <c r="H93" s="8" t="str">
        <f t="shared" si="13"/>
        <v/>
      </c>
      <c r="I93" s="8" t="str">
        <f t="shared" si="14"/>
        <v/>
      </c>
      <c r="J93" s="8" t="str">
        <f t="shared" si="12"/>
        <v/>
      </c>
      <c r="K93" s="8">
        <f t="shared" si="15"/>
        <v>0.14970059880239517</v>
      </c>
      <c r="L93" s="13" t="str">
        <f t="shared" si="16"/>
        <v/>
      </c>
      <c r="M93" t="str">
        <f t="shared" si="17"/>
        <v/>
      </c>
      <c r="N93">
        <f t="shared" si="18"/>
        <v>2</v>
      </c>
      <c r="O93">
        <f t="shared" si="19"/>
        <v>8</v>
      </c>
      <c r="P93">
        <v>0</v>
      </c>
      <c r="Q93" s="11">
        <v>45636</v>
      </c>
      <c r="R93">
        <f t="shared" si="20"/>
        <v>11</v>
      </c>
      <c r="S93">
        <v>19</v>
      </c>
      <c r="T93" s="8">
        <f t="shared" si="21"/>
        <v>-2.5670945157526326E-2</v>
      </c>
    </row>
    <row r="94" spans="1:20" hidden="1">
      <c r="A94">
        <v>59</v>
      </c>
      <c r="B94" t="s">
        <v>783</v>
      </c>
      <c r="C94" s="11">
        <v>45635</v>
      </c>
      <c r="D94">
        <v>43.65</v>
      </c>
      <c r="E94">
        <v>48.5</v>
      </c>
      <c r="F94">
        <v>41.75</v>
      </c>
      <c r="G94">
        <f>INDEX('اسعار الاسهم'!A:B,MATCH(B94,'اسعار الاسهم'!K:K,0),2)</f>
        <v>46.1</v>
      </c>
      <c r="H94" s="8" t="str">
        <f t="shared" si="13"/>
        <v/>
      </c>
      <c r="I94" s="8" t="str">
        <f t="shared" si="14"/>
        <v/>
      </c>
      <c r="J94" s="8" t="str">
        <f t="shared" si="12"/>
        <v/>
      </c>
      <c r="K94" s="8">
        <f t="shared" si="15"/>
        <v>0.16167664670658688</v>
      </c>
      <c r="L94" s="13" t="str">
        <f t="shared" si="16"/>
        <v/>
      </c>
      <c r="M94" t="str">
        <f t="shared" si="17"/>
        <v/>
      </c>
      <c r="N94">
        <f t="shared" si="18"/>
        <v>2</v>
      </c>
      <c r="O94">
        <f t="shared" si="19"/>
        <v>8</v>
      </c>
      <c r="P94">
        <v>0</v>
      </c>
      <c r="Q94" s="11">
        <v>45636</v>
      </c>
      <c r="R94">
        <f t="shared" si="20"/>
        <v>3</v>
      </c>
      <c r="S94">
        <v>18</v>
      </c>
      <c r="T94" s="8">
        <f t="shared" si="21"/>
        <v>-4.3528064146620804E-2</v>
      </c>
    </row>
    <row r="95" spans="1:20" hidden="1">
      <c r="A95">
        <v>45</v>
      </c>
      <c r="B95" t="s">
        <v>882</v>
      </c>
      <c r="C95" s="11">
        <v>45630</v>
      </c>
      <c r="D95">
        <v>49.75</v>
      </c>
      <c r="E95">
        <v>57.5</v>
      </c>
      <c r="F95">
        <v>47</v>
      </c>
      <c r="G95">
        <f>INDEX('اسعار الاسهم'!A:B,MATCH(B95,'اسعار الاسهم'!K:K,0),2)</f>
        <v>204</v>
      </c>
      <c r="H95" s="8" t="str">
        <f t="shared" si="13"/>
        <v/>
      </c>
      <c r="I95" s="8" t="str">
        <f t="shared" si="14"/>
        <v/>
      </c>
      <c r="J95" s="8" t="str">
        <f t="shared" si="12"/>
        <v/>
      </c>
      <c r="K95" s="8">
        <f t="shared" si="15"/>
        <v>0.22340425531914887</v>
      </c>
      <c r="L95" s="13" t="str">
        <f t="shared" si="16"/>
        <v/>
      </c>
      <c r="M95" t="str">
        <f t="shared" si="17"/>
        <v/>
      </c>
      <c r="N95">
        <f t="shared" si="18"/>
        <v>0</v>
      </c>
      <c r="O95">
        <f t="shared" si="19"/>
        <v>4</v>
      </c>
      <c r="P95">
        <v>1</v>
      </c>
      <c r="Q95" s="11">
        <v>45637</v>
      </c>
      <c r="R95">
        <f t="shared" si="20"/>
        <v>9</v>
      </c>
      <c r="S95">
        <v>20</v>
      </c>
      <c r="T95" s="8">
        <f t="shared" si="21"/>
        <v>0.15577889447236171</v>
      </c>
    </row>
    <row r="96" spans="1:20" hidden="1">
      <c r="A96">
        <v>60</v>
      </c>
      <c r="B96" t="s">
        <v>895</v>
      </c>
      <c r="C96" s="11">
        <v>45636</v>
      </c>
      <c r="D96">
        <v>3.16</v>
      </c>
      <c r="E96">
        <v>3.7</v>
      </c>
      <c r="F96">
        <v>2.94</v>
      </c>
      <c r="G96">
        <f>INDEX('اسعار الاسهم'!A:B,MATCH(B96,'اسعار الاسهم'!K:K,0),2)</f>
        <v>8.6999999999999993</v>
      </c>
      <c r="H96" s="8" t="str">
        <f t="shared" si="13"/>
        <v/>
      </c>
      <c r="I96" s="8" t="str">
        <f t="shared" si="14"/>
        <v/>
      </c>
      <c r="J96" s="8" t="str">
        <f t="shared" si="12"/>
        <v/>
      </c>
      <c r="K96" s="8">
        <f t="shared" si="15"/>
        <v>0.25850340136054428</v>
      </c>
      <c r="L96" s="13" t="str">
        <f t="shared" si="16"/>
        <v/>
      </c>
      <c r="M96" t="str">
        <f t="shared" si="17"/>
        <v/>
      </c>
      <c r="N96">
        <f t="shared" si="18"/>
        <v>0</v>
      </c>
      <c r="O96">
        <f t="shared" si="19"/>
        <v>2</v>
      </c>
      <c r="P96">
        <v>1</v>
      </c>
      <c r="Q96" s="11">
        <v>45637</v>
      </c>
      <c r="R96">
        <f t="shared" si="20"/>
        <v>3</v>
      </c>
      <c r="S96">
        <v>21</v>
      </c>
      <c r="T96" s="8">
        <f t="shared" si="21"/>
        <v>0.17088607594936711</v>
      </c>
    </row>
    <row r="97" spans="1:20" hidden="1">
      <c r="A97">
        <v>57</v>
      </c>
      <c r="B97" t="s">
        <v>893</v>
      </c>
      <c r="C97" s="11">
        <v>45635</v>
      </c>
      <c r="D97">
        <v>0.35899999999999999</v>
      </c>
      <c r="E97">
        <v>0.40400000000000003</v>
      </c>
      <c r="F97">
        <v>0.34</v>
      </c>
      <c r="G97">
        <f>INDEX('اسعار الاسهم'!A:B,MATCH(B97,'اسعار الاسهم'!K:K,0),2)</f>
        <v>2.2599999999999998</v>
      </c>
      <c r="H97" s="8" t="str">
        <f t="shared" si="13"/>
        <v/>
      </c>
      <c r="I97" s="8" t="str">
        <f t="shared" si="14"/>
        <v/>
      </c>
      <c r="J97" s="8" t="str">
        <f t="shared" si="12"/>
        <v/>
      </c>
      <c r="K97" s="8">
        <f t="shared" si="15"/>
        <v>0.18823529411764706</v>
      </c>
      <c r="L97" s="13" t="str">
        <f t="shared" si="16"/>
        <v/>
      </c>
      <c r="M97" t="str">
        <f t="shared" si="17"/>
        <v/>
      </c>
      <c r="N97">
        <f t="shared" si="18"/>
        <v>0</v>
      </c>
      <c r="O97">
        <f t="shared" si="19"/>
        <v>2</v>
      </c>
      <c r="P97">
        <v>1</v>
      </c>
      <c r="Q97" s="11">
        <v>45638</v>
      </c>
      <c r="R97">
        <f t="shared" si="20"/>
        <v>5</v>
      </c>
      <c r="S97">
        <v>23</v>
      </c>
      <c r="T97" s="8">
        <f t="shared" si="21"/>
        <v>0.12534818941504189</v>
      </c>
    </row>
    <row r="98" spans="1:20" hidden="1">
      <c r="A98">
        <v>53</v>
      </c>
      <c r="B98" t="s">
        <v>856</v>
      </c>
      <c r="C98" s="11">
        <v>45634</v>
      </c>
      <c r="D98">
        <v>19.38</v>
      </c>
      <c r="E98">
        <v>22.35</v>
      </c>
      <c r="F98">
        <v>18.3</v>
      </c>
      <c r="G98">
        <f>INDEX('اسعار الاسهم'!A:B,MATCH(B98,'اسعار الاسهم'!K:K,0),2)</f>
        <v>18.73</v>
      </c>
      <c r="H98" s="8" t="str">
        <f t="shared" si="13"/>
        <v/>
      </c>
      <c r="I98" s="8" t="str">
        <f t="shared" si="14"/>
        <v/>
      </c>
      <c r="J98" s="8" t="str">
        <f t="shared" si="12"/>
        <v/>
      </c>
      <c r="K98" s="8">
        <f t="shared" si="15"/>
        <v>0.2213114754098362</v>
      </c>
      <c r="L98" s="13" t="str">
        <f t="shared" si="16"/>
        <v/>
      </c>
      <c r="M98" t="str">
        <f t="shared" si="17"/>
        <v/>
      </c>
      <c r="N98">
        <f t="shared" si="18"/>
        <v>1</v>
      </c>
      <c r="O98">
        <f t="shared" si="19"/>
        <v>3</v>
      </c>
      <c r="P98">
        <v>0</v>
      </c>
      <c r="Q98" s="11">
        <v>45638</v>
      </c>
      <c r="R98">
        <f t="shared" ref="R98:R129" si="22">IF(Q98, Q98-C98+2,"")</f>
        <v>6</v>
      </c>
      <c r="S98">
        <v>22</v>
      </c>
      <c r="T98" s="8">
        <f t="shared" si="21"/>
        <v>-5.572755417956643E-2</v>
      </c>
    </row>
    <row r="99" spans="1:20" hidden="1">
      <c r="A99">
        <v>68</v>
      </c>
      <c r="B99" t="s">
        <v>897</v>
      </c>
      <c r="C99" s="11">
        <v>45638</v>
      </c>
      <c r="D99">
        <v>3.36</v>
      </c>
      <c r="E99">
        <v>3.85</v>
      </c>
      <c r="F99">
        <v>3.13</v>
      </c>
      <c r="G99">
        <f>INDEX('اسعار الاسهم'!A:B,MATCH(B99,'اسعار الاسهم'!K:K,0),2)</f>
        <v>4.7300000000000004</v>
      </c>
      <c r="H99" s="8" t="str">
        <f t="shared" si="13"/>
        <v/>
      </c>
      <c r="I99" s="8" t="str">
        <f t="shared" si="14"/>
        <v/>
      </c>
      <c r="J99" s="8" t="str">
        <f t="shared" si="12"/>
        <v/>
      </c>
      <c r="K99" s="8">
        <f t="shared" si="15"/>
        <v>0.23003194888178924</v>
      </c>
      <c r="L99" s="13" t="str">
        <f t="shared" si="16"/>
        <v/>
      </c>
      <c r="M99" t="str">
        <f t="shared" si="17"/>
        <v/>
      </c>
      <c r="N99">
        <f t="shared" si="18"/>
        <v>0</v>
      </c>
      <c r="O99">
        <f t="shared" si="19"/>
        <v>5</v>
      </c>
      <c r="P99">
        <v>1</v>
      </c>
      <c r="Q99" s="11">
        <v>45639</v>
      </c>
      <c r="R99">
        <f t="shared" si="22"/>
        <v>3</v>
      </c>
      <c r="S99">
        <v>24</v>
      </c>
      <c r="T99" s="8">
        <f t="shared" si="21"/>
        <v>0.14583333333333348</v>
      </c>
    </row>
    <row r="100" spans="1:20" hidden="1">
      <c r="A100">
        <v>40</v>
      </c>
      <c r="B100" t="s">
        <v>884</v>
      </c>
      <c r="C100" s="11">
        <v>45629</v>
      </c>
      <c r="D100">
        <v>71</v>
      </c>
      <c r="E100">
        <v>80.5</v>
      </c>
      <c r="F100">
        <v>66</v>
      </c>
      <c r="G100">
        <f>INDEX('اسعار الاسهم'!A:B,MATCH(B100,'اسعار الاسهم'!K:K,0),2)</f>
        <v>95.7</v>
      </c>
      <c r="H100" s="8" t="str">
        <f t="shared" si="13"/>
        <v/>
      </c>
      <c r="I100" s="8" t="str">
        <f t="shared" si="14"/>
        <v/>
      </c>
      <c r="J100" s="8" t="str">
        <f t="shared" si="12"/>
        <v/>
      </c>
      <c r="K100" s="8">
        <f t="shared" si="15"/>
        <v>0.21969696969696972</v>
      </c>
      <c r="L100" s="13" t="str">
        <f t="shared" si="16"/>
        <v/>
      </c>
      <c r="M100" t="str">
        <f t="shared" si="17"/>
        <v/>
      </c>
      <c r="N100">
        <f t="shared" si="18"/>
        <v>0</v>
      </c>
      <c r="O100">
        <f t="shared" si="19"/>
        <v>5</v>
      </c>
      <c r="P100">
        <v>0</v>
      </c>
      <c r="Q100" s="11">
        <v>45642</v>
      </c>
      <c r="R100">
        <f t="shared" si="22"/>
        <v>15</v>
      </c>
      <c r="S100">
        <v>26</v>
      </c>
      <c r="T100" s="8">
        <f t="shared" si="21"/>
        <v>-7.0422535211267623E-2</v>
      </c>
    </row>
    <row r="101" spans="1:20" hidden="1">
      <c r="A101">
        <v>17</v>
      </c>
      <c r="B101" t="s">
        <v>890</v>
      </c>
      <c r="C101" s="11">
        <v>45620</v>
      </c>
      <c r="D101">
        <v>9.4</v>
      </c>
      <c r="E101">
        <v>10.5</v>
      </c>
      <c r="F101">
        <v>8.8000000000000007</v>
      </c>
      <c r="G101">
        <f>INDEX('اسعار الاسهم'!A:B,MATCH(B101,'اسعار الاسهم'!K:K,0),2)</f>
        <v>24.92</v>
      </c>
      <c r="H101" s="8" t="str">
        <f t="shared" si="13"/>
        <v/>
      </c>
      <c r="I101" s="8" t="str">
        <f t="shared" si="14"/>
        <v/>
      </c>
      <c r="J101" s="8" t="str">
        <f t="shared" si="12"/>
        <v/>
      </c>
      <c r="K101" s="8">
        <f t="shared" si="15"/>
        <v>0.19318181818181812</v>
      </c>
      <c r="L101" s="13" t="str">
        <f t="shared" si="16"/>
        <v/>
      </c>
      <c r="M101" t="str">
        <f t="shared" si="17"/>
        <v/>
      </c>
      <c r="N101">
        <f t="shared" si="18"/>
        <v>0</v>
      </c>
      <c r="O101">
        <f t="shared" si="19"/>
        <v>2</v>
      </c>
      <c r="P101">
        <v>0</v>
      </c>
      <c r="Q101" s="11">
        <v>45642</v>
      </c>
      <c r="R101">
        <f t="shared" si="22"/>
        <v>24</v>
      </c>
      <c r="S101">
        <v>31</v>
      </c>
      <c r="T101" s="8">
        <f t="shared" si="21"/>
        <v>-6.3829787234042534E-2</v>
      </c>
    </row>
    <row r="102" spans="1:20" hidden="1">
      <c r="A102">
        <v>70</v>
      </c>
      <c r="B102" t="s">
        <v>785</v>
      </c>
      <c r="C102" s="11">
        <v>45638</v>
      </c>
      <c r="D102">
        <v>87.95</v>
      </c>
      <c r="E102">
        <v>98</v>
      </c>
      <c r="F102">
        <v>86.5</v>
      </c>
      <c r="G102">
        <f>INDEX('اسعار الاسهم'!A:B,MATCH(B102,'اسعار الاسهم'!K:K,0),2)</f>
        <v>87.9</v>
      </c>
      <c r="H102" s="8" t="str">
        <f t="shared" si="13"/>
        <v/>
      </c>
      <c r="I102" s="8" t="str">
        <f t="shared" si="14"/>
        <v/>
      </c>
      <c r="J102" s="8" t="str">
        <f t="shared" si="12"/>
        <v/>
      </c>
      <c r="K102" s="8">
        <f t="shared" si="15"/>
        <v>0.13294797687861282</v>
      </c>
      <c r="L102" s="13" t="str">
        <f t="shared" si="16"/>
        <v/>
      </c>
      <c r="M102" t="str">
        <f t="shared" si="17"/>
        <v/>
      </c>
      <c r="N102">
        <f t="shared" si="18"/>
        <v>1</v>
      </c>
      <c r="O102">
        <f t="shared" si="19"/>
        <v>6</v>
      </c>
      <c r="P102">
        <v>0</v>
      </c>
      <c r="Q102" s="11">
        <v>45642</v>
      </c>
      <c r="R102">
        <f t="shared" si="22"/>
        <v>6</v>
      </c>
      <c r="S102">
        <v>27</v>
      </c>
      <c r="T102" s="8">
        <f t="shared" si="21"/>
        <v>-1.6486640136441189E-2</v>
      </c>
    </row>
    <row r="103" spans="1:20" hidden="1">
      <c r="A103">
        <v>54</v>
      </c>
      <c r="B103" t="s">
        <v>785</v>
      </c>
      <c r="C103" s="11">
        <v>45634</v>
      </c>
      <c r="D103">
        <v>88.75</v>
      </c>
      <c r="E103">
        <v>98.5</v>
      </c>
      <c r="F103">
        <v>86.5</v>
      </c>
      <c r="G103">
        <f>INDEX('اسعار الاسهم'!A:B,MATCH(B103,'اسعار الاسهم'!K:K,0),2)</f>
        <v>87.9</v>
      </c>
      <c r="H103" s="8" t="str">
        <f t="shared" si="13"/>
        <v/>
      </c>
      <c r="I103" s="8" t="str">
        <f t="shared" si="14"/>
        <v/>
      </c>
      <c r="J103" s="8" t="str">
        <f t="shared" si="12"/>
        <v/>
      </c>
      <c r="K103" s="8">
        <f t="shared" si="15"/>
        <v>0.1387283236994219</v>
      </c>
      <c r="L103" s="13" t="str">
        <f t="shared" si="16"/>
        <v/>
      </c>
      <c r="M103" t="str">
        <f t="shared" si="17"/>
        <v/>
      </c>
      <c r="N103">
        <f t="shared" si="18"/>
        <v>1</v>
      </c>
      <c r="O103">
        <f t="shared" si="19"/>
        <v>6</v>
      </c>
      <c r="P103">
        <v>0</v>
      </c>
      <c r="Q103" s="11">
        <v>45642</v>
      </c>
      <c r="R103">
        <f t="shared" si="22"/>
        <v>10</v>
      </c>
      <c r="S103">
        <v>28</v>
      </c>
      <c r="T103" s="8">
        <f t="shared" si="21"/>
        <v>-2.5352112676056304E-2</v>
      </c>
    </row>
    <row r="104" spans="1:20" hidden="1">
      <c r="A104">
        <v>15</v>
      </c>
      <c r="B104" t="s">
        <v>765</v>
      </c>
      <c r="C104" s="11">
        <v>45617</v>
      </c>
      <c r="D104">
        <v>42.6</v>
      </c>
      <c r="E104">
        <v>49</v>
      </c>
      <c r="F104">
        <v>40.85</v>
      </c>
      <c r="G104">
        <f>INDEX('اسعار الاسهم'!A:B,MATCH(B104,'اسعار الاسهم'!K:K,0),2)</f>
        <v>49</v>
      </c>
      <c r="H104" s="8" t="str">
        <f t="shared" si="13"/>
        <v/>
      </c>
      <c r="I104" s="8" t="str">
        <f t="shared" si="14"/>
        <v/>
      </c>
      <c r="J104" s="8" t="str">
        <f t="shared" si="12"/>
        <v/>
      </c>
      <c r="K104" s="8">
        <f t="shared" si="15"/>
        <v>0.19951040391676855</v>
      </c>
      <c r="L104" s="13" t="str">
        <f t="shared" si="16"/>
        <v/>
      </c>
      <c r="M104" t="str">
        <f t="shared" si="17"/>
        <v/>
      </c>
      <c r="N104">
        <f t="shared" si="18"/>
        <v>2</v>
      </c>
      <c r="O104">
        <f t="shared" si="19"/>
        <v>7</v>
      </c>
      <c r="P104">
        <v>0</v>
      </c>
      <c r="Q104" s="11">
        <v>45642</v>
      </c>
      <c r="R104">
        <f t="shared" si="22"/>
        <v>27</v>
      </c>
      <c r="S104">
        <v>25</v>
      </c>
      <c r="T104" s="8">
        <f t="shared" si="21"/>
        <v>-4.1079812206572752E-2</v>
      </c>
    </row>
    <row r="105" spans="1:20" hidden="1">
      <c r="A105">
        <v>61</v>
      </c>
      <c r="B105" t="s">
        <v>890</v>
      </c>
      <c r="C105" s="11">
        <v>45636</v>
      </c>
      <c r="D105">
        <v>9.67</v>
      </c>
      <c r="E105">
        <v>11.05</v>
      </c>
      <c r="F105">
        <v>9.35</v>
      </c>
      <c r="G105">
        <f>INDEX('اسعار الاسهم'!A:B,MATCH(B105,'اسعار الاسهم'!K:K,0),2)</f>
        <v>24.92</v>
      </c>
      <c r="H105" s="8" t="str">
        <f t="shared" si="13"/>
        <v/>
      </c>
      <c r="I105" s="8" t="str">
        <f t="shared" si="14"/>
        <v/>
      </c>
      <c r="J105" s="8" t="str">
        <f t="shared" si="12"/>
        <v/>
      </c>
      <c r="K105" s="8">
        <f t="shared" si="15"/>
        <v>0.18181818181818188</v>
      </c>
      <c r="L105" s="13" t="str">
        <f t="shared" si="16"/>
        <v/>
      </c>
      <c r="M105" t="str">
        <f t="shared" si="17"/>
        <v/>
      </c>
      <c r="N105">
        <f t="shared" si="18"/>
        <v>0</v>
      </c>
      <c r="O105">
        <f t="shared" si="19"/>
        <v>2</v>
      </c>
      <c r="P105">
        <v>0</v>
      </c>
      <c r="Q105" s="11">
        <v>45642</v>
      </c>
      <c r="R105">
        <f t="shared" si="22"/>
        <v>8</v>
      </c>
      <c r="S105">
        <v>30</v>
      </c>
      <c r="T105" s="8">
        <f t="shared" si="21"/>
        <v>-3.3092037228541926E-2</v>
      </c>
    </row>
    <row r="106" spans="1:20" hidden="1">
      <c r="A106">
        <v>14</v>
      </c>
      <c r="B106" t="s">
        <v>785</v>
      </c>
      <c r="C106" s="11">
        <v>45617</v>
      </c>
      <c r="D106">
        <v>91.05</v>
      </c>
      <c r="E106">
        <v>102</v>
      </c>
      <c r="F106">
        <v>86.5</v>
      </c>
      <c r="G106">
        <f>INDEX('اسعار الاسهم'!A:B,MATCH(B106,'اسعار الاسهم'!K:K,0),2)</f>
        <v>87.9</v>
      </c>
      <c r="H106" s="8" t="str">
        <f t="shared" si="13"/>
        <v/>
      </c>
      <c r="I106" s="8" t="str">
        <f t="shared" si="14"/>
        <v/>
      </c>
      <c r="J106" s="8" t="str">
        <f t="shared" si="12"/>
        <v/>
      </c>
      <c r="K106" s="8">
        <f t="shared" si="15"/>
        <v>0.17919075144508678</v>
      </c>
      <c r="L106" s="13" t="str">
        <f t="shared" si="16"/>
        <v/>
      </c>
      <c r="M106" t="str">
        <f t="shared" si="17"/>
        <v/>
      </c>
      <c r="N106">
        <f t="shared" si="18"/>
        <v>1</v>
      </c>
      <c r="O106">
        <f t="shared" si="19"/>
        <v>6</v>
      </c>
      <c r="P106">
        <v>0</v>
      </c>
      <c r="Q106" s="11">
        <v>45642</v>
      </c>
      <c r="R106">
        <f t="shared" si="22"/>
        <v>27</v>
      </c>
      <c r="S106">
        <v>29</v>
      </c>
      <c r="T106" s="8">
        <f t="shared" si="21"/>
        <v>-4.9972542559033495E-2</v>
      </c>
    </row>
    <row r="107" spans="1:20" hidden="1">
      <c r="A107">
        <v>38</v>
      </c>
      <c r="B107" t="s">
        <v>794</v>
      </c>
      <c r="C107" s="11">
        <v>45629</v>
      </c>
      <c r="D107">
        <v>21.35</v>
      </c>
      <c r="E107">
        <v>24.72</v>
      </c>
      <c r="F107">
        <v>20.5</v>
      </c>
      <c r="G107">
        <f>INDEX('اسعار الاسهم'!A:B,MATCH(B107,'اسعار الاسهم'!K:K,0),2)</f>
        <v>23.41</v>
      </c>
      <c r="H107" s="8" t="str">
        <f t="shared" si="13"/>
        <v/>
      </c>
      <c r="I107" s="8" t="str">
        <f t="shared" si="14"/>
        <v/>
      </c>
      <c r="J107" s="8" t="str">
        <f t="shared" si="12"/>
        <v/>
      </c>
      <c r="K107" s="8">
        <f t="shared" si="15"/>
        <v>0.20585365853658533</v>
      </c>
      <c r="L107" s="13" t="str">
        <f t="shared" si="16"/>
        <v/>
      </c>
      <c r="M107" t="str">
        <f t="shared" si="17"/>
        <v/>
      </c>
      <c r="N107">
        <f t="shared" si="18"/>
        <v>0</v>
      </c>
      <c r="O107">
        <f t="shared" si="19"/>
        <v>2</v>
      </c>
      <c r="P107">
        <v>0</v>
      </c>
      <c r="Q107" s="11">
        <v>45643</v>
      </c>
      <c r="R107">
        <f t="shared" si="22"/>
        <v>16</v>
      </c>
      <c r="S107">
        <v>33</v>
      </c>
      <c r="T107" s="8">
        <f t="shared" si="21"/>
        <v>-3.9812646370023463E-2</v>
      </c>
    </row>
    <row r="108" spans="1:20" hidden="1">
      <c r="A108">
        <v>52</v>
      </c>
      <c r="B108" t="s">
        <v>765</v>
      </c>
      <c r="C108" s="11">
        <v>45634</v>
      </c>
      <c r="D108">
        <v>41.8</v>
      </c>
      <c r="E108">
        <v>48.2</v>
      </c>
      <c r="F108">
        <v>40</v>
      </c>
      <c r="G108">
        <f>INDEX('اسعار الاسهم'!A:B,MATCH(B108,'اسعار الاسهم'!K:K,0),2)</f>
        <v>49</v>
      </c>
      <c r="H108" s="8" t="str">
        <f t="shared" si="13"/>
        <v/>
      </c>
      <c r="I108" s="8" t="str">
        <f t="shared" si="14"/>
        <v/>
      </c>
      <c r="J108" s="8" t="str">
        <f t="shared" si="12"/>
        <v/>
      </c>
      <c r="K108" s="8">
        <f t="shared" si="15"/>
        <v>0.20500000000000007</v>
      </c>
      <c r="L108" s="13" t="str">
        <f t="shared" si="16"/>
        <v/>
      </c>
      <c r="M108" t="str">
        <f t="shared" si="17"/>
        <v/>
      </c>
      <c r="N108">
        <f t="shared" si="18"/>
        <v>2</v>
      </c>
      <c r="O108">
        <f t="shared" si="19"/>
        <v>7</v>
      </c>
      <c r="P108">
        <v>0</v>
      </c>
      <c r="Q108" s="11">
        <v>45643</v>
      </c>
      <c r="R108">
        <f t="shared" si="22"/>
        <v>11</v>
      </c>
      <c r="S108">
        <v>32</v>
      </c>
      <c r="T108" s="8">
        <f t="shared" si="21"/>
        <v>-4.3062200956937691E-2</v>
      </c>
    </row>
    <row r="109" spans="1:20" hidden="1">
      <c r="A109">
        <v>25</v>
      </c>
      <c r="B109" t="s">
        <v>887</v>
      </c>
      <c r="C109" s="11">
        <v>45623</v>
      </c>
      <c r="D109">
        <v>26.75</v>
      </c>
      <c r="E109">
        <v>32</v>
      </c>
      <c r="F109">
        <v>25.17</v>
      </c>
      <c r="G109">
        <f>INDEX('اسعار الاسهم'!A:B,MATCH(B109,'اسعار الاسهم'!K:K,0),2)</f>
        <v>70.95</v>
      </c>
      <c r="H109" s="8" t="str">
        <f t="shared" si="13"/>
        <v/>
      </c>
      <c r="I109" s="8" t="str">
        <f t="shared" si="14"/>
        <v/>
      </c>
      <c r="J109" s="8" t="str">
        <f t="shared" si="12"/>
        <v/>
      </c>
      <c r="K109" s="8">
        <f t="shared" si="15"/>
        <v>0.27135478744537145</v>
      </c>
      <c r="L109" s="13" t="str">
        <f t="shared" si="16"/>
        <v/>
      </c>
      <c r="M109" t="str">
        <f t="shared" si="17"/>
        <v/>
      </c>
      <c r="N109">
        <f t="shared" si="18"/>
        <v>1</v>
      </c>
      <c r="O109">
        <f t="shared" si="19"/>
        <v>4</v>
      </c>
      <c r="P109">
        <v>0</v>
      </c>
      <c r="Q109" s="11">
        <v>45643</v>
      </c>
      <c r="R109">
        <f t="shared" si="22"/>
        <v>22</v>
      </c>
      <c r="S109">
        <v>34</v>
      </c>
      <c r="T109" s="8">
        <f t="shared" si="21"/>
        <v>-5.9065420560747595E-2</v>
      </c>
    </row>
    <row r="110" spans="1:20" hidden="1">
      <c r="A110">
        <v>8</v>
      </c>
      <c r="B110" t="s">
        <v>783</v>
      </c>
      <c r="C110" s="11">
        <v>45614</v>
      </c>
      <c r="D110">
        <v>42.75</v>
      </c>
      <c r="E110">
        <v>49</v>
      </c>
      <c r="F110">
        <v>40</v>
      </c>
      <c r="G110">
        <f>INDEX('اسعار الاسهم'!A:B,MATCH(B110,'اسعار الاسهم'!K:K,0),2)</f>
        <v>46.1</v>
      </c>
      <c r="H110" s="8" t="str">
        <f t="shared" si="13"/>
        <v/>
      </c>
      <c r="I110" s="8" t="str">
        <f t="shared" si="14"/>
        <v/>
      </c>
      <c r="J110" s="8" t="str">
        <f t="shared" si="12"/>
        <v/>
      </c>
      <c r="K110" s="8">
        <f t="shared" si="15"/>
        <v>0.22500000000000009</v>
      </c>
      <c r="L110" s="13" t="str">
        <f t="shared" si="16"/>
        <v/>
      </c>
      <c r="M110" t="str">
        <f t="shared" si="17"/>
        <v/>
      </c>
      <c r="N110">
        <f t="shared" si="18"/>
        <v>2</v>
      </c>
      <c r="O110">
        <f t="shared" si="19"/>
        <v>8</v>
      </c>
      <c r="P110">
        <v>0</v>
      </c>
      <c r="Q110" s="11">
        <v>45644</v>
      </c>
      <c r="R110">
        <f t="shared" si="22"/>
        <v>32</v>
      </c>
      <c r="S110">
        <v>36</v>
      </c>
      <c r="T110" s="8">
        <f t="shared" si="21"/>
        <v>-6.4327485380117011E-2</v>
      </c>
    </row>
    <row r="111" spans="1:20" hidden="1">
      <c r="A111">
        <v>27</v>
      </c>
      <c r="B111" t="s">
        <v>779</v>
      </c>
      <c r="C111" s="11">
        <v>45624</v>
      </c>
      <c r="D111">
        <v>38.25</v>
      </c>
      <c r="E111">
        <v>42.46</v>
      </c>
      <c r="F111">
        <v>36.1</v>
      </c>
      <c r="G111">
        <f>INDEX('اسعار الاسهم'!A:B,MATCH(B111,'اسعار الاسهم'!K:K,0),2)</f>
        <v>47.7</v>
      </c>
      <c r="H111" s="8" t="str">
        <f t="shared" si="13"/>
        <v/>
      </c>
      <c r="I111" s="8" t="str">
        <f t="shared" si="14"/>
        <v/>
      </c>
      <c r="J111" s="8" t="str">
        <f t="shared" si="12"/>
        <v/>
      </c>
      <c r="K111" s="8">
        <f t="shared" si="15"/>
        <v>0.17617728531855947</v>
      </c>
      <c r="L111" s="13" t="str">
        <f t="shared" si="16"/>
        <v/>
      </c>
      <c r="M111" t="str">
        <f t="shared" si="17"/>
        <v/>
      </c>
      <c r="N111">
        <f t="shared" si="18"/>
        <v>0</v>
      </c>
      <c r="O111">
        <f t="shared" si="19"/>
        <v>2</v>
      </c>
      <c r="P111">
        <v>0</v>
      </c>
      <c r="Q111" s="11">
        <v>45644</v>
      </c>
      <c r="R111">
        <f t="shared" si="22"/>
        <v>22</v>
      </c>
      <c r="S111">
        <v>39</v>
      </c>
      <c r="T111" s="8">
        <f t="shared" si="21"/>
        <v>-5.6209150326797297E-2</v>
      </c>
    </row>
    <row r="112" spans="1:20" hidden="1">
      <c r="A112">
        <v>39</v>
      </c>
      <c r="B112" t="s">
        <v>734</v>
      </c>
      <c r="C112" s="11">
        <v>45629</v>
      </c>
      <c r="D112">
        <v>25.1</v>
      </c>
      <c r="E112">
        <v>28</v>
      </c>
      <c r="F112">
        <v>23.7</v>
      </c>
      <c r="G112">
        <f>INDEX('اسعار الاسهم'!A:B,MATCH(B112,'اسعار الاسهم'!K:K,0),2)</f>
        <v>29.32</v>
      </c>
      <c r="H112" s="8" t="str">
        <f t="shared" si="13"/>
        <v/>
      </c>
      <c r="I112" s="8" t="str">
        <f t="shared" si="14"/>
        <v/>
      </c>
      <c r="J112" s="8" t="str">
        <f t="shared" si="12"/>
        <v/>
      </c>
      <c r="K112" s="8">
        <f t="shared" si="15"/>
        <v>0.18143459915611815</v>
      </c>
      <c r="L112" s="13" t="str">
        <f t="shared" si="16"/>
        <v/>
      </c>
      <c r="M112" t="str">
        <f t="shared" si="17"/>
        <v/>
      </c>
      <c r="N112">
        <f t="shared" si="18"/>
        <v>0</v>
      </c>
      <c r="O112">
        <f t="shared" si="19"/>
        <v>3</v>
      </c>
      <c r="P112">
        <v>0</v>
      </c>
      <c r="Q112" s="11">
        <v>45644</v>
      </c>
      <c r="R112">
        <f t="shared" si="22"/>
        <v>17</v>
      </c>
      <c r="S112">
        <v>38</v>
      </c>
      <c r="T112" s="8">
        <f t="shared" si="21"/>
        <v>-5.5776892430278946E-2</v>
      </c>
    </row>
    <row r="113" spans="1:20" hidden="1">
      <c r="A113">
        <v>42</v>
      </c>
      <c r="B113" t="s">
        <v>729</v>
      </c>
      <c r="C113" s="11">
        <v>45629</v>
      </c>
      <c r="D113">
        <v>32.450000000000003</v>
      </c>
      <c r="E113">
        <v>36</v>
      </c>
      <c r="F113">
        <v>31</v>
      </c>
      <c r="G113" t="e">
        <f>INDEX('اسعار الاسهم'!A:B,MATCH(B113,'اسعار الاسهم'!K:K,0),2)</f>
        <v>#N/A</v>
      </c>
      <c r="H113" s="8" t="str">
        <f t="shared" si="13"/>
        <v/>
      </c>
      <c r="I113" s="8" t="str">
        <f t="shared" si="14"/>
        <v/>
      </c>
      <c r="J113" s="8" t="str">
        <f t="shared" si="12"/>
        <v/>
      </c>
      <c r="K113" s="8">
        <f t="shared" si="15"/>
        <v>0.16129032258064524</v>
      </c>
      <c r="L113" s="13" t="str">
        <f t="shared" si="16"/>
        <v/>
      </c>
      <c r="M113" t="str">
        <f t="shared" si="17"/>
        <v/>
      </c>
      <c r="N113">
        <f t="shared" si="18"/>
        <v>0</v>
      </c>
      <c r="O113">
        <f t="shared" si="19"/>
        <v>4</v>
      </c>
      <c r="P113">
        <v>0</v>
      </c>
      <c r="Q113" s="11">
        <v>45644</v>
      </c>
      <c r="R113">
        <f t="shared" si="22"/>
        <v>17</v>
      </c>
      <c r="S113">
        <v>35</v>
      </c>
      <c r="T113" s="8">
        <f t="shared" si="21"/>
        <v>-4.4684129429892194E-2</v>
      </c>
    </row>
    <row r="114" spans="1:20" hidden="1">
      <c r="A114">
        <v>41</v>
      </c>
      <c r="B114" t="s">
        <v>777</v>
      </c>
      <c r="C114" s="11">
        <v>45629</v>
      </c>
      <c r="D114">
        <v>24.45</v>
      </c>
      <c r="E114">
        <v>28</v>
      </c>
      <c r="F114">
        <v>23</v>
      </c>
      <c r="G114">
        <f>INDEX('اسعار الاسهم'!A:B,MATCH(B114,'اسعار الاسهم'!K:K,0),2)</f>
        <v>31.55</v>
      </c>
      <c r="H114" s="8" t="str">
        <f t="shared" si="13"/>
        <v/>
      </c>
      <c r="I114" s="8" t="str">
        <f t="shared" si="14"/>
        <v/>
      </c>
      <c r="J114" s="8" t="str">
        <f t="shared" si="12"/>
        <v/>
      </c>
      <c r="K114" s="8">
        <f t="shared" si="15"/>
        <v>0.21739130434782616</v>
      </c>
      <c r="L114" s="13" t="str">
        <f t="shared" si="16"/>
        <v/>
      </c>
      <c r="M114" t="str">
        <f t="shared" si="17"/>
        <v/>
      </c>
      <c r="N114">
        <f t="shared" si="18"/>
        <v>0</v>
      </c>
      <c r="O114">
        <f t="shared" si="19"/>
        <v>8</v>
      </c>
      <c r="P114">
        <v>0</v>
      </c>
      <c r="Q114" s="11">
        <v>45644</v>
      </c>
      <c r="R114">
        <f t="shared" si="22"/>
        <v>17</v>
      </c>
      <c r="S114">
        <v>37</v>
      </c>
      <c r="T114" s="8">
        <f t="shared" si="21"/>
        <v>-5.9304703476482645E-2</v>
      </c>
    </row>
    <row r="115" spans="1:20" hidden="1">
      <c r="A115">
        <v>69</v>
      </c>
      <c r="B115" t="s">
        <v>789</v>
      </c>
      <c r="C115" s="11">
        <v>45638</v>
      </c>
      <c r="D115">
        <v>3.42</v>
      </c>
      <c r="E115">
        <v>3.89</v>
      </c>
      <c r="F115">
        <v>3.23</v>
      </c>
      <c r="G115">
        <f>INDEX('اسعار الاسهم'!A:B,MATCH(B115,'اسعار الاسهم'!K:K,0),2)</f>
        <v>9.3000000000000007</v>
      </c>
      <c r="H115" s="8" t="str">
        <f t="shared" si="13"/>
        <v/>
      </c>
      <c r="I115" s="8" t="str">
        <f t="shared" si="14"/>
        <v/>
      </c>
      <c r="J115" s="8" t="str">
        <f t="shared" si="12"/>
        <v/>
      </c>
      <c r="K115" s="8">
        <f t="shared" si="15"/>
        <v>0.20433436532507754</v>
      </c>
      <c r="L115" s="13" t="str">
        <f t="shared" si="16"/>
        <v/>
      </c>
      <c r="M115" t="str">
        <f t="shared" si="17"/>
        <v/>
      </c>
      <c r="N115">
        <f t="shared" si="18"/>
        <v>0</v>
      </c>
      <c r="O115">
        <f t="shared" si="19"/>
        <v>1</v>
      </c>
      <c r="P115">
        <v>0</v>
      </c>
      <c r="Q115" s="11">
        <v>45645</v>
      </c>
      <c r="R115">
        <f t="shared" si="22"/>
        <v>9</v>
      </c>
      <c r="S115">
        <v>45</v>
      </c>
      <c r="T115" s="8">
        <f t="shared" si="21"/>
        <v>-5.555555555555558E-2</v>
      </c>
    </row>
    <row r="116" spans="1:20" hidden="1">
      <c r="A116">
        <v>74</v>
      </c>
      <c r="B116" t="s">
        <v>880</v>
      </c>
      <c r="C116" s="11">
        <v>45641</v>
      </c>
      <c r="D116">
        <v>0.34599999999999997</v>
      </c>
      <c r="E116">
        <v>0.38500000000000001</v>
      </c>
      <c r="F116">
        <v>0.32500000000000001</v>
      </c>
      <c r="G116">
        <f>INDEX('اسعار الاسهم'!A:B,MATCH(B116,'اسعار الاسهم'!K:K,0),2)</f>
        <v>0.7</v>
      </c>
      <c r="H116" s="8" t="str">
        <f t="shared" si="13"/>
        <v/>
      </c>
      <c r="I116" s="8" t="str">
        <f t="shared" si="14"/>
        <v/>
      </c>
      <c r="J116" s="8" t="str">
        <f t="shared" si="12"/>
        <v/>
      </c>
      <c r="K116" s="8">
        <f t="shared" si="15"/>
        <v>0.18461538461538463</v>
      </c>
      <c r="L116" s="13" t="str">
        <f t="shared" si="16"/>
        <v/>
      </c>
      <c r="M116" t="str">
        <f t="shared" si="17"/>
        <v/>
      </c>
      <c r="N116">
        <f t="shared" si="18"/>
        <v>0</v>
      </c>
      <c r="O116">
        <f t="shared" si="19"/>
        <v>4</v>
      </c>
      <c r="P116">
        <v>0</v>
      </c>
      <c r="Q116" s="11">
        <v>45645</v>
      </c>
      <c r="R116">
        <f t="shared" si="22"/>
        <v>6</v>
      </c>
      <c r="S116">
        <v>41</v>
      </c>
      <c r="T116" s="8">
        <f t="shared" si="21"/>
        <v>-6.0693641618496996E-2</v>
      </c>
    </row>
    <row r="117" spans="1:20" hidden="1">
      <c r="A117">
        <v>63</v>
      </c>
      <c r="B117" t="s">
        <v>821</v>
      </c>
      <c r="C117" s="11">
        <v>45636</v>
      </c>
      <c r="D117">
        <v>24.8</v>
      </c>
      <c r="E117">
        <v>28.25</v>
      </c>
      <c r="F117">
        <v>23.5</v>
      </c>
      <c r="G117">
        <f>INDEX('اسعار الاسهم'!A:B,MATCH(B117,'اسعار الاسهم'!K:K,0),2)</f>
        <v>195</v>
      </c>
      <c r="H117" s="8" t="str">
        <f t="shared" si="13"/>
        <v/>
      </c>
      <c r="I117" s="8" t="str">
        <f t="shared" si="14"/>
        <v/>
      </c>
      <c r="J117" s="8" t="str">
        <f t="shared" si="12"/>
        <v/>
      </c>
      <c r="K117" s="8">
        <f t="shared" si="15"/>
        <v>0.2021276595744681</v>
      </c>
      <c r="L117" s="13" t="str">
        <f t="shared" si="16"/>
        <v/>
      </c>
      <c r="M117" t="str">
        <f t="shared" si="17"/>
        <v/>
      </c>
      <c r="N117">
        <f t="shared" si="18"/>
        <v>0</v>
      </c>
      <c r="O117">
        <f t="shared" si="19"/>
        <v>3</v>
      </c>
      <c r="P117">
        <v>0</v>
      </c>
      <c r="Q117" s="11">
        <v>45645</v>
      </c>
      <c r="R117">
        <f t="shared" si="22"/>
        <v>11</v>
      </c>
      <c r="S117">
        <v>43</v>
      </c>
      <c r="T117" s="8">
        <f t="shared" si="21"/>
        <v>-5.2419354838709742E-2</v>
      </c>
    </row>
    <row r="118" spans="1:20" hidden="1">
      <c r="A118">
        <v>56</v>
      </c>
      <c r="B118" t="s">
        <v>892</v>
      </c>
      <c r="C118" s="11">
        <v>45635</v>
      </c>
      <c r="D118">
        <v>7.17</v>
      </c>
      <c r="E118">
        <v>8.15</v>
      </c>
      <c r="F118">
        <v>6.74</v>
      </c>
      <c r="G118">
        <f>INDEX('اسعار الاسهم'!A:B,MATCH(B118,'اسعار الاسهم'!K:K,0),2)</f>
        <v>10.43</v>
      </c>
      <c r="H118" s="8" t="str">
        <f t="shared" si="13"/>
        <v/>
      </c>
      <c r="I118" s="8" t="str">
        <f t="shared" si="14"/>
        <v/>
      </c>
      <c r="J118" s="8" t="str">
        <f t="shared" ref="J118:J181" si="23">IF(P118="",  1-F118/G118,"")</f>
        <v/>
      </c>
      <c r="K118" s="8">
        <f t="shared" si="15"/>
        <v>0.20919881305637977</v>
      </c>
      <c r="L118" s="13" t="str">
        <f t="shared" si="16"/>
        <v/>
      </c>
      <c r="M118" t="str">
        <f t="shared" si="17"/>
        <v/>
      </c>
      <c r="N118">
        <f t="shared" si="18"/>
        <v>0</v>
      </c>
      <c r="O118">
        <f t="shared" si="19"/>
        <v>1</v>
      </c>
      <c r="P118">
        <v>1</v>
      </c>
      <c r="Q118" s="11">
        <v>45645</v>
      </c>
      <c r="R118">
        <f t="shared" si="22"/>
        <v>12</v>
      </c>
      <c r="S118">
        <v>46</v>
      </c>
      <c r="T118" s="8">
        <f t="shared" si="21"/>
        <v>0.13668061366806139</v>
      </c>
    </row>
    <row r="119" spans="1:20" hidden="1">
      <c r="A119">
        <v>23</v>
      </c>
      <c r="B119" t="s">
        <v>821</v>
      </c>
      <c r="C119" s="11">
        <v>45622</v>
      </c>
      <c r="D119">
        <v>25.41</v>
      </c>
      <c r="E119">
        <v>28.8</v>
      </c>
      <c r="F119">
        <v>23.5</v>
      </c>
      <c r="G119">
        <f>INDEX('اسعار الاسهم'!A:B,MATCH(B119,'اسعار الاسهم'!K:K,0),2)</f>
        <v>195</v>
      </c>
      <c r="H119" s="8" t="str">
        <f t="shared" si="13"/>
        <v/>
      </c>
      <c r="I119" s="8" t="str">
        <f t="shared" si="14"/>
        <v/>
      </c>
      <c r="J119" s="8" t="str">
        <f t="shared" si="23"/>
        <v/>
      </c>
      <c r="K119" s="8">
        <f t="shared" si="15"/>
        <v>0.22553191489361701</v>
      </c>
      <c r="L119" s="13" t="str">
        <f t="shared" si="16"/>
        <v/>
      </c>
      <c r="M119" t="str">
        <f t="shared" si="17"/>
        <v/>
      </c>
      <c r="N119">
        <f t="shared" si="18"/>
        <v>0</v>
      </c>
      <c r="O119">
        <f t="shared" si="19"/>
        <v>3</v>
      </c>
      <c r="P119">
        <v>0</v>
      </c>
      <c r="Q119" s="11">
        <v>45645</v>
      </c>
      <c r="R119">
        <f t="shared" si="22"/>
        <v>25</v>
      </c>
      <c r="S119">
        <v>44</v>
      </c>
      <c r="T119" s="8">
        <f t="shared" si="21"/>
        <v>-7.5167256985438802E-2</v>
      </c>
    </row>
    <row r="120" spans="1:20" hidden="1">
      <c r="A120">
        <v>77</v>
      </c>
      <c r="B120" t="s">
        <v>878</v>
      </c>
      <c r="C120" s="11">
        <v>45642</v>
      </c>
      <c r="D120">
        <v>8.15</v>
      </c>
      <c r="E120">
        <v>9.43</v>
      </c>
      <c r="F120">
        <v>7.8</v>
      </c>
      <c r="G120">
        <f>INDEX('اسعار الاسهم'!A:B,MATCH(B120,'اسعار الاسهم'!K:K,0),2)</f>
        <v>15.19</v>
      </c>
      <c r="H120" s="8" t="str">
        <f t="shared" si="13"/>
        <v/>
      </c>
      <c r="I120" s="8" t="str">
        <f t="shared" si="14"/>
        <v/>
      </c>
      <c r="J120" s="8" t="str">
        <f t="shared" si="23"/>
        <v/>
      </c>
      <c r="K120" s="8">
        <f t="shared" si="15"/>
        <v>0.2089743589743589</v>
      </c>
      <c r="L120" s="13" t="str">
        <f t="shared" si="16"/>
        <v/>
      </c>
      <c r="M120" t="str">
        <f t="shared" si="17"/>
        <v/>
      </c>
      <c r="N120">
        <f t="shared" si="18"/>
        <v>4</v>
      </c>
      <c r="O120">
        <f t="shared" si="19"/>
        <v>8</v>
      </c>
      <c r="P120">
        <v>0</v>
      </c>
      <c r="Q120" s="11">
        <v>45645</v>
      </c>
      <c r="R120">
        <f t="shared" si="22"/>
        <v>5</v>
      </c>
      <c r="S120">
        <v>40</v>
      </c>
      <c r="T120" s="8">
        <f t="shared" si="21"/>
        <v>-4.2944785276073705E-2</v>
      </c>
    </row>
    <row r="121" spans="1:20" hidden="1">
      <c r="A121">
        <v>16</v>
      </c>
      <c r="B121" t="s">
        <v>830</v>
      </c>
      <c r="C121" s="11">
        <v>45620</v>
      </c>
      <c r="D121">
        <v>11.2</v>
      </c>
      <c r="E121">
        <v>13</v>
      </c>
      <c r="F121">
        <v>10.7</v>
      </c>
      <c r="G121">
        <f>INDEX('اسعار الاسهم'!A:B,MATCH(B121,'اسعار الاسهم'!K:K,0),2)</f>
        <v>22.1</v>
      </c>
      <c r="H121" s="8" t="str">
        <f t="shared" si="13"/>
        <v/>
      </c>
      <c r="I121" s="8" t="str">
        <f t="shared" si="14"/>
        <v/>
      </c>
      <c r="J121" s="8" t="str">
        <f t="shared" si="23"/>
        <v/>
      </c>
      <c r="K121" s="8">
        <f t="shared" si="15"/>
        <v>0.21495327102803752</v>
      </c>
      <c r="L121" s="13" t="str">
        <f t="shared" si="16"/>
        <v/>
      </c>
      <c r="M121" t="str">
        <f t="shared" si="17"/>
        <v/>
      </c>
      <c r="N121">
        <f t="shared" si="18"/>
        <v>2</v>
      </c>
      <c r="O121">
        <f t="shared" si="19"/>
        <v>3</v>
      </c>
      <c r="P121">
        <v>0</v>
      </c>
      <c r="Q121" s="11">
        <v>45645</v>
      </c>
      <c r="R121">
        <f t="shared" si="22"/>
        <v>27</v>
      </c>
      <c r="S121">
        <v>42</v>
      </c>
      <c r="T121" s="8">
        <f t="shared" si="21"/>
        <v>-4.4642857142857095E-2</v>
      </c>
    </row>
    <row r="122" spans="1:20" hidden="1">
      <c r="A122">
        <v>75</v>
      </c>
      <c r="B122" t="s">
        <v>891</v>
      </c>
      <c r="C122" s="11">
        <v>45641</v>
      </c>
      <c r="D122">
        <v>0.26400000000000001</v>
      </c>
      <c r="E122">
        <v>0.3</v>
      </c>
      <c r="F122">
        <v>0.255</v>
      </c>
      <c r="G122">
        <f>INDEX('اسعار الاسهم'!A:B,MATCH(B122,'اسعار الاسهم'!K:K,0),2)</f>
        <v>0.43</v>
      </c>
      <c r="H122" s="8" t="str">
        <f t="shared" si="13"/>
        <v/>
      </c>
      <c r="I122" s="8" t="str">
        <f t="shared" si="14"/>
        <v/>
      </c>
      <c r="J122" s="8" t="str">
        <f t="shared" si="23"/>
        <v/>
      </c>
      <c r="K122" s="8">
        <f t="shared" si="15"/>
        <v>0.17647058823529416</v>
      </c>
      <c r="L122" s="13" t="str">
        <f t="shared" si="16"/>
        <v/>
      </c>
      <c r="M122" t="str">
        <f t="shared" si="17"/>
        <v/>
      </c>
      <c r="N122">
        <f t="shared" si="18"/>
        <v>0</v>
      </c>
      <c r="O122">
        <f t="shared" si="19"/>
        <v>2</v>
      </c>
      <c r="P122">
        <v>0</v>
      </c>
      <c r="Q122" s="11">
        <v>45649</v>
      </c>
      <c r="R122">
        <f t="shared" si="22"/>
        <v>10</v>
      </c>
      <c r="S122">
        <v>49</v>
      </c>
      <c r="T122" s="8">
        <f t="shared" si="21"/>
        <v>-3.4090909090909172E-2</v>
      </c>
    </row>
    <row r="123" spans="1:20" hidden="1">
      <c r="A123">
        <v>35</v>
      </c>
      <c r="B123" t="s">
        <v>886</v>
      </c>
      <c r="C123" s="11">
        <v>45628</v>
      </c>
      <c r="D123">
        <v>32.299999999999997</v>
      </c>
      <c r="E123">
        <v>37.25</v>
      </c>
      <c r="F123">
        <v>30.5</v>
      </c>
      <c r="G123">
        <f>INDEX('اسعار الاسهم'!A:B,MATCH(B123,'اسعار الاسهم'!K:K,0),2)</f>
        <v>64.3</v>
      </c>
      <c r="H123" s="8" t="str">
        <f t="shared" si="13"/>
        <v/>
      </c>
      <c r="I123" s="8" t="str">
        <f t="shared" si="14"/>
        <v/>
      </c>
      <c r="J123" s="8" t="str">
        <f t="shared" si="23"/>
        <v/>
      </c>
      <c r="K123" s="8">
        <f t="shared" si="15"/>
        <v>0.22131147540983598</v>
      </c>
      <c r="L123" s="13" t="str">
        <f t="shared" si="16"/>
        <v/>
      </c>
      <c r="M123" t="str">
        <f t="shared" si="17"/>
        <v/>
      </c>
      <c r="N123">
        <f t="shared" si="18"/>
        <v>0</v>
      </c>
      <c r="O123">
        <f t="shared" si="19"/>
        <v>3</v>
      </c>
      <c r="P123">
        <v>0</v>
      </c>
      <c r="Q123" s="11">
        <v>45649</v>
      </c>
      <c r="R123">
        <f t="shared" si="22"/>
        <v>23</v>
      </c>
      <c r="S123">
        <v>50</v>
      </c>
      <c r="T123" s="8">
        <f t="shared" si="21"/>
        <v>-5.572755417956643E-2</v>
      </c>
    </row>
    <row r="124" spans="1:20" hidden="1">
      <c r="A124">
        <v>50</v>
      </c>
      <c r="B124" t="s">
        <v>878</v>
      </c>
      <c r="C124" s="11">
        <v>45631</v>
      </c>
      <c r="D124">
        <v>8.17</v>
      </c>
      <c r="E124">
        <v>9.35</v>
      </c>
      <c r="F124">
        <v>7.7</v>
      </c>
      <c r="G124">
        <f>INDEX('اسعار الاسهم'!A:B,MATCH(B124,'اسعار الاسهم'!K:K,0),2)</f>
        <v>15.19</v>
      </c>
      <c r="H124" s="8" t="str">
        <f t="shared" si="13"/>
        <v/>
      </c>
      <c r="I124" s="8" t="str">
        <f t="shared" si="14"/>
        <v/>
      </c>
      <c r="J124" s="8" t="str">
        <f t="shared" si="23"/>
        <v/>
      </c>
      <c r="K124" s="8">
        <f t="shared" si="15"/>
        <v>0.21428571428571419</v>
      </c>
      <c r="L124" s="13" t="str">
        <f t="shared" si="16"/>
        <v/>
      </c>
      <c r="M124" t="str">
        <f t="shared" si="17"/>
        <v/>
      </c>
      <c r="N124">
        <f t="shared" si="18"/>
        <v>4</v>
      </c>
      <c r="O124">
        <f t="shared" si="19"/>
        <v>8</v>
      </c>
      <c r="P124">
        <v>0</v>
      </c>
      <c r="Q124" s="11">
        <v>45649</v>
      </c>
      <c r="R124">
        <f t="shared" si="22"/>
        <v>20</v>
      </c>
      <c r="S124">
        <v>47</v>
      </c>
      <c r="T124" s="8">
        <f t="shared" si="21"/>
        <v>-5.7527539779681724E-2</v>
      </c>
    </row>
    <row r="125" spans="1:20" hidden="1">
      <c r="A125">
        <v>82</v>
      </c>
      <c r="B125" t="s">
        <v>773</v>
      </c>
      <c r="C125" s="11">
        <v>45643</v>
      </c>
      <c r="D125">
        <v>1.9</v>
      </c>
      <c r="E125">
        <v>2.19</v>
      </c>
      <c r="F125">
        <v>1.8</v>
      </c>
      <c r="G125">
        <f>INDEX('اسعار الاسهم'!A:B,MATCH(B125,'اسعار الاسهم'!K:K,0),2)</f>
        <v>1.92</v>
      </c>
      <c r="H125" s="8" t="str">
        <f t="shared" si="13"/>
        <v/>
      </c>
      <c r="I125" s="8" t="str">
        <f t="shared" si="14"/>
        <v/>
      </c>
      <c r="J125" s="8" t="str">
        <f t="shared" si="23"/>
        <v/>
      </c>
      <c r="K125" s="8">
        <f t="shared" si="15"/>
        <v>0.21666666666666656</v>
      </c>
      <c r="L125" s="13" t="str">
        <f t="shared" si="16"/>
        <v/>
      </c>
      <c r="M125" t="str">
        <f t="shared" si="17"/>
        <v/>
      </c>
      <c r="N125">
        <f t="shared" si="18"/>
        <v>1</v>
      </c>
      <c r="O125">
        <f t="shared" si="19"/>
        <v>5</v>
      </c>
      <c r="P125">
        <v>0</v>
      </c>
      <c r="Q125" s="11">
        <v>45649</v>
      </c>
      <c r="R125">
        <f t="shared" si="22"/>
        <v>8</v>
      </c>
      <c r="S125">
        <v>48</v>
      </c>
      <c r="T125" s="8">
        <f t="shared" si="21"/>
        <v>-5.2631578947368363E-2</v>
      </c>
    </row>
    <row r="126" spans="1:20" hidden="1">
      <c r="A126">
        <v>73</v>
      </c>
      <c r="B126" t="s">
        <v>902</v>
      </c>
      <c r="C126" s="11">
        <v>45641</v>
      </c>
      <c r="D126">
        <v>2.4500000000000002</v>
      </c>
      <c r="E126">
        <v>2.84</v>
      </c>
      <c r="F126">
        <v>2.2200000000000002</v>
      </c>
      <c r="G126">
        <f>INDEX('اسعار الاسهم'!A:B,MATCH(B126,'اسعار الاسهم'!K:K,0),2)</f>
        <v>3.9</v>
      </c>
      <c r="H126" s="8" t="str">
        <f t="shared" si="13"/>
        <v/>
      </c>
      <c r="I126" s="8" t="str">
        <f t="shared" si="14"/>
        <v/>
      </c>
      <c r="J126" s="8" t="str">
        <f t="shared" si="23"/>
        <v/>
      </c>
      <c r="K126" s="8">
        <f t="shared" si="15"/>
        <v>0.27927927927927909</v>
      </c>
      <c r="L126" s="13" t="str">
        <f t="shared" si="16"/>
        <v/>
      </c>
      <c r="M126" t="str">
        <f t="shared" si="17"/>
        <v/>
      </c>
      <c r="N126">
        <f t="shared" si="18"/>
        <v>0</v>
      </c>
      <c r="O126">
        <f t="shared" si="19"/>
        <v>1</v>
      </c>
      <c r="P126">
        <v>0</v>
      </c>
      <c r="Q126" s="11">
        <v>45649</v>
      </c>
      <c r="R126">
        <f t="shared" si="22"/>
        <v>10</v>
      </c>
      <c r="S126">
        <v>51</v>
      </c>
      <c r="T126" s="8">
        <f t="shared" si="21"/>
        <v>-9.3877551020408179E-2</v>
      </c>
    </row>
    <row r="127" spans="1:20" hidden="1">
      <c r="A127">
        <v>79</v>
      </c>
      <c r="B127" t="s">
        <v>784</v>
      </c>
      <c r="C127" s="11">
        <v>45643</v>
      </c>
      <c r="D127">
        <v>21.08</v>
      </c>
      <c r="E127">
        <v>23.5</v>
      </c>
      <c r="F127">
        <v>20</v>
      </c>
      <c r="G127">
        <f>INDEX('اسعار الاسهم'!A:B,MATCH(B127,'اسعار الاسهم'!K:K,0),2)</f>
        <v>26.32</v>
      </c>
      <c r="H127" s="8" t="str">
        <f t="shared" si="13"/>
        <v/>
      </c>
      <c r="I127" s="8" t="str">
        <f t="shared" si="14"/>
        <v/>
      </c>
      <c r="J127" s="8" t="str">
        <f t="shared" si="23"/>
        <v/>
      </c>
      <c r="K127" s="8">
        <f t="shared" si="15"/>
        <v>0.17500000000000004</v>
      </c>
      <c r="L127" s="13" t="str">
        <f t="shared" si="16"/>
        <v/>
      </c>
      <c r="M127" t="str">
        <f t="shared" si="17"/>
        <v/>
      </c>
      <c r="N127">
        <f t="shared" si="18"/>
        <v>0</v>
      </c>
      <c r="O127">
        <f t="shared" si="19"/>
        <v>7</v>
      </c>
      <c r="P127">
        <v>0</v>
      </c>
      <c r="Q127" s="11">
        <v>45650</v>
      </c>
      <c r="R127">
        <f t="shared" si="22"/>
        <v>9</v>
      </c>
      <c r="S127">
        <v>52</v>
      </c>
      <c r="T127" s="8">
        <f t="shared" si="21"/>
        <v>-5.123339658444015E-2</v>
      </c>
    </row>
    <row r="128" spans="1:20" hidden="1">
      <c r="A128">
        <v>48</v>
      </c>
      <c r="B128" t="s">
        <v>784</v>
      </c>
      <c r="C128" s="11">
        <v>45631</v>
      </c>
      <c r="D128">
        <v>20.9</v>
      </c>
      <c r="E128">
        <v>23.5</v>
      </c>
      <c r="F128">
        <v>20</v>
      </c>
      <c r="G128">
        <f>INDEX('اسعار الاسهم'!A:B,MATCH(B128,'اسعار الاسهم'!K:K,0),2)</f>
        <v>26.32</v>
      </c>
      <c r="H128" s="8" t="str">
        <f t="shared" si="13"/>
        <v/>
      </c>
      <c r="I128" s="8" t="str">
        <f t="shared" si="14"/>
        <v/>
      </c>
      <c r="J128" s="8" t="str">
        <f t="shared" si="23"/>
        <v/>
      </c>
      <c r="K128" s="8">
        <f t="shared" si="15"/>
        <v>0.17500000000000004</v>
      </c>
      <c r="L128" s="13" t="str">
        <f t="shared" si="16"/>
        <v/>
      </c>
      <c r="M128" t="str">
        <f t="shared" si="17"/>
        <v/>
      </c>
      <c r="N128">
        <f t="shared" si="18"/>
        <v>0</v>
      </c>
      <c r="O128">
        <f t="shared" si="19"/>
        <v>7</v>
      </c>
      <c r="P128">
        <v>0</v>
      </c>
      <c r="Q128" s="11">
        <v>45650</v>
      </c>
      <c r="R128">
        <f t="shared" si="22"/>
        <v>21</v>
      </c>
      <c r="S128">
        <v>53</v>
      </c>
      <c r="T128" s="8">
        <f t="shared" si="21"/>
        <v>-4.3062200956937691E-2</v>
      </c>
    </row>
    <row r="129" spans="1:20" hidden="1">
      <c r="A129">
        <v>36</v>
      </c>
      <c r="B129" t="s">
        <v>860</v>
      </c>
      <c r="C129" s="11">
        <v>45628</v>
      </c>
      <c r="D129">
        <v>4.18</v>
      </c>
      <c r="E129">
        <v>4.8499999999999996</v>
      </c>
      <c r="F129">
        <v>3.95</v>
      </c>
      <c r="G129">
        <f>INDEX('اسعار الاسهم'!A:B,MATCH(B129,'اسعار الاسهم'!K:K,0),2)</f>
        <v>7.33</v>
      </c>
      <c r="H129" s="8" t="str">
        <f t="shared" si="13"/>
        <v/>
      </c>
      <c r="I129" s="8" t="str">
        <f t="shared" si="14"/>
        <v/>
      </c>
      <c r="J129" s="8" t="str">
        <f t="shared" si="23"/>
        <v/>
      </c>
      <c r="K129" s="8">
        <f t="shared" si="15"/>
        <v>0.22784810126582267</v>
      </c>
      <c r="L129" s="13" t="str">
        <f t="shared" si="16"/>
        <v/>
      </c>
      <c r="M129" t="str">
        <f t="shared" si="17"/>
        <v/>
      </c>
      <c r="N129">
        <f t="shared" si="18"/>
        <v>0</v>
      </c>
      <c r="O129">
        <f t="shared" si="19"/>
        <v>6</v>
      </c>
      <c r="P129">
        <v>0</v>
      </c>
      <c r="Q129" s="11">
        <v>45650</v>
      </c>
      <c r="R129">
        <f t="shared" si="22"/>
        <v>24</v>
      </c>
      <c r="S129">
        <v>55</v>
      </c>
      <c r="T129" s="8">
        <f t="shared" si="21"/>
        <v>-5.5023923444975975E-2</v>
      </c>
    </row>
    <row r="130" spans="1:20" hidden="1">
      <c r="A130">
        <v>91</v>
      </c>
      <c r="B130" t="s">
        <v>893</v>
      </c>
      <c r="C130" s="11">
        <v>45649</v>
      </c>
      <c r="D130">
        <v>0.39500000000000002</v>
      </c>
      <c r="E130">
        <v>0.44800000000000001</v>
      </c>
      <c r="F130">
        <v>0.37</v>
      </c>
      <c r="G130">
        <f>INDEX('اسعار الاسهم'!A:B,MATCH(B130,'اسعار الاسهم'!K:K,0),2)</f>
        <v>2.2599999999999998</v>
      </c>
      <c r="H130" s="8" t="str">
        <f t="shared" ref="H130:H193" si="24">IF(P130="", G130/D130-1,"")</f>
        <v/>
      </c>
      <c r="I130" s="8" t="str">
        <f t="shared" ref="I130:I193" si="25">IF(P130="", E130/G130-1,"")</f>
        <v/>
      </c>
      <c r="J130" s="8" t="str">
        <f t="shared" si="23"/>
        <v/>
      </c>
      <c r="K130" s="8">
        <f t="shared" ref="K130:K193" si="26">E130/F130-1</f>
        <v>0.21081081081081088</v>
      </c>
      <c r="L130" s="13" t="str">
        <f t="shared" ref="L130:L193" si="27">IF( S130="",I130/J130,"")</f>
        <v/>
      </c>
      <c r="M130" t="str">
        <f t="shared" ref="M130:M193" si="28">IF(P130="",IF(I130&lt;J130,"up","down"),"")</f>
        <v/>
      </c>
      <c r="N130">
        <f t="shared" ref="N130:N193" si="29">COUNTIFS(B:B,B130,Q:Q,"")</f>
        <v>0</v>
      </c>
      <c r="O130">
        <f t="shared" ref="O130:O193" si="30">COUNTIFS(B:B,B130)</f>
        <v>2</v>
      </c>
      <c r="P130">
        <v>0</v>
      </c>
      <c r="Q130" s="11">
        <v>45650</v>
      </c>
      <c r="R130">
        <f t="shared" ref="R130:R158" si="31">IF(Q130, Q130-C130+2,"")</f>
        <v>3</v>
      </c>
      <c r="S130">
        <v>57</v>
      </c>
      <c r="T130" s="8">
        <f t="shared" ref="T130:T193" si="32">IF(NOT( S130=""),IF(P130=1,E130/D130-1,F130/D130-1),"")</f>
        <v>-6.3291139240506333E-2</v>
      </c>
    </row>
    <row r="131" spans="1:20" hidden="1">
      <c r="A131">
        <v>64</v>
      </c>
      <c r="B131" t="s">
        <v>848</v>
      </c>
      <c r="C131" s="11">
        <v>45637</v>
      </c>
      <c r="D131">
        <v>39.75</v>
      </c>
      <c r="E131">
        <v>46</v>
      </c>
      <c r="F131">
        <v>37.5</v>
      </c>
      <c r="G131">
        <f>INDEX('اسعار الاسهم'!A:B,MATCH(B131,'اسعار الاسهم'!K:K,0),2)</f>
        <v>70.459999999999994</v>
      </c>
      <c r="H131" s="8" t="str">
        <f t="shared" si="24"/>
        <v/>
      </c>
      <c r="I131" s="8" t="str">
        <f t="shared" si="25"/>
        <v/>
      </c>
      <c r="J131" s="8" t="str">
        <f t="shared" si="23"/>
        <v/>
      </c>
      <c r="K131" s="8">
        <f t="shared" si="26"/>
        <v>0.22666666666666657</v>
      </c>
      <c r="L131" s="13" t="str">
        <f t="shared" si="27"/>
        <v/>
      </c>
      <c r="M131" t="str">
        <f t="shared" si="28"/>
        <v/>
      </c>
      <c r="N131">
        <f t="shared" si="29"/>
        <v>1</v>
      </c>
      <c r="O131">
        <f t="shared" si="30"/>
        <v>2</v>
      </c>
      <c r="P131">
        <v>0</v>
      </c>
      <c r="Q131" s="11">
        <v>45650</v>
      </c>
      <c r="R131">
        <f t="shared" si="31"/>
        <v>15</v>
      </c>
      <c r="S131">
        <v>58</v>
      </c>
      <c r="T131" s="8">
        <f t="shared" si="32"/>
        <v>-5.6603773584905648E-2</v>
      </c>
    </row>
    <row r="132" spans="1:20" hidden="1">
      <c r="A132">
        <v>44</v>
      </c>
      <c r="B132" t="s">
        <v>773</v>
      </c>
      <c r="C132" s="11">
        <v>45630</v>
      </c>
      <c r="D132">
        <v>1.9</v>
      </c>
      <c r="E132">
        <v>2.25</v>
      </c>
      <c r="F132">
        <v>1.77</v>
      </c>
      <c r="G132">
        <f>INDEX('اسعار الاسهم'!A:B,MATCH(B132,'اسعار الاسهم'!K:K,0),2)</f>
        <v>1.92</v>
      </c>
      <c r="H132" s="8" t="str">
        <f t="shared" si="24"/>
        <v/>
      </c>
      <c r="I132" s="8" t="str">
        <f t="shared" si="25"/>
        <v/>
      </c>
      <c r="J132" s="8" t="str">
        <f t="shared" si="23"/>
        <v/>
      </c>
      <c r="K132" s="8">
        <f t="shared" si="26"/>
        <v>0.27118644067796605</v>
      </c>
      <c r="L132" s="13" t="str">
        <f t="shared" si="27"/>
        <v/>
      </c>
      <c r="M132" t="str">
        <f t="shared" si="28"/>
        <v/>
      </c>
      <c r="N132">
        <f t="shared" si="29"/>
        <v>1</v>
      </c>
      <c r="O132">
        <f t="shared" si="30"/>
        <v>5</v>
      </c>
      <c r="P132">
        <v>0</v>
      </c>
      <c r="Q132" s="11">
        <v>45650</v>
      </c>
      <c r="R132">
        <f t="shared" si="31"/>
        <v>22</v>
      </c>
      <c r="S132">
        <v>54</v>
      </c>
      <c r="T132" s="8">
        <f t="shared" si="32"/>
        <v>-6.8421052631578938E-2</v>
      </c>
    </row>
    <row r="133" spans="1:20" hidden="1">
      <c r="A133">
        <v>71</v>
      </c>
      <c r="B133" t="s">
        <v>900</v>
      </c>
      <c r="C133" s="11">
        <v>45638</v>
      </c>
      <c r="D133">
        <v>1.41</v>
      </c>
      <c r="E133">
        <v>1.62</v>
      </c>
      <c r="F133">
        <v>1.32</v>
      </c>
      <c r="G133">
        <f>INDEX('اسعار الاسهم'!A:B,MATCH(B133,'اسعار الاسهم'!K:K,0),2)</f>
        <v>3.43</v>
      </c>
      <c r="H133" s="8" t="str">
        <f t="shared" si="24"/>
        <v/>
      </c>
      <c r="I133" s="8" t="str">
        <f t="shared" si="25"/>
        <v/>
      </c>
      <c r="J133" s="8" t="str">
        <f t="shared" si="23"/>
        <v/>
      </c>
      <c r="K133" s="8">
        <f t="shared" si="26"/>
        <v>0.22727272727272729</v>
      </c>
      <c r="L133" s="13" t="str">
        <f t="shared" si="27"/>
        <v/>
      </c>
      <c r="M133" t="str">
        <f t="shared" si="28"/>
        <v/>
      </c>
      <c r="N133">
        <f t="shared" si="29"/>
        <v>1</v>
      </c>
      <c r="O133">
        <f t="shared" si="30"/>
        <v>4</v>
      </c>
      <c r="P133">
        <v>0</v>
      </c>
      <c r="Q133" s="11">
        <v>45650</v>
      </c>
      <c r="R133">
        <f t="shared" si="31"/>
        <v>14</v>
      </c>
      <c r="S133">
        <v>56</v>
      </c>
      <c r="T133" s="8">
        <f t="shared" si="32"/>
        <v>-6.3829787234042423E-2</v>
      </c>
    </row>
    <row r="134" spans="1:20" hidden="1">
      <c r="A134">
        <v>26</v>
      </c>
      <c r="B134" t="s">
        <v>822</v>
      </c>
      <c r="C134" s="11">
        <v>45623</v>
      </c>
      <c r="D134">
        <v>14.3</v>
      </c>
      <c r="E134">
        <v>16.600000000000001</v>
      </c>
      <c r="F134">
        <v>13.7</v>
      </c>
      <c r="G134">
        <f>INDEX('اسعار الاسهم'!A:B,MATCH(B134,'اسعار الاسهم'!K:K,0),2)</f>
        <v>24.7</v>
      </c>
      <c r="H134" s="8" t="str">
        <f t="shared" si="24"/>
        <v/>
      </c>
      <c r="I134" s="8" t="str">
        <f t="shared" si="25"/>
        <v/>
      </c>
      <c r="J134" s="8" t="str">
        <f t="shared" si="23"/>
        <v/>
      </c>
      <c r="K134" s="8">
        <f t="shared" si="26"/>
        <v>0.2116788321167884</v>
      </c>
      <c r="L134" s="13" t="str">
        <f t="shared" si="27"/>
        <v/>
      </c>
      <c r="M134" t="str">
        <f t="shared" si="28"/>
        <v/>
      </c>
      <c r="N134">
        <f t="shared" si="29"/>
        <v>3</v>
      </c>
      <c r="O134">
        <f t="shared" si="30"/>
        <v>4</v>
      </c>
      <c r="P134">
        <v>0</v>
      </c>
      <c r="Q134" s="11">
        <v>45651</v>
      </c>
      <c r="R134">
        <f t="shared" si="31"/>
        <v>30</v>
      </c>
      <c r="S134">
        <v>59</v>
      </c>
      <c r="T134" s="8">
        <f t="shared" si="32"/>
        <v>-4.1958041958042092E-2</v>
      </c>
    </row>
    <row r="135" spans="1:20" hidden="1">
      <c r="A135">
        <v>46</v>
      </c>
      <c r="B135" t="s">
        <v>881</v>
      </c>
      <c r="C135" s="11">
        <v>45631</v>
      </c>
      <c r="D135">
        <v>0.39400000000000002</v>
      </c>
      <c r="E135">
        <v>0.47</v>
      </c>
      <c r="F135">
        <v>0.37</v>
      </c>
      <c r="G135">
        <f>INDEX('اسعار الاسهم'!A:B,MATCH(B135,'اسعار الاسهم'!K:K,0),2)</f>
        <v>0.36</v>
      </c>
      <c r="H135" s="8" t="str">
        <f t="shared" si="24"/>
        <v/>
      </c>
      <c r="I135" s="8" t="str">
        <f t="shared" si="25"/>
        <v/>
      </c>
      <c r="J135" s="8" t="str">
        <f t="shared" si="23"/>
        <v/>
      </c>
      <c r="K135" s="8">
        <f t="shared" si="26"/>
        <v>0.27027027027027017</v>
      </c>
      <c r="L135" s="13" t="str">
        <f t="shared" si="27"/>
        <v/>
      </c>
      <c r="M135" t="str">
        <f t="shared" si="28"/>
        <v/>
      </c>
      <c r="N135">
        <f t="shared" si="29"/>
        <v>0</v>
      </c>
      <c r="O135">
        <f t="shared" si="30"/>
        <v>1</v>
      </c>
      <c r="P135">
        <v>0</v>
      </c>
      <c r="Q135" s="11">
        <v>45655</v>
      </c>
      <c r="R135">
        <f t="shared" si="31"/>
        <v>26</v>
      </c>
      <c r="S135">
        <v>60</v>
      </c>
      <c r="T135" s="8">
        <f t="shared" si="32"/>
        <v>-6.0913705583756417E-2</v>
      </c>
    </row>
    <row r="136" spans="1:20" hidden="1">
      <c r="A136">
        <v>73</v>
      </c>
      <c r="B136" t="s">
        <v>786</v>
      </c>
      <c r="C136" s="11">
        <v>45641</v>
      </c>
      <c r="D136">
        <v>82.75</v>
      </c>
      <c r="E136">
        <v>90.5</v>
      </c>
      <c r="F136">
        <v>80.8</v>
      </c>
      <c r="G136">
        <f>INDEX('اسعار الاسهم'!A:B,MATCH(B136,'اسعار الاسهم'!K:K,0),2)</f>
        <v>132.35</v>
      </c>
      <c r="H136" s="8" t="str">
        <f t="shared" si="24"/>
        <v/>
      </c>
      <c r="I136" s="8" t="str">
        <f t="shared" si="25"/>
        <v/>
      </c>
      <c r="J136" s="8" t="str">
        <f t="shared" si="23"/>
        <v/>
      </c>
      <c r="K136" s="8">
        <f t="shared" si="26"/>
        <v>0.12004950495049505</v>
      </c>
      <c r="L136" s="13" t="str">
        <f t="shared" si="27"/>
        <v/>
      </c>
      <c r="M136" t="str">
        <f t="shared" si="28"/>
        <v/>
      </c>
      <c r="N136">
        <f t="shared" si="29"/>
        <v>0</v>
      </c>
      <c r="O136">
        <f t="shared" si="30"/>
        <v>1</v>
      </c>
      <c r="P136">
        <v>0</v>
      </c>
      <c r="Q136" s="11">
        <v>45655</v>
      </c>
      <c r="R136">
        <f t="shared" si="31"/>
        <v>16</v>
      </c>
      <c r="S136">
        <v>61</v>
      </c>
      <c r="T136" s="8">
        <f t="shared" si="32"/>
        <v>-2.3564954682779526E-2</v>
      </c>
    </row>
    <row r="137" spans="1:20" hidden="1">
      <c r="A137">
        <v>31</v>
      </c>
      <c r="B137" t="s">
        <v>814</v>
      </c>
      <c r="C137" s="11">
        <v>45627</v>
      </c>
      <c r="D137">
        <v>10.39</v>
      </c>
      <c r="E137">
        <v>11.48</v>
      </c>
      <c r="F137">
        <v>9.8000000000000007</v>
      </c>
      <c r="G137">
        <f>INDEX('اسعار الاسهم'!A:B,MATCH(B137,'اسعار الاسهم'!K:K,0),2)</f>
        <v>15.8</v>
      </c>
      <c r="H137" s="8" t="str">
        <f t="shared" si="24"/>
        <v/>
      </c>
      <c r="I137" s="8" t="str">
        <f t="shared" si="25"/>
        <v/>
      </c>
      <c r="J137" s="8" t="str">
        <f t="shared" si="23"/>
        <v/>
      </c>
      <c r="K137" s="8">
        <f t="shared" si="26"/>
        <v>0.17142857142857149</v>
      </c>
      <c r="L137" s="13" t="str">
        <f t="shared" si="27"/>
        <v/>
      </c>
      <c r="M137" t="str">
        <f t="shared" si="28"/>
        <v/>
      </c>
      <c r="N137">
        <f t="shared" si="29"/>
        <v>0</v>
      </c>
      <c r="O137">
        <f t="shared" si="30"/>
        <v>3</v>
      </c>
      <c r="P137">
        <v>0</v>
      </c>
      <c r="Q137" s="11">
        <v>45656</v>
      </c>
      <c r="R137">
        <f t="shared" si="31"/>
        <v>31</v>
      </c>
      <c r="S137">
        <v>70</v>
      </c>
      <c r="T137" s="8">
        <f t="shared" si="32"/>
        <v>-5.6785370548604441E-2</v>
      </c>
    </row>
    <row r="138" spans="1:20" hidden="1">
      <c r="A138">
        <v>88</v>
      </c>
      <c r="B138" t="s">
        <v>821</v>
      </c>
      <c r="C138" s="11">
        <v>45648</v>
      </c>
      <c r="D138">
        <v>23.83</v>
      </c>
      <c r="E138">
        <v>27.5</v>
      </c>
      <c r="F138">
        <v>22.5</v>
      </c>
      <c r="G138">
        <f>INDEX('اسعار الاسهم'!A:B,MATCH(B138,'اسعار الاسهم'!K:K,0),2)</f>
        <v>195</v>
      </c>
      <c r="H138" s="8" t="str">
        <f t="shared" si="24"/>
        <v/>
      </c>
      <c r="I138" s="8" t="str">
        <f t="shared" si="25"/>
        <v/>
      </c>
      <c r="J138" s="8" t="str">
        <f t="shared" si="23"/>
        <v/>
      </c>
      <c r="K138" s="8">
        <f t="shared" si="26"/>
        <v>0.22222222222222232</v>
      </c>
      <c r="L138" s="13" t="str">
        <f t="shared" si="27"/>
        <v/>
      </c>
      <c r="M138" t="str">
        <f t="shared" si="28"/>
        <v/>
      </c>
      <c r="N138">
        <f t="shared" si="29"/>
        <v>0</v>
      </c>
      <c r="O138">
        <f t="shared" si="30"/>
        <v>3</v>
      </c>
      <c r="P138">
        <v>0</v>
      </c>
      <c r="Q138" s="11">
        <v>45656</v>
      </c>
      <c r="R138">
        <f t="shared" si="31"/>
        <v>10</v>
      </c>
      <c r="S138">
        <v>69</v>
      </c>
      <c r="T138" s="8">
        <f t="shared" si="32"/>
        <v>-5.5812001678556378E-2</v>
      </c>
    </row>
    <row r="139" spans="1:20" hidden="1">
      <c r="A139">
        <v>96</v>
      </c>
      <c r="B139" t="s">
        <v>785</v>
      </c>
      <c r="C139" s="11">
        <v>45651</v>
      </c>
      <c r="D139">
        <v>81.400000000000006</v>
      </c>
      <c r="E139">
        <v>92.5</v>
      </c>
      <c r="F139">
        <v>78</v>
      </c>
      <c r="G139">
        <f>INDEX('اسعار الاسهم'!A:B,MATCH(B139,'اسعار الاسهم'!K:K,0),2)</f>
        <v>87.9</v>
      </c>
      <c r="H139" s="8" t="str">
        <f t="shared" si="24"/>
        <v/>
      </c>
      <c r="I139" s="8" t="str">
        <f t="shared" si="25"/>
        <v/>
      </c>
      <c r="J139" s="8" t="str">
        <f t="shared" si="23"/>
        <v/>
      </c>
      <c r="K139" s="8">
        <f t="shared" si="26"/>
        <v>0.1858974358974359</v>
      </c>
      <c r="L139" s="13" t="str">
        <f t="shared" si="27"/>
        <v/>
      </c>
      <c r="M139" t="str">
        <f t="shared" si="28"/>
        <v/>
      </c>
      <c r="N139">
        <f t="shared" si="29"/>
        <v>1</v>
      </c>
      <c r="O139">
        <f t="shared" si="30"/>
        <v>6</v>
      </c>
      <c r="P139">
        <v>0</v>
      </c>
      <c r="Q139" s="11">
        <v>45656</v>
      </c>
      <c r="R139">
        <f t="shared" si="31"/>
        <v>7</v>
      </c>
      <c r="S139">
        <v>65</v>
      </c>
      <c r="T139" s="8">
        <f t="shared" si="32"/>
        <v>-4.1769041769041837E-2</v>
      </c>
    </row>
    <row r="140" spans="1:20" hidden="1">
      <c r="A140">
        <v>80</v>
      </c>
      <c r="B140" t="s">
        <v>768</v>
      </c>
      <c r="C140" s="11">
        <v>45643</v>
      </c>
      <c r="D140">
        <v>1.44</v>
      </c>
      <c r="E140">
        <v>1.65</v>
      </c>
      <c r="F140">
        <v>1.35</v>
      </c>
      <c r="G140">
        <f>INDEX('اسعار الاسهم'!A:B,MATCH(B140,'اسعار الاسهم'!K:K,0),2)</f>
        <v>2.33</v>
      </c>
      <c r="H140" s="8" t="str">
        <f t="shared" si="24"/>
        <v/>
      </c>
      <c r="I140" s="8" t="str">
        <f t="shared" si="25"/>
        <v/>
      </c>
      <c r="J140" s="8" t="str">
        <f t="shared" si="23"/>
        <v/>
      </c>
      <c r="K140" s="8">
        <f t="shared" si="26"/>
        <v>0.2222222222222221</v>
      </c>
      <c r="L140" s="13" t="str">
        <f t="shared" si="27"/>
        <v/>
      </c>
      <c r="M140" t="str">
        <f t="shared" si="28"/>
        <v/>
      </c>
      <c r="N140">
        <f t="shared" si="29"/>
        <v>0</v>
      </c>
      <c r="O140">
        <f t="shared" si="30"/>
        <v>4</v>
      </c>
      <c r="P140">
        <v>0</v>
      </c>
      <c r="Q140" s="11">
        <v>45656</v>
      </c>
      <c r="R140">
        <f t="shared" si="31"/>
        <v>15</v>
      </c>
      <c r="S140">
        <v>62</v>
      </c>
      <c r="T140" s="8">
        <f t="shared" si="32"/>
        <v>-6.2499999999999889E-2</v>
      </c>
    </row>
    <row r="141" spans="1:20" hidden="1">
      <c r="A141">
        <v>102</v>
      </c>
      <c r="B141" t="s">
        <v>983</v>
      </c>
      <c r="C141" s="11">
        <v>45655</v>
      </c>
      <c r="D141">
        <v>94.5</v>
      </c>
      <c r="E141">
        <v>105.5</v>
      </c>
      <c r="F141">
        <v>88.5</v>
      </c>
      <c r="G141">
        <f>INDEX('اسعار الاسهم'!A:B,MATCH(B141,'اسعار الاسهم'!K:K,0),2)</f>
        <v>293</v>
      </c>
      <c r="H141" s="8" t="str">
        <f t="shared" si="24"/>
        <v/>
      </c>
      <c r="I141" s="8" t="str">
        <f t="shared" si="25"/>
        <v/>
      </c>
      <c r="J141" s="8" t="str">
        <f t="shared" si="23"/>
        <v/>
      </c>
      <c r="K141" s="8">
        <f t="shared" si="26"/>
        <v>0.19209039548022599</v>
      </c>
      <c r="L141" s="13" t="str">
        <f t="shared" si="27"/>
        <v/>
      </c>
      <c r="M141" t="str">
        <f t="shared" si="28"/>
        <v/>
      </c>
      <c r="N141">
        <f t="shared" si="29"/>
        <v>1</v>
      </c>
      <c r="O141">
        <f t="shared" si="30"/>
        <v>3</v>
      </c>
      <c r="P141">
        <v>0</v>
      </c>
      <c r="Q141" s="11">
        <v>45656</v>
      </c>
      <c r="R141">
        <f t="shared" si="31"/>
        <v>3</v>
      </c>
      <c r="S141">
        <v>72</v>
      </c>
      <c r="T141" s="8">
        <f t="shared" si="32"/>
        <v>-6.3492063492063489E-2</v>
      </c>
    </row>
    <row r="142" spans="1:20" hidden="1">
      <c r="A142">
        <v>51</v>
      </c>
      <c r="B142" t="s">
        <v>725</v>
      </c>
      <c r="C142" s="11">
        <v>45634</v>
      </c>
      <c r="D142">
        <v>1.1599999999999999</v>
      </c>
      <c r="E142">
        <v>1.35</v>
      </c>
      <c r="F142">
        <v>1.08</v>
      </c>
      <c r="G142">
        <f>INDEX('اسعار الاسهم'!A:B,MATCH(B142,'اسعار الاسهم'!K:K,0),2)</f>
        <v>2.57</v>
      </c>
      <c r="H142" s="8" t="str">
        <f t="shared" si="24"/>
        <v/>
      </c>
      <c r="I142" s="8" t="str">
        <f t="shared" si="25"/>
        <v/>
      </c>
      <c r="J142" s="8" t="str">
        <f t="shared" si="23"/>
        <v/>
      </c>
      <c r="K142" s="8">
        <f t="shared" si="26"/>
        <v>0.25</v>
      </c>
      <c r="L142" s="13" t="str">
        <f t="shared" si="27"/>
        <v/>
      </c>
      <c r="M142" t="str">
        <f t="shared" si="28"/>
        <v/>
      </c>
      <c r="N142">
        <f t="shared" si="29"/>
        <v>2</v>
      </c>
      <c r="O142">
        <f t="shared" si="30"/>
        <v>4</v>
      </c>
      <c r="P142">
        <v>0</v>
      </c>
      <c r="Q142" s="11">
        <v>45656</v>
      </c>
      <c r="R142">
        <f t="shared" si="31"/>
        <v>24</v>
      </c>
      <c r="S142">
        <v>64</v>
      </c>
      <c r="T142" s="8">
        <f t="shared" si="32"/>
        <v>-6.8965517241379226E-2</v>
      </c>
    </row>
    <row r="143" spans="1:20" hidden="1">
      <c r="A143">
        <v>87</v>
      </c>
      <c r="B143" s="11" t="s">
        <v>747</v>
      </c>
      <c r="C143" s="11">
        <v>45648</v>
      </c>
      <c r="D143">
        <v>55.65</v>
      </c>
      <c r="E143">
        <v>62</v>
      </c>
      <c r="F143">
        <v>55</v>
      </c>
      <c r="G143">
        <f>INDEX('اسعار الاسهم'!A:B,MATCH(B143,'اسعار الاسهم'!K:K,0),2)</f>
        <v>99.48</v>
      </c>
      <c r="H143" s="8" t="str">
        <f t="shared" si="24"/>
        <v/>
      </c>
      <c r="I143" s="8" t="str">
        <f t="shared" si="25"/>
        <v/>
      </c>
      <c r="J143" s="8" t="str">
        <f t="shared" si="23"/>
        <v/>
      </c>
      <c r="K143" s="8">
        <f t="shared" si="26"/>
        <v>0.1272727272727272</v>
      </c>
      <c r="L143" s="13" t="str">
        <f t="shared" si="27"/>
        <v/>
      </c>
      <c r="M143" t="str">
        <f t="shared" si="28"/>
        <v/>
      </c>
      <c r="N143">
        <f t="shared" si="29"/>
        <v>1</v>
      </c>
      <c r="O143">
        <f t="shared" si="30"/>
        <v>3</v>
      </c>
      <c r="P143">
        <v>0</v>
      </c>
      <c r="Q143" s="11">
        <v>45656</v>
      </c>
      <c r="R143">
        <f t="shared" si="31"/>
        <v>10</v>
      </c>
      <c r="S143">
        <v>71</v>
      </c>
      <c r="T143" s="8">
        <f t="shared" si="32"/>
        <v>-1.1680143755615435E-2</v>
      </c>
    </row>
    <row r="144" spans="1:20" hidden="1">
      <c r="A144">
        <v>11</v>
      </c>
      <c r="B144" t="s">
        <v>768</v>
      </c>
      <c r="C144" s="11">
        <v>45616</v>
      </c>
      <c r="D144">
        <v>1.47</v>
      </c>
      <c r="E144">
        <v>1.7</v>
      </c>
      <c r="F144">
        <v>1.35</v>
      </c>
      <c r="G144">
        <f>INDEX('اسعار الاسهم'!A:B,MATCH(B144,'اسعار الاسهم'!K:K,0),2)</f>
        <v>2.33</v>
      </c>
      <c r="H144" s="8" t="str">
        <f t="shared" si="24"/>
        <v/>
      </c>
      <c r="I144" s="8" t="str">
        <f t="shared" si="25"/>
        <v/>
      </c>
      <c r="J144" s="8" t="str">
        <f t="shared" si="23"/>
        <v/>
      </c>
      <c r="K144" s="8">
        <f t="shared" si="26"/>
        <v>0.25925925925925908</v>
      </c>
      <c r="L144" s="13" t="str">
        <f t="shared" si="27"/>
        <v/>
      </c>
      <c r="M144" t="str">
        <f t="shared" si="28"/>
        <v/>
      </c>
      <c r="N144">
        <f t="shared" si="29"/>
        <v>0</v>
      </c>
      <c r="O144">
        <f t="shared" si="30"/>
        <v>4</v>
      </c>
      <c r="P144">
        <v>0</v>
      </c>
      <c r="Q144" s="11">
        <v>45656</v>
      </c>
      <c r="R144">
        <f t="shared" si="31"/>
        <v>42</v>
      </c>
      <c r="S144">
        <v>63</v>
      </c>
      <c r="T144" s="8">
        <f t="shared" si="32"/>
        <v>-8.1632653061224358E-2</v>
      </c>
    </row>
    <row r="145" spans="1:20" hidden="1">
      <c r="A145">
        <v>67</v>
      </c>
      <c r="B145" t="s">
        <v>764</v>
      </c>
      <c r="C145" s="11">
        <v>45638</v>
      </c>
      <c r="D145">
        <v>26.14</v>
      </c>
      <c r="E145">
        <v>29</v>
      </c>
      <c r="F145">
        <v>25</v>
      </c>
      <c r="G145">
        <f>INDEX('اسعار الاسهم'!A:B,MATCH(B145,'اسعار الاسهم'!K:K,0),2)</f>
        <v>21.84</v>
      </c>
      <c r="H145" s="8" t="str">
        <f t="shared" si="24"/>
        <v/>
      </c>
      <c r="I145" s="8" t="str">
        <f t="shared" si="25"/>
        <v/>
      </c>
      <c r="J145" s="8" t="str">
        <f t="shared" si="23"/>
        <v/>
      </c>
      <c r="K145" s="8">
        <f t="shared" si="26"/>
        <v>0.15999999999999992</v>
      </c>
      <c r="L145" s="13" t="str">
        <f t="shared" si="27"/>
        <v/>
      </c>
      <c r="M145" t="str">
        <f t="shared" si="28"/>
        <v/>
      </c>
      <c r="N145">
        <f t="shared" si="29"/>
        <v>0</v>
      </c>
      <c r="O145">
        <f t="shared" si="30"/>
        <v>5</v>
      </c>
      <c r="P145">
        <v>0</v>
      </c>
      <c r="Q145" s="11">
        <v>45656</v>
      </c>
      <c r="R145">
        <f t="shared" si="31"/>
        <v>20</v>
      </c>
      <c r="S145">
        <v>66</v>
      </c>
      <c r="T145" s="8">
        <f t="shared" si="32"/>
        <v>-4.3611323641928101E-2</v>
      </c>
    </row>
    <row r="146" spans="1:20" hidden="1">
      <c r="A146">
        <v>47</v>
      </c>
      <c r="B146" t="s">
        <v>811</v>
      </c>
      <c r="C146" s="11">
        <v>45631</v>
      </c>
      <c r="D146">
        <v>3.92</v>
      </c>
      <c r="E146">
        <v>4.5</v>
      </c>
      <c r="F146">
        <v>3.7</v>
      </c>
      <c r="G146">
        <f>INDEX('اسعار الاسهم'!A:B,MATCH(B146,'اسعار الاسهم'!K:K,0),2)</f>
        <v>5.18</v>
      </c>
      <c r="H146" s="8" t="str">
        <f t="shared" si="24"/>
        <v/>
      </c>
      <c r="I146" s="8" t="str">
        <f t="shared" si="25"/>
        <v/>
      </c>
      <c r="J146" s="8" t="str">
        <f t="shared" si="23"/>
        <v/>
      </c>
      <c r="K146" s="8">
        <f t="shared" si="26"/>
        <v>0.21621621621621623</v>
      </c>
      <c r="L146" s="13" t="str">
        <f t="shared" si="27"/>
        <v/>
      </c>
      <c r="M146" t="str">
        <f t="shared" si="28"/>
        <v/>
      </c>
      <c r="N146">
        <f t="shared" si="29"/>
        <v>0</v>
      </c>
      <c r="O146">
        <f t="shared" si="30"/>
        <v>3</v>
      </c>
      <c r="P146">
        <v>0</v>
      </c>
      <c r="Q146" s="11">
        <v>45656</v>
      </c>
      <c r="R146">
        <f t="shared" si="31"/>
        <v>27</v>
      </c>
      <c r="S146">
        <v>68</v>
      </c>
      <c r="T146" s="8">
        <f t="shared" si="32"/>
        <v>-5.6122448979591733E-2</v>
      </c>
    </row>
    <row r="147" spans="1:20" hidden="1">
      <c r="A147">
        <v>78</v>
      </c>
      <c r="B147" t="s">
        <v>811</v>
      </c>
      <c r="C147" s="11">
        <v>45642</v>
      </c>
      <c r="D147">
        <v>3.93</v>
      </c>
      <c r="E147">
        <v>4.54</v>
      </c>
      <c r="F147">
        <v>3.8</v>
      </c>
      <c r="G147">
        <f>INDEX('اسعار الاسهم'!A:B,MATCH(B147,'اسعار الاسهم'!K:K,0),2)</f>
        <v>5.18</v>
      </c>
      <c r="H147" s="8" t="str">
        <f t="shared" si="24"/>
        <v/>
      </c>
      <c r="I147" s="8" t="str">
        <f t="shared" si="25"/>
        <v/>
      </c>
      <c r="J147" s="8" t="str">
        <f t="shared" si="23"/>
        <v/>
      </c>
      <c r="K147" s="8">
        <f t="shared" si="26"/>
        <v>0.19473684210526332</v>
      </c>
      <c r="L147" s="13" t="str">
        <f t="shared" si="27"/>
        <v/>
      </c>
      <c r="M147" t="str">
        <f t="shared" si="28"/>
        <v/>
      </c>
      <c r="N147">
        <f t="shared" si="29"/>
        <v>0</v>
      </c>
      <c r="O147">
        <f t="shared" si="30"/>
        <v>3</v>
      </c>
      <c r="P147">
        <v>0</v>
      </c>
      <c r="Q147" s="11">
        <v>45656</v>
      </c>
      <c r="R147">
        <f t="shared" si="31"/>
        <v>16</v>
      </c>
      <c r="S147">
        <v>67</v>
      </c>
      <c r="T147" s="8">
        <f t="shared" si="32"/>
        <v>-3.3078880407124811E-2</v>
      </c>
    </row>
    <row r="148" spans="1:20" hidden="1">
      <c r="A148">
        <v>3</v>
      </c>
      <c r="B148" t="s">
        <v>835</v>
      </c>
      <c r="C148" s="11">
        <v>45610</v>
      </c>
      <c r="D148">
        <v>0.89</v>
      </c>
      <c r="E148">
        <v>1.1299999999999999</v>
      </c>
      <c r="F148">
        <v>0.82</v>
      </c>
      <c r="G148">
        <f>INDEX('اسعار الاسهم'!A:B,MATCH(B148,'اسعار الاسهم'!K:K,0),2)</f>
        <v>1.17</v>
      </c>
      <c r="H148" s="8" t="str">
        <f t="shared" si="24"/>
        <v/>
      </c>
      <c r="I148" s="8" t="str">
        <f t="shared" si="25"/>
        <v/>
      </c>
      <c r="J148" s="8" t="str">
        <f t="shared" si="23"/>
        <v/>
      </c>
      <c r="K148" s="8">
        <f t="shared" si="26"/>
        <v>0.37804878048780477</v>
      </c>
      <c r="L148" s="13" t="str">
        <f t="shared" si="27"/>
        <v/>
      </c>
      <c r="M148" t="str">
        <f t="shared" si="28"/>
        <v/>
      </c>
      <c r="N148">
        <f t="shared" si="29"/>
        <v>0</v>
      </c>
      <c r="O148">
        <f t="shared" si="30"/>
        <v>1</v>
      </c>
      <c r="P148">
        <v>0</v>
      </c>
      <c r="Q148" s="11">
        <v>45656</v>
      </c>
      <c r="R148">
        <f t="shared" si="31"/>
        <v>48</v>
      </c>
      <c r="S148">
        <v>73</v>
      </c>
      <c r="T148" s="8">
        <f t="shared" si="32"/>
        <v>-7.8651685393258508E-2</v>
      </c>
    </row>
    <row r="149" spans="1:20" hidden="1">
      <c r="A149">
        <v>104</v>
      </c>
      <c r="B149" t="s">
        <v>793</v>
      </c>
      <c r="C149" s="11">
        <v>45656</v>
      </c>
      <c r="D149">
        <v>3.33</v>
      </c>
      <c r="E149">
        <v>3.65</v>
      </c>
      <c r="F149">
        <v>3.08</v>
      </c>
      <c r="G149">
        <f>INDEX('اسعار الاسهم'!A:B,MATCH(B149,'اسعار الاسهم'!K:K,0),2)</f>
        <v>4.54</v>
      </c>
      <c r="H149" s="8" t="str">
        <f t="shared" si="24"/>
        <v/>
      </c>
      <c r="I149" s="8" t="str">
        <f t="shared" si="25"/>
        <v/>
      </c>
      <c r="J149" s="8" t="str">
        <f t="shared" si="23"/>
        <v/>
      </c>
      <c r="K149" s="8">
        <f t="shared" si="26"/>
        <v>0.18506493506493493</v>
      </c>
      <c r="L149" s="13" t="str">
        <f t="shared" si="27"/>
        <v/>
      </c>
      <c r="M149" t="str">
        <f t="shared" si="28"/>
        <v/>
      </c>
      <c r="N149">
        <f t="shared" si="29"/>
        <v>0</v>
      </c>
      <c r="O149">
        <f t="shared" si="30"/>
        <v>3</v>
      </c>
      <c r="P149">
        <v>1</v>
      </c>
      <c r="Q149" s="11">
        <v>45659</v>
      </c>
      <c r="R149">
        <f t="shared" si="31"/>
        <v>5</v>
      </c>
      <c r="S149">
        <v>74</v>
      </c>
      <c r="T149" s="8">
        <f t="shared" si="32"/>
        <v>9.6096096096096151E-2</v>
      </c>
    </row>
    <row r="150" spans="1:20" hidden="1">
      <c r="A150">
        <v>43</v>
      </c>
      <c r="B150" t="s">
        <v>883</v>
      </c>
      <c r="C150" s="11">
        <v>45630</v>
      </c>
      <c r="D150">
        <v>24.7</v>
      </c>
      <c r="E150">
        <v>27.8</v>
      </c>
      <c r="F150">
        <v>23.17</v>
      </c>
      <c r="G150">
        <f>INDEX('اسعار الاسهم'!A:B,MATCH(B150,'اسعار الاسهم'!K:K,0),2)</f>
        <v>40.5</v>
      </c>
      <c r="H150" s="8" t="str">
        <f t="shared" si="24"/>
        <v/>
      </c>
      <c r="I150" s="8" t="str">
        <f t="shared" si="25"/>
        <v/>
      </c>
      <c r="J150" s="8" t="str">
        <f t="shared" si="23"/>
        <v/>
      </c>
      <c r="K150" s="8">
        <f t="shared" si="26"/>
        <v>0.19982736296935677</v>
      </c>
      <c r="L150" s="13" t="str">
        <f t="shared" si="27"/>
        <v/>
      </c>
      <c r="M150" t="str">
        <f t="shared" si="28"/>
        <v/>
      </c>
      <c r="N150">
        <f t="shared" si="29"/>
        <v>0</v>
      </c>
      <c r="O150">
        <f t="shared" si="30"/>
        <v>1</v>
      </c>
      <c r="P150">
        <v>1</v>
      </c>
      <c r="Q150" s="11">
        <v>45662</v>
      </c>
      <c r="R150">
        <f t="shared" si="31"/>
        <v>34</v>
      </c>
      <c r="S150">
        <v>75</v>
      </c>
      <c r="T150" s="8">
        <f t="shared" si="32"/>
        <v>0.12550607287449389</v>
      </c>
    </row>
    <row r="151" spans="1:20" hidden="1">
      <c r="A151">
        <v>112</v>
      </c>
      <c r="B151" t="s">
        <v>882</v>
      </c>
      <c r="C151" s="11">
        <v>45662</v>
      </c>
      <c r="D151">
        <v>52.5</v>
      </c>
      <c r="E151">
        <v>59.5</v>
      </c>
      <c r="F151">
        <v>49</v>
      </c>
      <c r="G151">
        <f>INDEX('اسعار الاسهم'!A:B,MATCH(B151,'اسعار الاسهم'!K:K,0),2)</f>
        <v>204</v>
      </c>
      <c r="H151" s="8" t="str">
        <f t="shared" si="24"/>
        <v/>
      </c>
      <c r="I151" s="8" t="str">
        <f t="shared" si="25"/>
        <v/>
      </c>
      <c r="J151" s="8" t="str">
        <f t="shared" si="23"/>
        <v/>
      </c>
      <c r="K151" s="8">
        <f t="shared" si="26"/>
        <v>0.21428571428571419</v>
      </c>
      <c r="L151" s="13" t="str">
        <f t="shared" si="27"/>
        <v/>
      </c>
      <c r="M151" t="str">
        <f t="shared" si="28"/>
        <v/>
      </c>
      <c r="N151">
        <f t="shared" si="29"/>
        <v>0</v>
      </c>
      <c r="O151">
        <f t="shared" si="30"/>
        <v>4</v>
      </c>
      <c r="P151">
        <v>0</v>
      </c>
      <c r="Q151" s="11">
        <v>45663</v>
      </c>
      <c r="R151">
        <f t="shared" si="31"/>
        <v>3</v>
      </c>
      <c r="S151">
        <v>77</v>
      </c>
      <c r="T151" s="8">
        <f t="shared" si="32"/>
        <v>-6.6666666666666652E-2</v>
      </c>
    </row>
    <row r="152" spans="1:20" hidden="1">
      <c r="A152">
        <v>118</v>
      </c>
      <c r="B152" t="s">
        <v>900</v>
      </c>
      <c r="C152" s="11">
        <v>45663</v>
      </c>
      <c r="D152">
        <v>1.38</v>
      </c>
      <c r="E152">
        <v>1.56</v>
      </c>
      <c r="F152">
        <v>1.28</v>
      </c>
      <c r="G152">
        <f>INDEX('اسعار الاسهم'!A:B,MATCH(B152,'اسعار الاسهم'!K:K,0),2)</f>
        <v>3.43</v>
      </c>
      <c r="H152" s="8" t="str">
        <f t="shared" si="24"/>
        <v/>
      </c>
      <c r="I152" s="8" t="str">
        <f t="shared" si="25"/>
        <v/>
      </c>
      <c r="J152" s="8" t="str">
        <f t="shared" si="23"/>
        <v/>
      </c>
      <c r="K152" s="8">
        <f t="shared" si="26"/>
        <v>0.21875</v>
      </c>
      <c r="L152" s="13" t="str">
        <f t="shared" si="27"/>
        <v/>
      </c>
      <c r="M152" t="str">
        <f t="shared" si="28"/>
        <v/>
      </c>
      <c r="N152">
        <f t="shared" si="29"/>
        <v>1</v>
      </c>
      <c r="O152">
        <f t="shared" si="30"/>
        <v>4</v>
      </c>
      <c r="P152">
        <v>1</v>
      </c>
      <c r="Q152" s="11">
        <v>45663</v>
      </c>
      <c r="R152">
        <f t="shared" si="31"/>
        <v>2</v>
      </c>
      <c r="S152">
        <v>76</v>
      </c>
      <c r="T152" s="8">
        <f t="shared" si="32"/>
        <v>0.13043478260869579</v>
      </c>
    </row>
    <row r="153" spans="1:20" hidden="1">
      <c r="A153">
        <v>86</v>
      </c>
      <c r="B153" t="s">
        <v>882</v>
      </c>
      <c r="C153" s="11">
        <v>45645</v>
      </c>
      <c r="D153">
        <v>52.15</v>
      </c>
      <c r="E153">
        <v>59.5</v>
      </c>
      <c r="F153">
        <v>49</v>
      </c>
      <c r="G153">
        <f>INDEX('اسعار الاسهم'!A:B,MATCH(B153,'اسعار الاسهم'!K:K,0),2)</f>
        <v>204</v>
      </c>
      <c r="H153" s="8" t="str">
        <f t="shared" si="24"/>
        <v/>
      </c>
      <c r="I153" s="8" t="str">
        <f t="shared" si="25"/>
        <v/>
      </c>
      <c r="J153" s="8" t="str">
        <f t="shared" si="23"/>
        <v/>
      </c>
      <c r="K153" s="8">
        <f t="shared" si="26"/>
        <v>0.21428571428571419</v>
      </c>
      <c r="L153" s="13" t="str">
        <f t="shared" si="27"/>
        <v/>
      </c>
      <c r="M153" t="str">
        <f t="shared" si="28"/>
        <v/>
      </c>
      <c r="N153">
        <f t="shared" si="29"/>
        <v>0</v>
      </c>
      <c r="O153">
        <f t="shared" si="30"/>
        <v>4</v>
      </c>
      <c r="P153">
        <v>1</v>
      </c>
      <c r="Q153" s="11">
        <v>45663</v>
      </c>
      <c r="R153">
        <f t="shared" si="31"/>
        <v>20</v>
      </c>
      <c r="S153">
        <v>78</v>
      </c>
      <c r="T153" s="8">
        <f t="shared" si="32"/>
        <v>0.14093959731543637</v>
      </c>
    </row>
    <row r="154" spans="1:20" hidden="1">
      <c r="A154">
        <v>95</v>
      </c>
      <c r="B154" t="s">
        <v>887</v>
      </c>
      <c r="C154" s="11">
        <v>45651</v>
      </c>
      <c r="D154">
        <v>25</v>
      </c>
      <c r="E154">
        <v>28.5</v>
      </c>
      <c r="F154">
        <v>23.25</v>
      </c>
      <c r="G154">
        <f>INDEX('اسعار الاسهم'!A:B,MATCH(B154,'اسعار الاسهم'!K:K,0),2)</f>
        <v>70.95</v>
      </c>
      <c r="H154" s="8" t="str">
        <f t="shared" si="24"/>
        <v/>
      </c>
      <c r="I154" s="8" t="str">
        <f t="shared" si="25"/>
        <v/>
      </c>
      <c r="J154" s="8" t="str">
        <f t="shared" si="23"/>
        <v/>
      </c>
      <c r="K154" s="8">
        <f t="shared" si="26"/>
        <v>0.22580645161290325</v>
      </c>
      <c r="L154" s="13" t="str">
        <f t="shared" si="27"/>
        <v/>
      </c>
      <c r="M154" t="str">
        <f t="shared" si="28"/>
        <v/>
      </c>
      <c r="N154">
        <f t="shared" si="29"/>
        <v>1</v>
      </c>
      <c r="O154">
        <f t="shared" si="30"/>
        <v>4</v>
      </c>
      <c r="P154">
        <v>1</v>
      </c>
      <c r="Q154" s="11">
        <v>45663</v>
      </c>
      <c r="R154">
        <f t="shared" si="31"/>
        <v>14</v>
      </c>
      <c r="S154">
        <v>79</v>
      </c>
      <c r="T154" s="8">
        <f t="shared" si="32"/>
        <v>0.1399999999999999</v>
      </c>
    </row>
    <row r="155" spans="1:20" hidden="1">
      <c r="A155">
        <v>37</v>
      </c>
      <c r="B155" t="s">
        <v>885</v>
      </c>
      <c r="C155" s="11">
        <v>45628</v>
      </c>
      <c r="D155">
        <v>60.5</v>
      </c>
      <c r="E155">
        <v>68.25</v>
      </c>
      <c r="F155">
        <v>57.6</v>
      </c>
      <c r="G155">
        <f>INDEX('اسعار الاسهم'!A:B,MATCH(B155,'اسعار الاسهم'!K:K,0),2)</f>
        <v>20.7</v>
      </c>
      <c r="H155" s="8" t="str">
        <f t="shared" si="24"/>
        <v/>
      </c>
      <c r="I155" s="8" t="str">
        <f t="shared" si="25"/>
        <v/>
      </c>
      <c r="J155" s="8" t="str">
        <f t="shared" si="23"/>
        <v/>
      </c>
      <c r="K155" s="8">
        <f t="shared" si="26"/>
        <v>0.18489583333333326</v>
      </c>
      <c r="L155" s="13" t="str">
        <f t="shared" si="27"/>
        <v/>
      </c>
      <c r="M155" t="str">
        <f t="shared" si="28"/>
        <v/>
      </c>
      <c r="N155">
        <f t="shared" si="29"/>
        <v>0</v>
      </c>
      <c r="O155">
        <f t="shared" si="30"/>
        <v>2</v>
      </c>
      <c r="P155">
        <v>0</v>
      </c>
      <c r="Q155" s="11">
        <v>45666</v>
      </c>
      <c r="R155">
        <f t="shared" si="31"/>
        <v>40</v>
      </c>
      <c r="S155">
        <v>82</v>
      </c>
      <c r="T155" s="8">
        <f t="shared" si="32"/>
        <v>-4.7933884297520657E-2</v>
      </c>
    </row>
    <row r="156" spans="1:20" hidden="1">
      <c r="A156">
        <v>55</v>
      </c>
      <c r="B156" s="3" t="s">
        <v>741</v>
      </c>
      <c r="C156" s="11">
        <v>45635</v>
      </c>
      <c r="D156">
        <v>2.2999999999999998</v>
      </c>
      <c r="E156">
        <v>2.5299999999999998</v>
      </c>
      <c r="F156">
        <v>2.15</v>
      </c>
      <c r="G156">
        <f>INDEX('اسعار الاسهم'!A:B,MATCH(B156,'اسعار الاسهم'!K:K,0),2)</f>
        <v>5.2</v>
      </c>
      <c r="H156" s="8" t="str">
        <f t="shared" si="24"/>
        <v/>
      </c>
      <c r="I156" s="8" t="str">
        <f t="shared" si="25"/>
        <v/>
      </c>
      <c r="J156" s="8" t="str">
        <f t="shared" si="23"/>
        <v/>
      </c>
      <c r="K156" s="8">
        <f t="shared" si="26"/>
        <v>0.17674418604651154</v>
      </c>
      <c r="L156" s="13" t="str">
        <f t="shared" si="27"/>
        <v/>
      </c>
      <c r="M156" t="str">
        <f t="shared" si="28"/>
        <v/>
      </c>
      <c r="N156">
        <f t="shared" si="29"/>
        <v>1</v>
      </c>
      <c r="O156">
        <f t="shared" si="30"/>
        <v>3</v>
      </c>
      <c r="P156">
        <v>1</v>
      </c>
      <c r="Q156" s="11">
        <v>45666</v>
      </c>
      <c r="R156">
        <f t="shared" si="31"/>
        <v>33</v>
      </c>
      <c r="S156">
        <v>81</v>
      </c>
      <c r="T156" s="8">
        <f t="shared" si="32"/>
        <v>0.10000000000000009</v>
      </c>
    </row>
    <row r="157" spans="1:20" hidden="1">
      <c r="A157">
        <v>83</v>
      </c>
      <c r="B157" t="s">
        <v>825</v>
      </c>
      <c r="C157" s="11">
        <v>45644</v>
      </c>
      <c r="D157">
        <v>287</v>
      </c>
      <c r="E157">
        <v>315</v>
      </c>
      <c r="F157">
        <v>275</v>
      </c>
      <c r="G157">
        <f>INDEX('اسعار الاسهم'!A:B,MATCH(B157,'اسعار الاسهم'!K:K,0),2)</f>
        <v>708.01</v>
      </c>
      <c r="H157" s="8" t="str">
        <f t="shared" si="24"/>
        <v/>
      </c>
      <c r="I157" s="8" t="str">
        <f t="shared" si="25"/>
        <v/>
      </c>
      <c r="J157" s="8" t="str">
        <f t="shared" si="23"/>
        <v/>
      </c>
      <c r="K157" s="8">
        <f t="shared" si="26"/>
        <v>0.1454545454545455</v>
      </c>
      <c r="L157" s="13" t="str">
        <f t="shared" si="27"/>
        <v/>
      </c>
      <c r="M157" t="str">
        <f t="shared" si="28"/>
        <v/>
      </c>
      <c r="N157">
        <f t="shared" si="29"/>
        <v>4</v>
      </c>
      <c r="O157">
        <f t="shared" si="30"/>
        <v>5</v>
      </c>
      <c r="P157">
        <v>0</v>
      </c>
      <c r="Q157" s="11">
        <v>45666</v>
      </c>
      <c r="R157">
        <f t="shared" si="31"/>
        <v>24</v>
      </c>
      <c r="S157">
        <v>80</v>
      </c>
      <c r="T157" s="8">
        <f t="shared" si="32"/>
        <v>-4.181184668989546E-2</v>
      </c>
    </row>
    <row r="158" spans="1:20" hidden="1">
      <c r="A158">
        <v>111</v>
      </c>
      <c r="B158" t="s">
        <v>765</v>
      </c>
      <c r="C158" s="11">
        <v>45662</v>
      </c>
      <c r="D158">
        <v>41.4</v>
      </c>
      <c r="E158">
        <v>45.7</v>
      </c>
      <c r="F158">
        <v>39.5</v>
      </c>
      <c r="G158">
        <f>INDEX('اسعار الاسهم'!A:B,MATCH(B158,'اسعار الاسهم'!K:K,0),2)</f>
        <v>49</v>
      </c>
      <c r="H158" s="8" t="str">
        <f t="shared" si="24"/>
        <v/>
      </c>
      <c r="I158" s="8" t="str">
        <f t="shared" si="25"/>
        <v/>
      </c>
      <c r="J158" s="8" t="str">
        <f t="shared" si="23"/>
        <v/>
      </c>
      <c r="K158" s="8">
        <f t="shared" si="26"/>
        <v>0.15696202531645587</v>
      </c>
      <c r="L158" s="13" t="str">
        <f t="shared" si="27"/>
        <v/>
      </c>
      <c r="M158" t="str">
        <f t="shared" si="28"/>
        <v/>
      </c>
      <c r="N158">
        <f t="shared" si="29"/>
        <v>2</v>
      </c>
      <c r="O158">
        <f t="shared" si="30"/>
        <v>7</v>
      </c>
      <c r="P158">
        <v>0</v>
      </c>
      <c r="Q158" s="11">
        <v>45669</v>
      </c>
      <c r="R158">
        <f t="shared" si="31"/>
        <v>9</v>
      </c>
      <c r="S158">
        <v>83</v>
      </c>
      <c r="T158" s="8">
        <f t="shared" si="32"/>
        <v>-4.5893719806763267E-2</v>
      </c>
    </row>
    <row r="159" spans="1:20" hidden="1">
      <c r="A159">
        <v>124</v>
      </c>
      <c r="B159" t="s">
        <v>784</v>
      </c>
      <c r="C159" s="11">
        <v>45665</v>
      </c>
      <c r="D159">
        <v>20.6</v>
      </c>
      <c r="E159">
        <v>22.4</v>
      </c>
      <c r="F159">
        <v>19.850000000000001</v>
      </c>
      <c r="G159">
        <f>INDEX('اسعار الاسهم'!A:B,MATCH(B159,'اسعار الاسهم'!K:K,0),2)</f>
        <v>26.32</v>
      </c>
      <c r="H159" s="8" t="str">
        <f t="shared" si="24"/>
        <v/>
      </c>
      <c r="I159" s="8" t="str">
        <f t="shared" si="25"/>
        <v/>
      </c>
      <c r="J159" s="8" t="str">
        <f t="shared" si="23"/>
        <v/>
      </c>
      <c r="K159" s="8">
        <f t="shared" si="26"/>
        <v>0.12846347607052877</v>
      </c>
      <c r="L159" s="13" t="str">
        <f t="shared" si="27"/>
        <v/>
      </c>
      <c r="M159" t="str">
        <f t="shared" si="28"/>
        <v/>
      </c>
      <c r="N159">
        <f t="shared" si="29"/>
        <v>0</v>
      </c>
      <c r="O159">
        <f t="shared" si="30"/>
        <v>7</v>
      </c>
      <c r="P159">
        <v>0</v>
      </c>
      <c r="Q159" s="11">
        <v>45670</v>
      </c>
      <c r="R159">
        <f>IF(Q159, Q159-C159,"")</f>
        <v>5</v>
      </c>
      <c r="S159">
        <v>85</v>
      </c>
      <c r="T159" s="8">
        <f t="shared" si="32"/>
        <v>-3.6407766990291246E-2</v>
      </c>
    </row>
    <row r="160" spans="1:20" hidden="1">
      <c r="A160">
        <v>105</v>
      </c>
      <c r="B160" t="s">
        <v>784</v>
      </c>
      <c r="C160" s="11">
        <v>45657</v>
      </c>
      <c r="D160">
        <v>20.350000000000001</v>
      </c>
      <c r="E160">
        <v>22.5</v>
      </c>
      <c r="F160">
        <v>19.850000000000001</v>
      </c>
      <c r="G160">
        <f>INDEX('اسعار الاسهم'!A:B,MATCH(B160,'اسعار الاسهم'!K:K,0),2)</f>
        <v>26.32</v>
      </c>
      <c r="H160" s="8" t="str">
        <f t="shared" si="24"/>
        <v/>
      </c>
      <c r="I160" s="8" t="str">
        <f t="shared" si="25"/>
        <v/>
      </c>
      <c r="J160" s="8" t="str">
        <f t="shared" si="23"/>
        <v/>
      </c>
      <c r="K160" s="8">
        <f t="shared" si="26"/>
        <v>0.13350125944584379</v>
      </c>
      <c r="L160" s="13" t="str">
        <f t="shared" si="27"/>
        <v/>
      </c>
      <c r="M160" t="str">
        <f t="shared" si="28"/>
        <v/>
      </c>
      <c r="N160">
        <f t="shared" si="29"/>
        <v>0</v>
      </c>
      <c r="O160">
        <f t="shared" si="30"/>
        <v>7</v>
      </c>
      <c r="P160">
        <v>0</v>
      </c>
      <c r="Q160" s="11">
        <v>45670</v>
      </c>
      <c r="R160">
        <f>IF(Q160, Q160-C160,"")</f>
        <v>13</v>
      </c>
      <c r="S160">
        <v>86</v>
      </c>
      <c r="T160" s="8">
        <f t="shared" si="32"/>
        <v>-2.4570024570024551E-2</v>
      </c>
    </row>
    <row r="161" spans="1:20" hidden="1">
      <c r="A161">
        <v>119</v>
      </c>
      <c r="B161" t="s">
        <v>810</v>
      </c>
      <c r="C161" s="11">
        <v>45663</v>
      </c>
      <c r="D161">
        <v>0.25800000000000001</v>
      </c>
      <c r="E161">
        <v>0.28799999999999998</v>
      </c>
      <c r="F161">
        <v>0.24299999999999999</v>
      </c>
      <c r="G161">
        <f>INDEX('اسعار الاسهم'!A:B,MATCH(B161,'اسعار الاسهم'!K:K,0),2)</f>
        <v>1.52</v>
      </c>
      <c r="H161" s="8" t="str">
        <f t="shared" si="24"/>
        <v/>
      </c>
      <c r="I161" s="8" t="str">
        <f t="shared" si="25"/>
        <v/>
      </c>
      <c r="J161" s="8" t="str">
        <f t="shared" si="23"/>
        <v/>
      </c>
      <c r="K161" s="8">
        <f t="shared" si="26"/>
        <v>0.18518518518518512</v>
      </c>
      <c r="L161" s="13" t="str">
        <f t="shared" si="27"/>
        <v/>
      </c>
      <c r="M161" t="str">
        <f t="shared" si="28"/>
        <v/>
      </c>
      <c r="N161">
        <f t="shared" si="29"/>
        <v>0</v>
      </c>
      <c r="O161">
        <f t="shared" si="30"/>
        <v>1</v>
      </c>
      <c r="P161">
        <v>0</v>
      </c>
      <c r="Q161" s="11">
        <v>45670</v>
      </c>
      <c r="R161">
        <f t="shared" ref="R161:R206" si="33">IF(Q161, Q161-C161+2,"")</f>
        <v>9</v>
      </c>
      <c r="S161">
        <v>91</v>
      </c>
      <c r="T161" s="8">
        <f t="shared" si="32"/>
        <v>-5.8139534883721034E-2</v>
      </c>
    </row>
    <row r="162" spans="1:20" hidden="1">
      <c r="A162">
        <v>76</v>
      </c>
      <c r="B162" t="s">
        <v>850</v>
      </c>
      <c r="C162" s="11">
        <v>45642</v>
      </c>
      <c r="D162">
        <v>0.247</v>
      </c>
      <c r="E162">
        <v>0.28000000000000003</v>
      </c>
      <c r="F162">
        <v>0.23</v>
      </c>
      <c r="G162" t="e">
        <f>INDEX('اسعار الاسهم'!A:B,MATCH(B162,'اسعار الاسهم'!K:K,0),2)</f>
        <v>#N/A</v>
      </c>
      <c r="H162" s="8" t="str">
        <f t="shared" si="24"/>
        <v/>
      </c>
      <c r="I162" s="8" t="str">
        <f t="shared" si="25"/>
        <v/>
      </c>
      <c r="J162" s="8" t="str">
        <f t="shared" si="23"/>
        <v/>
      </c>
      <c r="K162" s="8">
        <f t="shared" si="26"/>
        <v>0.21739130434782616</v>
      </c>
      <c r="L162" s="13" t="str">
        <f t="shared" si="27"/>
        <v/>
      </c>
      <c r="M162" t="str">
        <f t="shared" si="28"/>
        <v/>
      </c>
      <c r="N162">
        <f t="shared" si="29"/>
        <v>1</v>
      </c>
      <c r="O162">
        <f t="shared" si="30"/>
        <v>4</v>
      </c>
      <c r="P162">
        <v>0</v>
      </c>
      <c r="Q162" s="11">
        <v>45670</v>
      </c>
      <c r="R162">
        <f t="shared" si="33"/>
        <v>30</v>
      </c>
      <c r="S162">
        <v>90</v>
      </c>
      <c r="T162" s="8">
        <f t="shared" si="32"/>
        <v>-6.8825910931174072E-2</v>
      </c>
    </row>
    <row r="163" spans="1:20" hidden="1">
      <c r="A163">
        <v>93</v>
      </c>
      <c r="B163" t="s">
        <v>820</v>
      </c>
      <c r="C163" s="11">
        <v>45651</v>
      </c>
      <c r="D163">
        <v>0.58499999999999996</v>
      </c>
      <c r="E163">
        <v>0.64</v>
      </c>
      <c r="F163">
        <v>0.54</v>
      </c>
      <c r="G163">
        <f>INDEX('اسعار الاسهم'!A:B,MATCH(B163,'اسعار الاسهم'!K:K,0),2)</f>
        <v>0.34</v>
      </c>
      <c r="H163" s="8" t="str">
        <f t="shared" si="24"/>
        <v/>
      </c>
      <c r="I163" s="8" t="str">
        <f t="shared" si="25"/>
        <v/>
      </c>
      <c r="J163" s="8" t="str">
        <f t="shared" si="23"/>
        <v/>
      </c>
      <c r="K163" s="8">
        <f t="shared" si="26"/>
        <v>0.18518518518518512</v>
      </c>
      <c r="L163" s="13" t="str">
        <f t="shared" si="27"/>
        <v/>
      </c>
      <c r="M163" t="str">
        <f t="shared" si="28"/>
        <v/>
      </c>
      <c r="N163">
        <f t="shared" si="29"/>
        <v>1</v>
      </c>
      <c r="O163">
        <f t="shared" si="30"/>
        <v>3</v>
      </c>
      <c r="P163">
        <v>0</v>
      </c>
      <c r="Q163" s="11">
        <v>45670</v>
      </c>
      <c r="R163">
        <f t="shared" si="33"/>
        <v>21</v>
      </c>
      <c r="S163">
        <v>88</v>
      </c>
      <c r="T163" s="8">
        <f t="shared" si="32"/>
        <v>-7.6923076923076761E-2</v>
      </c>
    </row>
    <row r="164" spans="1:20" hidden="1">
      <c r="A164">
        <v>115</v>
      </c>
      <c r="B164" t="s">
        <v>773</v>
      </c>
      <c r="C164" s="11">
        <v>45662</v>
      </c>
      <c r="D164">
        <v>1.8</v>
      </c>
      <c r="E164">
        <v>2</v>
      </c>
      <c r="F164">
        <v>1.67</v>
      </c>
      <c r="G164">
        <f>INDEX('اسعار الاسهم'!A:B,MATCH(B164,'اسعار الاسهم'!K:K,0),2)</f>
        <v>1.92</v>
      </c>
      <c r="H164" s="8" t="str">
        <f t="shared" si="24"/>
        <v/>
      </c>
      <c r="I164" s="8" t="str">
        <f t="shared" si="25"/>
        <v/>
      </c>
      <c r="J164" s="8" t="str">
        <f t="shared" si="23"/>
        <v/>
      </c>
      <c r="K164" s="8">
        <f t="shared" si="26"/>
        <v>0.19760479041916179</v>
      </c>
      <c r="L164" s="13" t="str">
        <f t="shared" si="27"/>
        <v/>
      </c>
      <c r="M164" t="str">
        <f t="shared" si="28"/>
        <v/>
      </c>
      <c r="N164">
        <f t="shared" si="29"/>
        <v>1</v>
      </c>
      <c r="O164">
        <f t="shared" si="30"/>
        <v>5</v>
      </c>
      <c r="P164">
        <v>0</v>
      </c>
      <c r="Q164" s="11">
        <v>45670</v>
      </c>
      <c r="R164">
        <f t="shared" si="33"/>
        <v>10</v>
      </c>
      <c r="S164">
        <v>87</v>
      </c>
      <c r="T164" s="8">
        <f t="shared" si="32"/>
        <v>-7.2222222222222299E-2</v>
      </c>
    </row>
    <row r="165" spans="1:20" hidden="1">
      <c r="A165">
        <v>81</v>
      </c>
      <c r="B165" t="s">
        <v>820</v>
      </c>
      <c r="C165" s="11">
        <v>45643</v>
      </c>
      <c r="D165">
        <v>0.60099999999999998</v>
      </c>
      <c r="E165">
        <v>0.72</v>
      </c>
      <c r="F165">
        <v>0.55000000000000004</v>
      </c>
      <c r="G165">
        <f>INDEX('اسعار الاسهم'!A:B,MATCH(B165,'اسعار الاسهم'!K:K,0),2)</f>
        <v>0.34</v>
      </c>
      <c r="H165" s="8" t="str">
        <f t="shared" si="24"/>
        <v/>
      </c>
      <c r="I165" s="8" t="str">
        <f t="shared" si="25"/>
        <v/>
      </c>
      <c r="J165" s="8" t="str">
        <f t="shared" si="23"/>
        <v/>
      </c>
      <c r="K165" s="8">
        <f t="shared" si="26"/>
        <v>0.30909090909090886</v>
      </c>
      <c r="L165" s="13" t="str">
        <f t="shared" si="27"/>
        <v/>
      </c>
      <c r="M165" t="str">
        <f t="shared" si="28"/>
        <v/>
      </c>
      <c r="N165">
        <f t="shared" si="29"/>
        <v>1</v>
      </c>
      <c r="O165">
        <f t="shared" si="30"/>
        <v>3</v>
      </c>
      <c r="P165">
        <v>0</v>
      </c>
      <c r="Q165" s="11">
        <v>45670</v>
      </c>
      <c r="R165">
        <f t="shared" si="33"/>
        <v>29</v>
      </c>
      <c r="S165">
        <v>89</v>
      </c>
      <c r="T165" s="8">
        <f t="shared" si="32"/>
        <v>-8.4858569051580623E-2</v>
      </c>
    </row>
    <row r="166" spans="1:20" hidden="1">
      <c r="A166">
        <v>110</v>
      </c>
      <c r="B166" t="s">
        <v>743</v>
      </c>
      <c r="C166" s="11">
        <v>45659</v>
      </c>
      <c r="D166">
        <v>3.38</v>
      </c>
      <c r="E166">
        <v>3.75</v>
      </c>
      <c r="F166">
        <v>3.18</v>
      </c>
      <c r="G166">
        <f>INDEX('اسعار الاسهم'!A:B,MATCH(B166,'اسعار الاسهم'!K:K,0),2)</f>
        <v>5.0599999999999996</v>
      </c>
      <c r="H166" s="8" t="str">
        <f t="shared" si="24"/>
        <v/>
      </c>
      <c r="I166" s="8" t="str">
        <f t="shared" si="25"/>
        <v/>
      </c>
      <c r="J166" s="8" t="str">
        <f t="shared" si="23"/>
        <v/>
      </c>
      <c r="K166" s="8">
        <f t="shared" si="26"/>
        <v>0.17924528301886777</v>
      </c>
      <c r="L166" s="13" t="str">
        <f t="shared" si="27"/>
        <v/>
      </c>
      <c r="M166" t="str">
        <f t="shared" si="28"/>
        <v/>
      </c>
      <c r="N166">
        <f t="shared" si="29"/>
        <v>0</v>
      </c>
      <c r="O166">
        <f t="shared" si="30"/>
        <v>4</v>
      </c>
      <c r="P166">
        <v>0</v>
      </c>
      <c r="Q166" s="11">
        <v>45671</v>
      </c>
      <c r="R166">
        <f t="shared" si="33"/>
        <v>14</v>
      </c>
      <c r="S166">
        <v>94</v>
      </c>
      <c r="T166" s="8">
        <f t="shared" si="32"/>
        <v>-5.9171597633136064E-2</v>
      </c>
    </row>
    <row r="167" spans="1:20" hidden="1">
      <c r="A167">
        <v>65</v>
      </c>
      <c r="B167" t="s">
        <v>743</v>
      </c>
      <c r="C167" s="11">
        <v>45637</v>
      </c>
      <c r="D167">
        <v>3.37</v>
      </c>
      <c r="E167">
        <v>3.75</v>
      </c>
      <c r="F167">
        <v>3.18</v>
      </c>
      <c r="G167">
        <f>INDEX('اسعار الاسهم'!A:B,MATCH(B167,'اسعار الاسهم'!K:K,0),2)</f>
        <v>5.0599999999999996</v>
      </c>
      <c r="H167" s="8" t="str">
        <f t="shared" si="24"/>
        <v/>
      </c>
      <c r="I167" s="8" t="str">
        <f t="shared" si="25"/>
        <v/>
      </c>
      <c r="J167" s="8" t="str">
        <f t="shared" si="23"/>
        <v/>
      </c>
      <c r="K167" s="8">
        <f t="shared" si="26"/>
        <v>0.17924528301886777</v>
      </c>
      <c r="L167" s="13" t="str">
        <f t="shared" si="27"/>
        <v/>
      </c>
      <c r="M167" t="str">
        <f t="shared" si="28"/>
        <v/>
      </c>
      <c r="N167">
        <f t="shared" si="29"/>
        <v>0</v>
      </c>
      <c r="O167">
        <f t="shared" si="30"/>
        <v>4</v>
      </c>
      <c r="P167">
        <v>0</v>
      </c>
      <c r="Q167" s="11">
        <v>45671</v>
      </c>
      <c r="R167">
        <f t="shared" si="33"/>
        <v>36</v>
      </c>
      <c r="S167">
        <v>95</v>
      </c>
      <c r="T167" s="8">
        <f t="shared" si="32"/>
        <v>-5.6379821958456922E-2</v>
      </c>
    </row>
    <row r="168" spans="1:20" hidden="1">
      <c r="A168">
        <v>127</v>
      </c>
      <c r="B168" t="s">
        <v>823</v>
      </c>
      <c r="C168" s="11">
        <v>45666</v>
      </c>
      <c r="D168">
        <v>24.7</v>
      </c>
      <c r="E168">
        <v>28</v>
      </c>
      <c r="F168">
        <v>23.2</v>
      </c>
      <c r="G168">
        <f>INDEX('اسعار الاسهم'!A:B,MATCH(B168,'اسعار الاسهم'!K:K,0),2)</f>
        <v>32.76</v>
      </c>
      <c r="H168" s="8" t="str">
        <f t="shared" si="24"/>
        <v/>
      </c>
      <c r="I168" s="8" t="str">
        <f t="shared" si="25"/>
        <v/>
      </c>
      <c r="J168" s="8" t="str">
        <f t="shared" si="23"/>
        <v/>
      </c>
      <c r="K168" s="8">
        <f t="shared" si="26"/>
        <v>0.2068965517241379</v>
      </c>
      <c r="L168" s="13" t="str">
        <f t="shared" si="27"/>
        <v/>
      </c>
      <c r="M168" t="str">
        <f t="shared" si="28"/>
        <v/>
      </c>
      <c r="N168">
        <f t="shared" si="29"/>
        <v>0</v>
      </c>
      <c r="O168">
        <f t="shared" si="30"/>
        <v>1</v>
      </c>
      <c r="P168">
        <v>0</v>
      </c>
      <c r="Q168" s="11">
        <v>45671</v>
      </c>
      <c r="R168">
        <f t="shared" si="33"/>
        <v>7</v>
      </c>
      <c r="S168">
        <v>97</v>
      </c>
      <c r="T168" s="8">
        <f t="shared" si="32"/>
        <v>-6.0728744939271273E-2</v>
      </c>
    </row>
    <row r="169" spans="1:20" hidden="1">
      <c r="A169">
        <v>138</v>
      </c>
      <c r="B169" t="s">
        <v>734</v>
      </c>
      <c r="C169" s="11">
        <v>45670</v>
      </c>
      <c r="D169">
        <v>23.66</v>
      </c>
      <c r="E169">
        <v>26.9</v>
      </c>
      <c r="F169">
        <v>22.2</v>
      </c>
      <c r="G169">
        <f>INDEX('اسعار الاسهم'!A:B,MATCH(B169,'اسعار الاسهم'!K:K,0),2)</f>
        <v>29.32</v>
      </c>
      <c r="H169" s="8" t="str">
        <f t="shared" si="24"/>
        <v/>
      </c>
      <c r="I169" s="8" t="str">
        <f t="shared" si="25"/>
        <v/>
      </c>
      <c r="J169" s="8" t="str">
        <f t="shared" si="23"/>
        <v/>
      </c>
      <c r="K169" s="8">
        <f t="shared" si="26"/>
        <v>0.21171171171171177</v>
      </c>
      <c r="L169" s="13" t="str">
        <f t="shared" si="27"/>
        <v/>
      </c>
      <c r="M169" t="str">
        <f t="shared" si="28"/>
        <v/>
      </c>
      <c r="N169">
        <f t="shared" si="29"/>
        <v>0</v>
      </c>
      <c r="O169">
        <f t="shared" si="30"/>
        <v>3</v>
      </c>
      <c r="P169">
        <v>0</v>
      </c>
      <c r="Q169" s="11">
        <v>45671</v>
      </c>
      <c r="R169">
        <f t="shared" si="33"/>
        <v>3</v>
      </c>
      <c r="S169">
        <v>96</v>
      </c>
      <c r="T169" s="8">
        <f t="shared" si="32"/>
        <v>-6.170752324598483E-2</v>
      </c>
    </row>
    <row r="170" spans="1:20" hidden="1">
      <c r="A170">
        <v>66</v>
      </c>
      <c r="B170" t="s">
        <v>769</v>
      </c>
      <c r="C170" s="11">
        <v>45637</v>
      </c>
      <c r="D170">
        <v>0.51600000000000001</v>
      </c>
      <c r="E170">
        <v>0.57999999999999996</v>
      </c>
      <c r="F170">
        <v>0.49</v>
      </c>
      <c r="G170">
        <f>INDEX('اسعار الاسهم'!A:B,MATCH(B170,'اسعار الاسهم'!K:K,0),2)</f>
        <v>0.34</v>
      </c>
      <c r="H170" s="8" t="str">
        <f t="shared" si="24"/>
        <v/>
      </c>
      <c r="I170" s="8" t="str">
        <f t="shared" si="25"/>
        <v/>
      </c>
      <c r="J170" s="8" t="str">
        <f t="shared" si="23"/>
        <v/>
      </c>
      <c r="K170" s="8">
        <f t="shared" si="26"/>
        <v>0.18367346938775508</v>
      </c>
      <c r="L170" s="13" t="str">
        <f t="shared" si="27"/>
        <v/>
      </c>
      <c r="M170" t="str">
        <f t="shared" si="28"/>
        <v/>
      </c>
      <c r="N170">
        <f t="shared" si="29"/>
        <v>0</v>
      </c>
      <c r="O170">
        <f t="shared" si="30"/>
        <v>3</v>
      </c>
      <c r="P170">
        <v>0</v>
      </c>
      <c r="Q170" s="11">
        <v>45671</v>
      </c>
      <c r="R170">
        <f t="shared" si="33"/>
        <v>36</v>
      </c>
      <c r="S170">
        <v>93</v>
      </c>
      <c r="T170" s="8">
        <f t="shared" si="32"/>
        <v>-5.0387596899224896E-2</v>
      </c>
    </row>
    <row r="171" spans="1:20" hidden="1">
      <c r="A171">
        <v>129</v>
      </c>
      <c r="B171" t="s">
        <v>796</v>
      </c>
      <c r="C171" s="11">
        <v>45669</v>
      </c>
      <c r="D171">
        <v>1.73</v>
      </c>
      <c r="E171">
        <v>2.04</v>
      </c>
      <c r="F171">
        <v>1.61</v>
      </c>
      <c r="G171">
        <f>INDEX('اسعار الاسهم'!A:B,MATCH(B171,'اسعار الاسهم'!K:K,0),2)</f>
        <v>1.1499999999999999</v>
      </c>
      <c r="H171" s="8" t="str">
        <f t="shared" si="24"/>
        <v/>
      </c>
      <c r="I171" s="8" t="str">
        <f t="shared" si="25"/>
        <v/>
      </c>
      <c r="J171" s="8" t="str">
        <f t="shared" si="23"/>
        <v/>
      </c>
      <c r="K171" s="8">
        <f t="shared" si="26"/>
        <v>0.26708074534161486</v>
      </c>
      <c r="L171" s="13" t="str">
        <f t="shared" si="27"/>
        <v/>
      </c>
      <c r="M171" t="str">
        <f t="shared" si="28"/>
        <v/>
      </c>
      <c r="N171">
        <f t="shared" si="29"/>
        <v>1</v>
      </c>
      <c r="O171">
        <f t="shared" si="30"/>
        <v>4</v>
      </c>
      <c r="P171">
        <v>0</v>
      </c>
      <c r="Q171" s="11">
        <v>45671</v>
      </c>
      <c r="R171">
        <f t="shared" si="33"/>
        <v>4</v>
      </c>
      <c r="S171">
        <v>92</v>
      </c>
      <c r="T171" s="8">
        <f t="shared" si="32"/>
        <v>-6.9364161849710948E-2</v>
      </c>
    </row>
    <row r="172" spans="1:20" hidden="1">
      <c r="A172">
        <v>109</v>
      </c>
      <c r="B172" t="s">
        <v>894</v>
      </c>
      <c r="C172" s="11">
        <v>45659</v>
      </c>
      <c r="D172" s="12">
        <f>22.2*10/13</f>
        <v>17.076923076923077</v>
      </c>
      <c r="E172" s="12">
        <f>25.2*10/13</f>
        <v>19.384615384615383</v>
      </c>
      <c r="F172" s="12">
        <f>21*10/13</f>
        <v>16.153846153846153</v>
      </c>
      <c r="G172">
        <f>INDEX('اسعار الاسهم'!A:B,MATCH(B172,'اسعار الاسهم'!K:K,0),2)</f>
        <v>34.5</v>
      </c>
      <c r="H172" s="8" t="str">
        <f t="shared" si="24"/>
        <v/>
      </c>
      <c r="I172" s="8" t="str">
        <f t="shared" si="25"/>
        <v/>
      </c>
      <c r="J172" s="8" t="str">
        <f t="shared" si="23"/>
        <v/>
      </c>
      <c r="K172" s="8">
        <f t="shared" si="26"/>
        <v>0.19999999999999996</v>
      </c>
      <c r="L172" s="13" t="str">
        <f t="shared" si="27"/>
        <v/>
      </c>
      <c r="M172" t="str">
        <f t="shared" si="28"/>
        <v/>
      </c>
      <c r="N172">
        <f t="shared" si="29"/>
        <v>0</v>
      </c>
      <c r="O172">
        <f t="shared" si="30"/>
        <v>3</v>
      </c>
      <c r="P172">
        <v>0</v>
      </c>
      <c r="Q172" s="11">
        <v>45672</v>
      </c>
      <c r="R172">
        <f t="shared" si="33"/>
        <v>15</v>
      </c>
      <c r="S172">
        <v>98</v>
      </c>
      <c r="T172" s="8">
        <f t="shared" si="32"/>
        <v>-5.4054054054054057E-2</v>
      </c>
    </row>
    <row r="173" spans="1:20" hidden="1">
      <c r="A173">
        <v>140</v>
      </c>
      <c r="B173" t="s">
        <v>742</v>
      </c>
      <c r="C173" s="11">
        <v>45672</v>
      </c>
      <c r="D173">
        <v>8.9499999999999993</v>
      </c>
      <c r="E173">
        <v>9.85</v>
      </c>
      <c r="F173">
        <v>8.5</v>
      </c>
      <c r="G173">
        <f>INDEX('اسعار الاسهم'!A:B,MATCH(B173,'اسعار الاسهم'!K:K,0),2)</f>
        <v>6.43</v>
      </c>
      <c r="H173" s="8" t="str">
        <f t="shared" si="24"/>
        <v/>
      </c>
      <c r="I173" s="8" t="str">
        <f t="shared" si="25"/>
        <v/>
      </c>
      <c r="J173" s="8" t="str">
        <f t="shared" si="23"/>
        <v/>
      </c>
      <c r="K173" s="8">
        <f t="shared" si="26"/>
        <v>0.15882352941176459</v>
      </c>
      <c r="L173" s="13" t="str">
        <f t="shared" si="27"/>
        <v/>
      </c>
      <c r="M173" t="str">
        <f t="shared" si="28"/>
        <v/>
      </c>
      <c r="N173">
        <f t="shared" si="29"/>
        <v>0</v>
      </c>
      <c r="O173">
        <f t="shared" si="30"/>
        <v>2</v>
      </c>
      <c r="P173">
        <v>1</v>
      </c>
      <c r="Q173" s="11">
        <v>45672</v>
      </c>
      <c r="R173">
        <f t="shared" si="33"/>
        <v>2</v>
      </c>
      <c r="S173">
        <v>99</v>
      </c>
      <c r="T173" s="8">
        <f t="shared" si="32"/>
        <v>0.1005586592178771</v>
      </c>
    </row>
    <row r="174" spans="1:20" hidden="1">
      <c r="A174">
        <v>131</v>
      </c>
      <c r="B174" t="s">
        <v>987</v>
      </c>
      <c r="C174" s="11">
        <v>45669</v>
      </c>
      <c r="D174">
        <v>0.35</v>
      </c>
      <c r="E174">
        <v>0.41</v>
      </c>
      <c r="F174">
        <v>0.32</v>
      </c>
      <c r="G174" t="e">
        <f>INDEX('اسعار الاسهم'!A:B,MATCH(B174,'اسعار الاسهم'!K:K,0),2)</f>
        <v>#N/A</v>
      </c>
      <c r="H174" s="8" t="str">
        <f t="shared" si="24"/>
        <v/>
      </c>
      <c r="I174" s="8" t="str">
        <f t="shared" si="25"/>
        <v/>
      </c>
      <c r="J174" s="8" t="str">
        <f t="shared" si="23"/>
        <v/>
      </c>
      <c r="K174" s="8">
        <f t="shared" si="26"/>
        <v>0.28125</v>
      </c>
      <c r="L174" s="13" t="str">
        <f t="shared" si="27"/>
        <v/>
      </c>
      <c r="M174" t="str">
        <f t="shared" si="28"/>
        <v/>
      </c>
      <c r="N174">
        <f t="shared" si="29"/>
        <v>0</v>
      </c>
      <c r="O174">
        <f t="shared" si="30"/>
        <v>1</v>
      </c>
      <c r="P174">
        <v>1</v>
      </c>
      <c r="Q174" s="11">
        <v>45672</v>
      </c>
      <c r="R174">
        <f t="shared" si="33"/>
        <v>5</v>
      </c>
      <c r="S174">
        <v>100</v>
      </c>
      <c r="T174" s="8">
        <f t="shared" si="32"/>
        <v>0.17142857142857149</v>
      </c>
    </row>
    <row r="175" spans="1:20" hidden="1">
      <c r="A175">
        <v>100</v>
      </c>
      <c r="B175" t="s">
        <v>880</v>
      </c>
      <c r="C175" s="11">
        <v>45655</v>
      </c>
      <c r="D175">
        <v>0.35099999999999998</v>
      </c>
      <c r="E175">
        <v>0.38600000000000001</v>
      </c>
      <c r="F175">
        <v>0.32300000000000001</v>
      </c>
      <c r="G175">
        <f>INDEX('اسعار الاسهم'!A:B,MATCH(B175,'اسعار الاسهم'!K:K,0),2)</f>
        <v>0.7</v>
      </c>
      <c r="H175" s="8" t="str">
        <f t="shared" si="24"/>
        <v/>
      </c>
      <c r="I175" s="8" t="str">
        <f t="shared" si="25"/>
        <v/>
      </c>
      <c r="J175" s="8" t="str">
        <f t="shared" si="23"/>
        <v/>
      </c>
      <c r="K175" s="8">
        <f t="shared" si="26"/>
        <v>0.195046439628483</v>
      </c>
      <c r="L175" s="13" t="str">
        <f t="shared" si="27"/>
        <v/>
      </c>
      <c r="M175" t="str">
        <f t="shared" si="28"/>
        <v/>
      </c>
      <c r="N175">
        <f t="shared" si="29"/>
        <v>0</v>
      </c>
      <c r="O175">
        <f t="shared" si="30"/>
        <v>4</v>
      </c>
      <c r="P175">
        <v>1</v>
      </c>
      <c r="Q175" s="11">
        <v>45673</v>
      </c>
      <c r="R175">
        <f t="shared" si="33"/>
        <v>20</v>
      </c>
      <c r="S175">
        <v>101</v>
      </c>
      <c r="T175" s="8">
        <f t="shared" si="32"/>
        <v>9.9715099715099731E-2</v>
      </c>
    </row>
    <row r="176" spans="1:20" hidden="1">
      <c r="A176">
        <v>133</v>
      </c>
      <c r="B176" t="s">
        <v>814</v>
      </c>
      <c r="C176" s="11">
        <v>45669</v>
      </c>
      <c r="D176">
        <v>10.15</v>
      </c>
      <c r="E176">
        <v>11.5</v>
      </c>
      <c r="F176">
        <v>9.5</v>
      </c>
      <c r="G176">
        <f>INDEX('اسعار الاسهم'!A:B,MATCH(B176,'اسعار الاسهم'!K:K,0),2)</f>
        <v>15.8</v>
      </c>
      <c r="H176" s="8" t="str">
        <f t="shared" si="24"/>
        <v/>
      </c>
      <c r="I176" s="8" t="str">
        <f t="shared" si="25"/>
        <v/>
      </c>
      <c r="J176" s="8" t="str">
        <f t="shared" si="23"/>
        <v/>
      </c>
      <c r="K176" s="8">
        <f t="shared" si="26"/>
        <v>0.21052631578947367</v>
      </c>
      <c r="L176" s="13" t="str">
        <f t="shared" si="27"/>
        <v/>
      </c>
      <c r="M176" t="str">
        <f t="shared" si="28"/>
        <v/>
      </c>
      <c r="N176">
        <f t="shared" si="29"/>
        <v>0</v>
      </c>
      <c r="O176">
        <f t="shared" si="30"/>
        <v>3</v>
      </c>
      <c r="P176">
        <v>1</v>
      </c>
      <c r="Q176" s="11">
        <v>45673</v>
      </c>
      <c r="R176">
        <f t="shared" si="33"/>
        <v>6</v>
      </c>
      <c r="S176">
        <v>102</v>
      </c>
      <c r="T176" s="8">
        <f t="shared" si="32"/>
        <v>0.13300492610837433</v>
      </c>
    </row>
    <row r="177" spans="1:20" hidden="1">
      <c r="A177">
        <v>121</v>
      </c>
      <c r="B177" s="3" t="s">
        <v>741</v>
      </c>
      <c r="C177" s="11">
        <v>45665</v>
      </c>
      <c r="D177">
        <v>2.38</v>
      </c>
      <c r="E177">
        <v>2.63</v>
      </c>
      <c r="F177">
        <v>2.17</v>
      </c>
      <c r="G177">
        <f>INDEX('اسعار الاسهم'!A:B,MATCH(B177,'اسعار الاسهم'!K:K,0),2)</f>
        <v>5.2</v>
      </c>
      <c r="H177" s="8" t="str">
        <f t="shared" si="24"/>
        <v/>
      </c>
      <c r="I177" s="8" t="str">
        <f t="shared" si="25"/>
        <v/>
      </c>
      <c r="J177" s="8" t="str">
        <f t="shared" si="23"/>
        <v/>
      </c>
      <c r="K177" s="8">
        <f t="shared" si="26"/>
        <v>0.21198156682027647</v>
      </c>
      <c r="L177" s="13" t="str">
        <f t="shared" si="27"/>
        <v/>
      </c>
      <c r="M177" t="str">
        <f t="shared" si="28"/>
        <v/>
      </c>
      <c r="N177">
        <f t="shared" si="29"/>
        <v>1</v>
      </c>
      <c r="O177">
        <f t="shared" si="30"/>
        <v>3</v>
      </c>
      <c r="P177">
        <v>1</v>
      </c>
      <c r="Q177" s="11">
        <v>45676</v>
      </c>
      <c r="R177">
        <f t="shared" si="33"/>
        <v>13</v>
      </c>
      <c r="S177">
        <v>103</v>
      </c>
      <c r="T177" s="8">
        <f t="shared" si="32"/>
        <v>0.10504201680672276</v>
      </c>
    </row>
    <row r="178" spans="1:20" hidden="1">
      <c r="A178">
        <v>143</v>
      </c>
      <c r="B178" t="s">
        <v>777</v>
      </c>
      <c r="C178" s="11">
        <v>45673</v>
      </c>
      <c r="D178">
        <v>21.85</v>
      </c>
      <c r="E178">
        <v>24.4</v>
      </c>
      <c r="F178">
        <v>20.5</v>
      </c>
      <c r="G178">
        <f>INDEX('اسعار الاسهم'!A:B,MATCH(B178,'اسعار الاسهم'!K:K,0),2)</f>
        <v>31.55</v>
      </c>
      <c r="H178" s="8" t="str">
        <f t="shared" si="24"/>
        <v/>
      </c>
      <c r="I178" s="8" t="str">
        <f t="shared" si="25"/>
        <v/>
      </c>
      <c r="J178" s="8" t="str">
        <f t="shared" si="23"/>
        <v/>
      </c>
      <c r="K178" s="8">
        <f t="shared" si="26"/>
        <v>0.19024390243902434</v>
      </c>
      <c r="L178" s="13" t="str">
        <f t="shared" si="27"/>
        <v/>
      </c>
      <c r="M178" t="str">
        <f t="shared" si="28"/>
        <v/>
      </c>
      <c r="N178">
        <f t="shared" si="29"/>
        <v>0</v>
      </c>
      <c r="O178">
        <f t="shared" si="30"/>
        <v>8</v>
      </c>
      <c r="P178">
        <v>1</v>
      </c>
      <c r="Q178" s="11">
        <v>45677</v>
      </c>
      <c r="R178">
        <f t="shared" si="33"/>
        <v>6</v>
      </c>
      <c r="S178">
        <v>104</v>
      </c>
      <c r="T178" s="8">
        <f t="shared" si="32"/>
        <v>0.1167048054919908</v>
      </c>
    </row>
    <row r="179" spans="1:20" hidden="1">
      <c r="A179">
        <v>94</v>
      </c>
      <c r="B179" t="s">
        <v>777</v>
      </c>
      <c r="C179" s="11">
        <v>45651</v>
      </c>
      <c r="D179">
        <v>22.46</v>
      </c>
      <c r="E179">
        <v>25</v>
      </c>
      <c r="F179">
        <v>21</v>
      </c>
      <c r="G179">
        <f>INDEX('اسعار الاسهم'!A:B,MATCH(B179,'اسعار الاسهم'!K:K,0),2)</f>
        <v>31.55</v>
      </c>
      <c r="H179" s="8" t="str">
        <f t="shared" si="24"/>
        <v/>
      </c>
      <c r="I179" s="8" t="str">
        <f t="shared" si="25"/>
        <v/>
      </c>
      <c r="J179" s="8" t="str">
        <f t="shared" si="23"/>
        <v/>
      </c>
      <c r="K179" s="8">
        <f t="shared" si="26"/>
        <v>0.19047619047619047</v>
      </c>
      <c r="L179" s="13" t="str">
        <f t="shared" si="27"/>
        <v/>
      </c>
      <c r="M179" t="str">
        <f t="shared" si="28"/>
        <v/>
      </c>
      <c r="N179">
        <f t="shared" si="29"/>
        <v>0</v>
      </c>
      <c r="O179">
        <f t="shared" si="30"/>
        <v>8</v>
      </c>
      <c r="P179">
        <v>1</v>
      </c>
      <c r="Q179" s="11">
        <v>45677</v>
      </c>
      <c r="R179">
        <f t="shared" si="33"/>
        <v>28</v>
      </c>
      <c r="S179">
        <v>105</v>
      </c>
      <c r="T179" s="8">
        <f t="shared" si="32"/>
        <v>0.1130899376669634</v>
      </c>
    </row>
    <row r="180" spans="1:20" hidden="1">
      <c r="A180">
        <v>107</v>
      </c>
      <c r="B180" t="s">
        <v>847</v>
      </c>
      <c r="C180" s="11">
        <v>45659</v>
      </c>
      <c r="D180">
        <v>18.149999999999999</v>
      </c>
      <c r="E180">
        <v>20.2</v>
      </c>
      <c r="F180">
        <v>16.8</v>
      </c>
      <c r="G180">
        <f>INDEX('اسعار الاسهم'!A:B,MATCH(B180,'اسعار الاسهم'!K:K,0),2)</f>
        <v>21.15</v>
      </c>
      <c r="H180" s="8" t="str">
        <f t="shared" si="24"/>
        <v/>
      </c>
      <c r="I180" s="8" t="str">
        <f t="shared" si="25"/>
        <v/>
      </c>
      <c r="J180" s="8" t="str">
        <f t="shared" si="23"/>
        <v/>
      </c>
      <c r="K180" s="8">
        <f t="shared" si="26"/>
        <v>0.20238095238095233</v>
      </c>
      <c r="L180" s="13" t="str">
        <f t="shared" si="27"/>
        <v/>
      </c>
      <c r="M180" t="str">
        <f t="shared" si="28"/>
        <v/>
      </c>
      <c r="N180">
        <f t="shared" si="29"/>
        <v>0</v>
      </c>
      <c r="O180">
        <f t="shared" si="30"/>
        <v>3</v>
      </c>
      <c r="P180">
        <v>1</v>
      </c>
      <c r="Q180" s="11">
        <v>45677</v>
      </c>
      <c r="R180">
        <f t="shared" si="33"/>
        <v>20</v>
      </c>
      <c r="S180">
        <v>106</v>
      </c>
      <c r="T180" s="8">
        <f t="shared" si="32"/>
        <v>0.112947658402204</v>
      </c>
    </row>
    <row r="181" spans="1:20" hidden="1">
      <c r="A181">
        <v>144</v>
      </c>
      <c r="B181" s="3" t="s">
        <v>837</v>
      </c>
      <c r="C181" s="11">
        <v>45673</v>
      </c>
      <c r="D181">
        <v>27</v>
      </c>
      <c r="E181">
        <v>29.9</v>
      </c>
      <c r="F181">
        <v>25.5</v>
      </c>
      <c r="G181">
        <f>INDEX('اسعار الاسهم'!A:B,MATCH(B181,'اسعار الاسهم'!K:K,0),2)</f>
        <v>35.5</v>
      </c>
      <c r="H181" s="8" t="str">
        <f t="shared" si="24"/>
        <v/>
      </c>
      <c r="I181" s="8" t="str">
        <f t="shared" si="25"/>
        <v/>
      </c>
      <c r="J181" s="8" t="str">
        <f t="shared" si="23"/>
        <v/>
      </c>
      <c r="K181" s="8">
        <f t="shared" si="26"/>
        <v>0.17254901960784319</v>
      </c>
      <c r="L181" s="13" t="str">
        <f t="shared" si="27"/>
        <v/>
      </c>
      <c r="M181" t="str">
        <f t="shared" si="28"/>
        <v/>
      </c>
      <c r="N181">
        <f t="shared" si="29"/>
        <v>0</v>
      </c>
      <c r="O181">
        <f t="shared" si="30"/>
        <v>3</v>
      </c>
      <c r="P181">
        <v>1</v>
      </c>
      <c r="Q181" s="11">
        <v>45678</v>
      </c>
      <c r="R181">
        <f t="shared" si="33"/>
        <v>7</v>
      </c>
      <c r="S181">
        <v>107</v>
      </c>
      <c r="T181" s="8">
        <f t="shared" si="32"/>
        <v>0.1074074074074074</v>
      </c>
    </row>
    <row r="182" spans="1:20" hidden="1">
      <c r="A182">
        <v>84</v>
      </c>
      <c r="B182" t="s">
        <v>791</v>
      </c>
      <c r="C182" s="11">
        <v>45644</v>
      </c>
      <c r="D182">
        <v>0.34300000000000003</v>
      </c>
      <c r="E182">
        <v>0.40500000000000003</v>
      </c>
      <c r="F182">
        <v>0.32</v>
      </c>
      <c r="G182">
        <f>INDEX('اسعار الاسهم'!A:B,MATCH(B182,'اسعار الاسهم'!K:K,0),2)</f>
        <v>0.2</v>
      </c>
      <c r="H182" s="8" t="str">
        <f t="shared" si="24"/>
        <v/>
      </c>
      <c r="I182" s="8" t="str">
        <f t="shared" si="25"/>
        <v/>
      </c>
      <c r="J182" s="8" t="str">
        <f t="shared" ref="J182:J245" si="34">IF(P182="",  1-F182/G182,"")</f>
        <v/>
      </c>
      <c r="K182" s="8">
        <f t="shared" si="26"/>
        <v>0.265625</v>
      </c>
      <c r="L182" s="13" t="str">
        <f t="shared" si="27"/>
        <v/>
      </c>
      <c r="M182" t="str">
        <f t="shared" si="28"/>
        <v/>
      </c>
      <c r="N182">
        <f t="shared" si="29"/>
        <v>0</v>
      </c>
      <c r="O182">
        <f t="shared" si="30"/>
        <v>3</v>
      </c>
      <c r="P182">
        <v>1</v>
      </c>
      <c r="Q182" s="11">
        <v>45678</v>
      </c>
      <c r="R182">
        <f t="shared" si="33"/>
        <v>36</v>
      </c>
      <c r="S182">
        <v>108</v>
      </c>
      <c r="T182" s="8">
        <f t="shared" si="32"/>
        <v>0.18075801749271125</v>
      </c>
    </row>
    <row r="183" spans="1:20" hidden="1">
      <c r="A183">
        <v>49</v>
      </c>
      <c r="B183" t="s">
        <v>791</v>
      </c>
      <c r="C183" s="11">
        <v>45631</v>
      </c>
      <c r="D183">
        <v>0.33700000000000002</v>
      </c>
      <c r="E183">
        <v>0.38500000000000001</v>
      </c>
      <c r="F183">
        <v>0.318</v>
      </c>
      <c r="G183">
        <f>INDEX('اسعار الاسهم'!A:B,MATCH(B183,'اسعار الاسهم'!K:K,0),2)</f>
        <v>0.2</v>
      </c>
      <c r="H183" s="8" t="str">
        <f t="shared" si="24"/>
        <v/>
      </c>
      <c r="I183" s="8" t="str">
        <f t="shared" si="25"/>
        <v/>
      </c>
      <c r="J183" s="8" t="str">
        <f t="shared" si="34"/>
        <v/>
      </c>
      <c r="K183" s="8">
        <f t="shared" si="26"/>
        <v>0.21069182389937113</v>
      </c>
      <c r="L183" s="13" t="str">
        <f t="shared" si="27"/>
        <v/>
      </c>
      <c r="M183" t="str">
        <f t="shared" si="28"/>
        <v/>
      </c>
      <c r="N183">
        <f t="shared" si="29"/>
        <v>0</v>
      </c>
      <c r="O183">
        <f t="shared" si="30"/>
        <v>3</v>
      </c>
      <c r="P183">
        <v>1</v>
      </c>
      <c r="Q183" s="11">
        <v>45678</v>
      </c>
      <c r="R183">
        <f t="shared" si="33"/>
        <v>49</v>
      </c>
      <c r="S183">
        <v>109</v>
      </c>
      <c r="T183" s="8">
        <f t="shared" si="32"/>
        <v>0.14243323442136502</v>
      </c>
    </row>
    <row r="184" spans="1:20" hidden="1">
      <c r="A184">
        <v>120</v>
      </c>
      <c r="B184" t="s">
        <v>985</v>
      </c>
      <c r="C184" s="11">
        <v>45665</v>
      </c>
      <c r="D184">
        <v>57.9</v>
      </c>
      <c r="E184">
        <v>65.5</v>
      </c>
      <c r="F184">
        <v>52.5</v>
      </c>
      <c r="G184">
        <f>INDEX('اسعار الاسهم'!A:B,MATCH(B184,'اسعار الاسهم'!K:K,0),2)</f>
        <v>290.7</v>
      </c>
      <c r="H184" s="8" t="str">
        <f t="shared" si="24"/>
        <v/>
      </c>
      <c r="I184" s="8" t="str">
        <f t="shared" si="25"/>
        <v/>
      </c>
      <c r="J184" s="8" t="str">
        <f t="shared" si="34"/>
        <v/>
      </c>
      <c r="K184" s="8">
        <f t="shared" si="26"/>
        <v>0.24761904761904763</v>
      </c>
      <c r="L184" s="13" t="str">
        <f t="shared" si="27"/>
        <v/>
      </c>
      <c r="M184" t="str">
        <f t="shared" si="28"/>
        <v/>
      </c>
      <c r="N184">
        <f t="shared" si="29"/>
        <v>0</v>
      </c>
      <c r="O184">
        <f t="shared" si="30"/>
        <v>1</v>
      </c>
      <c r="P184">
        <v>1</v>
      </c>
      <c r="Q184" s="11">
        <v>45678</v>
      </c>
      <c r="R184">
        <f t="shared" si="33"/>
        <v>15</v>
      </c>
      <c r="S184">
        <v>110</v>
      </c>
      <c r="T184" s="8">
        <f t="shared" si="32"/>
        <v>0.1312607944732298</v>
      </c>
    </row>
    <row r="185" spans="1:20" hidden="1">
      <c r="A185">
        <v>128</v>
      </c>
      <c r="B185" t="s">
        <v>922</v>
      </c>
      <c r="C185" s="11">
        <v>45666</v>
      </c>
      <c r="D185">
        <v>1.48</v>
      </c>
      <c r="E185">
        <v>1.65</v>
      </c>
      <c r="F185">
        <v>1.35</v>
      </c>
      <c r="G185">
        <f>INDEX('اسعار الاسهم'!A:B,MATCH(B185,'اسعار الاسهم'!K:K,0),2)</f>
        <v>1.57</v>
      </c>
      <c r="H185" s="8" t="str">
        <f t="shared" si="24"/>
        <v/>
      </c>
      <c r="I185" s="8" t="str">
        <f t="shared" si="25"/>
        <v/>
      </c>
      <c r="J185" s="8" t="str">
        <f t="shared" si="34"/>
        <v/>
      </c>
      <c r="K185" s="8">
        <f t="shared" si="26"/>
        <v>0.2222222222222221</v>
      </c>
      <c r="L185" s="13" t="str">
        <f t="shared" si="27"/>
        <v/>
      </c>
      <c r="M185" t="str">
        <f t="shared" si="28"/>
        <v/>
      </c>
      <c r="N185">
        <f t="shared" si="29"/>
        <v>0</v>
      </c>
      <c r="O185">
        <f t="shared" si="30"/>
        <v>1</v>
      </c>
      <c r="P185">
        <v>1</v>
      </c>
      <c r="Q185" s="11">
        <v>45679</v>
      </c>
      <c r="R185">
        <f t="shared" si="33"/>
        <v>15</v>
      </c>
      <c r="S185">
        <v>111</v>
      </c>
      <c r="T185" s="8">
        <f t="shared" si="32"/>
        <v>0.11486486486486491</v>
      </c>
    </row>
    <row r="186" spans="1:20" hidden="1">
      <c r="A186">
        <v>101</v>
      </c>
      <c r="B186" t="s">
        <v>816</v>
      </c>
      <c r="C186" s="11">
        <v>45655</v>
      </c>
      <c r="D186">
        <v>31.5</v>
      </c>
      <c r="E186">
        <v>35</v>
      </c>
      <c r="F186">
        <v>29.4</v>
      </c>
      <c r="G186">
        <f>INDEX('اسعار الاسهم'!A:B,MATCH(B186,'اسعار الاسهم'!K:K,0),2)</f>
        <v>27</v>
      </c>
      <c r="H186" s="8" t="str">
        <f t="shared" si="24"/>
        <v/>
      </c>
      <c r="I186" s="8" t="str">
        <f t="shared" si="25"/>
        <v/>
      </c>
      <c r="J186" s="8" t="str">
        <f t="shared" si="34"/>
        <v/>
      </c>
      <c r="K186" s="8">
        <f t="shared" si="26"/>
        <v>0.19047619047619047</v>
      </c>
      <c r="L186" s="13" t="str">
        <f t="shared" si="27"/>
        <v/>
      </c>
      <c r="M186" t="str">
        <f t="shared" si="28"/>
        <v/>
      </c>
      <c r="N186">
        <f t="shared" si="29"/>
        <v>0</v>
      </c>
      <c r="O186">
        <f t="shared" si="30"/>
        <v>1</v>
      </c>
      <c r="P186">
        <v>1</v>
      </c>
      <c r="Q186" s="11">
        <v>45680</v>
      </c>
      <c r="R186">
        <f t="shared" si="33"/>
        <v>27</v>
      </c>
      <c r="S186">
        <v>112</v>
      </c>
      <c r="T186" s="8">
        <f t="shared" si="32"/>
        <v>0.11111111111111116</v>
      </c>
    </row>
    <row r="187" spans="1:20" hidden="1">
      <c r="A187">
        <v>161</v>
      </c>
      <c r="B187" t="s">
        <v>884</v>
      </c>
      <c r="C187" s="11">
        <v>45678</v>
      </c>
      <c r="D187">
        <v>68.5</v>
      </c>
      <c r="E187">
        <v>78</v>
      </c>
      <c r="F187">
        <v>63</v>
      </c>
      <c r="G187">
        <f>INDEX('اسعار الاسهم'!A:B,MATCH(B187,'اسعار الاسهم'!K:K,0),2)</f>
        <v>95.7</v>
      </c>
      <c r="H187" s="8" t="str">
        <f t="shared" si="24"/>
        <v/>
      </c>
      <c r="I187" s="8" t="str">
        <f t="shared" si="25"/>
        <v/>
      </c>
      <c r="J187" s="8" t="str">
        <f t="shared" si="34"/>
        <v/>
      </c>
      <c r="K187" s="8">
        <f t="shared" si="26"/>
        <v>0.23809523809523814</v>
      </c>
      <c r="L187" s="13" t="str">
        <f t="shared" si="27"/>
        <v/>
      </c>
      <c r="M187" t="str">
        <f t="shared" si="28"/>
        <v/>
      </c>
      <c r="N187">
        <f t="shared" si="29"/>
        <v>0</v>
      </c>
      <c r="O187">
        <f t="shared" si="30"/>
        <v>5</v>
      </c>
      <c r="P187">
        <v>0</v>
      </c>
      <c r="Q187" s="11">
        <v>45684</v>
      </c>
      <c r="R187">
        <f t="shared" si="33"/>
        <v>8</v>
      </c>
      <c r="S187">
        <v>113</v>
      </c>
      <c r="T187" s="8">
        <f t="shared" si="32"/>
        <v>-8.0291970802919721E-2</v>
      </c>
    </row>
    <row r="188" spans="1:20" hidden="1">
      <c r="A188">
        <v>149</v>
      </c>
      <c r="B188" t="s">
        <v>988</v>
      </c>
      <c r="C188" s="11">
        <v>45676</v>
      </c>
      <c r="D188">
        <v>4.55</v>
      </c>
      <c r="E188">
        <v>5.3</v>
      </c>
      <c r="F188">
        <v>4.1500000000000004</v>
      </c>
      <c r="G188">
        <f>INDEX('اسعار الاسهم'!A:B,MATCH(B188,'اسعار الاسهم'!K:K,0),2)</f>
        <v>4.62</v>
      </c>
      <c r="H188" s="8" t="str">
        <f t="shared" si="24"/>
        <v/>
      </c>
      <c r="I188" s="8" t="str">
        <f t="shared" si="25"/>
        <v/>
      </c>
      <c r="J188" s="8" t="str">
        <f t="shared" si="34"/>
        <v/>
      </c>
      <c r="K188" s="8">
        <f t="shared" si="26"/>
        <v>0.27710843373493965</v>
      </c>
      <c r="L188" s="13" t="str">
        <f t="shared" si="27"/>
        <v/>
      </c>
      <c r="M188" t="str">
        <f t="shared" si="28"/>
        <v/>
      </c>
      <c r="N188">
        <f t="shared" si="29"/>
        <v>0</v>
      </c>
      <c r="O188">
        <f t="shared" si="30"/>
        <v>1</v>
      </c>
      <c r="P188">
        <v>0</v>
      </c>
      <c r="Q188" s="11">
        <v>45684</v>
      </c>
      <c r="R188">
        <f t="shared" si="33"/>
        <v>10</v>
      </c>
      <c r="S188">
        <v>114</v>
      </c>
      <c r="T188" s="8">
        <f t="shared" si="32"/>
        <v>-8.7912087912087822E-2</v>
      </c>
    </row>
    <row r="189" spans="1:20" hidden="1">
      <c r="A189">
        <v>132</v>
      </c>
      <c r="B189" t="s">
        <v>783</v>
      </c>
      <c r="C189" s="11">
        <v>45669</v>
      </c>
      <c r="D189">
        <v>38.799999999999997</v>
      </c>
      <c r="E189">
        <v>44.2</v>
      </c>
      <c r="F189">
        <v>36.5</v>
      </c>
      <c r="G189">
        <f>INDEX('اسعار الاسهم'!A:B,MATCH(B189,'اسعار الاسهم'!K:K,0),2)</f>
        <v>46.1</v>
      </c>
      <c r="H189" s="8" t="str">
        <f t="shared" si="24"/>
        <v/>
      </c>
      <c r="I189" s="8" t="str">
        <f t="shared" si="25"/>
        <v/>
      </c>
      <c r="J189" s="8" t="str">
        <f t="shared" si="34"/>
        <v/>
      </c>
      <c r="K189" s="8">
        <f t="shared" si="26"/>
        <v>0.21095890410958917</v>
      </c>
      <c r="L189" s="13" t="str">
        <f t="shared" si="27"/>
        <v/>
      </c>
      <c r="M189" t="str">
        <f t="shared" si="28"/>
        <v/>
      </c>
      <c r="N189">
        <f t="shared" si="29"/>
        <v>2</v>
      </c>
      <c r="O189">
        <f t="shared" si="30"/>
        <v>8</v>
      </c>
      <c r="P189">
        <v>0</v>
      </c>
      <c r="Q189" s="11">
        <v>45685</v>
      </c>
      <c r="R189">
        <f t="shared" si="33"/>
        <v>18</v>
      </c>
      <c r="S189">
        <v>116</v>
      </c>
      <c r="T189" s="8">
        <f t="shared" si="32"/>
        <v>-5.9278350515463818E-2</v>
      </c>
    </row>
    <row r="190" spans="1:20" hidden="1">
      <c r="A190">
        <v>167</v>
      </c>
      <c r="B190" t="s">
        <v>783</v>
      </c>
      <c r="C190" s="11">
        <v>45679</v>
      </c>
      <c r="D190">
        <v>37.6</v>
      </c>
      <c r="E190">
        <v>45</v>
      </c>
      <c r="F190">
        <v>36.5</v>
      </c>
      <c r="G190">
        <f>INDEX('اسعار الاسهم'!A:B,MATCH(B190,'اسعار الاسهم'!K:K,0),2)</f>
        <v>46.1</v>
      </c>
      <c r="H190" s="8" t="str">
        <f t="shared" si="24"/>
        <v/>
      </c>
      <c r="I190" s="8" t="str">
        <f t="shared" si="25"/>
        <v/>
      </c>
      <c r="J190" s="8" t="str">
        <f t="shared" si="34"/>
        <v/>
      </c>
      <c r="K190" s="8">
        <f t="shared" si="26"/>
        <v>0.23287671232876717</v>
      </c>
      <c r="L190" s="13" t="str">
        <f t="shared" si="27"/>
        <v/>
      </c>
      <c r="M190" t="str">
        <f t="shared" si="28"/>
        <v/>
      </c>
      <c r="N190">
        <f t="shared" si="29"/>
        <v>2</v>
      </c>
      <c r="O190">
        <f t="shared" si="30"/>
        <v>8</v>
      </c>
      <c r="P190">
        <v>0</v>
      </c>
      <c r="Q190" s="11">
        <v>45685</v>
      </c>
      <c r="R190">
        <f t="shared" si="33"/>
        <v>8</v>
      </c>
      <c r="S190">
        <v>115</v>
      </c>
      <c r="T190" s="8">
        <f t="shared" si="32"/>
        <v>-2.9255319148936199E-2</v>
      </c>
    </row>
    <row r="191" spans="1:20" hidden="1">
      <c r="A191">
        <v>114</v>
      </c>
      <c r="B191" t="s">
        <v>984</v>
      </c>
      <c r="C191" s="11">
        <v>45662</v>
      </c>
      <c r="D191">
        <v>32.799999999999997</v>
      </c>
      <c r="E191">
        <v>37</v>
      </c>
      <c r="F191">
        <v>30.3</v>
      </c>
      <c r="G191">
        <f>INDEX('اسعار الاسهم'!A:B,MATCH(B191,'اسعار الاسهم'!K:K,0),2)</f>
        <v>53.39</v>
      </c>
      <c r="H191" s="8" t="str">
        <f t="shared" si="24"/>
        <v/>
      </c>
      <c r="I191" s="8" t="str">
        <f t="shared" si="25"/>
        <v/>
      </c>
      <c r="J191" s="8" t="str">
        <f t="shared" si="34"/>
        <v/>
      </c>
      <c r="K191" s="8">
        <f t="shared" si="26"/>
        <v>0.22112211221122102</v>
      </c>
      <c r="L191" s="13" t="str">
        <f t="shared" si="27"/>
        <v/>
      </c>
      <c r="M191" t="str">
        <f t="shared" si="28"/>
        <v/>
      </c>
      <c r="N191">
        <f t="shared" si="29"/>
        <v>1</v>
      </c>
      <c r="O191">
        <f t="shared" si="30"/>
        <v>4</v>
      </c>
      <c r="P191">
        <v>0</v>
      </c>
      <c r="Q191" s="11">
        <v>45685</v>
      </c>
      <c r="R191">
        <f t="shared" si="33"/>
        <v>25</v>
      </c>
      <c r="S191">
        <v>117</v>
      </c>
      <c r="T191" s="8">
        <f t="shared" si="32"/>
        <v>-7.6219512195121797E-2</v>
      </c>
    </row>
    <row r="192" spans="1:20" hidden="1">
      <c r="A192">
        <v>148</v>
      </c>
      <c r="B192" t="s">
        <v>849</v>
      </c>
      <c r="C192" s="11">
        <v>45676</v>
      </c>
      <c r="D192">
        <v>14</v>
      </c>
      <c r="E192">
        <v>15.7</v>
      </c>
      <c r="F192">
        <v>13.1</v>
      </c>
      <c r="G192">
        <f>INDEX('اسعار الاسهم'!A:B,MATCH(B192,'اسعار الاسهم'!K:K,0),2)</f>
        <v>35.6</v>
      </c>
      <c r="H192" s="8" t="str">
        <f t="shared" si="24"/>
        <v/>
      </c>
      <c r="I192" s="8" t="str">
        <f t="shared" si="25"/>
        <v/>
      </c>
      <c r="J192" s="8" t="str">
        <f t="shared" si="34"/>
        <v/>
      </c>
      <c r="K192" s="8">
        <f t="shared" si="26"/>
        <v>0.19847328244274798</v>
      </c>
      <c r="L192" s="13" t="str">
        <f t="shared" si="27"/>
        <v/>
      </c>
      <c r="M192" t="str">
        <f t="shared" si="28"/>
        <v/>
      </c>
      <c r="N192">
        <f t="shared" si="29"/>
        <v>0</v>
      </c>
      <c r="O192">
        <f t="shared" si="30"/>
        <v>1</v>
      </c>
      <c r="P192">
        <v>1</v>
      </c>
      <c r="Q192" s="11">
        <v>45685</v>
      </c>
      <c r="R192">
        <f t="shared" si="33"/>
        <v>11</v>
      </c>
      <c r="S192">
        <v>118</v>
      </c>
      <c r="T192" s="8">
        <f t="shared" si="32"/>
        <v>0.12142857142857144</v>
      </c>
    </row>
    <row r="193" spans="1:20" hidden="1">
      <c r="A193">
        <v>126</v>
      </c>
      <c r="B193" t="s">
        <v>819</v>
      </c>
      <c r="C193" s="11">
        <v>45665</v>
      </c>
      <c r="D193">
        <v>2.25</v>
      </c>
      <c r="E193">
        <v>2.65</v>
      </c>
      <c r="F193">
        <v>2.0699999999999998</v>
      </c>
      <c r="G193">
        <f>INDEX('اسعار الاسهم'!A:B,MATCH(B193,'اسعار الاسهم'!K:K,0),2)</f>
        <v>2.73</v>
      </c>
      <c r="H193" s="8" t="str">
        <f t="shared" si="24"/>
        <v/>
      </c>
      <c r="I193" s="8" t="str">
        <f t="shared" si="25"/>
        <v/>
      </c>
      <c r="J193" s="8" t="str">
        <f t="shared" si="34"/>
        <v/>
      </c>
      <c r="K193" s="8">
        <f t="shared" si="26"/>
        <v>0.28019323671497598</v>
      </c>
      <c r="L193" s="13" t="str">
        <f t="shared" si="27"/>
        <v/>
      </c>
      <c r="M193" t="str">
        <f t="shared" si="28"/>
        <v/>
      </c>
      <c r="N193">
        <f t="shared" si="29"/>
        <v>0</v>
      </c>
      <c r="O193">
        <f t="shared" si="30"/>
        <v>2</v>
      </c>
      <c r="P193">
        <v>1</v>
      </c>
      <c r="Q193" s="11">
        <v>45685</v>
      </c>
      <c r="R193">
        <f t="shared" si="33"/>
        <v>22</v>
      </c>
      <c r="S193">
        <v>119</v>
      </c>
      <c r="T193" s="8">
        <f t="shared" si="32"/>
        <v>0.17777777777777781</v>
      </c>
    </row>
    <row r="194" spans="1:20" hidden="1">
      <c r="A194">
        <v>113</v>
      </c>
      <c r="B194" t="s">
        <v>725</v>
      </c>
      <c r="C194" s="11">
        <v>45662</v>
      </c>
      <c r="D194">
        <v>1.1399999999999999</v>
      </c>
      <c r="E194">
        <v>1.27</v>
      </c>
      <c r="F194">
        <v>1.06</v>
      </c>
      <c r="G194">
        <f>INDEX('اسعار الاسهم'!A:B,MATCH(B194,'اسعار الاسهم'!K:K,0),2)</f>
        <v>2.57</v>
      </c>
      <c r="H194" s="8" t="str">
        <f t="shared" ref="H194:H257" si="35">IF(P194="", G194/D194-1,"")</f>
        <v/>
      </c>
      <c r="I194" s="8" t="str">
        <f t="shared" ref="I194:I257" si="36">IF(P194="", E194/G194-1,"")</f>
        <v/>
      </c>
      <c r="J194" s="8" t="str">
        <f t="shared" si="34"/>
        <v/>
      </c>
      <c r="K194" s="8">
        <f t="shared" ref="K194:K257" si="37">E194/F194-1</f>
        <v>0.19811320754716988</v>
      </c>
      <c r="L194" s="13" t="str">
        <f t="shared" ref="L194:L257" si="38">IF( S194="",I194/J194,"")</f>
        <v/>
      </c>
      <c r="M194" t="str">
        <f t="shared" ref="M194:M257" si="39">IF(P194="",IF(I194&lt;J194,"up","down"),"")</f>
        <v/>
      </c>
      <c r="N194">
        <f t="shared" ref="N194:N257" si="40">COUNTIFS(B:B,B194,Q:Q,"")</f>
        <v>2</v>
      </c>
      <c r="O194">
        <f t="shared" ref="O194:O257" si="41">COUNTIFS(B:B,B194)</f>
        <v>4</v>
      </c>
      <c r="P194">
        <v>1</v>
      </c>
      <c r="Q194" s="11">
        <v>45686</v>
      </c>
      <c r="R194">
        <f t="shared" si="33"/>
        <v>26</v>
      </c>
      <c r="S194">
        <v>120</v>
      </c>
      <c r="T194" s="8">
        <f t="shared" ref="T194:T257" si="42">IF(NOT( S194=""),IF(P194=1,E194/D194-1,F194/D194-1),"")</f>
        <v>0.11403508771929838</v>
      </c>
    </row>
    <row r="195" spans="1:20" hidden="1">
      <c r="A195">
        <v>90</v>
      </c>
      <c r="B195" t="s">
        <v>923</v>
      </c>
      <c r="C195" s="11">
        <v>45648</v>
      </c>
      <c r="D195">
        <v>3.28</v>
      </c>
      <c r="E195">
        <v>3.65</v>
      </c>
      <c r="F195">
        <v>3.18</v>
      </c>
      <c r="G195">
        <f>INDEX('اسعار الاسهم'!A:B,MATCH(B195,'اسعار الاسهم'!K:K,0),2)</f>
        <v>2.74</v>
      </c>
      <c r="H195" s="8" t="str">
        <f t="shared" si="35"/>
        <v/>
      </c>
      <c r="I195" s="8" t="str">
        <f t="shared" si="36"/>
        <v/>
      </c>
      <c r="J195" s="8" t="str">
        <f t="shared" si="34"/>
        <v/>
      </c>
      <c r="K195" s="8">
        <f t="shared" si="37"/>
        <v>0.14779874213836464</v>
      </c>
      <c r="L195" s="13" t="str">
        <f t="shared" si="38"/>
        <v/>
      </c>
      <c r="M195" t="str">
        <f t="shared" si="39"/>
        <v/>
      </c>
      <c r="N195">
        <f t="shared" si="40"/>
        <v>0</v>
      </c>
      <c r="O195">
        <f t="shared" si="41"/>
        <v>3</v>
      </c>
      <c r="P195">
        <v>1</v>
      </c>
      <c r="Q195" s="11">
        <v>45686</v>
      </c>
      <c r="R195">
        <f t="shared" si="33"/>
        <v>40</v>
      </c>
      <c r="S195">
        <v>121</v>
      </c>
      <c r="T195" s="8">
        <f t="shared" si="42"/>
        <v>0.11280487804878048</v>
      </c>
    </row>
    <row r="196" spans="1:20" hidden="1">
      <c r="A196">
        <v>171</v>
      </c>
      <c r="B196" t="s">
        <v>989</v>
      </c>
      <c r="C196" s="11">
        <v>45683</v>
      </c>
      <c r="D196">
        <v>0.66</v>
      </c>
      <c r="E196">
        <v>0.78</v>
      </c>
      <c r="F196">
        <v>0.61</v>
      </c>
      <c r="G196">
        <f>INDEX('اسعار الاسهم'!A:B,MATCH(B196,'اسعار الاسهم'!K:K,0),2)</f>
        <v>0.56000000000000005</v>
      </c>
      <c r="H196" s="8" t="str">
        <f t="shared" si="35"/>
        <v/>
      </c>
      <c r="I196" s="8" t="str">
        <f t="shared" si="36"/>
        <v/>
      </c>
      <c r="J196" s="8" t="str">
        <f t="shared" si="34"/>
        <v/>
      </c>
      <c r="K196" s="8">
        <f t="shared" si="37"/>
        <v>0.27868852459016402</v>
      </c>
      <c r="L196" s="13" t="str">
        <f t="shared" si="38"/>
        <v/>
      </c>
      <c r="M196" t="str">
        <f t="shared" si="39"/>
        <v/>
      </c>
      <c r="N196">
        <f t="shared" si="40"/>
        <v>0</v>
      </c>
      <c r="O196">
        <f t="shared" si="41"/>
        <v>1</v>
      </c>
      <c r="P196">
        <v>1</v>
      </c>
      <c r="Q196" s="11">
        <v>45690</v>
      </c>
      <c r="R196">
        <f t="shared" si="33"/>
        <v>9</v>
      </c>
      <c r="S196">
        <v>124</v>
      </c>
      <c r="T196" s="8">
        <f t="shared" si="42"/>
        <v>0.18181818181818188</v>
      </c>
    </row>
    <row r="197" spans="1:20" hidden="1">
      <c r="A197">
        <v>98</v>
      </c>
      <c r="B197" t="s">
        <v>982</v>
      </c>
      <c r="C197" s="11">
        <v>45652</v>
      </c>
      <c r="D197">
        <v>48.35</v>
      </c>
      <c r="E197">
        <v>55</v>
      </c>
      <c r="F197">
        <v>45.5</v>
      </c>
      <c r="G197">
        <f>INDEX('اسعار الاسهم'!A:B,MATCH(B197,'اسعار الاسهم'!K:K,0),2)</f>
        <v>109.5</v>
      </c>
      <c r="H197" s="8" t="str">
        <f t="shared" si="35"/>
        <v/>
      </c>
      <c r="I197" s="8" t="str">
        <f t="shared" si="36"/>
        <v/>
      </c>
      <c r="J197" s="8" t="str">
        <f t="shared" si="34"/>
        <v/>
      </c>
      <c r="K197" s="8">
        <f t="shared" si="37"/>
        <v>0.20879120879120872</v>
      </c>
      <c r="L197" s="13" t="str">
        <f t="shared" si="38"/>
        <v/>
      </c>
      <c r="M197" t="str">
        <f t="shared" si="39"/>
        <v/>
      </c>
      <c r="N197">
        <f t="shared" si="40"/>
        <v>0</v>
      </c>
      <c r="O197">
        <f t="shared" si="41"/>
        <v>1</v>
      </c>
      <c r="P197">
        <v>1</v>
      </c>
      <c r="Q197" s="11">
        <v>45690</v>
      </c>
      <c r="R197">
        <f t="shared" si="33"/>
        <v>40</v>
      </c>
      <c r="S197">
        <v>125</v>
      </c>
      <c r="T197" s="8">
        <f t="shared" si="42"/>
        <v>0.13753877973112716</v>
      </c>
    </row>
    <row r="198" spans="1:20" hidden="1">
      <c r="A198">
        <v>173</v>
      </c>
      <c r="B198" t="s">
        <v>880</v>
      </c>
      <c r="C198" s="11">
        <v>45683</v>
      </c>
      <c r="D198">
        <v>0.42499999999999999</v>
      </c>
      <c r="E198">
        <v>0.48</v>
      </c>
      <c r="F198">
        <v>0.39</v>
      </c>
      <c r="G198">
        <f>INDEX('اسعار الاسهم'!A:B,MATCH(B198,'اسعار الاسهم'!K:K,0),2)</f>
        <v>0.7</v>
      </c>
      <c r="H198" s="8" t="str">
        <f t="shared" si="35"/>
        <v/>
      </c>
      <c r="I198" s="8" t="str">
        <f t="shared" si="36"/>
        <v/>
      </c>
      <c r="J198" s="8" t="str">
        <f t="shared" si="34"/>
        <v/>
      </c>
      <c r="K198" s="8">
        <f t="shared" si="37"/>
        <v>0.23076923076923062</v>
      </c>
      <c r="L198" s="13" t="str">
        <f t="shared" si="38"/>
        <v/>
      </c>
      <c r="M198" t="str">
        <f t="shared" si="39"/>
        <v/>
      </c>
      <c r="N198">
        <f t="shared" si="40"/>
        <v>0</v>
      </c>
      <c r="O198">
        <f t="shared" si="41"/>
        <v>4</v>
      </c>
      <c r="P198">
        <v>0</v>
      </c>
      <c r="Q198" s="11">
        <v>45690</v>
      </c>
      <c r="R198">
        <f t="shared" si="33"/>
        <v>9</v>
      </c>
      <c r="S198">
        <v>123</v>
      </c>
      <c r="T198" s="8">
        <f t="shared" si="42"/>
        <v>-8.2352941176470518E-2</v>
      </c>
    </row>
    <row r="199" spans="1:20" hidden="1">
      <c r="A199">
        <v>153</v>
      </c>
      <c r="B199" t="s">
        <v>796</v>
      </c>
      <c r="C199" s="11">
        <v>45677</v>
      </c>
      <c r="D199">
        <v>1.75</v>
      </c>
      <c r="E199">
        <v>2.1</v>
      </c>
      <c r="F199">
        <v>1.61</v>
      </c>
      <c r="G199">
        <f>INDEX('اسعار الاسهم'!A:B,MATCH(B199,'اسعار الاسهم'!K:K,0),2)</f>
        <v>1.1499999999999999</v>
      </c>
      <c r="H199" s="8" t="str">
        <f t="shared" si="35"/>
        <v/>
      </c>
      <c r="I199" s="8" t="str">
        <f t="shared" si="36"/>
        <v/>
      </c>
      <c r="J199" s="8" t="str">
        <f t="shared" si="34"/>
        <v/>
      </c>
      <c r="K199" s="8">
        <f t="shared" si="37"/>
        <v>0.30434782608695654</v>
      </c>
      <c r="L199" s="13" t="str">
        <f t="shared" si="38"/>
        <v/>
      </c>
      <c r="M199" t="str">
        <f t="shared" si="39"/>
        <v/>
      </c>
      <c r="N199">
        <f t="shared" si="40"/>
        <v>1</v>
      </c>
      <c r="O199">
        <f t="shared" si="41"/>
        <v>4</v>
      </c>
      <c r="P199">
        <v>0</v>
      </c>
      <c r="Q199" s="11">
        <v>45690</v>
      </c>
      <c r="R199">
        <f t="shared" si="33"/>
        <v>15</v>
      </c>
      <c r="S199">
        <v>122</v>
      </c>
      <c r="T199" s="8">
        <f t="shared" si="42"/>
        <v>-7.999999999999996E-2</v>
      </c>
    </row>
    <row r="200" spans="1:20" hidden="1">
      <c r="A200">
        <v>177</v>
      </c>
      <c r="B200" t="s">
        <v>785</v>
      </c>
      <c r="C200" s="11">
        <v>45684</v>
      </c>
      <c r="D200">
        <v>88</v>
      </c>
      <c r="E200">
        <v>100</v>
      </c>
      <c r="F200">
        <v>80</v>
      </c>
      <c r="G200">
        <f>INDEX('اسعار الاسهم'!A:B,MATCH(B200,'اسعار الاسهم'!K:K,0),2)</f>
        <v>87.9</v>
      </c>
      <c r="H200" s="8" t="str">
        <f t="shared" si="35"/>
        <v/>
      </c>
      <c r="I200" s="8" t="str">
        <f t="shared" si="36"/>
        <v/>
      </c>
      <c r="J200" s="8" t="str">
        <f t="shared" si="34"/>
        <v/>
      </c>
      <c r="K200" s="8">
        <f t="shared" si="37"/>
        <v>0.25</v>
      </c>
      <c r="L200" s="13" t="str">
        <f t="shared" si="38"/>
        <v/>
      </c>
      <c r="M200" t="str">
        <f t="shared" si="39"/>
        <v/>
      </c>
      <c r="N200">
        <f t="shared" si="40"/>
        <v>1</v>
      </c>
      <c r="O200">
        <f t="shared" si="41"/>
        <v>6</v>
      </c>
      <c r="P200">
        <v>0</v>
      </c>
      <c r="Q200" s="11">
        <v>45691</v>
      </c>
      <c r="R200">
        <f t="shared" si="33"/>
        <v>9</v>
      </c>
      <c r="S200">
        <v>127</v>
      </c>
      <c r="T200" s="8">
        <f t="shared" si="42"/>
        <v>-9.0909090909090939E-2</v>
      </c>
    </row>
    <row r="201" spans="1:20" hidden="1">
      <c r="A201">
        <v>172</v>
      </c>
      <c r="B201" t="s">
        <v>778</v>
      </c>
      <c r="C201" s="11">
        <v>45683</v>
      </c>
      <c r="D201">
        <v>2.2000000000000002</v>
      </c>
      <c r="E201">
        <v>2.4500000000000002</v>
      </c>
      <c r="F201">
        <v>2.04</v>
      </c>
      <c r="G201">
        <f>INDEX('اسعار الاسهم'!A:B,MATCH(B201,'اسعار الاسهم'!K:K,0),2)</f>
        <v>1.23</v>
      </c>
      <c r="H201" s="8" t="str">
        <f t="shared" si="35"/>
        <v/>
      </c>
      <c r="I201" s="8" t="str">
        <f t="shared" si="36"/>
        <v/>
      </c>
      <c r="J201" s="8" t="str">
        <f t="shared" si="34"/>
        <v/>
      </c>
      <c r="K201" s="8">
        <f t="shared" si="37"/>
        <v>0.20098039215686292</v>
      </c>
      <c r="L201" s="13" t="str">
        <f t="shared" si="38"/>
        <v/>
      </c>
      <c r="M201" t="str">
        <f t="shared" si="39"/>
        <v/>
      </c>
      <c r="N201">
        <f t="shared" si="40"/>
        <v>2</v>
      </c>
      <c r="O201">
        <f t="shared" si="41"/>
        <v>4</v>
      </c>
      <c r="P201">
        <v>0</v>
      </c>
      <c r="Q201" s="11">
        <v>45692</v>
      </c>
      <c r="R201">
        <f t="shared" si="33"/>
        <v>11</v>
      </c>
      <c r="S201">
        <v>128</v>
      </c>
      <c r="T201" s="8">
        <f t="shared" si="42"/>
        <v>-7.2727272727272751E-2</v>
      </c>
    </row>
    <row r="202" spans="1:20" hidden="1">
      <c r="A202">
        <v>169</v>
      </c>
      <c r="B202" t="s">
        <v>850</v>
      </c>
      <c r="C202" s="11">
        <v>45680</v>
      </c>
      <c r="D202">
        <v>0.248</v>
      </c>
      <c r="E202">
        <v>0.28000000000000003</v>
      </c>
      <c r="F202">
        <v>0.23</v>
      </c>
      <c r="G202" t="e">
        <f>INDEX('اسعار الاسهم'!A:B,MATCH(B202,'اسعار الاسهم'!K:K,0),2)</f>
        <v>#N/A</v>
      </c>
      <c r="H202" s="8" t="str">
        <f t="shared" si="35"/>
        <v/>
      </c>
      <c r="I202" s="8" t="str">
        <f t="shared" si="36"/>
        <v/>
      </c>
      <c r="J202" s="8" t="str">
        <f t="shared" si="34"/>
        <v/>
      </c>
      <c r="K202" s="8">
        <f t="shared" si="37"/>
        <v>0.21739130434782616</v>
      </c>
      <c r="L202" s="13" t="str">
        <f t="shared" si="38"/>
        <v/>
      </c>
      <c r="M202" t="str">
        <f t="shared" si="39"/>
        <v/>
      </c>
      <c r="N202">
        <f t="shared" si="40"/>
        <v>1</v>
      </c>
      <c r="O202">
        <f t="shared" si="41"/>
        <v>4</v>
      </c>
      <c r="P202">
        <v>1</v>
      </c>
      <c r="Q202" s="11">
        <v>45693</v>
      </c>
      <c r="R202">
        <f t="shared" si="33"/>
        <v>15</v>
      </c>
      <c r="S202">
        <v>129</v>
      </c>
      <c r="T202" s="8">
        <f t="shared" si="42"/>
        <v>0.12903225806451624</v>
      </c>
    </row>
    <row r="203" spans="1:20" hidden="1">
      <c r="A203">
        <v>92</v>
      </c>
      <c r="B203" t="s">
        <v>765</v>
      </c>
      <c r="C203" s="11">
        <v>45649</v>
      </c>
      <c r="D203">
        <v>40.799999999999997</v>
      </c>
      <c r="E203">
        <v>44.4</v>
      </c>
      <c r="F203">
        <v>37.450000000000003</v>
      </c>
      <c r="G203">
        <f>INDEX('اسعار الاسهم'!A:B,MATCH(B203,'اسعار الاسهم'!K:K,0),2)</f>
        <v>49</v>
      </c>
      <c r="H203" s="8" t="str">
        <f t="shared" si="35"/>
        <v/>
      </c>
      <c r="I203" s="8" t="str">
        <f t="shared" si="36"/>
        <v/>
      </c>
      <c r="J203" s="8" t="str">
        <f t="shared" si="34"/>
        <v/>
      </c>
      <c r="K203" s="8">
        <f t="shared" si="37"/>
        <v>0.18558077436582088</v>
      </c>
      <c r="L203" s="13" t="str">
        <f t="shared" si="38"/>
        <v/>
      </c>
      <c r="M203" t="str">
        <f t="shared" si="39"/>
        <v/>
      </c>
      <c r="N203">
        <f t="shared" si="40"/>
        <v>2</v>
      </c>
      <c r="O203">
        <f t="shared" si="41"/>
        <v>7</v>
      </c>
      <c r="P203">
        <v>1</v>
      </c>
      <c r="Q203" s="11">
        <v>45694</v>
      </c>
      <c r="R203">
        <f t="shared" si="33"/>
        <v>47</v>
      </c>
      <c r="S203">
        <v>130</v>
      </c>
      <c r="T203" s="8">
        <f t="shared" si="42"/>
        <v>8.8235294117647189E-2</v>
      </c>
    </row>
    <row r="204" spans="1:20" hidden="1">
      <c r="A204">
        <v>103</v>
      </c>
      <c r="B204" t="s">
        <v>856</v>
      </c>
      <c r="C204" s="11">
        <v>45656</v>
      </c>
      <c r="D204">
        <v>17.45</v>
      </c>
      <c r="E204">
        <v>19.100000000000001</v>
      </c>
      <c r="F204">
        <v>16.149999999999999</v>
      </c>
      <c r="G204">
        <f>INDEX('اسعار الاسهم'!A:B,MATCH(B204,'اسعار الاسهم'!K:K,0),2)</f>
        <v>18.73</v>
      </c>
      <c r="H204" s="8" t="str">
        <f t="shared" si="35"/>
        <v/>
      </c>
      <c r="I204" s="8" t="str">
        <f t="shared" si="36"/>
        <v/>
      </c>
      <c r="J204" s="8" t="str">
        <f t="shared" si="34"/>
        <v/>
      </c>
      <c r="K204" s="8">
        <f t="shared" si="37"/>
        <v>0.18266253869969051</v>
      </c>
      <c r="L204" s="13" t="str">
        <f t="shared" si="38"/>
        <v/>
      </c>
      <c r="M204" t="str">
        <f t="shared" si="39"/>
        <v/>
      </c>
      <c r="N204">
        <f t="shared" si="40"/>
        <v>1</v>
      </c>
      <c r="O204">
        <f t="shared" si="41"/>
        <v>3</v>
      </c>
      <c r="P204">
        <v>1</v>
      </c>
      <c r="Q204" s="11">
        <v>45697</v>
      </c>
      <c r="R204">
        <f t="shared" si="33"/>
        <v>43</v>
      </c>
      <c r="S204">
        <v>131</v>
      </c>
      <c r="T204" s="8">
        <f t="shared" si="42"/>
        <v>9.4555873925501466E-2</v>
      </c>
    </row>
    <row r="205" spans="1:20" hidden="1">
      <c r="A205">
        <v>201</v>
      </c>
      <c r="B205" t="s">
        <v>850</v>
      </c>
      <c r="C205" s="11">
        <v>45693</v>
      </c>
      <c r="D205">
        <v>0.248</v>
      </c>
      <c r="E205">
        <v>0.28999999999999998</v>
      </c>
      <c r="F205">
        <v>0.23</v>
      </c>
      <c r="G205" t="e">
        <f>INDEX('اسعار الاسهم'!A:B,MATCH(B205,'اسعار الاسهم'!K:K,0),2)</f>
        <v>#N/A</v>
      </c>
      <c r="H205" s="8" t="str">
        <f t="shared" si="35"/>
        <v/>
      </c>
      <c r="I205" s="8" t="str">
        <f t="shared" si="36"/>
        <v/>
      </c>
      <c r="J205" s="8" t="str">
        <f t="shared" si="34"/>
        <v/>
      </c>
      <c r="K205" s="8">
        <f t="shared" si="37"/>
        <v>0.26086956521739113</v>
      </c>
      <c r="L205" s="13" t="str">
        <f t="shared" si="38"/>
        <v/>
      </c>
      <c r="M205" t="str">
        <f t="shared" si="39"/>
        <v/>
      </c>
      <c r="N205">
        <f t="shared" si="40"/>
        <v>1</v>
      </c>
      <c r="O205">
        <f t="shared" si="41"/>
        <v>4</v>
      </c>
      <c r="P205">
        <v>1</v>
      </c>
      <c r="Q205" s="11">
        <v>45697</v>
      </c>
      <c r="R205">
        <f t="shared" si="33"/>
        <v>6</v>
      </c>
      <c r="S205">
        <v>133</v>
      </c>
      <c r="T205" s="8">
        <f t="shared" si="42"/>
        <v>0.16935483870967727</v>
      </c>
    </row>
    <row r="206" spans="1:20" hidden="1">
      <c r="A206">
        <v>156</v>
      </c>
      <c r="B206" t="s">
        <v>900</v>
      </c>
      <c r="C206" s="11">
        <v>45677</v>
      </c>
      <c r="D206">
        <v>1.39</v>
      </c>
      <c r="E206">
        <v>1.65</v>
      </c>
      <c r="F206">
        <v>1.3</v>
      </c>
      <c r="G206">
        <f>INDEX('اسعار الاسهم'!A:B,MATCH(B206,'اسعار الاسهم'!K:K,0),2)</f>
        <v>3.43</v>
      </c>
      <c r="H206" s="8" t="str">
        <f t="shared" si="35"/>
        <v/>
      </c>
      <c r="I206" s="8" t="str">
        <f t="shared" si="36"/>
        <v/>
      </c>
      <c r="J206" s="8" t="str">
        <f t="shared" si="34"/>
        <v/>
      </c>
      <c r="K206" s="8">
        <f t="shared" si="37"/>
        <v>0.26923076923076916</v>
      </c>
      <c r="L206" s="13" t="str">
        <f t="shared" si="38"/>
        <v/>
      </c>
      <c r="M206" t="str">
        <f t="shared" si="39"/>
        <v/>
      </c>
      <c r="N206">
        <f t="shared" si="40"/>
        <v>1</v>
      </c>
      <c r="O206">
        <f t="shared" si="41"/>
        <v>4</v>
      </c>
      <c r="P206">
        <v>0</v>
      </c>
      <c r="Q206" s="11">
        <v>45697</v>
      </c>
      <c r="R206">
        <f t="shared" si="33"/>
        <v>22</v>
      </c>
      <c r="S206">
        <v>132</v>
      </c>
      <c r="T206" s="8">
        <f t="shared" si="42"/>
        <v>-6.4748201438848851E-2</v>
      </c>
    </row>
    <row r="207" spans="1:20" hidden="1">
      <c r="A207">
        <v>159</v>
      </c>
      <c r="B207" s="3" t="s">
        <v>784</v>
      </c>
      <c r="C207" s="11">
        <v>45678</v>
      </c>
      <c r="D207">
        <v>20.25</v>
      </c>
      <c r="E207">
        <v>22.5</v>
      </c>
      <c r="F207">
        <v>19.2</v>
      </c>
      <c r="G207">
        <f>INDEX('اسعار الاسهم'!A:B,MATCH(B207,'اسعار الاسهم'!K:K,0),2)</f>
        <v>26.32</v>
      </c>
      <c r="H207" s="8" t="str">
        <f t="shared" si="35"/>
        <v/>
      </c>
      <c r="I207" s="8" t="str">
        <f t="shared" si="36"/>
        <v/>
      </c>
      <c r="J207" s="8" t="str">
        <f t="shared" si="34"/>
        <v/>
      </c>
      <c r="K207" s="8">
        <f t="shared" si="37"/>
        <v>0.171875</v>
      </c>
      <c r="L207" s="13" t="str">
        <f t="shared" si="38"/>
        <v/>
      </c>
      <c r="M207" t="str">
        <f t="shared" si="39"/>
        <v/>
      </c>
      <c r="N207">
        <f t="shared" si="40"/>
        <v>0</v>
      </c>
      <c r="O207">
        <f t="shared" si="41"/>
        <v>7</v>
      </c>
      <c r="P207">
        <v>1</v>
      </c>
      <c r="Q207" s="11">
        <v>45698</v>
      </c>
      <c r="R207">
        <f>IF(Q207, Q207-C207,"")</f>
        <v>20</v>
      </c>
      <c r="S207">
        <v>134</v>
      </c>
      <c r="T207" s="8">
        <f t="shared" si="42"/>
        <v>0.11111111111111116</v>
      </c>
    </row>
    <row r="208" spans="1:20" hidden="1">
      <c r="A208">
        <v>179</v>
      </c>
      <c r="B208" t="s">
        <v>734</v>
      </c>
      <c r="C208" s="11">
        <v>45685</v>
      </c>
      <c r="D208">
        <v>25.7</v>
      </c>
      <c r="E208">
        <v>28.3</v>
      </c>
      <c r="F208">
        <v>24</v>
      </c>
      <c r="G208">
        <f>INDEX('اسعار الاسهم'!A:B,MATCH(B208,'اسعار الاسهم'!K:K,0),2)</f>
        <v>29.32</v>
      </c>
      <c r="H208" s="8" t="str">
        <f t="shared" si="35"/>
        <v/>
      </c>
      <c r="I208" s="8" t="str">
        <f t="shared" si="36"/>
        <v/>
      </c>
      <c r="J208" s="8" t="str">
        <f t="shared" si="34"/>
        <v/>
      </c>
      <c r="K208" s="8">
        <f t="shared" si="37"/>
        <v>0.1791666666666667</v>
      </c>
      <c r="L208" s="13" t="str">
        <f t="shared" si="38"/>
        <v/>
      </c>
      <c r="M208" t="str">
        <f t="shared" si="39"/>
        <v/>
      </c>
      <c r="N208">
        <f t="shared" si="40"/>
        <v>0</v>
      </c>
      <c r="O208">
        <f t="shared" si="41"/>
        <v>3</v>
      </c>
      <c r="P208">
        <v>1</v>
      </c>
      <c r="Q208" s="11">
        <v>45698</v>
      </c>
      <c r="R208">
        <f t="shared" ref="R208:R231" si="43">IF(Q208, Q208-C208+2,"")</f>
        <v>15</v>
      </c>
      <c r="S208">
        <v>135</v>
      </c>
      <c r="T208" s="8">
        <f t="shared" si="42"/>
        <v>0.10116731517509736</v>
      </c>
    </row>
    <row r="209" spans="1:20" hidden="1">
      <c r="A209">
        <v>184</v>
      </c>
      <c r="B209" t="s">
        <v>747</v>
      </c>
      <c r="C209" s="11">
        <v>45686</v>
      </c>
      <c r="D209">
        <v>53.95</v>
      </c>
      <c r="E209">
        <v>59.5</v>
      </c>
      <c r="F209">
        <v>51</v>
      </c>
      <c r="G209">
        <f>INDEX('اسعار الاسهم'!A:B,MATCH(B209,'اسعار الاسهم'!K:K,0),2)</f>
        <v>99.48</v>
      </c>
      <c r="H209" s="8" t="str">
        <f t="shared" si="35"/>
        <v/>
      </c>
      <c r="I209" s="8" t="str">
        <f t="shared" si="36"/>
        <v/>
      </c>
      <c r="J209" s="8" t="str">
        <f t="shared" si="34"/>
        <v/>
      </c>
      <c r="K209" s="8">
        <f t="shared" si="37"/>
        <v>0.16666666666666674</v>
      </c>
      <c r="L209" s="13" t="str">
        <f t="shared" si="38"/>
        <v/>
      </c>
      <c r="M209" t="str">
        <f t="shared" si="39"/>
        <v/>
      </c>
      <c r="N209">
        <f t="shared" si="40"/>
        <v>1</v>
      </c>
      <c r="O209">
        <f t="shared" si="41"/>
        <v>3</v>
      </c>
      <c r="P209">
        <v>0</v>
      </c>
      <c r="Q209" s="11">
        <v>45699</v>
      </c>
      <c r="R209">
        <f t="shared" si="43"/>
        <v>15</v>
      </c>
      <c r="S209">
        <v>140</v>
      </c>
      <c r="T209" s="8">
        <f t="shared" si="42"/>
        <v>-5.4680259499536699E-2</v>
      </c>
    </row>
    <row r="210" spans="1:20" hidden="1">
      <c r="A210">
        <v>189</v>
      </c>
      <c r="B210" t="s">
        <v>770</v>
      </c>
      <c r="C210" s="11">
        <v>45687</v>
      </c>
      <c r="D210">
        <v>4.1100000000000003</v>
      </c>
      <c r="E210">
        <v>4.5999999999999996</v>
      </c>
      <c r="F210">
        <v>3.85</v>
      </c>
      <c r="G210">
        <f>INDEX('اسعار الاسهم'!A:B,MATCH(B210,'اسعار الاسهم'!K:K,0),2)</f>
        <v>6.79</v>
      </c>
      <c r="H210" s="8" t="str">
        <f t="shared" si="35"/>
        <v/>
      </c>
      <c r="I210" s="8" t="str">
        <f t="shared" si="36"/>
        <v/>
      </c>
      <c r="J210" s="8" t="str">
        <f t="shared" si="34"/>
        <v/>
      </c>
      <c r="K210" s="8">
        <f t="shared" si="37"/>
        <v>0.19480519480519476</v>
      </c>
      <c r="L210" s="13" t="str">
        <f t="shared" si="38"/>
        <v/>
      </c>
      <c r="M210" t="str">
        <f t="shared" si="39"/>
        <v/>
      </c>
      <c r="N210">
        <f t="shared" si="40"/>
        <v>0</v>
      </c>
      <c r="O210">
        <f t="shared" si="41"/>
        <v>1</v>
      </c>
      <c r="P210">
        <v>0</v>
      </c>
      <c r="Q210" s="11">
        <v>45699</v>
      </c>
      <c r="R210">
        <f t="shared" si="43"/>
        <v>14</v>
      </c>
      <c r="S210">
        <v>144</v>
      </c>
      <c r="T210" s="8">
        <f t="shared" si="42"/>
        <v>-6.326034063260344E-2</v>
      </c>
    </row>
    <row r="211" spans="1:20" hidden="1">
      <c r="A211">
        <v>202</v>
      </c>
      <c r="B211" t="s">
        <v>807</v>
      </c>
      <c r="C211" s="11">
        <v>45693</v>
      </c>
      <c r="D211">
        <v>24.8</v>
      </c>
      <c r="E211">
        <v>28.1</v>
      </c>
      <c r="F211">
        <v>23.2</v>
      </c>
      <c r="G211">
        <f>INDEX('اسعار الاسهم'!A:B,MATCH(B211,'اسعار الاسهم'!K:K,0),2)</f>
        <v>30.5</v>
      </c>
      <c r="H211" s="8" t="str">
        <f t="shared" si="35"/>
        <v/>
      </c>
      <c r="I211" s="8" t="str">
        <f t="shared" si="36"/>
        <v/>
      </c>
      <c r="J211" s="8" t="str">
        <f t="shared" si="34"/>
        <v/>
      </c>
      <c r="K211" s="8">
        <f t="shared" si="37"/>
        <v>0.2112068965517242</v>
      </c>
      <c r="L211" s="13" t="str">
        <f t="shared" si="38"/>
        <v/>
      </c>
      <c r="M211" t="str">
        <f t="shared" si="39"/>
        <v/>
      </c>
      <c r="N211">
        <f t="shared" si="40"/>
        <v>1</v>
      </c>
      <c r="O211">
        <f t="shared" si="41"/>
        <v>2</v>
      </c>
      <c r="P211">
        <v>0</v>
      </c>
      <c r="Q211" s="11">
        <v>45699</v>
      </c>
      <c r="R211">
        <f t="shared" si="43"/>
        <v>8</v>
      </c>
      <c r="S211">
        <v>145</v>
      </c>
      <c r="T211" s="8">
        <f t="shared" si="42"/>
        <v>-6.4516129032258118E-2</v>
      </c>
    </row>
    <row r="212" spans="1:20" hidden="1">
      <c r="A212">
        <v>198</v>
      </c>
      <c r="B212" t="s">
        <v>773</v>
      </c>
      <c r="C212" s="11">
        <v>45692</v>
      </c>
      <c r="D212">
        <v>1.78</v>
      </c>
      <c r="E212">
        <v>2</v>
      </c>
      <c r="F212">
        <v>1.65</v>
      </c>
      <c r="G212">
        <f>INDEX('اسعار الاسهم'!A:B,MATCH(B212,'اسعار الاسهم'!K:K,0),2)</f>
        <v>1.92</v>
      </c>
      <c r="H212" s="8" t="str">
        <f t="shared" si="35"/>
        <v/>
      </c>
      <c r="I212" s="8" t="str">
        <f t="shared" si="36"/>
        <v/>
      </c>
      <c r="J212" s="8" t="str">
        <f t="shared" si="34"/>
        <v/>
      </c>
      <c r="K212" s="8">
        <f t="shared" si="37"/>
        <v>0.21212121212121215</v>
      </c>
      <c r="L212" s="13" t="str">
        <f t="shared" si="38"/>
        <v/>
      </c>
      <c r="M212" t="str">
        <f t="shared" si="39"/>
        <v/>
      </c>
      <c r="N212">
        <f t="shared" si="40"/>
        <v>1</v>
      </c>
      <c r="O212">
        <f t="shared" si="41"/>
        <v>5</v>
      </c>
      <c r="P212">
        <v>0</v>
      </c>
      <c r="Q212" s="11">
        <v>45699</v>
      </c>
      <c r="R212">
        <f t="shared" si="43"/>
        <v>9</v>
      </c>
      <c r="S212">
        <v>136</v>
      </c>
      <c r="T212" s="8">
        <f t="shared" si="42"/>
        <v>-7.3033707865168607E-2</v>
      </c>
    </row>
    <row r="213" spans="1:20" hidden="1">
      <c r="A213">
        <v>168</v>
      </c>
      <c r="B213" t="s">
        <v>762</v>
      </c>
      <c r="C213" s="11">
        <v>45680</v>
      </c>
      <c r="D213">
        <v>5.3</v>
      </c>
      <c r="E213">
        <v>5.9</v>
      </c>
      <c r="F213">
        <v>4.9000000000000004</v>
      </c>
      <c r="G213">
        <f>INDEX('اسعار الاسهم'!A:B,MATCH(B213,'اسعار الاسهم'!K:K,0),2)</f>
        <v>7.59</v>
      </c>
      <c r="H213" s="8" t="str">
        <f t="shared" si="35"/>
        <v/>
      </c>
      <c r="I213" s="8" t="str">
        <f t="shared" si="36"/>
        <v/>
      </c>
      <c r="J213" s="8" t="str">
        <f t="shared" si="34"/>
        <v/>
      </c>
      <c r="K213" s="8">
        <f t="shared" si="37"/>
        <v>0.20408163265306123</v>
      </c>
      <c r="L213" s="13" t="str">
        <f t="shared" si="38"/>
        <v/>
      </c>
      <c r="M213" t="str">
        <f t="shared" si="39"/>
        <v/>
      </c>
      <c r="N213">
        <f t="shared" si="40"/>
        <v>0</v>
      </c>
      <c r="O213">
        <f t="shared" si="41"/>
        <v>3</v>
      </c>
      <c r="P213">
        <v>0</v>
      </c>
      <c r="Q213" s="11">
        <v>45699</v>
      </c>
      <c r="R213">
        <f t="shared" si="43"/>
        <v>21</v>
      </c>
      <c r="S213">
        <v>141</v>
      </c>
      <c r="T213" s="8">
        <f t="shared" si="42"/>
        <v>-7.5471698113207419E-2</v>
      </c>
    </row>
    <row r="214" spans="1:20" hidden="1">
      <c r="A214">
        <v>191</v>
      </c>
      <c r="B214" t="s">
        <v>777</v>
      </c>
      <c r="C214" s="11">
        <v>45690</v>
      </c>
      <c r="D214">
        <v>23.8</v>
      </c>
      <c r="E214">
        <v>27</v>
      </c>
      <c r="F214">
        <v>22.4</v>
      </c>
      <c r="G214">
        <f>INDEX('اسعار الاسهم'!A:B,MATCH(B214,'اسعار الاسهم'!K:K,0),2)</f>
        <v>31.55</v>
      </c>
      <c r="H214" s="42" t="str">
        <f t="shared" si="35"/>
        <v/>
      </c>
      <c r="I214" s="42" t="str">
        <f t="shared" si="36"/>
        <v/>
      </c>
      <c r="J214" s="42" t="str">
        <f t="shared" si="34"/>
        <v/>
      </c>
      <c r="K214" s="42">
        <f t="shared" si="37"/>
        <v>0.20535714285714302</v>
      </c>
      <c r="L214" s="43" t="str">
        <f t="shared" si="38"/>
        <v/>
      </c>
      <c r="M214" t="str">
        <f t="shared" si="39"/>
        <v/>
      </c>
      <c r="N214">
        <f t="shared" si="40"/>
        <v>0</v>
      </c>
      <c r="O214">
        <f t="shared" si="41"/>
        <v>8</v>
      </c>
      <c r="P214">
        <v>0</v>
      </c>
      <c r="Q214" s="11">
        <v>45699</v>
      </c>
      <c r="R214">
        <f t="shared" si="43"/>
        <v>11</v>
      </c>
      <c r="S214">
        <v>137</v>
      </c>
      <c r="T214" s="42">
        <f t="shared" si="42"/>
        <v>-5.882352941176483E-2</v>
      </c>
    </row>
    <row r="215" spans="1:20" hidden="1">
      <c r="A215">
        <v>166</v>
      </c>
      <c r="B215" t="s">
        <v>887</v>
      </c>
      <c r="C215" s="11">
        <v>45679</v>
      </c>
      <c r="D215">
        <v>26.3</v>
      </c>
      <c r="E215">
        <v>30</v>
      </c>
      <c r="F215">
        <v>24.7</v>
      </c>
      <c r="G215">
        <f>INDEX('اسعار الاسهم'!A:B,MATCH(B215,'اسعار الاسهم'!K:K,0),2)</f>
        <v>70.95</v>
      </c>
      <c r="H215" s="8" t="str">
        <f t="shared" si="35"/>
        <v/>
      </c>
      <c r="I215" s="8" t="str">
        <f t="shared" si="36"/>
        <v/>
      </c>
      <c r="J215" s="8" t="str">
        <f t="shared" si="34"/>
        <v/>
      </c>
      <c r="K215" s="8">
        <f t="shared" si="37"/>
        <v>0.21457489878542524</v>
      </c>
      <c r="L215" s="13" t="str">
        <f t="shared" si="38"/>
        <v/>
      </c>
      <c r="M215" t="str">
        <f t="shared" si="39"/>
        <v/>
      </c>
      <c r="N215">
        <f t="shared" si="40"/>
        <v>1</v>
      </c>
      <c r="O215">
        <f t="shared" si="41"/>
        <v>4</v>
      </c>
      <c r="P215">
        <v>0</v>
      </c>
      <c r="Q215" s="11">
        <v>45699</v>
      </c>
      <c r="R215">
        <f t="shared" si="43"/>
        <v>22</v>
      </c>
      <c r="S215">
        <v>139</v>
      </c>
      <c r="T215" s="8">
        <f t="shared" si="42"/>
        <v>-6.083650190114076E-2</v>
      </c>
    </row>
    <row r="216" spans="1:20" hidden="1">
      <c r="A216">
        <v>192</v>
      </c>
      <c r="B216" t="s">
        <v>746</v>
      </c>
      <c r="C216" s="11">
        <v>45690</v>
      </c>
      <c r="D216">
        <v>2.64</v>
      </c>
      <c r="E216">
        <v>2.92</v>
      </c>
      <c r="F216">
        <v>2.48</v>
      </c>
      <c r="G216">
        <f>INDEX('اسعار الاسهم'!A:B,MATCH(B216,'اسعار الاسهم'!K:K,0),2)</f>
        <v>7.15</v>
      </c>
      <c r="H216" s="8" t="str">
        <f t="shared" si="35"/>
        <v/>
      </c>
      <c r="I216" s="8" t="str">
        <f t="shared" si="36"/>
        <v/>
      </c>
      <c r="J216" s="8" t="str">
        <f t="shared" si="34"/>
        <v/>
      </c>
      <c r="K216" s="8">
        <f t="shared" si="37"/>
        <v>0.17741935483870974</v>
      </c>
      <c r="L216" s="13" t="str">
        <f t="shared" si="38"/>
        <v/>
      </c>
      <c r="M216" t="str">
        <f t="shared" si="39"/>
        <v/>
      </c>
      <c r="N216">
        <f t="shared" si="40"/>
        <v>0</v>
      </c>
      <c r="O216">
        <f t="shared" si="41"/>
        <v>1</v>
      </c>
      <c r="P216">
        <v>0</v>
      </c>
      <c r="Q216" s="11">
        <v>45699</v>
      </c>
      <c r="R216">
        <f t="shared" si="43"/>
        <v>11</v>
      </c>
      <c r="S216">
        <v>142</v>
      </c>
      <c r="T216" s="8">
        <f t="shared" si="42"/>
        <v>-6.0606060606060663E-2</v>
      </c>
    </row>
    <row r="217" spans="1:20" hidden="1">
      <c r="A217">
        <v>163</v>
      </c>
      <c r="B217" t="s">
        <v>793</v>
      </c>
      <c r="C217" s="11">
        <v>45679</v>
      </c>
      <c r="D217">
        <v>3.43</v>
      </c>
      <c r="E217">
        <v>3.93</v>
      </c>
      <c r="F217">
        <v>3.2</v>
      </c>
      <c r="G217">
        <f>INDEX('اسعار الاسهم'!A:B,MATCH(B217,'اسعار الاسهم'!K:K,0),2)</f>
        <v>4.54</v>
      </c>
      <c r="H217" s="8" t="str">
        <f t="shared" si="35"/>
        <v/>
      </c>
      <c r="I217" s="8" t="str">
        <f t="shared" si="36"/>
        <v/>
      </c>
      <c r="J217" s="8" t="str">
        <f t="shared" si="34"/>
        <v/>
      </c>
      <c r="K217" s="8">
        <f t="shared" si="37"/>
        <v>0.22812499999999991</v>
      </c>
      <c r="L217" s="13" t="str">
        <f t="shared" si="38"/>
        <v/>
      </c>
      <c r="M217" t="str">
        <f t="shared" si="39"/>
        <v/>
      </c>
      <c r="N217">
        <f t="shared" si="40"/>
        <v>0</v>
      </c>
      <c r="O217">
        <f t="shared" si="41"/>
        <v>3</v>
      </c>
      <c r="P217">
        <v>0</v>
      </c>
      <c r="Q217" s="11">
        <v>45699</v>
      </c>
      <c r="R217">
        <f t="shared" si="43"/>
        <v>22</v>
      </c>
      <c r="S217">
        <v>138</v>
      </c>
      <c r="T217" s="8">
        <f t="shared" si="42"/>
        <v>-6.7055393586005874E-2</v>
      </c>
    </row>
    <row r="218" spans="1:20" hidden="1">
      <c r="A218">
        <v>185</v>
      </c>
      <c r="B218" t="s">
        <v>763</v>
      </c>
      <c r="C218" s="11">
        <v>45686</v>
      </c>
      <c r="D218">
        <v>7.05</v>
      </c>
      <c r="E218">
        <v>7.8</v>
      </c>
      <c r="F218">
        <v>6.65</v>
      </c>
      <c r="G218">
        <f>INDEX('اسعار الاسهم'!A:B,MATCH(B218,'اسعار الاسهم'!K:K,0),2)</f>
        <v>10.11</v>
      </c>
      <c r="H218" s="8" t="str">
        <f t="shared" si="35"/>
        <v/>
      </c>
      <c r="I218" s="8" t="str">
        <f t="shared" si="36"/>
        <v/>
      </c>
      <c r="J218" s="8" t="str">
        <f t="shared" si="34"/>
        <v/>
      </c>
      <c r="K218" s="8">
        <f t="shared" si="37"/>
        <v>0.1729323308270676</v>
      </c>
      <c r="L218" s="13" t="str">
        <f t="shared" si="38"/>
        <v/>
      </c>
      <c r="M218" t="str">
        <f t="shared" si="39"/>
        <v/>
      </c>
      <c r="N218">
        <f t="shared" si="40"/>
        <v>0</v>
      </c>
      <c r="O218">
        <f t="shared" si="41"/>
        <v>2</v>
      </c>
      <c r="P218">
        <v>0</v>
      </c>
      <c r="Q218" s="11">
        <v>45700</v>
      </c>
      <c r="R218">
        <f t="shared" si="43"/>
        <v>16</v>
      </c>
      <c r="S218">
        <v>159</v>
      </c>
      <c r="T218" s="8">
        <f t="shared" si="42"/>
        <v>-5.673758865248224E-2</v>
      </c>
    </row>
    <row r="219" spans="1:20" hidden="1">
      <c r="A219">
        <v>204</v>
      </c>
      <c r="B219" t="s">
        <v>860</v>
      </c>
      <c r="C219" s="11">
        <v>45694</v>
      </c>
      <c r="D219">
        <v>4.1500000000000004</v>
      </c>
      <c r="E219">
        <v>4.5999999999999996</v>
      </c>
      <c r="F219">
        <v>3.89</v>
      </c>
      <c r="G219">
        <f>INDEX('اسعار الاسهم'!A:B,MATCH(B219,'اسعار الاسهم'!K:K,0),2)</f>
        <v>7.33</v>
      </c>
      <c r="H219" s="8" t="str">
        <f t="shared" si="35"/>
        <v/>
      </c>
      <c r="I219" s="8" t="str">
        <f t="shared" si="36"/>
        <v/>
      </c>
      <c r="J219" s="8" t="str">
        <f t="shared" si="34"/>
        <v/>
      </c>
      <c r="K219" s="8">
        <f t="shared" si="37"/>
        <v>0.18251928020565544</v>
      </c>
      <c r="L219" s="13" t="str">
        <f t="shared" si="38"/>
        <v/>
      </c>
      <c r="M219" t="str">
        <f t="shared" si="39"/>
        <v/>
      </c>
      <c r="N219">
        <f t="shared" si="40"/>
        <v>0</v>
      </c>
      <c r="O219">
        <f t="shared" si="41"/>
        <v>6</v>
      </c>
      <c r="P219">
        <v>0</v>
      </c>
      <c r="Q219" s="11">
        <v>45700</v>
      </c>
      <c r="R219">
        <f t="shared" si="43"/>
        <v>8</v>
      </c>
      <c r="S219">
        <v>160</v>
      </c>
      <c r="T219" s="8">
        <f t="shared" si="42"/>
        <v>-6.26506024096386E-2</v>
      </c>
    </row>
    <row r="220" spans="1:20" hidden="1">
      <c r="A220">
        <v>190</v>
      </c>
      <c r="B220" t="s">
        <v>788</v>
      </c>
      <c r="C220" s="11">
        <v>45690</v>
      </c>
      <c r="D220">
        <v>8.6</v>
      </c>
      <c r="E220">
        <v>9.4</v>
      </c>
      <c r="F220">
        <v>8</v>
      </c>
      <c r="G220">
        <f>INDEX('اسعار الاسهم'!A:B,MATCH(B220,'اسعار الاسهم'!K:K,0),2)</f>
        <v>19.32</v>
      </c>
      <c r="H220" s="8" t="str">
        <f t="shared" si="35"/>
        <v/>
      </c>
      <c r="I220" s="8" t="str">
        <f t="shared" si="36"/>
        <v/>
      </c>
      <c r="J220" s="8" t="str">
        <f t="shared" si="34"/>
        <v/>
      </c>
      <c r="K220" s="8">
        <f t="shared" si="37"/>
        <v>0.17500000000000004</v>
      </c>
      <c r="L220" s="13" t="str">
        <f t="shared" si="38"/>
        <v/>
      </c>
      <c r="M220" t="str">
        <f t="shared" si="39"/>
        <v/>
      </c>
      <c r="N220">
        <f t="shared" si="40"/>
        <v>0</v>
      </c>
      <c r="O220">
        <f t="shared" si="41"/>
        <v>4</v>
      </c>
      <c r="P220">
        <v>0</v>
      </c>
      <c r="Q220" s="11">
        <v>45700</v>
      </c>
      <c r="R220">
        <f t="shared" si="43"/>
        <v>12</v>
      </c>
      <c r="S220">
        <v>147</v>
      </c>
      <c r="T220" s="8">
        <f t="shared" si="42"/>
        <v>-6.9767441860465129E-2</v>
      </c>
    </row>
    <row r="221" spans="1:20" hidden="1">
      <c r="A221">
        <v>200</v>
      </c>
      <c r="B221" t="s">
        <v>768</v>
      </c>
      <c r="C221" s="11">
        <v>45693</v>
      </c>
      <c r="D221">
        <v>1.36</v>
      </c>
      <c r="E221">
        <v>1.55</v>
      </c>
      <c r="F221">
        <v>1.28</v>
      </c>
      <c r="G221">
        <f>INDEX('اسعار الاسهم'!A:B,MATCH(B221,'اسعار الاسهم'!K:K,0),2)</f>
        <v>2.33</v>
      </c>
      <c r="H221" s="8" t="str">
        <f t="shared" si="35"/>
        <v/>
      </c>
      <c r="I221" s="8" t="str">
        <f t="shared" si="36"/>
        <v/>
      </c>
      <c r="J221" s="8" t="str">
        <f t="shared" si="34"/>
        <v/>
      </c>
      <c r="K221" s="8">
        <f t="shared" si="37"/>
        <v>0.2109375</v>
      </c>
      <c r="L221" s="13" t="str">
        <f t="shared" si="38"/>
        <v/>
      </c>
      <c r="M221" t="str">
        <f t="shared" si="39"/>
        <v/>
      </c>
      <c r="N221">
        <f t="shared" si="40"/>
        <v>0</v>
      </c>
      <c r="O221">
        <f t="shared" si="41"/>
        <v>4</v>
      </c>
      <c r="P221">
        <v>0</v>
      </c>
      <c r="Q221" s="11">
        <v>45700</v>
      </c>
      <c r="R221">
        <f t="shared" si="43"/>
        <v>9</v>
      </c>
      <c r="S221">
        <v>146</v>
      </c>
      <c r="T221" s="8">
        <f t="shared" si="42"/>
        <v>-5.8823529411764719E-2</v>
      </c>
    </row>
    <row r="222" spans="1:20" hidden="1">
      <c r="A222">
        <v>139</v>
      </c>
      <c r="B222" t="s">
        <v>984</v>
      </c>
      <c r="C222" s="11">
        <v>45671</v>
      </c>
      <c r="D222">
        <v>31.9</v>
      </c>
      <c r="E222">
        <v>36</v>
      </c>
      <c r="F222">
        <v>29.5</v>
      </c>
      <c r="G222">
        <f>INDEX('اسعار الاسهم'!A:B,MATCH(B222,'اسعار الاسهم'!K:K,0),2)</f>
        <v>53.39</v>
      </c>
      <c r="H222" s="8" t="str">
        <f t="shared" si="35"/>
        <v/>
      </c>
      <c r="I222" s="8" t="str">
        <f t="shared" si="36"/>
        <v/>
      </c>
      <c r="J222" s="8" t="str">
        <f t="shared" si="34"/>
        <v/>
      </c>
      <c r="K222" s="8">
        <f t="shared" si="37"/>
        <v>0.22033898305084754</v>
      </c>
      <c r="L222" s="13" t="str">
        <f t="shared" si="38"/>
        <v/>
      </c>
      <c r="M222" t="str">
        <f t="shared" si="39"/>
        <v/>
      </c>
      <c r="N222">
        <f t="shared" si="40"/>
        <v>1</v>
      </c>
      <c r="O222">
        <f t="shared" si="41"/>
        <v>4</v>
      </c>
      <c r="P222">
        <v>0</v>
      </c>
      <c r="Q222" s="11">
        <v>45700</v>
      </c>
      <c r="R222">
        <f t="shared" si="43"/>
        <v>31</v>
      </c>
      <c r="S222">
        <v>152</v>
      </c>
      <c r="T222" s="8">
        <f t="shared" si="42"/>
        <v>-7.5235109717868287E-2</v>
      </c>
    </row>
    <row r="223" spans="1:20" hidden="1">
      <c r="A223">
        <v>116</v>
      </c>
      <c r="B223" t="s">
        <v>889</v>
      </c>
      <c r="C223" s="11">
        <v>45663</v>
      </c>
      <c r="D223">
        <v>9.3000000000000007</v>
      </c>
      <c r="E223">
        <v>10.45</v>
      </c>
      <c r="F223">
        <v>8.6</v>
      </c>
      <c r="G223">
        <f>INDEX('اسعار الاسهم'!A:B,MATCH(B223,'اسعار الاسهم'!K:K,0),2)</f>
        <v>14.35</v>
      </c>
      <c r="H223" s="8" t="str">
        <f t="shared" si="35"/>
        <v/>
      </c>
      <c r="I223" s="8" t="str">
        <f t="shared" si="36"/>
        <v/>
      </c>
      <c r="J223" s="8" t="str">
        <f t="shared" si="34"/>
        <v/>
      </c>
      <c r="K223" s="8">
        <f t="shared" si="37"/>
        <v>0.21511627906976738</v>
      </c>
      <c r="L223" s="13" t="str">
        <f t="shared" si="38"/>
        <v/>
      </c>
      <c r="M223" t="str">
        <f t="shared" si="39"/>
        <v/>
      </c>
      <c r="N223">
        <f t="shared" si="40"/>
        <v>1</v>
      </c>
      <c r="O223">
        <f t="shared" si="41"/>
        <v>4</v>
      </c>
      <c r="P223">
        <v>0</v>
      </c>
      <c r="Q223" s="11">
        <v>45700</v>
      </c>
      <c r="R223">
        <f t="shared" si="43"/>
        <v>39</v>
      </c>
      <c r="S223">
        <v>148</v>
      </c>
      <c r="T223" s="8">
        <f t="shared" si="42"/>
        <v>-7.526881720430123E-2</v>
      </c>
    </row>
    <row r="224" spans="1:20" hidden="1">
      <c r="A224">
        <v>154</v>
      </c>
      <c r="B224" t="s">
        <v>760</v>
      </c>
      <c r="C224" s="11">
        <v>45677</v>
      </c>
      <c r="D224">
        <v>29.7</v>
      </c>
      <c r="E224">
        <v>32.9</v>
      </c>
      <c r="F224">
        <v>27.4</v>
      </c>
      <c r="G224">
        <f>INDEX('اسعار الاسهم'!A:B,MATCH(B224,'اسعار الاسهم'!K:K,0),2)</f>
        <v>41.67</v>
      </c>
      <c r="H224" s="8" t="str">
        <f t="shared" si="35"/>
        <v/>
      </c>
      <c r="I224" s="8" t="str">
        <f t="shared" si="36"/>
        <v/>
      </c>
      <c r="J224" s="8" t="str">
        <f t="shared" si="34"/>
        <v/>
      </c>
      <c r="K224" s="8">
        <f t="shared" si="37"/>
        <v>0.2007299270072993</v>
      </c>
      <c r="L224" s="13" t="str">
        <f t="shared" si="38"/>
        <v/>
      </c>
      <c r="M224" t="str">
        <f t="shared" si="39"/>
        <v/>
      </c>
      <c r="N224">
        <f t="shared" si="40"/>
        <v>1</v>
      </c>
      <c r="O224">
        <f t="shared" si="41"/>
        <v>3</v>
      </c>
      <c r="P224">
        <v>0</v>
      </c>
      <c r="Q224" s="11">
        <v>45700</v>
      </c>
      <c r="R224">
        <f t="shared" si="43"/>
        <v>25</v>
      </c>
      <c r="S224">
        <v>158</v>
      </c>
      <c r="T224" s="8">
        <f t="shared" si="42"/>
        <v>-7.7441077441077422E-2</v>
      </c>
    </row>
    <row r="225" spans="1:20" hidden="1">
      <c r="A225">
        <v>211</v>
      </c>
      <c r="B225" t="s">
        <v>764</v>
      </c>
      <c r="C225" s="11">
        <v>45697</v>
      </c>
      <c r="D225">
        <v>25.5</v>
      </c>
      <c r="E225">
        <v>28.5</v>
      </c>
      <c r="F225">
        <v>24.5</v>
      </c>
      <c r="G225">
        <f>INDEX('اسعار الاسهم'!A:B,MATCH(B225,'اسعار الاسهم'!K:K,0),2)</f>
        <v>21.84</v>
      </c>
      <c r="H225" s="8" t="str">
        <f t="shared" si="35"/>
        <v/>
      </c>
      <c r="I225" s="8" t="str">
        <f t="shared" si="36"/>
        <v/>
      </c>
      <c r="J225" s="8" t="str">
        <f t="shared" si="34"/>
        <v/>
      </c>
      <c r="K225" s="8">
        <f t="shared" si="37"/>
        <v>0.16326530612244894</v>
      </c>
      <c r="L225" s="13" t="str">
        <f t="shared" si="38"/>
        <v/>
      </c>
      <c r="M225" t="str">
        <f t="shared" si="39"/>
        <v/>
      </c>
      <c r="N225">
        <f t="shared" si="40"/>
        <v>0</v>
      </c>
      <c r="O225">
        <f t="shared" si="41"/>
        <v>5</v>
      </c>
      <c r="P225">
        <v>0</v>
      </c>
      <c r="Q225" s="11">
        <v>45700</v>
      </c>
      <c r="R225">
        <f t="shared" si="43"/>
        <v>5</v>
      </c>
      <c r="S225">
        <v>149</v>
      </c>
      <c r="T225" s="8">
        <f t="shared" si="42"/>
        <v>-3.9215686274509776E-2</v>
      </c>
    </row>
    <row r="226" spans="1:20" hidden="1">
      <c r="A226">
        <v>206</v>
      </c>
      <c r="B226" t="s">
        <v>760</v>
      </c>
      <c r="C226" s="11">
        <v>45694</v>
      </c>
      <c r="D226">
        <v>29</v>
      </c>
      <c r="E226">
        <v>33.700000000000003</v>
      </c>
      <c r="F226">
        <v>27.4</v>
      </c>
      <c r="G226">
        <f>INDEX('اسعار الاسهم'!A:B,MATCH(B226,'اسعار الاسهم'!K:K,0),2)</f>
        <v>41.67</v>
      </c>
      <c r="H226" s="8" t="str">
        <f t="shared" si="35"/>
        <v/>
      </c>
      <c r="I226" s="8" t="str">
        <f t="shared" si="36"/>
        <v/>
      </c>
      <c r="J226" s="8" t="str">
        <f t="shared" si="34"/>
        <v/>
      </c>
      <c r="K226" s="8">
        <f t="shared" si="37"/>
        <v>0.22992700729927029</v>
      </c>
      <c r="L226" s="13" t="str">
        <f t="shared" si="38"/>
        <v/>
      </c>
      <c r="M226" t="str">
        <f t="shared" si="39"/>
        <v/>
      </c>
      <c r="N226">
        <f t="shared" si="40"/>
        <v>1</v>
      </c>
      <c r="O226">
        <f t="shared" si="41"/>
        <v>3</v>
      </c>
      <c r="P226">
        <v>0</v>
      </c>
      <c r="Q226" s="11">
        <v>45700</v>
      </c>
      <c r="R226">
        <f t="shared" si="43"/>
        <v>8</v>
      </c>
      <c r="S226">
        <v>157</v>
      </c>
      <c r="T226" s="8">
        <f t="shared" si="42"/>
        <v>-5.5172413793103448E-2</v>
      </c>
    </row>
    <row r="227" spans="1:20" hidden="1">
      <c r="A227">
        <v>142</v>
      </c>
      <c r="B227" t="s">
        <v>762</v>
      </c>
      <c r="C227" s="11">
        <v>45673</v>
      </c>
      <c r="D227">
        <v>5.18</v>
      </c>
      <c r="E227">
        <v>5.89</v>
      </c>
      <c r="F227">
        <v>4.7</v>
      </c>
      <c r="G227">
        <f>INDEX('اسعار الاسهم'!A:B,MATCH(B227,'اسعار الاسهم'!K:K,0),2)</f>
        <v>7.59</v>
      </c>
      <c r="H227" s="8" t="str">
        <f t="shared" si="35"/>
        <v/>
      </c>
      <c r="I227" s="8" t="str">
        <f t="shared" si="36"/>
        <v/>
      </c>
      <c r="J227" s="8" t="str">
        <f t="shared" si="34"/>
        <v/>
      </c>
      <c r="K227" s="8">
        <f t="shared" si="37"/>
        <v>0.25319148936170199</v>
      </c>
      <c r="L227" s="13" t="str">
        <f t="shared" si="38"/>
        <v/>
      </c>
      <c r="M227" t="str">
        <f t="shared" si="39"/>
        <v/>
      </c>
      <c r="N227">
        <f t="shared" si="40"/>
        <v>0</v>
      </c>
      <c r="O227">
        <f t="shared" si="41"/>
        <v>3</v>
      </c>
      <c r="P227">
        <v>0</v>
      </c>
      <c r="Q227" s="11">
        <v>45700</v>
      </c>
      <c r="R227">
        <f t="shared" si="43"/>
        <v>29</v>
      </c>
      <c r="S227">
        <v>156</v>
      </c>
      <c r="T227" s="8">
        <f t="shared" si="42"/>
        <v>-9.266409266409259E-2</v>
      </c>
    </row>
    <row r="228" spans="1:20" hidden="1">
      <c r="A228">
        <v>180</v>
      </c>
      <c r="B228" t="s">
        <v>811</v>
      </c>
      <c r="C228" s="11">
        <v>45685</v>
      </c>
      <c r="D228">
        <v>3.77</v>
      </c>
      <c r="E228">
        <v>4.3</v>
      </c>
      <c r="F228">
        <v>3.55</v>
      </c>
      <c r="G228">
        <f>INDEX('اسعار الاسهم'!A:B,MATCH(B228,'اسعار الاسهم'!K:K,0),2)</f>
        <v>5.18</v>
      </c>
      <c r="H228" s="8" t="str">
        <f t="shared" si="35"/>
        <v/>
      </c>
      <c r="I228" s="8" t="str">
        <f t="shared" si="36"/>
        <v/>
      </c>
      <c r="J228" s="8" t="str">
        <f t="shared" si="34"/>
        <v/>
      </c>
      <c r="K228" s="8">
        <f t="shared" si="37"/>
        <v>0.21126760563380276</v>
      </c>
      <c r="L228" s="13" t="str">
        <f t="shared" si="38"/>
        <v/>
      </c>
      <c r="M228" t="str">
        <f t="shared" si="39"/>
        <v/>
      </c>
      <c r="N228">
        <f t="shared" si="40"/>
        <v>0</v>
      </c>
      <c r="O228">
        <f t="shared" si="41"/>
        <v>3</v>
      </c>
      <c r="P228">
        <v>0</v>
      </c>
      <c r="Q228" s="11">
        <v>45700</v>
      </c>
      <c r="R228">
        <f t="shared" si="43"/>
        <v>17</v>
      </c>
      <c r="S228">
        <v>150</v>
      </c>
      <c r="T228" s="8">
        <f t="shared" si="42"/>
        <v>-5.835543766578255E-2</v>
      </c>
    </row>
    <row r="229" spans="1:20" hidden="1">
      <c r="A229">
        <v>178</v>
      </c>
      <c r="B229" t="s">
        <v>895</v>
      </c>
      <c r="C229" s="11">
        <v>45684</v>
      </c>
      <c r="D229">
        <v>3.48</v>
      </c>
      <c r="E229">
        <v>4.0999999999999996</v>
      </c>
      <c r="F229">
        <v>3.25</v>
      </c>
      <c r="G229">
        <f>INDEX('اسعار الاسهم'!A:B,MATCH(B229,'اسعار الاسهم'!K:K,0),2)</f>
        <v>8.6999999999999993</v>
      </c>
      <c r="H229" s="8" t="str">
        <f t="shared" si="35"/>
        <v/>
      </c>
      <c r="I229" s="8" t="str">
        <f t="shared" si="36"/>
        <v/>
      </c>
      <c r="J229" s="8" t="str">
        <f t="shared" si="34"/>
        <v/>
      </c>
      <c r="K229" s="8">
        <f t="shared" si="37"/>
        <v>0.2615384615384615</v>
      </c>
      <c r="L229" s="13" t="str">
        <f t="shared" si="38"/>
        <v/>
      </c>
      <c r="M229" t="str">
        <f t="shared" si="39"/>
        <v/>
      </c>
      <c r="N229">
        <f t="shared" si="40"/>
        <v>0</v>
      </c>
      <c r="O229">
        <f t="shared" si="41"/>
        <v>2</v>
      </c>
      <c r="P229">
        <v>0</v>
      </c>
      <c r="Q229" s="11">
        <v>45700</v>
      </c>
      <c r="R229">
        <f t="shared" si="43"/>
        <v>18</v>
      </c>
      <c r="S229">
        <v>151</v>
      </c>
      <c r="T229" s="8">
        <f t="shared" si="42"/>
        <v>-6.6091954022988508E-2</v>
      </c>
    </row>
    <row r="230" spans="1:20" hidden="1">
      <c r="A230">
        <v>215</v>
      </c>
      <c r="B230" t="s">
        <v>733</v>
      </c>
      <c r="C230" s="11">
        <v>45698</v>
      </c>
      <c r="D230">
        <v>31</v>
      </c>
      <c r="E230">
        <v>34.799999999999997</v>
      </c>
      <c r="F230">
        <v>29</v>
      </c>
      <c r="G230">
        <f>INDEX('اسعار الاسهم'!A:B,MATCH(B230,'اسعار الاسهم'!K:K,0),2)</f>
        <v>26.64</v>
      </c>
      <c r="H230" s="8" t="str">
        <f t="shared" si="35"/>
        <v/>
      </c>
      <c r="I230" s="8" t="str">
        <f t="shared" si="36"/>
        <v/>
      </c>
      <c r="J230" s="8" t="str">
        <f t="shared" si="34"/>
        <v/>
      </c>
      <c r="K230" s="8">
        <f t="shared" si="37"/>
        <v>0.19999999999999996</v>
      </c>
      <c r="L230" s="13" t="str">
        <f t="shared" si="38"/>
        <v/>
      </c>
      <c r="M230" t="str">
        <f t="shared" si="39"/>
        <v/>
      </c>
      <c r="N230">
        <f t="shared" si="40"/>
        <v>0</v>
      </c>
      <c r="O230">
        <f t="shared" si="41"/>
        <v>3</v>
      </c>
      <c r="P230">
        <v>0</v>
      </c>
      <c r="Q230" s="11">
        <v>45700</v>
      </c>
      <c r="R230">
        <f t="shared" si="43"/>
        <v>4</v>
      </c>
      <c r="S230">
        <v>154</v>
      </c>
      <c r="T230" s="8">
        <f t="shared" si="42"/>
        <v>-6.4516129032258118E-2</v>
      </c>
    </row>
    <row r="231" spans="1:20" hidden="1">
      <c r="A231">
        <v>176</v>
      </c>
      <c r="B231" t="s">
        <v>777</v>
      </c>
      <c r="C231" s="11">
        <v>45684</v>
      </c>
      <c r="D231">
        <v>23.05</v>
      </c>
      <c r="E231">
        <v>25.75</v>
      </c>
      <c r="F231">
        <v>21.5</v>
      </c>
      <c r="G231">
        <f>INDEX('اسعار الاسهم'!A:B,MATCH(B231,'اسعار الاسهم'!K:K,0),2)</f>
        <v>31.55</v>
      </c>
      <c r="H231" s="8" t="str">
        <f t="shared" si="35"/>
        <v/>
      </c>
      <c r="I231" s="8" t="str">
        <f t="shared" si="36"/>
        <v/>
      </c>
      <c r="J231" s="8" t="str">
        <f t="shared" si="34"/>
        <v/>
      </c>
      <c r="K231" s="8">
        <f t="shared" si="37"/>
        <v>0.19767441860465107</v>
      </c>
      <c r="L231" s="13" t="str">
        <f t="shared" si="38"/>
        <v/>
      </c>
      <c r="M231" t="str">
        <f t="shared" si="39"/>
        <v/>
      </c>
      <c r="N231">
        <f t="shared" si="40"/>
        <v>0</v>
      </c>
      <c r="O231">
        <f t="shared" si="41"/>
        <v>8</v>
      </c>
      <c r="P231">
        <v>0</v>
      </c>
      <c r="Q231" s="11">
        <v>45701</v>
      </c>
      <c r="R231">
        <f t="shared" si="43"/>
        <v>19</v>
      </c>
      <c r="S231">
        <v>162</v>
      </c>
      <c r="T231" s="8">
        <f t="shared" si="42"/>
        <v>-6.724511930585686E-2</v>
      </c>
    </row>
    <row r="232" spans="1:20" hidden="1">
      <c r="A232">
        <v>174</v>
      </c>
      <c r="B232" t="s">
        <v>784</v>
      </c>
      <c r="C232" s="11">
        <v>45683</v>
      </c>
      <c r="D232">
        <v>20.6</v>
      </c>
      <c r="E232">
        <v>23</v>
      </c>
      <c r="F232">
        <v>19.2</v>
      </c>
      <c r="G232">
        <f>INDEX('اسعار الاسهم'!A:B,MATCH(B232,'اسعار الاسهم'!K:K,0),2)</f>
        <v>26.32</v>
      </c>
      <c r="H232" s="8" t="str">
        <f t="shared" si="35"/>
        <v/>
      </c>
      <c r="I232" s="8" t="str">
        <f t="shared" si="36"/>
        <v/>
      </c>
      <c r="J232" s="8" t="str">
        <f t="shared" si="34"/>
        <v/>
      </c>
      <c r="K232" s="8">
        <f t="shared" si="37"/>
        <v>0.19791666666666674</v>
      </c>
      <c r="L232" s="13" t="str">
        <f t="shared" si="38"/>
        <v/>
      </c>
      <c r="M232" t="str">
        <f t="shared" si="39"/>
        <v/>
      </c>
      <c r="N232">
        <f t="shared" si="40"/>
        <v>0</v>
      </c>
      <c r="O232">
        <f t="shared" si="41"/>
        <v>7</v>
      </c>
      <c r="P232">
        <v>1</v>
      </c>
      <c r="Q232" s="11">
        <v>45701</v>
      </c>
      <c r="R232">
        <f>IF(Q232, Q232-C232,"")</f>
        <v>18</v>
      </c>
      <c r="S232">
        <v>161</v>
      </c>
      <c r="T232" s="8">
        <f t="shared" si="42"/>
        <v>0.11650485436893199</v>
      </c>
    </row>
    <row r="233" spans="1:20" hidden="1">
      <c r="A233">
        <v>221</v>
      </c>
      <c r="B233" t="s">
        <v>894</v>
      </c>
      <c r="C233" s="11">
        <v>45701</v>
      </c>
      <c r="D233">
        <v>17</v>
      </c>
      <c r="E233">
        <v>19.2</v>
      </c>
      <c r="F233">
        <v>15.8</v>
      </c>
      <c r="G233">
        <f>INDEX('اسعار الاسهم'!A:B,MATCH(B233,'اسعار الاسهم'!K:K,0),2)</f>
        <v>34.5</v>
      </c>
      <c r="H233" s="8" t="str">
        <f t="shared" si="35"/>
        <v/>
      </c>
      <c r="I233" s="8" t="str">
        <f t="shared" si="36"/>
        <v/>
      </c>
      <c r="J233" s="8" t="str">
        <f t="shared" si="34"/>
        <v/>
      </c>
      <c r="K233" s="8">
        <f t="shared" si="37"/>
        <v>0.21518987341772133</v>
      </c>
      <c r="L233" s="13" t="str">
        <f t="shared" si="38"/>
        <v/>
      </c>
      <c r="M233" t="str">
        <f t="shared" si="39"/>
        <v/>
      </c>
      <c r="N233">
        <f t="shared" si="40"/>
        <v>0</v>
      </c>
      <c r="O233">
        <f t="shared" si="41"/>
        <v>3</v>
      </c>
      <c r="P233">
        <v>1</v>
      </c>
      <c r="Q233" s="11">
        <v>45704</v>
      </c>
      <c r="R233">
        <f t="shared" ref="R233:R264" si="44">IF(Q233, Q233-C233+2,"")</f>
        <v>5</v>
      </c>
      <c r="S233">
        <v>163</v>
      </c>
      <c r="T233" s="8">
        <f t="shared" si="42"/>
        <v>0.12941176470588234</v>
      </c>
    </row>
    <row r="234" spans="1:20" hidden="1">
      <c r="A234">
        <v>141</v>
      </c>
      <c r="B234" t="s">
        <v>778</v>
      </c>
      <c r="C234" s="11">
        <v>45672</v>
      </c>
      <c r="D234">
        <v>2.1800000000000002</v>
      </c>
      <c r="E234">
        <v>2.46</v>
      </c>
      <c r="F234">
        <v>2</v>
      </c>
      <c r="G234">
        <f>INDEX('اسعار الاسهم'!A:B,MATCH(B234,'اسعار الاسهم'!K:K,0),2)</f>
        <v>1.23</v>
      </c>
      <c r="H234" s="8" t="str">
        <f t="shared" si="35"/>
        <v/>
      </c>
      <c r="I234" s="8" t="str">
        <f t="shared" si="36"/>
        <v/>
      </c>
      <c r="J234" s="8" t="str">
        <f t="shared" si="34"/>
        <v/>
      </c>
      <c r="K234" s="8">
        <f t="shared" si="37"/>
        <v>0.22999999999999998</v>
      </c>
      <c r="L234" s="13" t="str">
        <f t="shared" si="38"/>
        <v/>
      </c>
      <c r="M234" t="str">
        <f t="shared" si="39"/>
        <v/>
      </c>
      <c r="N234">
        <f t="shared" si="40"/>
        <v>2</v>
      </c>
      <c r="O234">
        <f t="shared" si="41"/>
        <v>4</v>
      </c>
      <c r="P234">
        <v>0</v>
      </c>
      <c r="Q234" s="11">
        <v>45707</v>
      </c>
      <c r="R234">
        <f t="shared" si="44"/>
        <v>37</v>
      </c>
      <c r="S234">
        <v>164</v>
      </c>
      <c r="T234" s="8">
        <f t="shared" si="42"/>
        <v>-8.2568807339449601E-2</v>
      </c>
    </row>
    <row r="235" spans="1:20" hidden="1">
      <c r="A235">
        <v>225</v>
      </c>
      <c r="B235" s="3" t="s">
        <v>1008</v>
      </c>
      <c r="C235" s="11">
        <v>45704</v>
      </c>
      <c r="D235">
        <v>1.1499999999999999</v>
      </c>
      <c r="E235">
        <v>1.3</v>
      </c>
      <c r="F235">
        <v>1.06</v>
      </c>
      <c r="G235">
        <f>INDEX('اسعار الاسهم'!A:B,MATCH(B235,'اسعار الاسهم'!K:K,0),2)</f>
        <v>1.74</v>
      </c>
      <c r="H235" s="8" t="str">
        <f t="shared" si="35"/>
        <v/>
      </c>
      <c r="I235" s="8" t="str">
        <f t="shared" si="36"/>
        <v/>
      </c>
      <c r="J235" s="8" t="str">
        <f t="shared" si="34"/>
        <v/>
      </c>
      <c r="K235" s="8">
        <f t="shared" si="37"/>
        <v>0.22641509433962259</v>
      </c>
      <c r="L235" s="13" t="str">
        <f t="shared" si="38"/>
        <v/>
      </c>
      <c r="M235" t="str">
        <f t="shared" si="39"/>
        <v/>
      </c>
      <c r="N235">
        <f t="shared" si="40"/>
        <v>0</v>
      </c>
      <c r="O235">
        <f t="shared" si="41"/>
        <v>1</v>
      </c>
      <c r="P235">
        <v>1</v>
      </c>
      <c r="Q235" s="11">
        <v>45712</v>
      </c>
      <c r="R235">
        <f t="shared" si="44"/>
        <v>10</v>
      </c>
      <c r="S235">
        <v>165</v>
      </c>
      <c r="T235" s="8">
        <f t="shared" si="42"/>
        <v>0.13043478260869579</v>
      </c>
    </row>
    <row r="236" spans="1:20" hidden="1">
      <c r="A236">
        <v>227</v>
      </c>
      <c r="B236" t="s">
        <v>743</v>
      </c>
      <c r="C236" s="11">
        <v>45704</v>
      </c>
      <c r="D236">
        <v>3.48</v>
      </c>
      <c r="E236">
        <v>3.9</v>
      </c>
      <c r="F236">
        <v>3.24</v>
      </c>
      <c r="G236">
        <f>INDEX('اسعار الاسهم'!A:B,MATCH(B236,'اسعار الاسهم'!K:K,0),2)</f>
        <v>5.0599999999999996</v>
      </c>
      <c r="H236" s="8" t="str">
        <f t="shared" si="35"/>
        <v/>
      </c>
      <c r="I236" s="8" t="str">
        <f t="shared" si="36"/>
        <v/>
      </c>
      <c r="J236" s="8" t="str">
        <f t="shared" si="34"/>
        <v/>
      </c>
      <c r="K236" s="8">
        <f t="shared" si="37"/>
        <v>0.2037037037037035</v>
      </c>
      <c r="L236" s="13" t="str">
        <f t="shared" si="38"/>
        <v/>
      </c>
      <c r="M236" t="str">
        <f t="shared" si="39"/>
        <v/>
      </c>
      <c r="N236">
        <f t="shared" si="40"/>
        <v>0</v>
      </c>
      <c r="O236">
        <f t="shared" si="41"/>
        <v>4</v>
      </c>
      <c r="P236">
        <v>1</v>
      </c>
      <c r="Q236" s="11">
        <v>45713</v>
      </c>
      <c r="R236">
        <f t="shared" si="44"/>
        <v>11</v>
      </c>
      <c r="S236">
        <v>167</v>
      </c>
      <c r="T236" s="8">
        <f t="shared" si="42"/>
        <v>0.1206896551724137</v>
      </c>
    </row>
    <row r="237" spans="1:20" hidden="1">
      <c r="A237">
        <v>199</v>
      </c>
      <c r="B237" t="s">
        <v>894</v>
      </c>
      <c r="C237" s="11">
        <v>45692</v>
      </c>
      <c r="D237">
        <v>17.05</v>
      </c>
      <c r="E237">
        <v>19.5</v>
      </c>
      <c r="F237">
        <v>15.8</v>
      </c>
      <c r="G237">
        <f>INDEX('اسعار الاسهم'!A:B,MATCH(B237,'اسعار الاسهم'!K:K,0),2)</f>
        <v>34.5</v>
      </c>
      <c r="H237" s="8" t="str">
        <f t="shared" si="35"/>
        <v/>
      </c>
      <c r="I237" s="8" t="str">
        <f t="shared" si="36"/>
        <v/>
      </c>
      <c r="J237" s="8" t="str">
        <f t="shared" si="34"/>
        <v/>
      </c>
      <c r="K237" s="8">
        <f t="shared" si="37"/>
        <v>0.23417721518987333</v>
      </c>
      <c r="L237" s="13" t="str">
        <f t="shared" si="38"/>
        <v/>
      </c>
      <c r="M237" t="str">
        <f t="shared" si="39"/>
        <v/>
      </c>
      <c r="N237">
        <f t="shared" si="40"/>
        <v>0</v>
      </c>
      <c r="O237">
        <f t="shared" si="41"/>
        <v>3</v>
      </c>
      <c r="P237">
        <v>1</v>
      </c>
      <c r="Q237" s="11">
        <v>45713</v>
      </c>
      <c r="R237">
        <f t="shared" si="44"/>
        <v>23</v>
      </c>
      <c r="S237">
        <v>168</v>
      </c>
      <c r="T237" s="8">
        <f t="shared" si="42"/>
        <v>0.14369501466275647</v>
      </c>
    </row>
    <row r="238" spans="1:20" hidden="1">
      <c r="A238">
        <v>162</v>
      </c>
      <c r="B238" t="s">
        <v>766</v>
      </c>
      <c r="C238" s="11">
        <v>45679</v>
      </c>
      <c r="D238">
        <v>20.399999999999999</v>
      </c>
      <c r="E238">
        <v>22.5</v>
      </c>
      <c r="F238">
        <v>19</v>
      </c>
      <c r="G238">
        <f>INDEX('اسعار الاسهم'!A:B,MATCH(B238,'اسعار الاسهم'!K:K,0),2)</f>
        <v>17.010000000000002</v>
      </c>
      <c r="H238" s="8" t="str">
        <f t="shared" si="35"/>
        <v/>
      </c>
      <c r="I238" s="8" t="str">
        <f t="shared" si="36"/>
        <v/>
      </c>
      <c r="J238" s="8" t="str">
        <f t="shared" si="34"/>
        <v/>
      </c>
      <c r="K238" s="8">
        <f t="shared" si="37"/>
        <v>0.18421052631578938</v>
      </c>
      <c r="L238" s="13" t="str">
        <f t="shared" si="38"/>
        <v/>
      </c>
      <c r="M238" t="str">
        <f t="shared" si="39"/>
        <v/>
      </c>
      <c r="N238">
        <f t="shared" si="40"/>
        <v>1</v>
      </c>
      <c r="O238">
        <f t="shared" si="41"/>
        <v>2</v>
      </c>
      <c r="P238">
        <v>1</v>
      </c>
      <c r="Q238" s="11">
        <v>45713</v>
      </c>
      <c r="R238">
        <f t="shared" si="44"/>
        <v>36</v>
      </c>
      <c r="S238">
        <v>169</v>
      </c>
      <c r="T238" s="8">
        <f t="shared" si="42"/>
        <v>0.10294117647058831</v>
      </c>
    </row>
    <row r="239" spans="1:20" hidden="1">
      <c r="A239">
        <v>99</v>
      </c>
      <c r="B239" t="s">
        <v>783</v>
      </c>
      <c r="C239" s="11">
        <v>45652</v>
      </c>
      <c r="D239">
        <v>38.299999999999997</v>
      </c>
      <c r="E239">
        <v>41.7</v>
      </c>
      <c r="F239">
        <v>36</v>
      </c>
      <c r="G239">
        <f>INDEX('اسعار الاسهم'!A:B,MATCH(B239,'اسعار الاسهم'!K:K,0),2)</f>
        <v>46.1</v>
      </c>
      <c r="H239" s="8" t="str">
        <f t="shared" si="35"/>
        <v/>
      </c>
      <c r="I239" s="8" t="str">
        <f t="shared" si="36"/>
        <v/>
      </c>
      <c r="J239" s="8" t="str">
        <f t="shared" si="34"/>
        <v/>
      </c>
      <c r="K239" s="8">
        <f t="shared" si="37"/>
        <v>0.15833333333333344</v>
      </c>
      <c r="L239" s="13" t="str">
        <f t="shared" si="38"/>
        <v/>
      </c>
      <c r="M239" t="str">
        <f t="shared" si="39"/>
        <v/>
      </c>
      <c r="N239">
        <f t="shared" si="40"/>
        <v>2</v>
      </c>
      <c r="O239">
        <f t="shared" si="41"/>
        <v>8</v>
      </c>
      <c r="P239">
        <v>1</v>
      </c>
      <c r="Q239" s="11">
        <v>45713</v>
      </c>
      <c r="R239">
        <f t="shared" si="44"/>
        <v>63</v>
      </c>
      <c r="S239">
        <v>170</v>
      </c>
      <c r="T239" s="8">
        <f t="shared" si="42"/>
        <v>8.8772845953002832E-2</v>
      </c>
    </row>
    <row r="240" spans="1:20" hidden="1">
      <c r="A240">
        <v>214</v>
      </c>
      <c r="B240" t="s">
        <v>880</v>
      </c>
      <c r="C240" s="11">
        <v>45698</v>
      </c>
      <c r="D240">
        <v>0.432</v>
      </c>
      <c r="E240">
        <v>0.51</v>
      </c>
      <c r="F240">
        <v>0.4</v>
      </c>
      <c r="G240">
        <f>INDEX('اسعار الاسهم'!A:B,MATCH(B240,'اسعار الاسهم'!K:K,0),2)</f>
        <v>0.7</v>
      </c>
      <c r="H240" s="8" t="str">
        <f t="shared" si="35"/>
        <v/>
      </c>
      <c r="I240" s="8" t="str">
        <f t="shared" si="36"/>
        <v/>
      </c>
      <c r="J240" s="8" t="str">
        <f t="shared" si="34"/>
        <v/>
      </c>
      <c r="K240" s="8">
        <f t="shared" si="37"/>
        <v>0.27499999999999991</v>
      </c>
      <c r="L240" s="13" t="str">
        <f t="shared" si="38"/>
        <v/>
      </c>
      <c r="M240" t="str">
        <f t="shared" si="39"/>
        <v/>
      </c>
      <c r="N240">
        <f t="shared" si="40"/>
        <v>0</v>
      </c>
      <c r="O240">
        <f t="shared" si="41"/>
        <v>4</v>
      </c>
      <c r="P240">
        <v>0</v>
      </c>
      <c r="Q240" s="11">
        <v>45714</v>
      </c>
      <c r="R240">
        <f t="shared" si="44"/>
        <v>18</v>
      </c>
      <c r="S240">
        <v>171</v>
      </c>
      <c r="T240" s="8">
        <f t="shared" si="42"/>
        <v>-7.4074074074073959E-2</v>
      </c>
    </row>
    <row r="241" spans="1:20" hidden="1">
      <c r="A241">
        <v>261</v>
      </c>
      <c r="B241" t="s">
        <v>782</v>
      </c>
      <c r="C241" s="11">
        <v>45714</v>
      </c>
      <c r="D241">
        <v>17.3</v>
      </c>
      <c r="E241">
        <v>19.350000000000001</v>
      </c>
      <c r="F241">
        <v>16.149999999999999</v>
      </c>
      <c r="G241">
        <f>INDEX('اسعار الاسهم'!A:B,MATCH(B241,'اسعار الاسهم'!K:K,0),2)</f>
        <v>21.76</v>
      </c>
      <c r="H241" s="8" t="str">
        <f t="shared" si="35"/>
        <v/>
      </c>
      <c r="I241" s="8" t="str">
        <f t="shared" si="36"/>
        <v/>
      </c>
      <c r="J241" s="8" t="str">
        <f t="shared" si="34"/>
        <v/>
      </c>
      <c r="K241" s="8">
        <f t="shared" si="37"/>
        <v>0.1981424148606814</v>
      </c>
      <c r="L241" s="13" t="str">
        <f t="shared" si="38"/>
        <v/>
      </c>
      <c r="M241" t="str">
        <f t="shared" si="39"/>
        <v/>
      </c>
      <c r="N241">
        <f t="shared" si="40"/>
        <v>0</v>
      </c>
      <c r="O241">
        <f t="shared" si="41"/>
        <v>1</v>
      </c>
      <c r="P241">
        <v>0</v>
      </c>
      <c r="Q241" s="11">
        <v>45715</v>
      </c>
      <c r="R241">
        <f t="shared" si="44"/>
        <v>3</v>
      </c>
      <c r="S241">
        <v>172</v>
      </c>
      <c r="T241" s="8">
        <f t="shared" si="42"/>
        <v>-6.6473988439306519E-2</v>
      </c>
    </row>
    <row r="242" spans="1:20" hidden="1">
      <c r="A242">
        <v>150</v>
      </c>
      <c r="B242" t="s">
        <v>765</v>
      </c>
      <c r="C242" s="11">
        <v>45676</v>
      </c>
      <c r="D242">
        <v>41.5</v>
      </c>
      <c r="E242">
        <v>47.7</v>
      </c>
      <c r="F242">
        <v>39</v>
      </c>
      <c r="G242">
        <f>INDEX('اسعار الاسهم'!A:B,MATCH(B242,'اسعار الاسهم'!K:K,0),2)</f>
        <v>49</v>
      </c>
      <c r="H242" s="8" t="str">
        <f t="shared" si="35"/>
        <v/>
      </c>
      <c r="I242" s="8" t="str">
        <f t="shared" si="36"/>
        <v/>
      </c>
      <c r="J242" s="8" t="str">
        <f t="shared" si="34"/>
        <v/>
      </c>
      <c r="K242" s="8">
        <f t="shared" si="37"/>
        <v>0.22307692307692317</v>
      </c>
      <c r="L242" s="13" t="str">
        <f t="shared" si="38"/>
        <v/>
      </c>
      <c r="M242" t="str">
        <f t="shared" si="39"/>
        <v/>
      </c>
      <c r="N242">
        <f t="shared" si="40"/>
        <v>2</v>
      </c>
      <c r="O242">
        <f t="shared" si="41"/>
        <v>7</v>
      </c>
      <c r="P242">
        <v>0</v>
      </c>
      <c r="Q242" s="11">
        <v>45721</v>
      </c>
      <c r="R242">
        <f t="shared" si="44"/>
        <v>47</v>
      </c>
      <c r="S242">
        <v>176</v>
      </c>
      <c r="T242" s="8">
        <f t="shared" si="42"/>
        <v>-6.0240963855421659E-2</v>
      </c>
    </row>
    <row r="243" spans="1:20" hidden="1">
      <c r="A243">
        <v>243</v>
      </c>
      <c r="B243" t="s">
        <v>837</v>
      </c>
      <c r="C243" s="11">
        <v>45708</v>
      </c>
      <c r="D243">
        <v>28</v>
      </c>
      <c r="E243">
        <v>31.5</v>
      </c>
      <c r="F243">
        <v>26.4</v>
      </c>
      <c r="G243">
        <f>INDEX('اسعار الاسهم'!A:B,MATCH(B243,'اسعار الاسهم'!K:K,0),2)</f>
        <v>35.5</v>
      </c>
      <c r="H243" s="8" t="str">
        <f t="shared" si="35"/>
        <v/>
      </c>
      <c r="I243" s="8" t="str">
        <f t="shared" si="36"/>
        <v/>
      </c>
      <c r="J243" s="8" t="str">
        <f t="shared" si="34"/>
        <v/>
      </c>
      <c r="K243" s="8">
        <f t="shared" si="37"/>
        <v>0.19318181818181834</v>
      </c>
      <c r="L243" s="13" t="str">
        <f t="shared" si="38"/>
        <v/>
      </c>
      <c r="M243" t="str">
        <f t="shared" si="39"/>
        <v/>
      </c>
      <c r="N243">
        <f t="shared" si="40"/>
        <v>0</v>
      </c>
      <c r="O243">
        <f t="shared" si="41"/>
        <v>3</v>
      </c>
      <c r="P243">
        <v>0</v>
      </c>
      <c r="Q243" s="11">
        <v>45721</v>
      </c>
      <c r="R243">
        <f t="shared" si="44"/>
        <v>15</v>
      </c>
      <c r="S243">
        <v>174</v>
      </c>
      <c r="T243" s="8">
        <f t="shared" si="42"/>
        <v>-5.7142857142857162E-2</v>
      </c>
    </row>
    <row r="244" spans="1:20" hidden="1">
      <c r="A244">
        <v>157</v>
      </c>
      <c r="B244" t="s">
        <v>906</v>
      </c>
      <c r="C244" s="11">
        <v>45678</v>
      </c>
      <c r="D244">
        <v>1.28</v>
      </c>
      <c r="E244">
        <v>1.5</v>
      </c>
      <c r="F244">
        <v>1.1499999999999999</v>
      </c>
      <c r="G244">
        <f>INDEX('اسعار الاسهم'!A:B,MATCH(B244,'اسعار الاسهم'!K:K,0),2)</f>
        <v>1.66</v>
      </c>
      <c r="H244" s="8" t="str">
        <f t="shared" si="35"/>
        <v/>
      </c>
      <c r="I244" s="8" t="str">
        <f t="shared" si="36"/>
        <v/>
      </c>
      <c r="J244" s="8" t="str">
        <f t="shared" si="34"/>
        <v/>
      </c>
      <c r="K244" s="8">
        <f t="shared" si="37"/>
        <v>0.30434782608695654</v>
      </c>
      <c r="L244" s="13" t="str">
        <f t="shared" si="38"/>
        <v/>
      </c>
      <c r="M244" t="str">
        <f t="shared" si="39"/>
        <v/>
      </c>
      <c r="N244">
        <f t="shared" si="40"/>
        <v>0</v>
      </c>
      <c r="O244">
        <f t="shared" si="41"/>
        <v>1</v>
      </c>
      <c r="P244">
        <v>0</v>
      </c>
      <c r="Q244" s="11">
        <v>45721</v>
      </c>
      <c r="R244">
        <f t="shared" si="44"/>
        <v>45</v>
      </c>
      <c r="S244">
        <v>175</v>
      </c>
      <c r="T244" s="8">
        <f t="shared" si="42"/>
        <v>-0.10156250000000011</v>
      </c>
    </row>
    <row r="245" spans="1:20" hidden="1">
      <c r="A245">
        <v>233</v>
      </c>
      <c r="B245" t="s">
        <v>763</v>
      </c>
      <c r="C245" s="11">
        <v>45706</v>
      </c>
      <c r="D245">
        <v>7.48</v>
      </c>
      <c r="E245">
        <v>8.3000000000000007</v>
      </c>
      <c r="F245">
        <v>6.95</v>
      </c>
      <c r="G245">
        <f>INDEX('اسعار الاسهم'!A:B,MATCH(B245,'اسعار الاسهم'!K:K,0),2)</f>
        <v>10.11</v>
      </c>
      <c r="H245" s="8" t="str">
        <f t="shared" si="35"/>
        <v/>
      </c>
      <c r="I245" s="8" t="str">
        <f t="shared" si="36"/>
        <v/>
      </c>
      <c r="J245" s="8" t="str">
        <f t="shared" si="34"/>
        <v/>
      </c>
      <c r="K245" s="8">
        <f t="shared" si="37"/>
        <v>0.19424460431654689</v>
      </c>
      <c r="L245" s="13" t="str">
        <f t="shared" si="38"/>
        <v/>
      </c>
      <c r="M245" t="str">
        <f t="shared" si="39"/>
        <v/>
      </c>
      <c r="N245">
        <f t="shared" si="40"/>
        <v>0</v>
      </c>
      <c r="O245">
        <f t="shared" si="41"/>
        <v>2</v>
      </c>
      <c r="P245">
        <v>1</v>
      </c>
      <c r="Q245" s="11">
        <v>45722</v>
      </c>
      <c r="R245">
        <f t="shared" si="44"/>
        <v>18</v>
      </c>
      <c r="S245">
        <v>177</v>
      </c>
      <c r="T245" s="8">
        <f t="shared" si="42"/>
        <v>0.10962566844919786</v>
      </c>
    </row>
    <row r="246" spans="1:20" hidden="1">
      <c r="A246">
        <v>237</v>
      </c>
      <c r="B246" t="s">
        <v>729</v>
      </c>
      <c r="C246" s="11">
        <v>45707</v>
      </c>
      <c r="D246">
        <v>31.5</v>
      </c>
      <c r="E246">
        <v>36</v>
      </c>
      <c r="F246">
        <v>29.55</v>
      </c>
      <c r="G246" t="e">
        <f>INDEX('اسعار الاسهم'!A:B,MATCH(B246,'اسعار الاسهم'!K:K,0),2)</f>
        <v>#N/A</v>
      </c>
      <c r="H246" s="8" t="str">
        <f t="shared" si="35"/>
        <v/>
      </c>
      <c r="I246" s="8" t="str">
        <f t="shared" si="36"/>
        <v/>
      </c>
      <c r="J246" s="8" t="str">
        <f t="shared" ref="J246:J309" si="45">IF(P246="",  1-F246/G246,"")</f>
        <v/>
      </c>
      <c r="K246" s="8">
        <f t="shared" si="37"/>
        <v>0.21827411167512678</v>
      </c>
      <c r="L246" s="13" t="str">
        <f t="shared" si="38"/>
        <v/>
      </c>
      <c r="M246" t="str">
        <f t="shared" si="39"/>
        <v/>
      </c>
      <c r="N246">
        <f t="shared" si="40"/>
        <v>0</v>
      </c>
      <c r="O246">
        <f t="shared" si="41"/>
        <v>4</v>
      </c>
      <c r="P246">
        <v>0</v>
      </c>
      <c r="Q246" s="11">
        <v>45725</v>
      </c>
      <c r="R246">
        <f t="shared" si="44"/>
        <v>20</v>
      </c>
      <c r="S246">
        <v>184</v>
      </c>
      <c r="T246" s="8">
        <f t="shared" si="42"/>
        <v>-6.1904761904761907E-2</v>
      </c>
    </row>
    <row r="247" spans="1:20" hidden="1">
      <c r="A247">
        <v>252</v>
      </c>
      <c r="B247" s="3" t="s">
        <v>779</v>
      </c>
      <c r="C247" s="11">
        <v>45712</v>
      </c>
      <c r="D247">
        <v>34</v>
      </c>
      <c r="E247">
        <v>38</v>
      </c>
      <c r="F247">
        <v>31.8</v>
      </c>
      <c r="G247">
        <f>INDEX('اسعار الاسهم'!A:B,MATCH(B247,'اسعار الاسهم'!K:K,0),2)</f>
        <v>47.7</v>
      </c>
      <c r="H247" s="8" t="str">
        <f t="shared" si="35"/>
        <v/>
      </c>
      <c r="I247" s="8" t="str">
        <f t="shared" si="36"/>
        <v/>
      </c>
      <c r="J247" s="8" t="str">
        <f t="shared" si="45"/>
        <v/>
      </c>
      <c r="K247" s="8">
        <f t="shared" si="37"/>
        <v>0.19496855345911945</v>
      </c>
      <c r="L247" s="13" t="str">
        <f t="shared" si="38"/>
        <v/>
      </c>
      <c r="M247" t="str">
        <f t="shared" si="39"/>
        <v/>
      </c>
      <c r="N247">
        <f t="shared" si="40"/>
        <v>0</v>
      </c>
      <c r="O247">
        <f t="shared" si="41"/>
        <v>2</v>
      </c>
      <c r="P247">
        <v>1</v>
      </c>
      <c r="Q247" s="11">
        <v>45725</v>
      </c>
      <c r="R247">
        <f t="shared" si="44"/>
        <v>15</v>
      </c>
      <c r="S247">
        <v>178</v>
      </c>
      <c r="T247" s="8">
        <f t="shared" si="42"/>
        <v>0.11764705882352944</v>
      </c>
    </row>
    <row r="248" spans="1:20" hidden="1">
      <c r="A248">
        <v>135</v>
      </c>
      <c r="B248" t="s">
        <v>749</v>
      </c>
      <c r="C248" s="11">
        <v>45670</v>
      </c>
      <c r="D248">
        <v>38.200000000000003</v>
      </c>
      <c r="E248">
        <v>42.5</v>
      </c>
      <c r="F248">
        <v>36</v>
      </c>
      <c r="G248">
        <f>INDEX('اسعار الاسهم'!A:B,MATCH(B248,'اسعار الاسهم'!K:K,0),2)</f>
        <v>43.48</v>
      </c>
      <c r="H248" s="8" t="str">
        <f t="shared" si="35"/>
        <v/>
      </c>
      <c r="I248" s="8" t="str">
        <f t="shared" si="36"/>
        <v/>
      </c>
      <c r="J248" s="8" t="str">
        <f t="shared" si="45"/>
        <v/>
      </c>
      <c r="K248" s="8">
        <f t="shared" si="37"/>
        <v>0.18055555555555558</v>
      </c>
      <c r="L248" s="13" t="str">
        <f t="shared" si="38"/>
        <v/>
      </c>
      <c r="M248" t="str">
        <f t="shared" si="39"/>
        <v/>
      </c>
      <c r="N248">
        <f t="shared" si="40"/>
        <v>1</v>
      </c>
      <c r="O248">
        <f t="shared" si="41"/>
        <v>2</v>
      </c>
      <c r="P248">
        <v>1</v>
      </c>
      <c r="Q248" s="11">
        <v>45725</v>
      </c>
      <c r="R248">
        <f t="shared" si="44"/>
        <v>57</v>
      </c>
      <c r="S248">
        <v>179</v>
      </c>
      <c r="T248" s="8">
        <f t="shared" si="42"/>
        <v>0.11256544502617793</v>
      </c>
    </row>
    <row r="249" spans="1:20" hidden="1">
      <c r="A249">
        <v>89</v>
      </c>
      <c r="B249" t="s">
        <v>857</v>
      </c>
      <c r="C249" s="11">
        <v>45648</v>
      </c>
      <c r="D249">
        <v>44.65</v>
      </c>
      <c r="E249">
        <v>50</v>
      </c>
      <c r="F249">
        <v>42.5</v>
      </c>
      <c r="G249">
        <f>INDEX('اسعار الاسهم'!A:B,MATCH(B249,'اسعار الاسهم'!K:K,0),2)</f>
        <v>84.5</v>
      </c>
      <c r="H249" s="8" t="str">
        <f t="shared" si="35"/>
        <v/>
      </c>
      <c r="I249" s="8" t="str">
        <f t="shared" si="36"/>
        <v/>
      </c>
      <c r="J249" s="8" t="str">
        <f t="shared" si="45"/>
        <v/>
      </c>
      <c r="K249" s="8">
        <f t="shared" si="37"/>
        <v>0.17647058823529416</v>
      </c>
      <c r="L249" s="13" t="str">
        <f t="shared" si="38"/>
        <v/>
      </c>
      <c r="M249" t="str">
        <f t="shared" si="39"/>
        <v/>
      </c>
      <c r="N249">
        <f t="shared" si="40"/>
        <v>2</v>
      </c>
      <c r="O249">
        <f t="shared" si="41"/>
        <v>4</v>
      </c>
      <c r="P249">
        <v>1</v>
      </c>
      <c r="Q249" s="11">
        <v>45725</v>
      </c>
      <c r="R249">
        <f t="shared" si="44"/>
        <v>79</v>
      </c>
      <c r="S249">
        <v>180</v>
      </c>
      <c r="T249" s="8">
        <f t="shared" si="42"/>
        <v>0.11982082866741317</v>
      </c>
    </row>
    <row r="250" spans="1:20" hidden="1">
      <c r="A250">
        <v>257</v>
      </c>
      <c r="B250" t="s">
        <v>776</v>
      </c>
      <c r="C250" s="11">
        <v>45713</v>
      </c>
      <c r="D250">
        <v>6.6</v>
      </c>
      <c r="E250">
        <v>7.3</v>
      </c>
      <c r="F250">
        <v>6.12</v>
      </c>
      <c r="G250">
        <f>INDEX('اسعار الاسهم'!A:B,MATCH(B250,'اسعار الاسهم'!K:K,0),2)</f>
        <v>11.27</v>
      </c>
      <c r="H250" s="8" t="str">
        <f t="shared" si="35"/>
        <v/>
      </c>
      <c r="I250" s="8" t="str">
        <f t="shared" si="36"/>
        <v/>
      </c>
      <c r="J250" s="8" t="str">
        <f t="shared" si="45"/>
        <v/>
      </c>
      <c r="K250" s="8">
        <f t="shared" si="37"/>
        <v>0.19281045751633985</v>
      </c>
      <c r="L250" s="13" t="str">
        <f t="shared" si="38"/>
        <v/>
      </c>
      <c r="M250" t="str">
        <f t="shared" si="39"/>
        <v/>
      </c>
      <c r="N250">
        <f t="shared" si="40"/>
        <v>0</v>
      </c>
      <c r="O250">
        <f t="shared" si="41"/>
        <v>1</v>
      </c>
      <c r="P250">
        <v>1</v>
      </c>
      <c r="Q250" s="11">
        <v>45725</v>
      </c>
      <c r="R250">
        <f t="shared" si="44"/>
        <v>14</v>
      </c>
      <c r="S250">
        <v>181</v>
      </c>
      <c r="T250" s="8">
        <f t="shared" si="42"/>
        <v>0.10606060606060619</v>
      </c>
    </row>
    <row r="251" spans="1:20" hidden="1">
      <c r="A251">
        <v>274</v>
      </c>
      <c r="B251" t="s">
        <v>882</v>
      </c>
      <c r="C251" s="11">
        <v>45720</v>
      </c>
      <c r="D251">
        <v>61.5</v>
      </c>
      <c r="E251">
        <v>68.3</v>
      </c>
      <c r="F251">
        <v>58</v>
      </c>
      <c r="G251">
        <f>INDEX('اسعار الاسهم'!A:B,MATCH(B251,'اسعار الاسهم'!K:K,0),2)</f>
        <v>204</v>
      </c>
      <c r="H251" s="8" t="str">
        <f t="shared" si="35"/>
        <v/>
      </c>
      <c r="I251" s="8" t="str">
        <f t="shared" si="36"/>
        <v/>
      </c>
      <c r="J251" s="8" t="str">
        <f t="shared" si="45"/>
        <v/>
      </c>
      <c r="K251" s="8">
        <f t="shared" si="37"/>
        <v>0.17758620689655169</v>
      </c>
      <c r="L251" s="13" t="str">
        <f t="shared" si="38"/>
        <v/>
      </c>
      <c r="M251" t="str">
        <f t="shared" si="39"/>
        <v/>
      </c>
      <c r="N251">
        <f t="shared" si="40"/>
        <v>0</v>
      </c>
      <c r="O251">
        <f t="shared" si="41"/>
        <v>4</v>
      </c>
      <c r="P251">
        <v>1</v>
      </c>
      <c r="Q251" s="11">
        <v>45725</v>
      </c>
      <c r="R251">
        <f t="shared" si="44"/>
        <v>7</v>
      </c>
      <c r="S251">
        <v>182</v>
      </c>
      <c r="T251" s="8">
        <f t="shared" si="42"/>
        <v>0.11056910569105693</v>
      </c>
    </row>
    <row r="252" spans="1:20" hidden="1">
      <c r="A252">
        <v>260</v>
      </c>
      <c r="B252" t="s">
        <v>852</v>
      </c>
      <c r="C252" s="11">
        <v>45714</v>
      </c>
      <c r="D252">
        <v>0.59</v>
      </c>
      <c r="E252">
        <v>0.66</v>
      </c>
      <c r="F252">
        <v>0.53</v>
      </c>
      <c r="G252">
        <f>INDEX('اسعار الاسهم'!A:B,MATCH(B252,'اسعار الاسهم'!K:K,0),2)</f>
        <v>0.28000000000000003</v>
      </c>
      <c r="H252" s="8" t="str">
        <f t="shared" si="35"/>
        <v/>
      </c>
      <c r="I252" s="8" t="str">
        <f t="shared" si="36"/>
        <v/>
      </c>
      <c r="J252" s="8" t="str">
        <f t="shared" si="45"/>
        <v/>
      </c>
      <c r="K252" s="8">
        <f t="shared" si="37"/>
        <v>0.24528301886792447</v>
      </c>
      <c r="L252" s="13" t="str">
        <f t="shared" si="38"/>
        <v/>
      </c>
      <c r="M252" t="str">
        <f t="shared" si="39"/>
        <v/>
      </c>
      <c r="N252">
        <f t="shared" si="40"/>
        <v>0</v>
      </c>
      <c r="O252">
        <f t="shared" si="41"/>
        <v>1</v>
      </c>
      <c r="P252">
        <v>1</v>
      </c>
      <c r="Q252" s="11">
        <v>45725</v>
      </c>
      <c r="R252">
        <f t="shared" si="44"/>
        <v>13</v>
      </c>
      <c r="S252">
        <v>183</v>
      </c>
      <c r="T252" s="8">
        <f t="shared" si="42"/>
        <v>0.1186440677966103</v>
      </c>
    </row>
    <row r="253" spans="1:20" hidden="1">
      <c r="A253">
        <v>205</v>
      </c>
      <c r="B253" t="s">
        <v>884</v>
      </c>
      <c r="C253" s="11">
        <v>45694</v>
      </c>
      <c r="D253">
        <v>64.5</v>
      </c>
      <c r="E253">
        <v>72</v>
      </c>
      <c r="F253">
        <v>60.5</v>
      </c>
      <c r="G253">
        <f>INDEX('اسعار الاسهم'!A:B,MATCH(B253,'اسعار الاسهم'!K:K,0),2)</f>
        <v>95.7</v>
      </c>
      <c r="H253" s="8" t="str">
        <f t="shared" si="35"/>
        <v/>
      </c>
      <c r="I253" s="8" t="str">
        <f t="shared" si="36"/>
        <v/>
      </c>
      <c r="J253" s="8" t="str">
        <f t="shared" si="45"/>
        <v/>
      </c>
      <c r="K253" s="8">
        <f t="shared" si="37"/>
        <v>0.19008264462809921</v>
      </c>
      <c r="L253" s="13" t="str">
        <f t="shared" si="38"/>
        <v/>
      </c>
      <c r="M253" t="str">
        <f t="shared" si="39"/>
        <v/>
      </c>
      <c r="N253">
        <f t="shared" si="40"/>
        <v>0</v>
      </c>
      <c r="O253">
        <f t="shared" si="41"/>
        <v>5</v>
      </c>
      <c r="P253">
        <v>1</v>
      </c>
      <c r="Q253" s="11">
        <v>45726</v>
      </c>
      <c r="R253">
        <f t="shared" si="44"/>
        <v>34</v>
      </c>
      <c r="S253">
        <v>185</v>
      </c>
      <c r="T253" s="8">
        <f t="shared" si="42"/>
        <v>0.11627906976744184</v>
      </c>
    </row>
    <row r="254" spans="1:20" hidden="1">
      <c r="A254">
        <v>123</v>
      </c>
      <c r="B254" t="s">
        <v>884</v>
      </c>
      <c r="C254" s="11">
        <v>45665</v>
      </c>
      <c r="D254">
        <v>65</v>
      </c>
      <c r="E254">
        <v>74.5</v>
      </c>
      <c r="F254">
        <v>59.8</v>
      </c>
      <c r="G254">
        <f>INDEX('اسعار الاسهم'!A:B,MATCH(B254,'اسعار الاسهم'!K:K,0),2)</f>
        <v>95.7</v>
      </c>
      <c r="H254" s="8" t="str">
        <f t="shared" si="35"/>
        <v/>
      </c>
      <c r="I254" s="8" t="str">
        <f t="shared" si="36"/>
        <v/>
      </c>
      <c r="J254" s="8" t="str">
        <f t="shared" si="45"/>
        <v/>
      </c>
      <c r="K254" s="8">
        <f t="shared" si="37"/>
        <v>0.24581939799331121</v>
      </c>
      <c r="L254" s="13" t="str">
        <f t="shared" si="38"/>
        <v/>
      </c>
      <c r="M254" t="str">
        <f t="shared" si="39"/>
        <v/>
      </c>
      <c r="N254">
        <f t="shared" si="40"/>
        <v>0</v>
      </c>
      <c r="O254">
        <f t="shared" si="41"/>
        <v>5</v>
      </c>
      <c r="P254">
        <v>1</v>
      </c>
      <c r="Q254" s="11">
        <v>45726</v>
      </c>
      <c r="R254">
        <f t="shared" si="44"/>
        <v>63</v>
      </c>
      <c r="S254">
        <v>186</v>
      </c>
      <c r="T254" s="8">
        <f t="shared" si="42"/>
        <v>0.14615384615384608</v>
      </c>
    </row>
    <row r="255" spans="1:20" hidden="1">
      <c r="A255">
        <v>155</v>
      </c>
      <c r="B255" t="s">
        <v>829</v>
      </c>
      <c r="C255" s="11">
        <v>45677</v>
      </c>
      <c r="D255">
        <v>16.7</v>
      </c>
      <c r="E255">
        <v>19</v>
      </c>
      <c r="F255">
        <v>15.5</v>
      </c>
      <c r="G255">
        <f>INDEX('اسعار الاسهم'!A:B,MATCH(B255,'اسعار الاسهم'!K:K,0),2)</f>
        <v>43.88</v>
      </c>
      <c r="H255" s="8" t="str">
        <f t="shared" si="35"/>
        <v/>
      </c>
      <c r="I255" s="8" t="str">
        <f t="shared" si="36"/>
        <v/>
      </c>
      <c r="J255" s="8" t="str">
        <f t="shared" si="45"/>
        <v/>
      </c>
      <c r="K255" s="8">
        <f t="shared" si="37"/>
        <v>0.22580645161290325</v>
      </c>
      <c r="L255" s="13" t="str">
        <f t="shared" si="38"/>
        <v/>
      </c>
      <c r="M255" t="str">
        <f t="shared" si="39"/>
        <v/>
      </c>
      <c r="N255">
        <f t="shared" si="40"/>
        <v>0</v>
      </c>
      <c r="O255">
        <f t="shared" si="41"/>
        <v>2</v>
      </c>
      <c r="P255">
        <v>0</v>
      </c>
      <c r="Q255" s="11">
        <v>45727</v>
      </c>
      <c r="R255">
        <f t="shared" si="44"/>
        <v>52</v>
      </c>
      <c r="S255">
        <v>187</v>
      </c>
      <c r="T255" s="8">
        <f t="shared" si="42"/>
        <v>-7.1856287425149712E-2</v>
      </c>
    </row>
    <row r="256" spans="1:20" hidden="1">
      <c r="A256">
        <v>265</v>
      </c>
      <c r="B256" t="s">
        <v>860</v>
      </c>
      <c r="C256" s="11">
        <v>45715</v>
      </c>
      <c r="D256">
        <v>4.17</v>
      </c>
      <c r="E256">
        <v>4.6500000000000004</v>
      </c>
      <c r="F256">
        <v>3.81</v>
      </c>
      <c r="G256">
        <f>INDEX('اسعار الاسهم'!A:B,MATCH(B256,'اسعار الاسهم'!K:K,0),2)</f>
        <v>7.33</v>
      </c>
      <c r="H256" s="8" t="str">
        <f t="shared" si="35"/>
        <v/>
      </c>
      <c r="I256" s="8" t="str">
        <f t="shared" si="36"/>
        <v/>
      </c>
      <c r="J256" s="8" t="str">
        <f t="shared" si="45"/>
        <v/>
      </c>
      <c r="K256" s="8">
        <f t="shared" si="37"/>
        <v>0.22047244094488194</v>
      </c>
      <c r="L256" s="13" t="str">
        <f t="shared" si="38"/>
        <v/>
      </c>
      <c r="M256" t="str">
        <f t="shared" si="39"/>
        <v/>
      </c>
      <c r="N256">
        <f t="shared" si="40"/>
        <v>0</v>
      </c>
      <c r="O256">
        <f t="shared" si="41"/>
        <v>6</v>
      </c>
      <c r="P256">
        <v>1</v>
      </c>
      <c r="Q256" s="11">
        <v>45727</v>
      </c>
      <c r="R256">
        <f t="shared" si="44"/>
        <v>14</v>
      </c>
      <c r="S256">
        <v>188</v>
      </c>
      <c r="T256" s="8">
        <f t="shared" si="42"/>
        <v>0.11510791366906492</v>
      </c>
    </row>
    <row r="257" spans="1:20" hidden="1">
      <c r="A257">
        <v>253</v>
      </c>
      <c r="B257" t="s">
        <v>791</v>
      </c>
      <c r="C257" s="11">
        <v>45712</v>
      </c>
      <c r="D257">
        <v>0.38700000000000001</v>
      </c>
      <c r="E257">
        <v>0.437</v>
      </c>
      <c r="F257">
        <v>0.36499999999999999</v>
      </c>
      <c r="G257">
        <f>INDEX('اسعار الاسهم'!A:B,MATCH(B257,'اسعار الاسهم'!K:K,0),2)</f>
        <v>0.2</v>
      </c>
      <c r="H257" s="8" t="str">
        <f t="shared" si="35"/>
        <v/>
      </c>
      <c r="I257" s="8" t="str">
        <f t="shared" si="36"/>
        <v/>
      </c>
      <c r="J257" s="8" t="str">
        <f t="shared" si="45"/>
        <v/>
      </c>
      <c r="K257" s="8">
        <f t="shared" si="37"/>
        <v>0.19726027397260282</v>
      </c>
      <c r="L257" s="13" t="str">
        <f t="shared" si="38"/>
        <v/>
      </c>
      <c r="M257" t="str">
        <f t="shared" si="39"/>
        <v/>
      </c>
      <c r="N257">
        <f t="shared" si="40"/>
        <v>0</v>
      </c>
      <c r="O257">
        <f t="shared" si="41"/>
        <v>3</v>
      </c>
      <c r="P257">
        <v>0</v>
      </c>
      <c r="Q257" s="11">
        <v>45728</v>
      </c>
      <c r="R257">
        <f t="shared" si="44"/>
        <v>18</v>
      </c>
      <c r="S257">
        <v>189</v>
      </c>
      <c r="T257" s="8">
        <f t="shared" si="42"/>
        <v>-5.6847545219638307E-2</v>
      </c>
    </row>
    <row r="258" spans="1:20" hidden="1">
      <c r="A258">
        <v>262</v>
      </c>
      <c r="B258" t="s">
        <v>812</v>
      </c>
      <c r="C258" s="11">
        <v>45714</v>
      </c>
      <c r="D258">
        <v>5.22</v>
      </c>
      <c r="E258">
        <v>5.85</v>
      </c>
      <c r="F258">
        <v>4.8</v>
      </c>
      <c r="G258">
        <f>INDEX('اسعار الاسهم'!A:B,MATCH(B258,'اسعار الاسهم'!K:K,0),2)</f>
        <v>19.55</v>
      </c>
      <c r="H258" s="8" t="str">
        <f t="shared" ref="H258:H321" si="46">IF(P258="", G258/D258-1,"")</f>
        <v/>
      </c>
      <c r="I258" s="8" t="str">
        <f t="shared" ref="I258:I321" si="47">IF(P258="", E258/G258-1,"")</f>
        <v/>
      </c>
      <c r="J258" s="8" t="str">
        <f t="shared" si="45"/>
        <v/>
      </c>
      <c r="K258" s="8">
        <f t="shared" ref="K258:K321" si="48">E258/F258-1</f>
        <v>0.21875</v>
      </c>
      <c r="L258" s="13" t="str">
        <f t="shared" ref="L258:L321" si="49">IF( S258="",I258/J258,"")</f>
        <v/>
      </c>
      <c r="M258" t="str">
        <f t="shared" ref="M258:M315" si="50">IF(P258="",IF(I258&lt;J258,"up","down"),"")</f>
        <v/>
      </c>
      <c r="N258">
        <f t="shared" ref="N258:N321" si="51">COUNTIFS(B:B,B258,Q:Q,"")</f>
        <v>0</v>
      </c>
      <c r="O258">
        <f t="shared" ref="O258:O321" si="52">COUNTIFS(B:B,B258)</f>
        <v>1</v>
      </c>
      <c r="P258">
        <v>1</v>
      </c>
      <c r="Q258" s="11">
        <v>45728</v>
      </c>
      <c r="R258">
        <f t="shared" si="44"/>
        <v>16</v>
      </c>
      <c r="S258">
        <v>190</v>
      </c>
      <c r="T258" s="8">
        <f t="shared" ref="T258:T321" si="53">IF(NOT( S258=""),IF(P258=1,E258/D258-1,F258/D258-1),"")</f>
        <v>0.1206896551724137</v>
      </c>
    </row>
    <row r="259" spans="1:20" hidden="1">
      <c r="A259">
        <v>33</v>
      </c>
      <c r="B259" t="s">
        <v>792</v>
      </c>
      <c r="C259" s="11">
        <v>45627</v>
      </c>
      <c r="D259">
        <v>7.74</v>
      </c>
      <c r="E259">
        <v>8.9</v>
      </c>
      <c r="F259">
        <v>7.3</v>
      </c>
      <c r="G259">
        <f>INDEX('اسعار الاسهم'!A:B,MATCH(B259,'اسعار الاسهم'!K:K,0),2)</f>
        <v>10.1</v>
      </c>
      <c r="H259" s="8" t="str">
        <f t="shared" si="46"/>
        <v/>
      </c>
      <c r="I259" s="8" t="str">
        <f t="shared" si="47"/>
        <v/>
      </c>
      <c r="J259" s="8" t="str">
        <f t="shared" si="45"/>
        <v/>
      </c>
      <c r="K259" s="8">
        <f t="shared" si="48"/>
        <v>0.21917808219178081</v>
      </c>
      <c r="L259" s="13" t="str">
        <f t="shared" si="49"/>
        <v/>
      </c>
      <c r="M259" t="str">
        <f t="shared" si="50"/>
        <v/>
      </c>
      <c r="N259">
        <f t="shared" si="51"/>
        <v>0</v>
      </c>
      <c r="O259">
        <f t="shared" si="52"/>
        <v>2</v>
      </c>
      <c r="P259">
        <v>1</v>
      </c>
      <c r="Q259" s="11">
        <v>45728</v>
      </c>
      <c r="R259">
        <f t="shared" si="44"/>
        <v>103</v>
      </c>
      <c r="S259">
        <v>191</v>
      </c>
      <c r="T259" s="8">
        <f t="shared" si="53"/>
        <v>0.14987080103359185</v>
      </c>
    </row>
    <row r="260" spans="1:20" hidden="1">
      <c r="A260">
        <v>240</v>
      </c>
      <c r="B260" t="s">
        <v>792</v>
      </c>
      <c r="C260" s="11">
        <v>45707</v>
      </c>
      <c r="D260">
        <v>8.08</v>
      </c>
      <c r="E260">
        <v>8.9</v>
      </c>
      <c r="F260">
        <v>7.5</v>
      </c>
      <c r="G260">
        <f>INDEX('اسعار الاسهم'!A:B,MATCH(B260,'اسعار الاسهم'!K:K,0),2)</f>
        <v>10.1</v>
      </c>
      <c r="H260" s="8" t="str">
        <f t="shared" si="46"/>
        <v/>
      </c>
      <c r="I260" s="8" t="str">
        <f t="shared" si="47"/>
        <v/>
      </c>
      <c r="J260" s="8" t="str">
        <f t="shared" si="45"/>
        <v/>
      </c>
      <c r="K260" s="8">
        <f t="shared" si="48"/>
        <v>0.18666666666666676</v>
      </c>
      <c r="L260" s="13" t="str">
        <f t="shared" si="49"/>
        <v/>
      </c>
      <c r="M260" t="str">
        <f t="shared" si="50"/>
        <v/>
      </c>
      <c r="N260">
        <f t="shared" si="51"/>
        <v>0</v>
      </c>
      <c r="O260">
        <f t="shared" si="52"/>
        <v>2</v>
      </c>
      <c r="P260">
        <v>1</v>
      </c>
      <c r="Q260" s="11">
        <v>45728</v>
      </c>
      <c r="R260">
        <f t="shared" si="44"/>
        <v>23</v>
      </c>
      <c r="S260">
        <v>192</v>
      </c>
      <c r="T260" s="8">
        <f t="shared" si="53"/>
        <v>0.10148514851485158</v>
      </c>
    </row>
    <row r="261" spans="1:20" hidden="1">
      <c r="A261">
        <v>220</v>
      </c>
      <c r="B261" s="3" t="s">
        <v>857</v>
      </c>
      <c r="C261" s="11">
        <v>45701</v>
      </c>
      <c r="D261">
        <v>45</v>
      </c>
      <c r="E261">
        <v>50.4</v>
      </c>
      <c r="F261">
        <v>43</v>
      </c>
      <c r="G261">
        <f>INDEX('اسعار الاسهم'!A:B,MATCH(B261,'اسعار الاسهم'!K:K,0),2)</f>
        <v>84.5</v>
      </c>
      <c r="H261" s="8" t="str">
        <f t="shared" si="46"/>
        <v/>
      </c>
      <c r="I261" s="8" t="str">
        <f t="shared" si="47"/>
        <v/>
      </c>
      <c r="J261" s="8" t="str">
        <f t="shared" si="45"/>
        <v/>
      </c>
      <c r="K261" s="8">
        <f t="shared" si="48"/>
        <v>0.17209302325581399</v>
      </c>
      <c r="L261" s="13" t="str">
        <f t="shared" si="49"/>
        <v/>
      </c>
      <c r="M261" t="str">
        <f t="shared" si="50"/>
        <v/>
      </c>
      <c r="N261">
        <f t="shared" si="51"/>
        <v>2</v>
      </c>
      <c r="O261">
        <f t="shared" si="52"/>
        <v>4</v>
      </c>
      <c r="P261">
        <v>1</v>
      </c>
      <c r="Q261" s="11">
        <v>45728</v>
      </c>
      <c r="R261">
        <f t="shared" si="44"/>
        <v>29</v>
      </c>
      <c r="S261">
        <v>193</v>
      </c>
      <c r="T261" s="8">
        <f t="shared" si="53"/>
        <v>0.11999999999999988</v>
      </c>
    </row>
    <row r="262" spans="1:20" hidden="1">
      <c r="A262">
        <v>269</v>
      </c>
      <c r="B262" t="s">
        <v>731</v>
      </c>
      <c r="C262" s="11">
        <v>45719</v>
      </c>
      <c r="D262">
        <v>6.4</v>
      </c>
      <c r="E262">
        <v>7.1</v>
      </c>
      <c r="F262">
        <v>5.93</v>
      </c>
      <c r="G262">
        <f>INDEX('اسعار الاسهم'!A:B,MATCH(B262,'اسعار الاسهم'!K:K,0),2)</f>
        <v>13.61</v>
      </c>
      <c r="H262" s="8" t="str">
        <f t="shared" si="46"/>
        <v/>
      </c>
      <c r="I262" s="8" t="str">
        <f t="shared" si="47"/>
        <v/>
      </c>
      <c r="J262" s="8" t="str">
        <f t="shared" si="45"/>
        <v/>
      </c>
      <c r="K262" s="8">
        <f t="shared" si="48"/>
        <v>0.19730185497470498</v>
      </c>
      <c r="L262" s="13" t="str">
        <f t="shared" si="49"/>
        <v/>
      </c>
      <c r="M262" t="str">
        <f t="shared" si="50"/>
        <v/>
      </c>
      <c r="N262">
        <f t="shared" si="51"/>
        <v>0</v>
      </c>
      <c r="O262">
        <f t="shared" si="52"/>
        <v>3</v>
      </c>
      <c r="P262">
        <v>1</v>
      </c>
      <c r="Q262" s="11">
        <v>45728</v>
      </c>
      <c r="R262">
        <f t="shared" si="44"/>
        <v>11</v>
      </c>
      <c r="S262">
        <v>194</v>
      </c>
      <c r="T262" s="8">
        <f t="shared" si="53"/>
        <v>0.10937499999999978</v>
      </c>
    </row>
    <row r="263" spans="1:20" hidden="1">
      <c r="A263">
        <v>130</v>
      </c>
      <c r="B263" t="s">
        <v>986</v>
      </c>
      <c r="C263" s="11">
        <v>45669</v>
      </c>
      <c r="D263">
        <v>0.92</v>
      </c>
      <c r="E263">
        <v>1.03</v>
      </c>
      <c r="F263">
        <v>0.85</v>
      </c>
      <c r="G263">
        <f>INDEX('اسعار الاسهم'!A:B,MATCH(B263,'اسعار الاسهم'!K:K,0),2)</f>
        <v>2.17</v>
      </c>
      <c r="H263" s="8" t="str">
        <f t="shared" si="46"/>
        <v/>
      </c>
      <c r="I263" s="8" t="str">
        <f t="shared" si="47"/>
        <v/>
      </c>
      <c r="J263" s="8" t="str">
        <f t="shared" si="45"/>
        <v/>
      </c>
      <c r="K263" s="8">
        <f t="shared" si="48"/>
        <v>0.21176470588235308</v>
      </c>
      <c r="L263" s="13" t="str">
        <f t="shared" si="49"/>
        <v/>
      </c>
      <c r="M263" t="str">
        <f t="shared" si="50"/>
        <v/>
      </c>
      <c r="N263">
        <f t="shared" si="51"/>
        <v>0</v>
      </c>
      <c r="O263">
        <f t="shared" si="52"/>
        <v>3</v>
      </c>
      <c r="P263">
        <v>1</v>
      </c>
      <c r="Q263" s="11">
        <v>45729</v>
      </c>
      <c r="R263">
        <f t="shared" si="44"/>
        <v>62</v>
      </c>
      <c r="S263">
        <v>195</v>
      </c>
      <c r="T263" s="8">
        <f t="shared" si="53"/>
        <v>0.11956521739130443</v>
      </c>
    </row>
    <row r="264" spans="1:20" hidden="1">
      <c r="A264">
        <v>136</v>
      </c>
      <c r="B264" t="s">
        <v>794</v>
      </c>
      <c r="C264" s="11">
        <v>45670</v>
      </c>
      <c r="D264">
        <v>19.27</v>
      </c>
      <c r="E264">
        <v>21.4</v>
      </c>
      <c r="F264">
        <v>18</v>
      </c>
      <c r="G264">
        <f>INDEX('اسعار الاسهم'!A:B,MATCH(B264,'اسعار الاسهم'!K:K,0),2)</f>
        <v>23.41</v>
      </c>
      <c r="H264" s="8" t="str">
        <f t="shared" si="46"/>
        <v/>
      </c>
      <c r="I264" s="8" t="str">
        <f t="shared" si="47"/>
        <v/>
      </c>
      <c r="J264" s="8" t="str">
        <f t="shared" si="45"/>
        <v/>
      </c>
      <c r="K264" s="8">
        <f t="shared" si="48"/>
        <v>0.18888888888888888</v>
      </c>
      <c r="L264" s="13" t="str">
        <f t="shared" si="49"/>
        <v/>
      </c>
      <c r="M264" t="str">
        <f t="shared" si="50"/>
        <v/>
      </c>
      <c r="N264">
        <f t="shared" si="51"/>
        <v>0</v>
      </c>
      <c r="O264">
        <f t="shared" si="52"/>
        <v>2</v>
      </c>
      <c r="P264">
        <v>1</v>
      </c>
      <c r="Q264" s="11">
        <v>45729</v>
      </c>
      <c r="R264">
        <f t="shared" si="44"/>
        <v>61</v>
      </c>
      <c r="S264">
        <v>196</v>
      </c>
      <c r="T264" s="8">
        <f t="shared" si="53"/>
        <v>0.11053450960041511</v>
      </c>
    </row>
    <row r="265" spans="1:20" hidden="1">
      <c r="A265">
        <v>286</v>
      </c>
      <c r="B265" s="3" t="s">
        <v>986</v>
      </c>
      <c r="C265" s="11">
        <v>45726</v>
      </c>
      <c r="D265">
        <v>0.95</v>
      </c>
      <c r="E265">
        <v>1.05</v>
      </c>
      <c r="F265">
        <v>0.88</v>
      </c>
      <c r="G265">
        <f>INDEX('اسعار الاسهم'!A:B,MATCH(B265,'اسعار الاسهم'!K:K,0),2)</f>
        <v>2.17</v>
      </c>
      <c r="H265" s="8" t="str">
        <f t="shared" si="46"/>
        <v/>
      </c>
      <c r="I265" s="8" t="str">
        <f t="shared" si="47"/>
        <v/>
      </c>
      <c r="J265" s="8" t="str">
        <f t="shared" si="45"/>
        <v/>
      </c>
      <c r="K265" s="8">
        <f t="shared" si="48"/>
        <v>0.19318181818181812</v>
      </c>
      <c r="L265" s="13" t="str">
        <f t="shared" si="49"/>
        <v/>
      </c>
      <c r="M265" t="str">
        <f t="shared" si="50"/>
        <v/>
      </c>
      <c r="N265">
        <f t="shared" si="51"/>
        <v>0</v>
      </c>
      <c r="O265">
        <f t="shared" si="52"/>
        <v>3</v>
      </c>
      <c r="P265">
        <v>1</v>
      </c>
      <c r="Q265" s="11">
        <v>45729</v>
      </c>
      <c r="R265">
        <f t="shared" ref="R265:R296" si="54">IF(Q265, Q265-C265+2,"")</f>
        <v>5</v>
      </c>
      <c r="S265">
        <v>197</v>
      </c>
      <c r="T265" s="8">
        <f t="shared" si="53"/>
        <v>0.10526315789473695</v>
      </c>
    </row>
    <row r="266" spans="1:20" hidden="1">
      <c r="A266">
        <v>292</v>
      </c>
      <c r="B266" t="s">
        <v>886</v>
      </c>
      <c r="C266" s="11">
        <v>45727</v>
      </c>
      <c r="D266">
        <v>31.8</v>
      </c>
      <c r="E266">
        <v>35.5</v>
      </c>
      <c r="F266">
        <v>29.9</v>
      </c>
      <c r="G266">
        <f>INDEX('اسعار الاسهم'!A:B,MATCH(B266,'اسعار الاسهم'!K:K,0),2)</f>
        <v>64.3</v>
      </c>
      <c r="H266" s="8" t="str">
        <f t="shared" si="46"/>
        <v/>
      </c>
      <c r="I266" s="8" t="str">
        <f t="shared" si="47"/>
        <v/>
      </c>
      <c r="J266" s="8" t="str">
        <f t="shared" si="45"/>
        <v/>
      </c>
      <c r="K266" s="8">
        <f t="shared" si="48"/>
        <v>0.18729096989966565</v>
      </c>
      <c r="L266" s="13" t="str">
        <f t="shared" si="49"/>
        <v/>
      </c>
      <c r="M266" t="str">
        <f t="shared" si="50"/>
        <v/>
      </c>
      <c r="N266">
        <f t="shared" si="51"/>
        <v>0</v>
      </c>
      <c r="O266">
        <f t="shared" si="52"/>
        <v>3</v>
      </c>
      <c r="P266">
        <v>1</v>
      </c>
      <c r="Q266" s="11">
        <v>45732</v>
      </c>
      <c r="R266">
        <f t="shared" si="54"/>
        <v>7</v>
      </c>
      <c r="S266">
        <v>198</v>
      </c>
      <c r="T266" s="8">
        <f t="shared" si="53"/>
        <v>0.11635220125786172</v>
      </c>
    </row>
    <row r="267" spans="1:20" hidden="1">
      <c r="A267">
        <v>291</v>
      </c>
      <c r="B267" t="s">
        <v>860</v>
      </c>
      <c r="C267" s="11">
        <v>45727</v>
      </c>
      <c r="D267">
        <v>4.37</v>
      </c>
      <c r="E267">
        <v>4.95</v>
      </c>
      <c r="F267">
        <v>4</v>
      </c>
      <c r="G267">
        <f>INDEX('اسعار الاسهم'!A:B,MATCH(B267,'اسعار الاسهم'!K:K,0),2)</f>
        <v>7.33</v>
      </c>
      <c r="H267" s="8" t="str">
        <f t="shared" si="46"/>
        <v/>
      </c>
      <c r="I267" s="8" t="str">
        <f t="shared" si="47"/>
        <v/>
      </c>
      <c r="J267" s="8" t="str">
        <f t="shared" si="45"/>
        <v/>
      </c>
      <c r="K267" s="8">
        <f t="shared" si="48"/>
        <v>0.23750000000000004</v>
      </c>
      <c r="L267" s="13" t="str">
        <f t="shared" si="49"/>
        <v/>
      </c>
      <c r="M267" t="str">
        <f t="shared" si="50"/>
        <v/>
      </c>
      <c r="N267">
        <f t="shared" si="51"/>
        <v>0</v>
      </c>
      <c r="O267">
        <f t="shared" si="52"/>
        <v>6</v>
      </c>
      <c r="P267">
        <v>1</v>
      </c>
      <c r="Q267" s="11">
        <v>45732</v>
      </c>
      <c r="R267">
        <f t="shared" si="54"/>
        <v>7</v>
      </c>
      <c r="S267">
        <v>199</v>
      </c>
      <c r="T267" s="8">
        <f t="shared" si="53"/>
        <v>0.13272311212814647</v>
      </c>
    </row>
    <row r="268" spans="1:20" hidden="1">
      <c r="A268">
        <v>251</v>
      </c>
      <c r="B268" t="s">
        <v>886</v>
      </c>
      <c r="C268" s="11">
        <v>45712</v>
      </c>
      <c r="D268">
        <v>32.6</v>
      </c>
      <c r="E268">
        <v>36.700000000000003</v>
      </c>
      <c r="F268">
        <v>30</v>
      </c>
      <c r="G268">
        <f>INDEX('اسعار الاسهم'!A:B,MATCH(B268,'اسعار الاسهم'!K:K,0),2)</f>
        <v>64.3</v>
      </c>
      <c r="H268" s="8" t="str">
        <f t="shared" si="46"/>
        <v/>
      </c>
      <c r="I268" s="8" t="str">
        <f t="shared" si="47"/>
        <v/>
      </c>
      <c r="J268" s="8" t="str">
        <f t="shared" si="45"/>
        <v/>
      </c>
      <c r="K268" s="8">
        <f t="shared" si="48"/>
        <v>0.22333333333333338</v>
      </c>
      <c r="L268" s="13" t="str">
        <f t="shared" si="49"/>
        <v/>
      </c>
      <c r="M268" t="str">
        <f t="shared" si="50"/>
        <v/>
      </c>
      <c r="N268">
        <f t="shared" si="51"/>
        <v>0</v>
      </c>
      <c r="O268">
        <f t="shared" si="52"/>
        <v>3</v>
      </c>
      <c r="P268">
        <v>1</v>
      </c>
      <c r="Q268" s="11">
        <v>45732</v>
      </c>
      <c r="R268">
        <f t="shared" si="54"/>
        <v>22</v>
      </c>
      <c r="S268">
        <v>200</v>
      </c>
      <c r="T268" s="8">
        <f t="shared" si="53"/>
        <v>0.12576687116564411</v>
      </c>
    </row>
    <row r="269" spans="1:20" hidden="1">
      <c r="A269">
        <v>268</v>
      </c>
      <c r="B269" t="s">
        <v>788</v>
      </c>
      <c r="C269" s="11">
        <v>45718</v>
      </c>
      <c r="D269">
        <v>8.25</v>
      </c>
      <c r="E269">
        <v>9.1</v>
      </c>
      <c r="F269">
        <v>7.88</v>
      </c>
      <c r="G269">
        <f>INDEX('اسعار الاسهم'!A:B,MATCH(B269,'اسعار الاسهم'!K:K,0),2)</f>
        <v>19.32</v>
      </c>
      <c r="H269" s="8" t="str">
        <f t="shared" si="46"/>
        <v/>
      </c>
      <c r="I269" s="8" t="str">
        <f t="shared" si="47"/>
        <v/>
      </c>
      <c r="J269" s="8" t="str">
        <f t="shared" si="45"/>
        <v/>
      </c>
      <c r="K269" s="8">
        <f t="shared" si="48"/>
        <v>0.15482233502538079</v>
      </c>
      <c r="L269" s="13" t="str">
        <f t="shared" si="49"/>
        <v/>
      </c>
      <c r="M269" t="str">
        <f t="shared" si="50"/>
        <v/>
      </c>
      <c r="N269">
        <f t="shared" si="51"/>
        <v>0</v>
      </c>
      <c r="O269">
        <f t="shared" si="52"/>
        <v>4</v>
      </c>
      <c r="P269">
        <v>1</v>
      </c>
      <c r="Q269" s="11">
        <v>45732</v>
      </c>
      <c r="R269">
        <f t="shared" si="54"/>
        <v>16</v>
      </c>
      <c r="S269">
        <v>201</v>
      </c>
      <c r="T269" s="8">
        <f t="shared" si="53"/>
        <v>0.10303030303030303</v>
      </c>
    </row>
    <row r="270" spans="1:20" hidden="1">
      <c r="A270">
        <v>289</v>
      </c>
      <c r="B270" t="s">
        <v>884</v>
      </c>
      <c r="C270" s="11">
        <v>45727</v>
      </c>
      <c r="D270">
        <v>68</v>
      </c>
      <c r="E270">
        <v>75.5</v>
      </c>
      <c r="F270">
        <v>62.5</v>
      </c>
      <c r="G270">
        <f>INDEX('اسعار الاسهم'!A:B,MATCH(B270,'اسعار الاسهم'!K:K,0),2)</f>
        <v>95.7</v>
      </c>
      <c r="H270" s="8" t="str">
        <f t="shared" si="46"/>
        <v/>
      </c>
      <c r="I270" s="8" t="str">
        <f t="shared" si="47"/>
        <v/>
      </c>
      <c r="J270" s="8" t="str">
        <f t="shared" si="45"/>
        <v/>
      </c>
      <c r="K270" s="8">
        <f t="shared" si="48"/>
        <v>0.20799999999999996</v>
      </c>
      <c r="L270" s="13" t="str">
        <f t="shared" si="49"/>
        <v/>
      </c>
      <c r="M270" t="str">
        <f t="shared" si="50"/>
        <v/>
      </c>
      <c r="N270">
        <f t="shared" si="51"/>
        <v>0</v>
      </c>
      <c r="O270">
        <f t="shared" si="52"/>
        <v>5</v>
      </c>
      <c r="P270">
        <v>1</v>
      </c>
      <c r="Q270" s="11">
        <v>45732</v>
      </c>
      <c r="R270">
        <f t="shared" si="54"/>
        <v>7</v>
      </c>
      <c r="S270">
        <v>202</v>
      </c>
      <c r="T270" s="8">
        <f t="shared" si="53"/>
        <v>0.11029411764705888</v>
      </c>
    </row>
    <row r="271" spans="1:20" hidden="1">
      <c r="A271">
        <v>158</v>
      </c>
      <c r="B271" t="s">
        <v>768</v>
      </c>
      <c r="C271" s="11">
        <v>45678</v>
      </c>
      <c r="D271">
        <v>1.35</v>
      </c>
      <c r="E271">
        <v>1.53</v>
      </c>
      <c r="F271">
        <v>1.22</v>
      </c>
      <c r="G271">
        <f>INDEX('اسعار الاسهم'!A:B,MATCH(B271,'اسعار الاسهم'!K:K,0),2)</f>
        <v>2.33</v>
      </c>
      <c r="H271" s="8" t="str">
        <f t="shared" si="46"/>
        <v/>
      </c>
      <c r="I271" s="8" t="str">
        <f t="shared" si="47"/>
        <v/>
      </c>
      <c r="J271" s="8" t="str">
        <f t="shared" si="45"/>
        <v/>
      </c>
      <c r="K271" s="8">
        <f t="shared" si="48"/>
        <v>0.25409836065573765</v>
      </c>
      <c r="L271" s="13" t="str">
        <f t="shared" si="49"/>
        <v/>
      </c>
      <c r="M271" t="str">
        <f t="shared" si="50"/>
        <v/>
      </c>
      <c r="N271">
        <f t="shared" si="51"/>
        <v>0</v>
      </c>
      <c r="O271">
        <f t="shared" si="52"/>
        <v>4</v>
      </c>
      <c r="P271">
        <v>1</v>
      </c>
      <c r="Q271" s="11">
        <v>45733</v>
      </c>
      <c r="R271">
        <f t="shared" si="54"/>
        <v>57</v>
      </c>
      <c r="S271">
        <v>203</v>
      </c>
      <c r="T271" s="8">
        <f t="shared" si="53"/>
        <v>0.1333333333333333</v>
      </c>
    </row>
    <row r="272" spans="1:20" hidden="1">
      <c r="A272">
        <v>293</v>
      </c>
      <c r="B272" t="s">
        <v>788</v>
      </c>
      <c r="C272" s="11">
        <v>45728</v>
      </c>
      <c r="D272">
        <v>8.4499999999999993</v>
      </c>
      <c r="E272">
        <v>9.35</v>
      </c>
      <c r="F272">
        <v>7.93</v>
      </c>
      <c r="G272">
        <f>INDEX('اسعار الاسهم'!A:B,MATCH(B272,'اسعار الاسهم'!K:K,0),2)</f>
        <v>19.32</v>
      </c>
      <c r="H272" s="8" t="str">
        <f t="shared" si="46"/>
        <v/>
      </c>
      <c r="I272" s="8" t="str">
        <f t="shared" si="47"/>
        <v/>
      </c>
      <c r="J272" s="8" t="str">
        <f t="shared" si="45"/>
        <v/>
      </c>
      <c r="K272" s="8">
        <f t="shared" si="48"/>
        <v>0.17906683480453967</v>
      </c>
      <c r="L272" s="13" t="str">
        <f t="shared" si="49"/>
        <v/>
      </c>
      <c r="M272" t="str">
        <f t="shared" si="50"/>
        <v/>
      </c>
      <c r="N272">
        <f t="shared" si="51"/>
        <v>0</v>
      </c>
      <c r="O272">
        <f t="shared" si="52"/>
        <v>4</v>
      </c>
      <c r="P272">
        <v>1</v>
      </c>
      <c r="Q272" s="11">
        <v>45733</v>
      </c>
      <c r="R272">
        <f t="shared" si="54"/>
        <v>7</v>
      </c>
      <c r="S272">
        <v>204</v>
      </c>
      <c r="T272" s="8">
        <f t="shared" si="53"/>
        <v>0.10650887573964507</v>
      </c>
    </row>
    <row r="273" spans="1:20" hidden="1">
      <c r="A273">
        <v>29</v>
      </c>
      <c r="B273" t="s">
        <v>788</v>
      </c>
      <c r="C273" s="11">
        <v>45627</v>
      </c>
      <c r="D273">
        <v>8.25</v>
      </c>
      <c r="E273">
        <v>9.35</v>
      </c>
      <c r="F273">
        <v>7.8</v>
      </c>
      <c r="G273">
        <f>INDEX('اسعار الاسهم'!A:B,MATCH(B273,'اسعار الاسهم'!K:K,0),2)</f>
        <v>19.32</v>
      </c>
      <c r="H273" s="8" t="str">
        <f t="shared" si="46"/>
        <v/>
      </c>
      <c r="I273" s="8" t="str">
        <f t="shared" si="47"/>
        <v/>
      </c>
      <c r="J273" s="8" t="str">
        <f t="shared" si="45"/>
        <v/>
      </c>
      <c r="K273" s="8">
        <f t="shared" si="48"/>
        <v>0.19871794871794868</v>
      </c>
      <c r="L273" s="13" t="str">
        <f t="shared" si="49"/>
        <v/>
      </c>
      <c r="M273" t="str">
        <f t="shared" si="50"/>
        <v/>
      </c>
      <c r="N273">
        <f t="shared" si="51"/>
        <v>0</v>
      </c>
      <c r="O273">
        <f t="shared" si="52"/>
        <v>4</v>
      </c>
      <c r="P273">
        <v>1</v>
      </c>
      <c r="Q273" s="11">
        <v>45733</v>
      </c>
      <c r="R273">
        <f t="shared" si="54"/>
        <v>108</v>
      </c>
      <c r="S273">
        <v>205</v>
      </c>
      <c r="T273" s="8">
        <f t="shared" si="53"/>
        <v>0.1333333333333333</v>
      </c>
    </row>
    <row r="274" spans="1:20" hidden="1">
      <c r="A274">
        <v>108</v>
      </c>
      <c r="B274" t="s">
        <v>923</v>
      </c>
      <c r="C274" s="11">
        <v>45659</v>
      </c>
      <c r="D274">
        <v>3.32</v>
      </c>
      <c r="E274">
        <v>3.75</v>
      </c>
      <c r="F274">
        <v>3.17</v>
      </c>
      <c r="G274">
        <f>INDEX('اسعار الاسهم'!A:B,MATCH(B274,'اسعار الاسهم'!K:K,0),2)</f>
        <v>2.74</v>
      </c>
      <c r="H274" s="8" t="str">
        <f t="shared" si="46"/>
        <v/>
      </c>
      <c r="I274" s="8" t="str">
        <f t="shared" si="47"/>
        <v/>
      </c>
      <c r="J274" s="8" t="str">
        <f t="shared" si="45"/>
        <v/>
      </c>
      <c r="K274" s="8">
        <f t="shared" si="48"/>
        <v>0.18296529968454256</v>
      </c>
      <c r="L274" s="13" t="str">
        <f t="shared" si="49"/>
        <v/>
      </c>
      <c r="M274" t="str">
        <f t="shared" si="50"/>
        <v/>
      </c>
      <c r="N274">
        <f t="shared" si="51"/>
        <v>0</v>
      </c>
      <c r="O274">
        <f t="shared" si="52"/>
        <v>3</v>
      </c>
      <c r="P274">
        <v>0</v>
      </c>
      <c r="Q274" s="11">
        <v>45733</v>
      </c>
      <c r="R274">
        <f t="shared" si="54"/>
        <v>76</v>
      </c>
      <c r="S274">
        <v>206</v>
      </c>
      <c r="T274" s="8">
        <f t="shared" si="53"/>
        <v>-4.5180722891566272E-2</v>
      </c>
    </row>
    <row r="275" spans="1:20" hidden="1">
      <c r="A275">
        <v>256</v>
      </c>
      <c r="B275" t="s">
        <v>858</v>
      </c>
      <c r="C275" s="11">
        <v>45713</v>
      </c>
      <c r="D275">
        <v>1.59</v>
      </c>
      <c r="E275">
        <v>1.78</v>
      </c>
      <c r="F275">
        <v>1.47</v>
      </c>
      <c r="G275">
        <f>INDEX('اسعار الاسهم'!A:B,MATCH(B275,'اسعار الاسهم'!K:K,0),2)</f>
        <v>3.38</v>
      </c>
      <c r="H275" s="8" t="str">
        <f t="shared" si="46"/>
        <v/>
      </c>
      <c r="I275" s="8" t="str">
        <f t="shared" si="47"/>
        <v/>
      </c>
      <c r="J275" s="8" t="str">
        <f t="shared" si="45"/>
        <v/>
      </c>
      <c r="K275" s="8">
        <f t="shared" si="48"/>
        <v>0.21088435374149661</v>
      </c>
      <c r="L275" s="13" t="str">
        <f t="shared" si="49"/>
        <v/>
      </c>
      <c r="M275" t="str">
        <f t="shared" si="50"/>
        <v/>
      </c>
      <c r="N275">
        <f t="shared" si="51"/>
        <v>0</v>
      </c>
      <c r="O275">
        <f t="shared" si="52"/>
        <v>2</v>
      </c>
      <c r="P275">
        <v>1</v>
      </c>
      <c r="Q275" s="11">
        <v>45734</v>
      </c>
      <c r="R275">
        <f t="shared" si="54"/>
        <v>23</v>
      </c>
      <c r="S275">
        <v>207</v>
      </c>
      <c r="T275" s="8">
        <f t="shared" si="53"/>
        <v>0.11949685534591192</v>
      </c>
    </row>
    <row r="276" spans="1:20" hidden="1">
      <c r="A276">
        <v>295</v>
      </c>
      <c r="B276" t="s">
        <v>858</v>
      </c>
      <c r="C276" s="11">
        <v>45728</v>
      </c>
      <c r="D276">
        <v>1.61</v>
      </c>
      <c r="E276">
        <v>1.8</v>
      </c>
      <c r="F276">
        <v>1.5</v>
      </c>
      <c r="G276">
        <f>INDEX('اسعار الاسهم'!A:B,MATCH(B276,'اسعار الاسهم'!K:K,0),2)</f>
        <v>3.38</v>
      </c>
      <c r="H276" s="8" t="str">
        <f t="shared" si="46"/>
        <v/>
      </c>
      <c r="I276" s="8" t="str">
        <f t="shared" si="47"/>
        <v/>
      </c>
      <c r="J276" s="8" t="str">
        <f t="shared" si="45"/>
        <v/>
      </c>
      <c r="K276" s="8">
        <f t="shared" si="48"/>
        <v>0.19999999999999996</v>
      </c>
      <c r="L276" s="13" t="str">
        <f t="shared" si="49"/>
        <v/>
      </c>
      <c r="M276" t="str">
        <f t="shared" si="50"/>
        <v/>
      </c>
      <c r="N276">
        <f t="shared" si="51"/>
        <v>0</v>
      </c>
      <c r="O276">
        <f t="shared" si="52"/>
        <v>2</v>
      </c>
      <c r="P276">
        <v>1</v>
      </c>
      <c r="Q276" s="11">
        <v>45734</v>
      </c>
      <c r="R276">
        <f t="shared" si="54"/>
        <v>8</v>
      </c>
      <c r="S276">
        <v>208</v>
      </c>
      <c r="T276" s="8">
        <f t="shared" si="53"/>
        <v>0.11801242236024834</v>
      </c>
    </row>
    <row r="277" spans="1:20" hidden="1">
      <c r="A277">
        <v>232</v>
      </c>
      <c r="B277" t="s">
        <v>983</v>
      </c>
      <c r="C277" s="11">
        <v>45705</v>
      </c>
      <c r="D277">
        <v>93.95</v>
      </c>
      <c r="E277">
        <v>106</v>
      </c>
      <c r="F277">
        <v>87</v>
      </c>
      <c r="G277">
        <f>INDEX('اسعار الاسهم'!A:B,MATCH(B277,'اسعار الاسهم'!K:K,0),2)</f>
        <v>293</v>
      </c>
      <c r="H277" s="8" t="str">
        <f t="shared" si="46"/>
        <v/>
      </c>
      <c r="I277" s="8" t="str">
        <f t="shared" si="47"/>
        <v/>
      </c>
      <c r="J277" s="8" t="str">
        <f t="shared" si="45"/>
        <v/>
      </c>
      <c r="K277" s="8">
        <f t="shared" si="48"/>
        <v>0.21839080459770122</v>
      </c>
      <c r="L277" s="13" t="str">
        <f t="shared" si="49"/>
        <v/>
      </c>
      <c r="M277" t="str">
        <f t="shared" si="50"/>
        <v/>
      </c>
      <c r="N277">
        <f t="shared" si="51"/>
        <v>1</v>
      </c>
      <c r="O277">
        <f t="shared" si="52"/>
        <v>3</v>
      </c>
      <c r="P277">
        <v>1</v>
      </c>
      <c r="Q277" s="11">
        <v>45734</v>
      </c>
      <c r="R277">
        <f t="shared" si="54"/>
        <v>31</v>
      </c>
      <c r="S277">
        <v>209</v>
      </c>
      <c r="T277" s="8">
        <f t="shared" si="53"/>
        <v>0.12825971261309199</v>
      </c>
    </row>
    <row r="278" spans="1:20" hidden="1">
      <c r="A278">
        <v>267</v>
      </c>
      <c r="B278" t="s">
        <v>901</v>
      </c>
      <c r="C278" s="11">
        <v>45718</v>
      </c>
      <c r="D278">
        <v>7.59</v>
      </c>
      <c r="E278">
        <v>8.5</v>
      </c>
      <c r="F278">
        <v>7</v>
      </c>
      <c r="G278">
        <f>INDEX('اسعار الاسهم'!A:B,MATCH(B278,'اسعار الاسهم'!K:K,0),2)</f>
        <v>35.840000000000003</v>
      </c>
      <c r="H278" s="8" t="str">
        <f t="shared" si="46"/>
        <v/>
      </c>
      <c r="I278" s="8" t="str">
        <f t="shared" si="47"/>
        <v/>
      </c>
      <c r="J278" s="8" t="str">
        <f t="shared" si="45"/>
        <v/>
      </c>
      <c r="K278" s="8">
        <f t="shared" si="48"/>
        <v>0.21428571428571419</v>
      </c>
      <c r="L278" s="13" t="str">
        <f t="shared" si="49"/>
        <v/>
      </c>
      <c r="M278" t="str">
        <f t="shared" si="50"/>
        <v/>
      </c>
      <c r="N278">
        <f t="shared" si="51"/>
        <v>0</v>
      </c>
      <c r="O278">
        <f t="shared" si="52"/>
        <v>1</v>
      </c>
      <c r="P278">
        <v>1</v>
      </c>
      <c r="Q278" s="11">
        <v>45735</v>
      </c>
      <c r="R278">
        <f t="shared" si="54"/>
        <v>19</v>
      </c>
      <c r="S278">
        <v>210</v>
      </c>
      <c r="T278" s="8">
        <f t="shared" si="53"/>
        <v>0.11989459815546777</v>
      </c>
    </row>
    <row r="279" spans="1:20" hidden="1">
      <c r="A279">
        <v>249</v>
      </c>
      <c r="B279" t="s">
        <v>819</v>
      </c>
      <c r="C279" s="11">
        <v>45711</v>
      </c>
      <c r="D279">
        <v>2.4</v>
      </c>
      <c r="E279">
        <v>2.7</v>
      </c>
      <c r="F279">
        <v>2.1800000000000002</v>
      </c>
      <c r="G279">
        <f>INDEX('اسعار الاسهم'!A:B,MATCH(B279,'اسعار الاسهم'!K:K,0),2)</f>
        <v>2.73</v>
      </c>
      <c r="H279" s="8" t="str">
        <f t="shared" si="46"/>
        <v/>
      </c>
      <c r="I279" s="8" t="str">
        <f t="shared" si="47"/>
        <v/>
      </c>
      <c r="J279" s="8" t="str">
        <f t="shared" si="45"/>
        <v/>
      </c>
      <c r="K279" s="8">
        <f t="shared" si="48"/>
        <v>0.23853211009174302</v>
      </c>
      <c r="L279" s="13" t="str">
        <f t="shared" si="49"/>
        <v/>
      </c>
      <c r="M279" t="str">
        <f t="shared" si="50"/>
        <v/>
      </c>
      <c r="N279">
        <f t="shared" si="51"/>
        <v>0</v>
      </c>
      <c r="O279">
        <f t="shared" si="52"/>
        <v>2</v>
      </c>
      <c r="P279">
        <v>1</v>
      </c>
      <c r="Q279" s="11">
        <v>45735</v>
      </c>
      <c r="R279">
        <f t="shared" si="54"/>
        <v>26</v>
      </c>
      <c r="S279">
        <v>211</v>
      </c>
      <c r="T279" s="8">
        <f t="shared" si="53"/>
        <v>0.12500000000000022</v>
      </c>
    </row>
    <row r="280" spans="1:20" hidden="1">
      <c r="A280">
        <v>279</v>
      </c>
      <c r="B280" t="s">
        <v>731</v>
      </c>
      <c r="C280" s="11">
        <v>45725</v>
      </c>
      <c r="D280">
        <v>6.54</v>
      </c>
      <c r="E280">
        <v>7.25</v>
      </c>
      <c r="F280">
        <v>6.2</v>
      </c>
      <c r="G280">
        <f>INDEX('اسعار الاسهم'!A:B,MATCH(B280,'اسعار الاسهم'!K:K,0),2)</f>
        <v>13.61</v>
      </c>
      <c r="H280" s="8" t="str">
        <f t="shared" si="46"/>
        <v/>
      </c>
      <c r="I280" s="8" t="str">
        <f t="shared" si="47"/>
        <v/>
      </c>
      <c r="J280" s="8" t="str">
        <f t="shared" si="45"/>
        <v/>
      </c>
      <c r="K280" s="8">
        <f t="shared" si="48"/>
        <v>0.16935483870967749</v>
      </c>
      <c r="L280" s="13" t="str">
        <f t="shared" si="49"/>
        <v/>
      </c>
      <c r="M280" t="str">
        <f t="shared" si="50"/>
        <v/>
      </c>
      <c r="N280">
        <f t="shared" si="51"/>
        <v>0</v>
      </c>
      <c r="O280">
        <f t="shared" si="52"/>
        <v>3</v>
      </c>
      <c r="P280">
        <v>1</v>
      </c>
      <c r="Q280" s="11">
        <v>45735</v>
      </c>
      <c r="R280">
        <f t="shared" si="54"/>
        <v>12</v>
      </c>
      <c r="S280">
        <v>212</v>
      </c>
      <c r="T280" s="8">
        <f t="shared" si="53"/>
        <v>0.10856269113149852</v>
      </c>
    </row>
    <row r="281" spans="1:20" hidden="1">
      <c r="A281">
        <v>231</v>
      </c>
      <c r="B281" t="s">
        <v>731</v>
      </c>
      <c r="C281" s="11">
        <v>45705</v>
      </c>
      <c r="D281">
        <v>6.45</v>
      </c>
      <c r="E281">
        <v>7.25</v>
      </c>
      <c r="F281">
        <v>5.93</v>
      </c>
      <c r="G281">
        <f>INDEX('اسعار الاسهم'!A:B,MATCH(B281,'اسعار الاسهم'!K:K,0),2)</f>
        <v>13.61</v>
      </c>
      <c r="H281" s="8" t="str">
        <f t="shared" si="46"/>
        <v/>
      </c>
      <c r="I281" s="8" t="str">
        <f t="shared" si="47"/>
        <v/>
      </c>
      <c r="J281" s="8" t="str">
        <f t="shared" si="45"/>
        <v/>
      </c>
      <c r="K281" s="8">
        <f t="shared" si="48"/>
        <v>0.22259696458684664</v>
      </c>
      <c r="L281" s="13" t="str">
        <f t="shared" si="49"/>
        <v/>
      </c>
      <c r="M281" t="str">
        <f t="shared" si="50"/>
        <v/>
      </c>
      <c r="N281">
        <f t="shared" si="51"/>
        <v>0</v>
      </c>
      <c r="O281">
        <f t="shared" si="52"/>
        <v>3</v>
      </c>
      <c r="P281">
        <v>1</v>
      </c>
      <c r="Q281" s="11">
        <v>45735</v>
      </c>
      <c r="R281">
        <f t="shared" si="54"/>
        <v>32</v>
      </c>
      <c r="S281">
        <v>213</v>
      </c>
      <c r="T281" s="8">
        <f t="shared" si="53"/>
        <v>0.12403100775193798</v>
      </c>
    </row>
    <row r="282" spans="1:20" hidden="1">
      <c r="A282">
        <v>301</v>
      </c>
      <c r="B282" s="46" t="s">
        <v>986</v>
      </c>
      <c r="C282" s="11">
        <v>45729</v>
      </c>
      <c r="D282">
        <v>0.995</v>
      </c>
      <c r="E282">
        <v>1.1399999999999999</v>
      </c>
      <c r="F282">
        <v>0.94</v>
      </c>
      <c r="G282">
        <f>INDEX('اسعار الاسهم'!A:B,MATCH(B282,'اسعار الاسهم'!K:K,0),2)</f>
        <v>2.17</v>
      </c>
      <c r="H282" s="8" t="str">
        <f t="shared" si="46"/>
        <v/>
      </c>
      <c r="I282" s="8" t="str">
        <f t="shared" si="47"/>
        <v/>
      </c>
      <c r="J282" s="8" t="str">
        <f t="shared" si="45"/>
        <v/>
      </c>
      <c r="K282" s="8">
        <f t="shared" si="48"/>
        <v>0.21276595744680837</v>
      </c>
      <c r="L282" s="13" t="str">
        <f t="shared" si="49"/>
        <v/>
      </c>
      <c r="M282" t="str">
        <f t="shared" si="50"/>
        <v/>
      </c>
      <c r="N282">
        <f t="shared" si="51"/>
        <v>0</v>
      </c>
      <c r="O282">
        <f t="shared" si="52"/>
        <v>3</v>
      </c>
      <c r="P282">
        <v>1</v>
      </c>
      <c r="Q282" s="11">
        <v>45735</v>
      </c>
      <c r="R282">
        <f t="shared" si="54"/>
        <v>8</v>
      </c>
      <c r="S282">
        <v>214</v>
      </c>
      <c r="T282" s="8">
        <f t="shared" si="53"/>
        <v>0.14572864321608026</v>
      </c>
    </row>
    <row r="283" spans="1:20" hidden="1">
      <c r="A283">
        <v>97</v>
      </c>
      <c r="B283" t="s">
        <v>878</v>
      </c>
      <c r="C283" s="11">
        <v>45652</v>
      </c>
      <c r="D283">
        <v>7.94</v>
      </c>
      <c r="E283">
        <v>8.75</v>
      </c>
      <c r="F283">
        <v>7.5</v>
      </c>
      <c r="G283">
        <f>INDEX('اسعار الاسهم'!A:B,MATCH(B283,'اسعار الاسهم'!K:K,0),2)</f>
        <v>15.19</v>
      </c>
      <c r="H283" s="8" t="str">
        <f t="shared" si="46"/>
        <v/>
      </c>
      <c r="I283" s="8" t="str">
        <f t="shared" si="47"/>
        <v/>
      </c>
      <c r="J283" s="8" t="str">
        <f t="shared" si="45"/>
        <v/>
      </c>
      <c r="K283" s="8">
        <f t="shared" si="48"/>
        <v>0.16666666666666674</v>
      </c>
      <c r="L283" s="13" t="str">
        <f t="shared" si="49"/>
        <v/>
      </c>
      <c r="M283" t="str">
        <f t="shared" si="50"/>
        <v/>
      </c>
      <c r="N283">
        <f t="shared" si="51"/>
        <v>4</v>
      </c>
      <c r="O283">
        <f t="shared" si="52"/>
        <v>8</v>
      </c>
      <c r="P283">
        <v>1</v>
      </c>
      <c r="Q283" s="11">
        <v>45736</v>
      </c>
      <c r="R283">
        <f t="shared" si="54"/>
        <v>86</v>
      </c>
      <c r="S283">
        <v>215</v>
      </c>
      <c r="T283" s="8">
        <f t="shared" si="53"/>
        <v>0.10201511335012592</v>
      </c>
    </row>
    <row r="284" spans="1:20" hidden="1">
      <c r="A284">
        <v>273</v>
      </c>
      <c r="B284" t="s">
        <v>787</v>
      </c>
      <c r="C284" s="11">
        <v>45720</v>
      </c>
      <c r="D284">
        <v>17.399999999999999</v>
      </c>
      <c r="E284">
        <v>19.5</v>
      </c>
      <c r="F284">
        <v>16.399999999999999</v>
      </c>
      <c r="G284">
        <f>INDEX('اسعار الاسهم'!A:B,MATCH(B284,'اسعار الاسهم'!K:K,0),2)</f>
        <v>25.67</v>
      </c>
      <c r="H284" s="8" t="str">
        <f t="shared" si="46"/>
        <v/>
      </c>
      <c r="I284" s="8" t="str">
        <f t="shared" si="47"/>
        <v/>
      </c>
      <c r="J284" s="8" t="str">
        <f t="shared" si="45"/>
        <v/>
      </c>
      <c r="K284" s="8">
        <f t="shared" si="48"/>
        <v>0.18902439024390261</v>
      </c>
      <c r="L284" s="13" t="str">
        <f t="shared" si="49"/>
        <v/>
      </c>
      <c r="M284" t="str">
        <f t="shared" si="50"/>
        <v/>
      </c>
      <c r="N284">
        <f t="shared" si="51"/>
        <v>0</v>
      </c>
      <c r="O284">
        <f t="shared" si="52"/>
        <v>1</v>
      </c>
      <c r="P284">
        <v>1</v>
      </c>
      <c r="Q284" s="11">
        <v>45736</v>
      </c>
      <c r="R284">
        <f t="shared" si="54"/>
        <v>18</v>
      </c>
      <c r="S284">
        <v>216</v>
      </c>
      <c r="T284" s="8">
        <f t="shared" si="53"/>
        <v>0.12068965517241392</v>
      </c>
    </row>
    <row r="285" spans="1:20" hidden="1">
      <c r="A285">
        <v>32</v>
      </c>
      <c r="B285" t="s">
        <v>878</v>
      </c>
      <c r="C285" s="11">
        <v>45627</v>
      </c>
      <c r="D285">
        <v>7.81</v>
      </c>
      <c r="E285">
        <v>9</v>
      </c>
      <c r="F285">
        <v>7.35</v>
      </c>
      <c r="G285">
        <f>INDEX('اسعار الاسهم'!A:B,MATCH(B285,'اسعار الاسهم'!K:K,0),2)</f>
        <v>15.19</v>
      </c>
      <c r="H285" s="8" t="str">
        <f t="shared" si="46"/>
        <v/>
      </c>
      <c r="I285" s="8" t="str">
        <f t="shared" si="47"/>
        <v/>
      </c>
      <c r="J285" s="8" t="str">
        <f t="shared" si="45"/>
        <v/>
      </c>
      <c r="K285" s="8">
        <f t="shared" si="48"/>
        <v>0.22448979591836737</v>
      </c>
      <c r="L285" s="13" t="str">
        <f t="shared" si="49"/>
        <v/>
      </c>
      <c r="M285" t="str">
        <f t="shared" si="50"/>
        <v/>
      </c>
      <c r="N285">
        <f t="shared" si="51"/>
        <v>4</v>
      </c>
      <c r="O285">
        <f t="shared" si="52"/>
        <v>8</v>
      </c>
      <c r="P285">
        <v>1</v>
      </c>
      <c r="Q285" s="11">
        <v>45736</v>
      </c>
      <c r="R285">
        <f t="shared" si="54"/>
        <v>111</v>
      </c>
      <c r="S285">
        <v>217</v>
      </c>
      <c r="T285" s="8">
        <f t="shared" si="53"/>
        <v>0.15236875800256078</v>
      </c>
    </row>
    <row r="286" spans="1:20" hidden="1">
      <c r="A286">
        <v>242</v>
      </c>
      <c r="B286" t="s">
        <v>777</v>
      </c>
      <c r="C286" s="11">
        <v>45708</v>
      </c>
      <c r="D286">
        <v>23</v>
      </c>
      <c r="E286">
        <v>25.4</v>
      </c>
      <c r="F286">
        <v>21.5</v>
      </c>
      <c r="G286">
        <f>INDEX('اسعار الاسهم'!A:B,MATCH(B286,'اسعار الاسهم'!K:K,0),2)</f>
        <v>31.55</v>
      </c>
      <c r="H286" s="8" t="str">
        <f t="shared" si="46"/>
        <v/>
      </c>
      <c r="I286" s="8" t="str">
        <f t="shared" si="47"/>
        <v/>
      </c>
      <c r="J286" s="8" t="str">
        <f t="shared" si="45"/>
        <v/>
      </c>
      <c r="K286" s="8">
        <f t="shared" si="48"/>
        <v>0.18139534883720931</v>
      </c>
      <c r="L286" s="13" t="str">
        <f t="shared" si="49"/>
        <v/>
      </c>
      <c r="M286" t="str">
        <f t="shared" si="50"/>
        <v/>
      </c>
      <c r="N286">
        <f t="shared" si="51"/>
        <v>0</v>
      </c>
      <c r="O286">
        <f t="shared" si="52"/>
        <v>8</v>
      </c>
      <c r="P286">
        <v>0</v>
      </c>
      <c r="Q286" s="11">
        <v>45736</v>
      </c>
      <c r="R286">
        <f t="shared" si="54"/>
        <v>30</v>
      </c>
      <c r="S286">
        <v>218</v>
      </c>
      <c r="T286" s="8">
        <f t="shared" si="53"/>
        <v>-6.5217391304347783E-2</v>
      </c>
    </row>
    <row r="287" spans="1:20" hidden="1">
      <c r="A287">
        <v>263</v>
      </c>
      <c r="B287" t="s">
        <v>777</v>
      </c>
      <c r="C287" s="11">
        <v>45715</v>
      </c>
      <c r="D287">
        <v>22.9</v>
      </c>
      <c r="E287">
        <v>25.5</v>
      </c>
      <c r="F287">
        <v>21.5</v>
      </c>
      <c r="G287">
        <f>INDEX('اسعار الاسهم'!A:B,MATCH(B287,'اسعار الاسهم'!K:K,0),2)</f>
        <v>31.55</v>
      </c>
      <c r="H287" s="8" t="str">
        <f t="shared" si="46"/>
        <v/>
      </c>
      <c r="I287" s="8" t="str">
        <f t="shared" si="47"/>
        <v/>
      </c>
      <c r="J287" s="8" t="str">
        <f t="shared" si="45"/>
        <v/>
      </c>
      <c r="K287" s="8">
        <f t="shared" si="48"/>
        <v>0.18604651162790709</v>
      </c>
      <c r="L287" s="13" t="str">
        <f t="shared" si="49"/>
        <v/>
      </c>
      <c r="M287" t="str">
        <f t="shared" si="50"/>
        <v/>
      </c>
      <c r="N287">
        <f t="shared" si="51"/>
        <v>0</v>
      </c>
      <c r="O287">
        <f t="shared" si="52"/>
        <v>8</v>
      </c>
      <c r="P287">
        <v>0</v>
      </c>
      <c r="Q287" s="11">
        <v>45736</v>
      </c>
      <c r="R287">
        <f t="shared" si="54"/>
        <v>23</v>
      </c>
      <c r="S287">
        <v>219</v>
      </c>
      <c r="T287" s="8">
        <f t="shared" si="53"/>
        <v>-6.1135371179039222E-2</v>
      </c>
    </row>
    <row r="288" spans="1:20" hidden="1">
      <c r="A288">
        <v>278</v>
      </c>
      <c r="B288" t="s">
        <v>777</v>
      </c>
      <c r="C288" s="11">
        <v>45722</v>
      </c>
      <c r="D288">
        <v>23</v>
      </c>
      <c r="E288">
        <v>25.5</v>
      </c>
      <c r="F288">
        <v>21.4</v>
      </c>
      <c r="G288">
        <f>INDEX('اسعار الاسهم'!A:B,MATCH(B288,'اسعار الاسهم'!K:K,0),2)</f>
        <v>31.55</v>
      </c>
      <c r="H288" s="8" t="str">
        <f t="shared" si="46"/>
        <v/>
      </c>
      <c r="I288" s="8" t="str">
        <f t="shared" si="47"/>
        <v/>
      </c>
      <c r="J288" s="8" t="str">
        <f t="shared" si="45"/>
        <v/>
      </c>
      <c r="K288" s="8">
        <f t="shared" si="48"/>
        <v>0.19158878504672905</v>
      </c>
      <c r="L288" s="13" t="str">
        <f t="shared" si="49"/>
        <v/>
      </c>
      <c r="M288" t="str">
        <f t="shared" si="50"/>
        <v/>
      </c>
      <c r="N288">
        <f t="shared" si="51"/>
        <v>0</v>
      </c>
      <c r="O288">
        <f t="shared" si="52"/>
        <v>8</v>
      </c>
      <c r="P288">
        <v>0</v>
      </c>
      <c r="Q288" s="11">
        <v>45736</v>
      </c>
      <c r="R288">
        <f t="shared" si="54"/>
        <v>16</v>
      </c>
      <c r="S288">
        <v>220</v>
      </c>
      <c r="T288" s="8">
        <f t="shared" si="53"/>
        <v>-6.956521739130439E-2</v>
      </c>
    </row>
    <row r="289" spans="1:20" hidden="1">
      <c r="A289">
        <v>275</v>
      </c>
      <c r="B289" t="s">
        <v>764</v>
      </c>
      <c r="C289" s="11">
        <v>45720</v>
      </c>
      <c r="D289">
        <v>24.35</v>
      </c>
      <c r="E289">
        <v>27.3</v>
      </c>
      <c r="F289">
        <v>23</v>
      </c>
      <c r="G289">
        <f>INDEX('اسعار الاسهم'!A:B,MATCH(B289,'اسعار الاسهم'!K:K,0),2)</f>
        <v>21.84</v>
      </c>
      <c r="H289" s="8" t="str">
        <f t="shared" si="46"/>
        <v/>
      </c>
      <c r="I289" s="8" t="str">
        <f t="shared" si="47"/>
        <v/>
      </c>
      <c r="J289" s="8" t="str">
        <f t="shared" si="45"/>
        <v/>
      </c>
      <c r="K289" s="8">
        <f t="shared" si="48"/>
        <v>0.18695652173913047</v>
      </c>
      <c r="L289" s="13" t="str">
        <f t="shared" si="49"/>
        <v/>
      </c>
      <c r="M289" t="str">
        <f t="shared" si="50"/>
        <v/>
      </c>
      <c r="N289">
        <f t="shared" si="51"/>
        <v>0</v>
      </c>
      <c r="O289">
        <f t="shared" si="52"/>
        <v>5</v>
      </c>
      <c r="P289">
        <v>0</v>
      </c>
      <c r="Q289" s="11">
        <v>45739</v>
      </c>
      <c r="R289">
        <f t="shared" si="54"/>
        <v>21</v>
      </c>
      <c r="S289">
        <v>221</v>
      </c>
      <c r="T289" s="8">
        <f t="shared" si="53"/>
        <v>-5.5441478439425151E-2</v>
      </c>
    </row>
    <row r="290" spans="1:20" hidden="1">
      <c r="A290">
        <v>241</v>
      </c>
      <c r="B290" t="s">
        <v>764</v>
      </c>
      <c r="C290" s="11">
        <v>45707</v>
      </c>
      <c r="D290">
        <v>24.6</v>
      </c>
      <c r="E290">
        <v>27.4</v>
      </c>
      <c r="F290">
        <v>23</v>
      </c>
      <c r="G290">
        <f>INDEX('اسعار الاسهم'!A:B,MATCH(B290,'اسعار الاسهم'!K:K,0),2)</f>
        <v>21.84</v>
      </c>
      <c r="H290" s="8" t="str">
        <f t="shared" si="46"/>
        <v/>
      </c>
      <c r="I290" s="8" t="str">
        <f t="shared" si="47"/>
        <v/>
      </c>
      <c r="J290" s="8" t="str">
        <f t="shared" si="45"/>
        <v/>
      </c>
      <c r="K290" s="8">
        <f t="shared" si="48"/>
        <v>0.19130434782608696</v>
      </c>
      <c r="L290" s="13" t="str">
        <f t="shared" si="49"/>
        <v/>
      </c>
      <c r="M290" t="str">
        <f t="shared" si="50"/>
        <v/>
      </c>
      <c r="N290">
        <f t="shared" si="51"/>
        <v>0</v>
      </c>
      <c r="O290">
        <f t="shared" si="52"/>
        <v>5</v>
      </c>
      <c r="P290">
        <v>0</v>
      </c>
      <c r="Q290" s="11">
        <v>45739</v>
      </c>
      <c r="R290">
        <f t="shared" si="54"/>
        <v>34</v>
      </c>
      <c r="S290">
        <v>222</v>
      </c>
      <c r="T290" s="8">
        <f t="shared" si="53"/>
        <v>-6.5040650406504086E-2</v>
      </c>
    </row>
    <row r="291" spans="1:20" hidden="1">
      <c r="A291">
        <v>250</v>
      </c>
      <c r="B291" t="s">
        <v>762</v>
      </c>
      <c r="C291" s="11">
        <v>45712</v>
      </c>
      <c r="D291">
        <v>4.97</v>
      </c>
      <c r="E291">
        <v>5.5</v>
      </c>
      <c r="F291">
        <v>4.5999999999999996</v>
      </c>
      <c r="G291">
        <f>INDEX('اسعار الاسهم'!A:B,MATCH(B291,'اسعار الاسهم'!K:K,0),2)</f>
        <v>7.59</v>
      </c>
      <c r="H291" s="8" t="str">
        <f t="shared" si="46"/>
        <v/>
      </c>
      <c r="I291" s="8" t="str">
        <f t="shared" si="47"/>
        <v/>
      </c>
      <c r="J291" s="8" t="str">
        <f t="shared" si="45"/>
        <v/>
      </c>
      <c r="K291" s="8">
        <f t="shared" si="48"/>
        <v>0.19565217391304368</v>
      </c>
      <c r="L291" s="13" t="str">
        <f t="shared" si="49"/>
        <v/>
      </c>
      <c r="M291" t="str">
        <f t="shared" si="50"/>
        <v/>
      </c>
      <c r="N291">
        <f t="shared" si="51"/>
        <v>0</v>
      </c>
      <c r="O291">
        <f t="shared" si="52"/>
        <v>3</v>
      </c>
      <c r="P291">
        <v>1</v>
      </c>
      <c r="Q291" s="11">
        <v>45740</v>
      </c>
      <c r="R291">
        <f t="shared" si="54"/>
        <v>30</v>
      </c>
      <c r="S291">
        <v>223</v>
      </c>
      <c r="T291" s="8">
        <f t="shared" si="53"/>
        <v>0.10663983903420537</v>
      </c>
    </row>
    <row r="292" spans="1:20" hidden="1">
      <c r="A292">
        <v>299</v>
      </c>
      <c r="B292" t="s">
        <v>845</v>
      </c>
      <c r="C292" s="11">
        <v>45729</v>
      </c>
      <c r="D292">
        <v>2.5099999999999998</v>
      </c>
      <c r="E292">
        <v>2.8</v>
      </c>
      <c r="F292">
        <v>2.25</v>
      </c>
      <c r="G292">
        <f>INDEX('اسعار الاسهم'!A:B,MATCH(B292,'اسعار الاسهم'!K:K,0),2)</f>
        <v>8.6999999999999993</v>
      </c>
      <c r="H292" s="8" t="str">
        <f t="shared" si="46"/>
        <v/>
      </c>
      <c r="I292" s="8" t="str">
        <f t="shared" si="47"/>
        <v/>
      </c>
      <c r="J292" s="8" t="str">
        <f t="shared" si="45"/>
        <v/>
      </c>
      <c r="K292" s="8">
        <f t="shared" si="48"/>
        <v>0.24444444444444446</v>
      </c>
      <c r="L292" s="13" t="str">
        <f t="shared" si="49"/>
        <v/>
      </c>
      <c r="M292" t="str">
        <f t="shared" si="50"/>
        <v/>
      </c>
      <c r="N292">
        <f t="shared" si="51"/>
        <v>0</v>
      </c>
      <c r="O292">
        <f t="shared" si="52"/>
        <v>1</v>
      </c>
      <c r="P292">
        <v>1</v>
      </c>
      <c r="Q292" s="11">
        <v>45740</v>
      </c>
      <c r="R292">
        <f t="shared" si="54"/>
        <v>13</v>
      </c>
      <c r="S292">
        <v>224</v>
      </c>
      <c r="T292" s="8">
        <f t="shared" si="53"/>
        <v>0.11553784860557781</v>
      </c>
    </row>
    <row r="293" spans="1:20" hidden="1">
      <c r="A293">
        <v>244</v>
      </c>
      <c r="B293" t="s">
        <v>885</v>
      </c>
      <c r="C293" s="11">
        <v>45708</v>
      </c>
      <c r="D293">
        <v>62.5</v>
      </c>
      <c r="E293">
        <v>69.400000000000006</v>
      </c>
      <c r="F293">
        <v>59</v>
      </c>
      <c r="G293">
        <f>INDEX('اسعار الاسهم'!A:B,MATCH(B293,'اسعار الاسهم'!K:K,0),2)</f>
        <v>20.7</v>
      </c>
      <c r="H293" s="8" t="str">
        <f t="shared" si="46"/>
        <v/>
      </c>
      <c r="I293" s="8" t="str">
        <f t="shared" si="47"/>
        <v/>
      </c>
      <c r="J293" s="8" t="str">
        <f t="shared" si="45"/>
        <v/>
      </c>
      <c r="K293" s="8">
        <f t="shared" si="48"/>
        <v>0.17627118644067807</v>
      </c>
      <c r="L293" s="13" t="str">
        <f t="shared" si="49"/>
        <v/>
      </c>
      <c r="M293" t="str">
        <f t="shared" si="50"/>
        <v/>
      </c>
      <c r="N293">
        <f t="shared" si="51"/>
        <v>0</v>
      </c>
      <c r="O293">
        <f t="shared" si="52"/>
        <v>2</v>
      </c>
      <c r="P293">
        <v>1</v>
      </c>
      <c r="Q293" s="11">
        <v>45740</v>
      </c>
      <c r="R293">
        <f t="shared" si="54"/>
        <v>34</v>
      </c>
      <c r="S293">
        <v>225</v>
      </c>
      <c r="T293" s="8">
        <f t="shared" si="53"/>
        <v>0.11040000000000005</v>
      </c>
    </row>
    <row r="294" spans="1:20" hidden="1">
      <c r="A294">
        <v>234</v>
      </c>
      <c r="B294" t="s">
        <v>795</v>
      </c>
      <c r="C294" s="11">
        <v>45706</v>
      </c>
      <c r="D294">
        <v>52</v>
      </c>
      <c r="E294">
        <v>57.5</v>
      </c>
      <c r="F294">
        <v>48.9</v>
      </c>
      <c r="G294">
        <f>INDEX('اسعار الاسهم'!A:B,MATCH(B294,'اسعار الاسهم'!K:K,0),2)</f>
        <v>143.44999999999999</v>
      </c>
      <c r="H294" s="8" t="str">
        <f t="shared" si="46"/>
        <v/>
      </c>
      <c r="I294" s="8" t="str">
        <f t="shared" si="47"/>
        <v/>
      </c>
      <c r="J294" s="8" t="str">
        <f t="shared" si="45"/>
        <v/>
      </c>
      <c r="K294" s="8">
        <f t="shared" si="48"/>
        <v>0.17586912065439675</v>
      </c>
      <c r="L294" s="13" t="str">
        <f t="shared" si="49"/>
        <v/>
      </c>
      <c r="M294" t="str">
        <f t="shared" si="50"/>
        <v/>
      </c>
      <c r="N294">
        <f t="shared" si="51"/>
        <v>0</v>
      </c>
      <c r="O294">
        <f t="shared" si="52"/>
        <v>1</v>
      </c>
      <c r="P294">
        <v>1</v>
      </c>
      <c r="Q294" s="11">
        <v>45740</v>
      </c>
      <c r="R294">
        <f t="shared" si="54"/>
        <v>36</v>
      </c>
      <c r="S294">
        <v>226</v>
      </c>
      <c r="T294" s="8">
        <f t="shared" si="53"/>
        <v>0.10576923076923084</v>
      </c>
    </row>
    <row r="295" spans="1:20" hidden="1">
      <c r="A295">
        <v>203</v>
      </c>
      <c r="B295" t="s">
        <v>790</v>
      </c>
      <c r="C295" s="11">
        <v>45694</v>
      </c>
      <c r="D295">
        <v>6.12</v>
      </c>
      <c r="E295">
        <v>6.7</v>
      </c>
      <c r="F295">
        <v>5.7</v>
      </c>
      <c r="G295">
        <f>INDEX('اسعار الاسهم'!A:B,MATCH(B295,'اسعار الاسهم'!K:K,0),2)</f>
        <v>8.3800000000000008</v>
      </c>
      <c r="H295" s="8" t="str">
        <f t="shared" si="46"/>
        <v/>
      </c>
      <c r="I295" s="8" t="str">
        <f t="shared" si="47"/>
        <v/>
      </c>
      <c r="J295" s="8" t="str">
        <f t="shared" si="45"/>
        <v/>
      </c>
      <c r="K295" s="8">
        <f t="shared" si="48"/>
        <v>0.17543859649122817</v>
      </c>
      <c r="L295" s="13" t="str">
        <f t="shared" si="49"/>
        <v/>
      </c>
      <c r="M295" t="str">
        <f t="shared" si="50"/>
        <v/>
      </c>
      <c r="N295">
        <f t="shared" si="51"/>
        <v>2</v>
      </c>
      <c r="O295">
        <f t="shared" si="52"/>
        <v>3</v>
      </c>
      <c r="P295">
        <v>1</v>
      </c>
      <c r="Q295" s="11">
        <v>45740</v>
      </c>
      <c r="R295">
        <f t="shared" si="54"/>
        <v>48</v>
      </c>
      <c r="S295">
        <v>227</v>
      </c>
      <c r="T295" s="8">
        <f t="shared" si="53"/>
        <v>9.4771241830065467E-2</v>
      </c>
    </row>
    <row r="296" spans="1:20" hidden="1">
      <c r="A296">
        <v>229</v>
      </c>
      <c r="B296" t="s">
        <v>923</v>
      </c>
      <c r="C296" s="11">
        <v>45705</v>
      </c>
      <c r="D296">
        <v>3.38</v>
      </c>
      <c r="E296">
        <v>3.85</v>
      </c>
      <c r="F296">
        <v>3.13</v>
      </c>
      <c r="G296">
        <f>INDEX('اسعار الاسهم'!A:B,MATCH(B296,'اسعار الاسهم'!K:K,0),2)</f>
        <v>2.74</v>
      </c>
      <c r="H296" s="8" t="str">
        <f t="shared" si="46"/>
        <v/>
      </c>
      <c r="I296" s="8" t="str">
        <f t="shared" si="47"/>
        <v/>
      </c>
      <c r="J296" s="8" t="str">
        <f t="shared" si="45"/>
        <v/>
      </c>
      <c r="K296" s="8">
        <f t="shared" si="48"/>
        <v>0.23003194888178924</v>
      </c>
      <c r="L296" s="13" t="str">
        <f t="shared" si="49"/>
        <v/>
      </c>
      <c r="M296" t="str">
        <f t="shared" si="50"/>
        <v/>
      </c>
      <c r="N296">
        <f t="shared" si="51"/>
        <v>0</v>
      </c>
      <c r="O296">
        <f t="shared" si="52"/>
        <v>3</v>
      </c>
      <c r="P296">
        <v>0</v>
      </c>
      <c r="Q296" s="11">
        <v>45740</v>
      </c>
      <c r="R296">
        <f t="shared" si="54"/>
        <v>37</v>
      </c>
      <c r="S296">
        <v>228</v>
      </c>
      <c r="T296" s="8">
        <f t="shared" si="53"/>
        <v>-7.3964497041420163E-2</v>
      </c>
    </row>
    <row r="297" spans="1:20" hidden="1">
      <c r="A297">
        <v>259</v>
      </c>
      <c r="B297" t="s">
        <v>984</v>
      </c>
      <c r="C297" s="11">
        <v>45714</v>
      </c>
      <c r="D297">
        <v>31.8</v>
      </c>
      <c r="E297">
        <v>35.6</v>
      </c>
      <c r="F297">
        <v>29.8</v>
      </c>
      <c r="G297">
        <f>INDEX('اسعار الاسهم'!A:B,MATCH(B297,'اسعار الاسهم'!K:K,0),2)</f>
        <v>53.39</v>
      </c>
      <c r="H297" s="8" t="str">
        <f t="shared" si="46"/>
        <v/>
      </c>
      <c r="I297" s="8" t="str">
        <f t="shared" si="47"/>
        <v/>
      </c>
      <c r="J297" s="8" t="str">
        <f t="shared" si="45"/>
        <v/>
      </c>
      <c r="K297" s="8">
        <f t="shared" si="48"/>
        <v>0.19463087248322153</v>
      </c>
      <c r="L297" s="13" t="str">
        <f t="shared" si="49"/>
        <v/>
      </c>
      <c r="M297" t="str">
        <f t="shared" si="50"/>
        <v/>
      </c>
      <c r="N297">
        <f t="shared" si="51"/>
        <v>1</v>
      </c>
      <c r="O297">
        <f t="shared" si="52"/>
        <v>4</v>
      </c>
      <c r="P297">
        <v>0</v>
      </c>
      <c r="Q297" s="11">
        <v>45740</v>
      </c>
      <c r="R297">
        <f t="shared" ref="R297:R328" si="55">IF(Q297, Q297-C297+2,"")</f>
        <v>28</v>
      </c>
      <c r="S297">
        <v>229</v>
      </c>
      <c r="T297" s="8">
        <f t="shared" si="53"/>
        <v>-6.2893081761006275E-2</v>
      </c>
    </row>
    <row r="298" spans="1:20" hidden="1">
      <c r="A298">
        <v>276</v>
      </c>
      <c r="B298" t="s">
        <v>847</v>
      </c>
      <c r="C298" s="11">
        <v>45721</v>
      </c>
      <c r="D298">
        <v>18.8</v>
      </c>
      <c r="E298">
        <v>21</v>
      </c>
      <c r="F298">
        <v>17.55</v>
      </c>
      <c r="G298">
        <f>INDEX('اسعار الاسهم'!A:B,MATCH(B298,'اسعار الاسهم'!K:K,0),2)</f>
        <v>21.15</v>
      </c>
      <c r="H298" s="8" t="str">
        <f t="shared" si="46"/>
        <v/>
      </c>
      <c r="I298" s="8" t="str">
        <f t="shared" si="47"/>
        <v/>
      </c>
      <c r="J298" s="8" t="str">
        <f t="shared" si="45"/>
        <v/>
      </c>
      <c r="K298" s="8">
        <f t="shared" si="48"/>
        <v>0.19658119658119655</v>
      </c>
      <c r="L298" s="13" t="str">
        <f t="shared" si="49"/>
        <v/>
      </c>
      <c r="M298" t="str">
        <f t="shared" si="50"/>
        <v/>
      </c>
      <c r="N298">
        <f t="shared" si="51"/>
        <v>0</v>
      </c>
      <c r="O298">
        <f t="shared" si="52"/>
        <v>3</v>
      </c>
      <c r="P298">
        <v>0</v>
      </c>
      <c r="Q298" s="11">
        <v>45741</v>
      </c>
      <c r="R298">
        <f t="shared" si="55"/>
        <v>22</v>
      </c>
      <c r="S298">
        <v>230</v>
      </c>
      <c r="T298" s="8">
        <f t="shared" si="53"/>
        <v>-6.6489361702127603E-2</v>
      </c>
    </row>
    <row r="299" spans="1:20" hidden="1">
      <c r="A299">
        <v>137</v>
      </c>
      <c r="B299" t="s">
        <v>729</v>
      </c>
      <c r="C299" s="11">
        <v>45670</v>
      </c>
      <c r="D299">
        <v>31</v>
      </c>
      <c r="E299">
        <v>35</v>
      </c>
      <c r="F299">
        <v>29.25</v>
      </c>
      <c r="G299" t="e">
        <f>INDEX('اسعار الاسهم'!A:B,MATCH(B299,'اسعار الاسهم'!K:K,0),2)</f>
        <v>#N/A</v>
      </c>
      <c r="H299" s="8" t="str">
        <f t="shared" si="46"/>
        <v/>
      </c>
      <c r="I299" s="8" t="str">
        <f t="shared" si="47"/>
        <v/>
      </c>
      <c r="J299" s="8" t="str">
        <f t="shared" si="45"/>
        <v/>
      </c>
      <c r="K299" s="8">
        <f t="shared" si="48"/>
        <v>0.19658119658119655</v>
      </c>
      <c r="L299" s="13" t="str">
        <f t="shared" si="49"/>
        <v/>
      </c>
      <c r="M299" t="str">
        <f t="shared" si="50"/>
        <v/>
      </c>
      <c r="N299">
        <f t="shared" si="51"/>
        <v>0</v>
      </c>
      <c r="O299">
        <f t="shared" si="52"/>
        <v>4</v>
      </c>
      <c r="P299">
        <v>0</v>
      </c>
      <c r="Q299" s="11">
        <v>45741</v>
      </c>
      <c r="R299">
        <f t="shared" si="55"/>
        <v>73</v>
      </c>
      <c r="S299">
        <v>231</v>
      </c>
      <c r="T299" s="8">
        <f t="shared" si="53"/>
        <v>-5.6451612903225756E-2</v>
      </c>
    </row>
    <row r="300" spans="1:20" hidden="1">
      <c r="A300">
        <v>306</v>
      </c>
      <c r="B300" t="s">
        <v>733</v>
      </c>
      <c r="C300" s="11">
        <v>45734</v>
      </c>
      <c r="D300">
        <v>27.8</v>
      </c>
      <c r="E300">
        <v>31.15</v>
      </c>
      <c r="F300">
        <v>26</v>
      </c>
      <c r="G300">
        <f>INDEX('اسعار الاسهم'!A:B,MATCH(B300,'اسعار الاسهم'!K:K,0),2)</f>
        <v>26.64</v>
      </c>
      <c r="H300" s="8" t="str">
        <f t="shared" si="46"/>
        <v/>
      </c>
      <c r="I300" s="8" t="str">
        <f t="shared" si="47"/>
        <v/>
      </c>
      <c r="J300" s="8" t="str">
        <f t="shared" si="45"/>
        <v/>
      </c>
      <c r="K300" s="8">
        <f t="shared" si="48"/>
        <v>0.19807692307692304</v>
      </c>
      <c r="L300" s="13" t="str">
        <f t="shared" si="49"/>
        <v/>
      </c>
      <c r="M300" t="str">
        <f t="shared" si="50"/>
        <v/>
      </c>
      <c r="N300">
        <f t="shared" si="51"/>
        <v>0</v>
      </c>
      <c r="O300">
        <f t="shared" si="52"/>
        <v>3</v>
      </c>
      <c r="P300">
        <v>0</v>
      </c>
      <c r="Q300" s="11">
        <v>45741</v>
      </c>
      <c r="R300">
        <f t="shared" si="55"/>
        <v>9</v>
      </c>
      <c r="S300">
        <v>232</v>
      </c>
      <c r="T300" s="8">
        <f t="shared" si="53"/>
        <v>-6.4748201438848962E-2</v>
      </c>
    </row>
    <row r="301" spans="1:20" hidden="1">
      <c r="A301">
        <v>106</v>
      </c>
      <c r="B301" t="s">
        <v>729</v>
      </c>
      <c r="C301" s="11">
        <v>45659</v>
      </c>
      <c r="D301">
        <v>30.5</v>
      </c>
      <c r="E301">
        <v>33.799999999999997</v>
      </c>
      <c r="F301">
        <v>29</v>
      </c>
      <c r="G301" t="e">
        <f>INDEX('اسعار الاسهم'!A:B,MATCH(B301,'اسعار الاسهم'!K:K,0),2)</f>
        <v>#N/A</v>
      </c>
      <c r="H301" s="8" t="str">
        <f t="shared" si="46"/>
        <v/>
      </c>
      <c r="I301" s="8" t="str">
        <f t="shared" si="47"/>
        <v/>
      </c>
      <c r="J301" s="8" t="str">
        <f t="shared" si="45"/>
        <v/>
      </c>
      <c r="K301" s="8">
        <f t="shared" si="48"/>
        <v>0.16551724137931023</v>
      </c>
      <c r="L301" s="13" t="str">
        <f t="shared" si="49"/>
        <v/>
      </c>
      <c r="M301" t="str">
        <f t="shared" si="50"/>
        <v/>
      </c>
      <c r="N301">
        <f t="shared" si="51"/>
        <v>0</v>
      </c>
      <c r="O301">
        <f t="shared" si="52"/>
        <v>4</v>
      </c>
      <c r="P301">
        <v>0</v>
      </c>
      <c r="Q301" s="11">
        <v>45741</v>
      </c>
      <c r="R301">
        <f t="shared" si="55"/>
        <v>84</v>
      </c>
      <c r="S301">
        <v>233</v>
      </c>
      <c r="T301" s="8">
        <f t="shared" si="53"/>
        <v>-4.9180327868852514E-2</v>
      </c>
    </row>
    <row r="302" spans="1:20" hidden="1">
      <c r="A302">
        <v>248</v>
      </c>
      <c r="B302" s="11" t="s">
        <v>847</v>
      </c>
      <c r="C302" s="11">
        <v>45711</v>
      </c>
      <c r="D302">
        <v>18.399999999999999</v>
      </c>
      <c r="E302">
        <v>20.75</v>
      </c>
      <c r="F302">
        <v>17.100000000000001</v>
      </c>
      <c r="G302">
        <f>INDEX('اسعار الاسهم'!A:B,MATCH(B302,'اسعار الاسهم'!K:K,0),2)</f>
        <v>21.15</v>
      </c>
      <c r="H302" s="8" t="str">
        <f t="shared" si="46"/>
        <v/>
      </c>
      <c r="I302" s="8" t="str">
        <f t="shared" si="47"/>
        <v/>
      </c>
      <c r="J302" s="8" t="str">
        <f t="shared" si="45"/>
        <v/>
      </c>
      <c r="K302" s="8">
        <f t="shared" si="48"/>
        <v>0.21345029239766067</v>
      </c>
      <c r="L302" s="13" t="str">
        <f t="shared" si="49"/>
        <v/>
      </c>
      <c r="M302" t="str">
        <f t="shared" si="50"/>
        <v/>
      </c>
      <c r="N302">
        <f t="shared" si="51"/>
        <v>0</v>
      </c>
      <c r="O302">
        <f t="shared" si="52"/>
        <v>3</v>
      </c>
      <c r="P302">
        <v>0</v>
      </c>
      <c r="Q302" s="11">
        <v>45741</v>
      </c>
      <c r="R302">
        <f t="shared" si="55"/>
        <v>32</v>
      </c>
      <c r="S302">
        <v>234</v>
      </c>
      <c r="T302" s="8">
        <f t="shared" si="53"/>
        <v>-7.0652173913043348E-2</v>
      </c>
    </row>
    <row r="303" spans="1:20" hidden="1">
      <c r="A303">
        <v>151</v>
      </c>
      <c r="B303" t="s">
        <v>897</v>
      </c>
      <c r="C303" s="11">
        <v>45677</v>
      </c>
      <c r="D303">
        <v>3.25</v>
      </c>
      <c r="E303">
        <v>3.7</v>
      </c>
      <c r="F303">
        <v>3</v>
      </c>
      <c r="G303">
        <f>INDEX('اسعار الاسهم'!A:B,MATCH(B303,'اسعار الاسهم'!K:K,0),2)</f>
        <v>4.7300000000000004</v>
      </c>
      <c r="H303" s="8" t="str">
        <f t="shared" si="46"/>
        <v/>
      </c>
      <c r="I303" s="8" t="str">
        <f t="shared" si="47"/>
        <v/>
      </c>
      <c r="J303" s="8" t="str">
        <f t="shared" si="45"/>
        <v/>
      </c>
      <c r="K303" s="8">
        <f t="shared" si="48"/>
        <v>0.23333333333333339</v>
      </c>
      <c r="L303" s="13" t="str">
        <f t="shared" si="49"/>
        <v/>
      </c>
      <c r="M303" t="str">
        <f t="shared" si="50"/>
        <v/>
      </c>
      <c r="N303">
        <f t="shared" si="51"/>
        <v>0</v>
      </c>
      <c r="O303">
        <f t="shared" si="52"/>
        <v>5</v>
      </c>
      <c r="P303">
        <v>1</v>
      </c>
      <c r="Q303" s="11">
        <v>45743</v>
      </c>
      <c r="R303">
        <f t="shared" si="55"/>
        <v>68</v>
      </c>
      <c r="S303">
        <v>235</v>
      </c>
      <c r="T303" s="8">
        <f t="shared" si="53"/>
        <v>0.13846153846153841</v>
      </c>
    </row>
    <row r="304" spans="1:20" hidden="1">
      <c r="A304">
        <v>183</v>
      </c>
      <c r="B304" t="s">
        <v>897</v>
      </c>
      <c r="C304" s="11">
        <v>45686</v>
      </c>
      <c r="D304">
        <v>3.3</v>
      </c>
      <c r="E304">
        <v>3.72</v>
      </c>
      <c r="F304">
        <v>3.07</v>
      </c>
      <c r="G304">
        <f>INDEX('اسعار الاسهم'!A:B,MATCH(B304,'اسعار الاسهم'!K:K,0),2)</f>
        <v>4.7300000000000004</v>
      </c>
      <c r="H304" s="8" t="str">
        <f t="shared" si="46"/>
        <v/>
      </c>
      <c r="I304" s="8" t="str">
        <f t="shared" si="47"/>
        <v/>
      </c>
      <c r="J304" s="8" t="str">
        <f t="shared" si="45"/>
        <v/>
      </c>
      <c r="K304" s="8">
        <f t="shared" si="48"/>
        <v>0.21172638436482094</v>
      </c>
      <c r="L304" s="13" t="str">
        <f t="shared" si="49"/>
        <v/>
      </c>
      <c r="M304" t="str">
        <f t="shared" si="50"/>
        <v/>
      </c>
      <c r="N304">
        <f t="shared" si="51"/>
        <v>0</v>
      </c>
      <c r="O304">
        <f t="shared" si="52"/>
        <v>5</v>
      </c>
      <c r="P304">
        <v>1</v>
      </c>
      <c r="Q304" s="11">
        <v>45743</v>
      </c>
      <c r="R304">
        <f t="shared" si="55"/>
        <v>59</v>
      </c>
      <c r="S304">
        <v>236</v>
      </c>
      <c r="T304" s="8">
        <f t="shared" si="53"/>
        <v>0.12727272727272743</v>
      </c>
    </row>
    <row r="305" spans="1:20" hidden="1">
      <c r="A305">
        <v>209</v>
      </c>
      <c r="B305" t="s">
        <v>897</v>
      </c>
      <c r="C305" s="11">
        <v>45697</v>
      </c>
      <c r="D305">
        <v>3.25</v>
      </c>
      <c r="E305">
        <v>3.73</v>
      </c>
      <c r="F305">
        <v>3.04</v>
      </c>
      <c r="G305">
        <f>INDEX('اسعار الاسهم'!A:B,MATCH(B305,'اسعار الاسهم'!K:K,0),2)</f>
        <v>4.7300000000000004</v>
      </c>
      <c r="H305" s="8" t="str">
        <f t="shared" si="46"/>
        <v/>
      </c>
      <c r="I305" s="8" t="str">
        <f t="shared" si="47"/>
        <v/>
      </c>
      <c r="J305" s="8" t="str">
        <f t="shared" si="45"/>
        <v/>
      </c>
      <c r="K305" s="8">
        <f t="shared" si="48"/>
        <v>0.22697368421052633</v>
      </c>
      <c r="L305" s="13" t="str">
        <f t="shared" si="49"/>
        <v/>
      </c>
      <c r="M305" t="str">
        <f t="shared" si="50"/>
        <v/>
      </c>
      <c r="N305">
        <f t="shared" si="51"/>
        <v>0</v>
      </c>
      <c r="O305">
        <f t="shared" si="52"/>
        <v>5</v>
      </c>
      <c r="P305">
        <v>1</v>
      </c>
      <c r="Q305" s="11">
        <v>45743</v>
      </c>
      <c r="R305">
        <f t="shared" si="55"/>
        <v>48</v>
      </c>
      <c r="S305">
        <v>237</v>
      </c>
      <c r="T305" s="8">
        <f t="shared" si="53"/>
        <v>0.14769230769230779</v>
      </c>
    </row>
    <row r="306" spans="1:20" hidden="1">
      <c r="A306">
        <v>224</v>
      </c>
      <c r="B306" s="3" t="s">
        <v>897</v>
      </c>
      <c r="C306" s="11">
        <v>45704</v>
      </c>
      <c r="D306">
        <v>3.33</v>
      </c>
      <c r="E306">
        <v>3.8</v>
      </c>
      <c r="F306">
        <v>3.12</v>
      </c>
      <c r="G306">
        <f>INDEX('اسعار الاسهم'!A:B,MATCH(B306,'اسعار الاسهم'!K:K,0),2)</f>
        <v>4.7300000000000004</v>
      </c>
      <c r="H306" s="8" t="str">
        <f t="shared" si="46"/>
        <v/>
      </c>
      <c r="I306" s="8" t="str">
        <f t="shared" si="47"/>
        <v/>
      </c>
      <c r="J306" s="8" t="str">
        <f t="shared" si="45"/>
        <v/>
      </c>
      <c r="K306" s="8">
        <f t="shared" si="48"/>
        <v>0.21794871794871784</v>
      </c>
      <c r="L306" s="13" t="str">
        <f t="shared" si="49"/>
        <v/>
      </c>
      <c r="M306" t="str">
        <f t="shared" si="50"/>
        <v/>
      </c>
      <c r="N306">
        <f t="shared" si="51"/>
        <v>0</v>
      </c>
      <c r="O306">
        <f t="shared" si="52"/>
        <v>5</v>
      </c>
      <c r="P306">
        <v>1</v>
      </c>
      <c r="Q306" s="11">
        <v>45743</v>
      </c>
      <c r="R306">
        <f t="shared" si="55"/>
        <v>41</v>
      </c>
      <c r="S306">
        <v>238</v>
      </c>
      <c r="T306" s="8">
        <f t="shared" si="53"/>
        <v>0.14114114114114096</v>
      </c>
    </row>
    <row r="307" spans="1:20">
      <c r="A307">
        <v>147</v>
      </c>
      <c r="B307" t="s">
        <v>773</v>
      </c>
      <c r="C307" s="11">
        <v>45676</v>
      </c>
      <c r="D307">
        <v>1.75</v>
      </c>
      <c r="E307">
        <v>1.99</v>
      </c>
      <c r="F307">
        <v>1.61</v>
      </c>
      <c r="G307">
        <f>INDEX('اسعار الاسهم'!A:B,MATCH(B307,'اسعار الاسهم'!K:K,0),2)</f>
        <v>1.92</v>
      </c>
      <c r="H307" s="8">
        <f t="shared" si="46"/>
        <v>9.7142857142857197E-2</v>
      </c>
      <c r="I307" s="8">
        <f t="shared" si="47"/>
        <v>3.6458333333333259E-2</v>
      </c>
      <c r="J307" s="8">
        <f t="shared" si="45"/>
        <v>0.16145833333333326</v>
      </c>
      <c r="K307" s="8">
        <f t="shared" si="48"/>
        <v>0.2360248447204969</v>
      </c>
      <c r="L307" s="13">
        <f t="shared" si="49"/>
        <v>0.22580645161290286</v>
      </c>
      <c r="M307" t="str">
        <f t="shared" si="50"/>
        <v>up</v>
      </c>
      <c r="N307">
        <f t="shared" si="51"/>
        <v>1</v>
      </c>
      <c r="O307">
        <f t="shared" si="52"/>
        <v>5</v>
      </c>
      <c r="R307" t="str">
        <f t="shared" si="55"/>
        <v/>
      </c>
      <c r="T307" s="8" t="str">
        <f t="shared" si="53"/>
        <v/>
      </c>
    </row>
    <row r="308" spans="1:20">
      <c r="G308" t="e">
        <f>INDEX('اسعار الاسهم'!A:B,MATCH(B308,'اسعار الاسهم'!K:K,0),2)</f>
        <v>#N/A</v>
      </c>
      <c r="H308" s="8" t="e">
        <f t="shared" si="46"/>
        <v>#N/A</v>
      </c>
      <c r="I308" s="8" t="e">
        <f t="shared" si="47"/>
        <v>#N/A</v>
      </c>
      <c r="J308" s="8" t="e">
        <f t="shared" si="45"/>
        <v>#N/A</v>
      </c>
      <c r="K308" s="8" t="e">
        <f t="shared" si="48"/>
        <v>#DIV/0!</v>
      </c>
      <c r="L308" s="13" t="e">
        <f t="shared" si="49"/>
        <v>#N/A</v>
      </c>
      <c r="M308" t="e">
        <f t="shared" si="50"/>
        <v>#N/A</v>
      </c>
      <c r="N308">
        <f t="shared" si="51"/>
        <v>0</v>
      </c>
      <c r="O308">
        <f t="shared" si="52"/>
        <v>0</v>
      </c>
      <c r="R308" t="str">
        <f t="shared" si="55"/>
        <v/>
      </c>
      <c r="T308" s="8" t="str">
        <f t="shared" si="53"/>
        <v/>
      </c>
    </row>
    <row r="309" spans="1:20">
      <c r="G309" t="e">
        <f>INDEX('اسعار الاسهم'!A:B,MATCH(B309,'اسعار الاسهم'!K:K,0),2)</f>
        <v>#N/A</v>
      </c>
      <c r="H309" s="8" t="e">
        <f t="shared" si="46"/>
        <v>#N/A</v>
      </c>
      <c r="I309" s="8" t="e">
        <f t="shared" si="47"/>
        <v>#N/A</v>
      </c>
      <c r="J309" s="8" t="e">
        <f t="shared" si="45"/>
        <v>#N/A</v>
      </c>
      <c r="K309" s="8" t="e">
        <f t="shared" si="48"/>
        <v>#DIV/0!</v>
      </c>
      <c r="L309" s="13" t="e">
        <f t="shared" si="49"/>
        <v>#N/A</v>
      </c>
      <c r="M309" t="e">
        <f t="shared" si="50"/>
        <v>#N/A</v>
      </c>
      <c r="N309">
        <f t="shared" si="51"/>
        <v>0</v>
      </c>
      <c r="O309">
        <f t="shared" si="52"/>
        <v>0</v>
      </c>
      <c r="R309" t="str">
        <f t="shared" si="55"/>
        <v/>
      </c>
      <c r="T309" s="8" t="str">
        <f t="shared" si="53"/>
        <v/>
      </c>
    </row>
    <row r="310" spans="1:20">
      <c r="G310" t="e">
        <f>INDEX('اسعار الاسهم'!A:B,MATCH(B310,'اسعار الاسهم'!K:K,0),2)</f>
        <v>#N/A</v>
      </c>
      <c r="H310" s="8" t="e">
        <f t="shared" si="46"/>
        <v>#N/A</v>
      </c>
      <c r="I310" s="8" t="e">
        <f t="shared" si="47"/>
        <v>#N/A</v>
      </c>
      <c r="J310" s="8" t="e">
        <f t="shared" ref="J310:J373" si="56">IF(P310="",  1-F310/G310,"")</f>
        <v>#N/A</v>
      </c>
      <c r="K310" s="8" t="e">
        <f t="shared" si="48"/>
        <v>#DIV/0!</v>
      </c>
      <c r="L310" s="13" t="e">
        <f t="shared" si="49"/>
        <v>#N/A</v>
      </c>
      <c r="M310" t="e">
        <f t="shared" si="50"/>
        <v>#N/A</v>
      </c>
      <c r="N310">
        <f t="shared" si="51"/>
        <v>0</v>
      </c>
      <c r="O310">
        <f t="shared" si="52"/>
        <v>0</v>
      </c>
      <c r="R310" t="str">
        <f t="shared" si="55"/>
        <v/>
      </c>
      <c r="T310" s="8" t="str">
        <f t="shared" si="53"/>
        <v/>
      </c>
    </row>
    <row r="311" spans="1:20">
      <c r="G311" t="e">
        <f>INDEX('اسعار الاسهم'!A:B,MATCH(B311,'اسعار الاسهم'!K:K,0),2)</f>
        <v>#N/A</v>
      </c>
      <c r="H311" s="8" t="e">
        <f t="shared" si="46"/>
        <v>#N/A</v>
      </c>
      <c r="I311" s="8" t="e">
        <f t="shared" si="47"/>
        <v>#N/A</v>
      </c>
      <c r="J311" s="8" t="e">
        <f t="shared" si="56"/>
        <v>#N/A</v>
      </c>
      <c r="K311" s="8" t="e">
        <f t="shared" si="48"/>
        <v>#DIV/0!</v>
      </c>
      <c r="L311" s="13" t="e">
        <f t="shared" si="49"/>
        <v>#N/A</v>
      </c>
      <c r="M311" t="e">
        <f t="shared" si="50"/>
        <v>#N/A</v>
      </c>
      <c r="N311">
        <f t="shared" si="51"/>
        <v>0</v>
      </c>
      <c r="O311">
        <f t="shared" si="52"/>
        <v>0</v>
      </c>
      <c r="R311" t="str">
        <f t="shared" si="55"/>
        <v/>
      </c>
      <c r="T311" s="8" t="str">
        <f t="shared" si="53"/>
        <v/>
      </c>
    </row>
    <row r="312" spans="1:20">
      <c r="G312" t="e">
        <f>INDEX('اسعار الاسهم'!A:B,MATCH(B312,'اسعار الاسهم'!K:K,0),2)</f>
        <v>#N/A</v>
      </c>
      <c r="H312" s="8" t="e">
        <f t="shared" si="46"/>
        <v>#N/A</v>
      </c>
      <c r="I312" s="8" t="e">
        <f t="shared" si="47"/>
        <v>#N/A</v>
      </c>
      <c r="J312" s="8" t="e">
        <f t="shared" si="56"/>
        <v>#N/A</v>
      </c>
      <c r="K312" s="8" t="e">
        <f t="shared" si="48"/>
        <v>#DIV/0!</v>
      </c>
      <c r="L312" s="13" t="e">
        <f t="shared" si="49"/>
        <v>#N/A</v>
      </c>
      <c r="M312" t="e">
        <f t="shared" si="50"/>
        <v>#N/A</v>
      </c>
      <c r="N312">
        <f t="shared" si="51"/>
        <v>0</v>
      </c>
      <c r="O312">
        <f t="shared" si="52"/>
        <v>0</v>
      </c>
      <c r="R312" t="str">
        <f t="shared" si="55"/>
        <v/>
      </c>
      <c r="T312" s="8" t="str">
        <f t="shared" si="53"/>
        <v/>
      </c>
    </row>
    <row r="313" spans="1:20">
      <c r="G313" t="e">
        <f>INDEX('اسعار الاسهم'!A:B,MATCH(B313,'اسعار الاسهم'!K:K,0),2)</f>
        <v>#N/A</v>
      </c>
      <c r="H313" s="8" t="e">
        <f t="shared" si="46"/>
        <v>#N/A</v>
      </c>
      <c r="I313" s="8" t="e">
        <f t="shared" si="47"/>
        <v>#N/A</v>
      </c>
      <c r="J313" s="8" t="e">
        <f t="shared" si="56"/>
        <v>#N/A</v>
      </c>
      <c r="K313" s="8" t="e">
        <f t="shared" si="48"/>
        <v>#DIV/0!</v>
      </c>
      <c r="L313" s="13" t="e">
        <f t="shared" si="49"/>
        <v>#N/A</v>
      </c>
      <c r="M313" t="e">
        <f t="shared" si="50"/>
        <v>#N/A</v>
      </c>
      <c r="N313">
        <f t="shared" si="51"/>
        <v>0</v>
      </c>
      <c r="O313">
        <f t="shared" si="52"/>
        <v>0</v>
      </c>
      <c r="R313" t="str">
        <f t="shared" si="55"/>
        <v/>
      </c>
      <c r="T313" s="8" t="str">
        <f t="shared" si="53"/>
        <v/>
      </c>
    </row>
    <row r="314" spans="1:20">
      <c r="G314" t="e">
        <f>INDEX('اسعار الاسهم'!A:B,MATCH(B314,'اسعار الاسهم'!K:K,0),2)</f>
        <v>#N/A</v>
      </c>
      <c r="H314" s="8" t="e">
        <f t="shared" si="46"/>
        <v>#N/A</v>
      </c>
      <c r="I314" s="8" t="e">
        <f t="shared" si="47"/>
        <v>#N/A</v>
      </c>
      <c r="J314" s="8" t="e">
        <f t="shared" si="56"/>
        <v>#N/A</v>
      </c>
      <c r="K314" s="8" t="e">
        <f t="shared" si="48"/>
        <v>#DIV/0!</v>
      </c>
      <c r="L314" s="13" t="e">
        <f t="shared" si="49"/>
        <v>#N/A</v>
      </c>
      <c r="M314" t="e">
        <f t="shared" si="50"/>
        <v>#N/A</v>
      </c>
      <c r="N314">
        <f t="shared" si="51"/>
        <v>0</v>
      </c>
      <c r="O314">
        <f t="shared" si="52"/>
        <v>0</v>
      </c>
      <c r="R314" t="str">
        <f t="shared" si="55"/>
        <v/>
      </c>
      <c r="T314" s="8" t="str">
        <f t="shared" si="53"/>
        <v/>
      </c>
    </row>
    <row r="315" spans="1:20">
      <c r="G315" t="e">
        <f>INDEX('اسعار الاسهم'!A:B,MATCH(B315,'اسعار الاسهم'!K:K,0),2)</f>
        <v>#N/A</v>
      </c>
      <c r="H315" s="8" t="e">
        <f t="shared" si="46"/>
        <v>#N/A</v>
      </c>
      <c r="I315" s="8" t="e">
        <f t="shared" si="47"/>
        <v>#N/A</v>
      </c>
      <c r="J315" s="8" t="e">
        <f t="shared" si="56"/>
        <v>#N/A</v>
      </c>
      <c r="K315" s="8" t="e">
        <f t="shared" si="48"/>
        <v>#DIV/0!</v>
      </c>
      <c r="L315" s="13" t="e">
        <f t="shared" si="49"/>
        <v>#N/A</v>
      </c>
      <c r="M315" t="e">
        <f t="shared" si="50"/>
        <v>#N/A</v>
      </c>
      <c r="N315">
        <f t="shared" si="51"/>
        <v>0</v>
      </c>
      <c r="O315">
        <f t="shared" si="52"/>
        <v>0</v>
      </c>
      <c r="R315" t="str">
        <f t="shared" si="55"/>
        <v/>
      </c>
      <c r="T315" s="8" t="str">
        <f t="shared" si="53"/>
        <v/>
      </c>
    </row>
    <row r="316" spans="1:20">
      <c r="G316" t="e">
        <f>INDEX('اسعار الاسهم'!A:B,MATCH(B316,'اسعار الاسهم'!K:K,0),2)</f>
        <v>#N/A</v>
      </c>
      <c r="H316" s="8" t="e">
        <f t="shared" si="46"/>
        <v>#N/A</v>
      </c>
      <c r="I316" s="8" t="e">
        <f t="shared" si="47"/>
        <v>#N/A</v>
      </c>
      <c r="J316" s="8" t="e">
        <f t="shared" si="56"/>
        <v>#N/A</v>
      </c>
      <c r="K316" s="8" t="e">
        <f t="shared" si="48"/>
        <v>#DIV/0!</v>
      </c>
      <c r="L316" s="13" t="e">
        <f t="shared" si="49"/>
        <v>#N/A</v>
      </c>
      <c r="N316">
        <f t="shared" si="51"/>
        <v>0</v>
      </c>
      <c r="O316">
        <f t="shared" si="52"/>
        <v>0</v>
      </c>
      <c r="R316" t="str">
        <f t="shared" si="55"/>
        <v/>
      </c>
      <c r="T316" s="8" t="str">
        <f t="shared" si="53"/>
        <v/>
      </c>
    </row>
    <row r="317" spans="1:20">
      <c r="G317" t="e">
        <f>INDEX('اسعار الاسهم'!A:B,MATCH(B317,'اسعار الاسهم'!K:K,0),2)</f>
        <v>#N/A</v>
      </c>
      <c r="H317" s="8" t="e">
        <f t="shared" si="46"/>
        <v>#N/A</v>
      </c>
      <c r="I317" s="8" t="e">
        <f t="shared" si="47"/>
        <v>#N/A</v>
      </c>
      <c r="J317" s="8" t="e">
        <f t="shared" si="56"/>
        <v>#N/A</v>
      </c>
      <c r="K317" s="8" t="e">
        <f t="shared" si="48"/>
        <v>#DIV/0!</v>
      </c>
      <c r="L317" s="13" t="e">
        <f t="shared" si="49"/>
        <v>#N/A</v>
      </c>
      <c r="N317">
        <f t="shared" si="51"/>
        <v>0</v>
      </c>
      <c r="O317">
        <f t="shared" si="52"/>
        <v>0</v>
      </c>
      <c r="R317" t="str">
        <f t="shared" si="55"/>
        <v/>
      </c>
      <c r="T317" s="8" t="str">
        <f t="shared" si="53"/>
        <v/>
      </c>
    </row>
    <row r="318" spans="1:20">
      <c r="G318" t="e">
        <f>INDEX('اسعار الاسهم'!A:B,MATCH(B318,'اسعار الاسهم'!K:K,0),2)</f>
        <v>#N/A</v>
      </c>
      <c r="H318" s="8" t="e">
        <f t="shared" si="46"/>
        <v>#N/A</v>
      </c>
      <c r="I318" s="8" t="e">
        <f t="shared" si="47"/>
        <v>#N/A</v>
      </c>
      <c r="J318" s="8" t="e">
        <f t="shared" si="56"/>
        <v>#N/A</v>
      </c>
      <c r="K318" s="8" t="e">
        <f t="shared" si="48"/>
        <v>#DIV/0!</v>
      </c>
      <c r="L318" s="13" t="e">
        <f t="shared" si="49"/>
        <v>#N/A</v>
      </c>
      <c r="N318">
        <f t="shared" si="51"/>
        <v>0</v>
      </c>
      <c r="O318">
        <f t="shared" si="52"/>
        <v>0</v>
      </c>
      <c r="R318" t="str">
        <f t="shared" si="55"/>
        <v/>
      </c>
      <c r="T318" s="8" t="str">
        <f t="shared" si="53"/>
        <v/>
      </c>
    </row>
    <row r="319" spans="1:20">
      <c r="G319" t="e">
        <f>INDEX('اسعار الاسهم'!A:B,MATCH(B319,'اسعار الاسهم'!K:K,0),2)</f>
        <v>#N/A</v>
      </c>
      <c r="H319" s="8" t="e">
        <f t="shared" si="46"/>
        <v>#N/A</v>
      </c>
      <c r="I319" s="8" t="e">
        <f t="shared" si="47"/>
        <v>#N/A</v>
      </c>
      <c r="J319" s="8" t="e">
        <f t="shared" si="56"/>
        <v>#N/A</v>
      </c>
      <c r="K319" s="8" t="e">
        <f t="shared" si="48"/>
        <v>#DIV/0!</v>
      </c>
      <c r="L319" s="13" t="e">
        <f t="shared" si="49"/>
        <v>#N/A</v>
      </c>
      <c r="N319">
        <f t="shared" si="51"/>
        <v>0</v>
      </c>
      <c r="O319">
        <f t="shared" si="52"/>
        <v>0</v>
      </c>
      <c r="R319" t="str">
        <f t="shared" si="55"/>
        <v/>
      </c>
      <c r="T319" s="8" t="str">
        <f t="shared" si="53"/>
        <v/>
      </c>
    </row>
    <row r="320" spans="1:20">
      <c r="G320" t="e">
        <f>INDEX('اسعار الاسهم'!A:B,MATCH(B320,'اسعار الاسهم'!K:K,0),2)</f>
        <v>#N/A</v>
      </c>
      <c r="H320" s="8" t="e">
        <f t="shared" si="46"/>
        <v>#N/A</v>
      </c>
      <c r="I320" s="8" t="e">
        <f t="shared" si="47"/>
        <v>#N/A</v>
      </c>
      <c r="J320" s="8" t="e">
        <f t="shared" si="56"/>
        <v>#N/A</v>
      </c>
      <c r="K320" s="8" t="e">
        <f t="shared" si="48"/>
        <v>#DIV/0!</v>
      </c>
      <c r="L320" s="13" t="e">
        <f t="shared" si="49"/>
        <v>#N/A</v>
      </c>
      <c r="N320">
        <f t="shared" si="51"/>
        <v>0</v>
      </c>
      <c r="O320">
        <f t="shared" si="52"/>
        <v>0</v>
      </c>
      <c r="R320" t="str">
        <f t="shared" si="55"/>
        <v/>
      </c>
      <c r="T320" s="8" t="str">
        <f t="shared" si="53"/>
        <v/>
      </c>
    </row>
    <row r="321" spans="7:20">
      <c r="G321" t="e">
        <f>INDEX('اسعار الاسهم'!A:B,MATCH(B321,'اسعار الاسهم'!K:K,0),2)</f>
        <v>#N/A</v>
      </c>
      <c r="H321" s="8" t="e">
        <f t="shared" si="46"/>
        <v>#N/A</v>
      </c>
      <c r="I321" s="8" t="e">
        <f t="shared" si="47"/>
        <v>#N/A</v>
      </c>
      <c r="J321" s="8" t="e">
        <f t="shared" si="56"/>
        <v>#N/A</v>
      </c>
      <c r="K321" s="8" t="e">
        <f t="shared" si="48"/>
        <v>#DIV/0!</v>
      </c>
      <c r="L321" s="13" t="e">
        <f t="shared" si="49"/>
        <v>#N/A</v>
      </c>
      <c r="N321">
        <f t="shared" si="51"/>
        <v>0</v>
      </c>
      <c r="O321">
        <f t="shared" si="52"/>
        <v>0</v>
      </c>
      <c r="R321" t="str">
        <f t="shared" si="55"/>
        <v/>
      </c>
      <c r="T321" s="8" t="str">
        <f t="shared" si="53"/>
        <v/>
      </c>
    </row>
    <row r="322" spans="7:20">
      <c r="G322" t="e">
        <f>INDEX('اسعار الاسهم'!A:B,MATCH(B322,'اسعار الاسهم'!K:K,0),2)</f>
        <v>#N/A</v>
      </c>
      <c r="H322" s="8" t="e">
        <f t="shared" ref="H322:H385" si="57">IF(P322="", G322/D322-1,"")</f>
        <v>#N/A</v>
      </c>
      <c r="I322" s="8" t="e">
        <f t="shared" ref="I322:I385" si="58">IF(P322="", E322/G322-1,"")</f>
        <v>#N/A</v>
      </c>
      <c r="J322" s="8" t="e">
        <f t="shared" si="56"/>
        <v>#N/A</v>
      </c>
      <c r="K322" s="8" t="e">
        <f t="shared" ref="K322:K385" si="59">E322/F322-1</f>
        <v>#DIV/0!</v>
      </c>
      <c r="L322" s="13" t="e">
        <f t="shared" ref="L322:L385" si="60">IF( S322="",I322/J322,"")</f>
        <v>#N/A</v>
      </c>
      <c r="N322">
        <f t="shared" ref="N322:N385" si="61">COUNTIFS(B:B,B322,Q:Q,"")</f>
        <v>0</v>
      </c>
      <c r="O322">
        <f t="shared" ref="O322:O385" si="62">COUNTIFS(B:B,B322)</f>
        <v>0</v>
      </c>
      <c r="R322" t="str">
        <f t="shared" si="55"/>
        <v/>
      </c>
      <c r="T322" s="8" t="str">
        <f t="shared" ref="T322:T385" si="63">IF(NOT( S322=""),IF(P322=1,E322/D322-1,F322/D322-1),"")</f>
        <v/>
      </c>
    </row>
    <row r="323" spans="7:20">
      <c r="G323" t="e">
        <f>INDEX('اسعار الاسهم'!A:B,MATCH(B323,'اسعار الاسهم'!K:K,0),2)</f>
        <v>#N/A</v>
      </c>
      <c r="H323" s="8" t="e">
        <f t="shared" si="57"/>
        <v>#N/A</v>
      </c>
      <c r="I323" s="8" t="e">
        <f t="shared" si="58"/>
        <v>#N/A</v>
      </c>
      <c r="J323" s="8" t="e">
        <f t="shared" si="56"/>
        <v>#N/A</v>
      </c>
      <c r="K323" s="8" t="e">
        <f t="shared" si="59"/>
        <v>#DIV/0!</v>
      </c>
      <c r="L323" s="13" t="e">
        <f t="shared" si="60"/>
        <v>#N/A</v>
      </c>
      <c r="N323">
        <f t="shared" si="61"/>
        <v>0</v>
      </c>
      <c r="O323">
        <f t="shared" si="62"/>
        <v>0</v>
      </c>
      <c r="R323" t="str">
        <f t="shared" si="55"/>
        <v/>
      </c>
      <c r="T323" s="8" t="str">
        <f t="shared" si="63"/>
        <v/>
      </c>
    </row>
    <row r="324" spans="7:20">
      <c r="G324" t="e">
        <f>INDEX('اسعار الاسهم'!A:B,MATCH(B324,'اسعار الاسهم'!K:K,0),2)</f>
        <v>#N/A</v>
      </c>
      <c r="H324" s="8" t="e">
        <f t="shared" si="57"/>
        <v>#N/A</v>
      </c>
      <c r="I324" s="8" t="e">
        <f t="shared" si="58"/>
        <v>#N/A</v>
      </c>
      <c r="J324" s="8" t="e">
        <f t="shared" si="56"/>
        <v>#N/A</v>
      </c>
      <c r="K324" s="8" t="e">
        <f t="shared" si="59"/>
        <v>#DIV/0!</v>
      </c>
      <c r="L324" s="13" t="e">
        <f t="shared" si="60"/>
        <v>#N/A</v>
      </c>
      <c r="N324">
        <f t="shared" si="61"/>
        <v>0</v>
      </c>
      <c r="O324">
        <f t="shared" si="62"/>
        <v>0</v>
      </c>
      <c r="R324" t="str">
        <f t="shared" si="55"/>
        <v/>
      </c>
      <c r="T324" s="8" t="str">
        <f t="shared" si="63"/>
        <v/>
      </c>
    </row>
    <row r="325" spans="7:20">
      <c r="G325" t="e">
        <f>INDEX('اسعار الاسهم'!A:B,MATCH(B325,'اسعار الاسهم'!K:K,0),2)</f>
        <v>#N/A</v>
      </c>
      <c r="H325" s="8" t="e">
        <f t="shared" si="57"/>
        <v>#N/A</v>
      </c>
      <c r="I325" s="8" t="e">
        <f t="shared" si="58"/>
        <v>#N/A</v>
      </c>
      <c r="J325" s="8" t="e">
        <f t="shared" si="56"/>
        <v>#N/A</v>
      </c>
      <c r="K325" s="8" t="e">
        <f t="shared" si="59"/>
        <v>#DIV/0!</v>
      </c>
      <c r="L325" s="13" t="e">
        <f t="shared" si="60"/>
        <v>#N/A</v>
      </c>
      <c r="N325">
        <f t="shared" si="61"/>
        <v>0</v>
      </c>
      <c r="O325">
        <f t="shared" si="62"/>
        <v>0</v>
      </c>
      <c r="R325" t="str">
        <f t="shared" si="55"/>
        <v/>
      </c>
      <c r="T325" s="8" t="str">
        <f t="shared" si="63"/>
        <v/>
      </c>
    </row>
    <row r="326" spans="7:20">
      <c r="G326" t="e">
        <f>INDEX('اسعار الاسهم'!A:B,MATCH(B326,'اسعار الاسهم'!K:K,0),2)</f>
        <v>#N/A</v>
      </c>
      <c r="H326" s="8" t="e">
        <f t="shared" si="57"/>
        <v>#N/A</v>
      </c>
      <c r="I326" s="8" t="e">
        <f t="shared" si="58"/>
        <v>#N/A</v>
      </c>
      <c r="J326" s="8" t="e">
        <f t="shared" si="56"/>
        <v>#N/A</v>
      </c>
      <c r="K326" s="8" t="e">
        <f t="shared" si="59"/>
        <v>#DIV/0!</v>
      </c>
      <c r="L326" s="13" t="e">
        <f t="shared" si="60"/>
        <v>#N/A</v>
      </c>
      <c r="N326">
        <f t="shared" si="61"/>
        <v>0</v>
      </c>
      <c r="O326">
        <f t="shared" si="62"/>
        <v>0</v>
      </c>
      <c r="R326" t="str">
        <f t="shared" si="55"/>
        <v/>
      </c>
      <c r="T326" s="8" t="str">
        <f t="shared" si="63"/>
        <v/>
      </c>
    </row>
    <row r="327" spans="7:20">
      <c r="G327" t="e">
        <f>INDEX('اسعار الاسهم'!A:B,MATCH(B327,'اسعار الاسهم'!K:K,0),2)</f>
        <v>#N/A</v>
      </c>
      <c r="H327" s="8" t="e">
        <f t="shared" si="57"/>
        <v>#N/A</v>
      </c>
      <c r="I327" s="8" t="e">
        <f t="shared" si="58"/>
        <v>#N/A</v>
      </c>
      <c r="J327" s="8" t="e">
        <f t="shared" si="56"/>
        <v>#N/A</v>
      </c>
      <c r="K327" s="8" t="e">
        <f t="shared" si="59"/>
        <v>#DIV/0!</v>
      </c>
      <c r="L327" s="13" t="e">
        <f t="shared" si="60"/>
        <v>#N/A</v>
      </c>
      <c r="N327">
        <f t="shared" si="61"/>
        <v>0</v>
      </c>
      <c r="O327">
        <f t="shared" si="62"/>
        <v>0</v>
      </c>
      <c r="R327" t="str">
        <f t="shared" si="55"/>
        <v/>
      </c>
      <c r="T327" s="8" t="str">
        <f t="shared" si="63"/>
        <v/>
      </c>
    </row>
    <row r="328" spans="7:20">
      <c r="G328" t="e">
        <f>INDEX('اسعار الاسهم'!A:B,MATCH(B328,'اسعار الاسهم'!K:K,0),2)</f>
        <v>#N/A</v>
      </c>
      <c r="H328" s="8" t="e">
        <f t="shared" si="57"/>
        <v>#N/A</v>
      </c>
      <c r="I328" s="8" t="e">
        <f t="shared" si="58"/>
        <v>#N/A</v>
      </c>
      <c r="J328" s="8" t="e">
        <f t="shared" si="56"/>
        <v>#N/A</v>
      </c>
      <c r="K328" s="8" t="e">
        <f t="shared" si="59"/>
        <v>#DIV/0!</v>
      </c>
      <c r="L328" s="13" t="e">
        <f t="shared" si="60"/>
        <v>#N/A</v>
      </c>
      <c r="N328">
        <f t="shared" si="61"/>
        <v>0</v>
      </c>
      <c r="O328">
        <f t="shared" si="62"/>
        <v>0</v>
      </c>
      <c r="R328" t="str">
        <f t="shared" si="55"/>
        <v/>
      </c>
      <c r="T328" s="8" t="str">
        <f t="shared" si="63"/>
        <v/>
      </c>
    </row>
    <row r="329" spans="7:20">
      <c r="G329" t="e">
        <f>INDEX('اسعار الاسهم'!A:B,MATCH(B329,'اسعار الاسهم'!K:K,0),2)</f>
        <v>#N/A</v>
      </c>
      <c r="H329" s="8" t="e">
        <f t="shared" si="57"/>
        <v>#N/A</v>
      </c>
      <c r="I329" s="8" t="e">
        <f t="shared" si="58"/>
        <v>#N/A</v>
      </c>
      <c r="J329" s="8" t="e">
        <f t="shared" si="56"/>
        <v>#N/A</v>
      </c>
      <c r="K329" s="8" t="e">
        <f t="shared" si="59"/>
        <v>#DIV/0!</v>
      </c>
      <c r="L329" s="13" t="e">
        <f t="shared" si="60"/>
        <v>#N/A</v>
      </c>
      <c r="N329">
        <f t="shared" si="61"/>
        <v>0</v>
      </c>
      <c r="O329">
        <f t="shared" si="62"/>
        <v>0</v>
      </c>
      <c r="R329" t="str">
        <f t="shared" ref="R329:R360" si="64">IF(Q329, Q329-C329+2,"")</f>
        <v/>
      </c>
      <c r="T329" s="8" t="str">
        <f t="shared" si="63"/>
        <v/>
      </c>
    </row>
    <row r="330" spans="7:20">
      <c r="G330" t="e">
        <f>INDEX('اسعار الاسهم'!A:B,MATCH(B330,'اسعار الاسهم'!K:K,0),2)</f>
        <v>#N/A</v>
      </c>
      <c r="H330" s="8" t="e">
        <f t="shared" si="57"/>
        <v>#N/A</v>
      </c>
      <c r="I330" s="8" t="e">
        <f t="shared" si="58"/>
        <v>#N/A</v>
      </c>
      <c r="J330" s="8" t="e">
        <f t="shared" si="56"/>
        <v>#N/A</v>
      </c>
      <c r="K330" s="8" t="e">
        <f t="shared" si="59"/>
        <v>#DIV/0!</v>
      </c>
      <c r="L330" s="13" t="e">
        <f t="shared" si="60"/>
        <v>#N/A</v>
      </c>
      <c r="N330">
        <f t="shared" si="61"/>
        <v>0</v>
      </c>
      <c r="O330">
        <f t="shared" si="62"/>
        <v>0</v>
      </c>
      <c r="R330" t="str">
        <f t="shared" si="64"/>
        <v/>
      </c>
      <c r="T330" s="8" t="str">
        <f t="shared" si="63"/>
        <v/>
      </c>
    </row>
    <row r="331" spans="7:20">
      <c r="G331" t="e">
        <f>INDEX('اسعار الاسهم'!A:B,MATCH(B331,'اسعار الاسهم'!K:K,0),2)</f>
        <v>#N/A</v>
      </c>
      <c r="H331" s="8" t="e">
        <f t="shared" si="57"/>
        <v>#N/A</v>
      </c>
      <c r="I331" s="8" t="e">
        <f t="shared" si="58"/>
        <v>#N/A</v>
      </c>
      <c r="J331" s="8" t="e">
        <f t="shared" si="56"/>
        <v>#N/A</v>
      </c>
      <c r="K331" s="8" t="e">
        <f t="shared" si="59"/>
        <v>#DIV/0!</v>
      </c>
      <c r="L331" s="13" t="e">
        <f t="shared" si="60"/>
        <v>#N/A</v>
      </c>
      <c r="N331">
        <f t="shared" si="61"/>
        <v>0</v>
      </c>
      <c r="O331">
        <f t="shared" si="62"/>
        <v>0</v>
      </c>
      <c r="R331" t="str">
        <f t="shared" si="64"/>
        <v/>
      </c>
      <c r="T331" s="8" t="str">
        <f t="shared" si="63"/>
        <v/>
      </c>
    </row>
    <row r="332" spans="7:20">
      <c r="G332" t="e">
        <f>INDEX('اسعار الاسهم'!A:B,MATCH(B332,'اسعار الاسهم'!K:K,0),2)</f>
        <v>#N/A</v>
      </c>
      <c r="H332" s="8" t="e">
        <f t="shared" si="57"/>
        <v>#N/A</v>
      </c>
      <c r="I332" s="8" t="e">
        <f t="shared" si="58"/>
        <v>#N/A</v>
      </c>
      <c r="J332" s="8" t="e">
        <f t="shared" si="56"/>
        <v>#N/A</v>
      </c>
      <c r="K332" s="8" t="e">
        <f t="shared" si="59"/>
        <v>#DIV/0!</v>
      </c>
      <c r="L332" s="13" t="e">
        <f t="shared" si="60"/>
        <v>#N/A</v>
      </c>
      <c r="N332">
        <f t="shared" si="61"/>
        <v>0</v>
      </c>
      <c r="O332">
        <f t="shared" si="62"/>
        <v>0</v>
      </c>
      <c r="R332" t="str">
        <f t="shared" si="64"/>
        <v/>
      </c>
      <c r="T332" s="8" t="str">
        <f t="shared" si="63"/>
        <v/>
      </c>
    </row>
    <row r="333" spans="7:20">
      <c r="G333" t="e">
        <f>INDEX('اسعار الاسهم'!A:B,MATCH(B333,'اسعار الاسهم'!K:K,0),2)</f>
        <v>#N/A</v>
      </c>
      <c r="H333" s="8" t="e">
        <f t="shared" si="57"/>
        <v>#N/A</v>
      </c>
      <c r="I333" s="8" t="e">
        <f t="shared" si="58"/>
        <v>#N/A</v>
      </c>
      <c r="J333" s="8" t="e">
        <f t="shared" si="56"/>
        <v>#N/A</v>
      </c>
      <c r="K333" s="8" t="e">
        <f t="shared" si="59"/>
        <v>#DIV/0!</v>
      </c>
      <c r="L333" s="13" t="e">
        <f t="shared" si="60"/>
        <v>#N/A</v>
      </c>
      <c r="N333">
        <f t="shared" si="61"/>
        <v>0</v>
      </c>
      <c r="O333">
        <f t="shared" si="62"/>
        <v>0</v>
      </c>
      <c r="R333" t="str">
        <f t="shared" si="64"/>
        <v/>
      </c>
      <c r="T333" s="8" t="str">
        <f t="shared" si="63"/>
        <v/>
      </c>
    </row>
    <row r="334" spans="7:20">
      <c r="G334" t="e">
        <f>INDEX('اسعار الاسهم'!A:B,MATCH(B334,'اسعار الاسهم'!K:K,0),2)</f>
        <v>#N/A</v>
      </c>
      <c r="H334" s="8" t="e">
        <f t="shared" si="57"/>
        <v>#N/A</v>
      </c>
      <c r="I334" s="8" t="e">
        <f t="shared" si="58"/>
        <v>#N/A</v>
      </c>
      <c r="J334" s="8" t="e">
        <f t="shared" si="56"/>
        <v>#N/A</v>
      </c>
      <c r="K334" s="8" t="e">
        <f t="shared" si="59"/>
        <v>#DIV/0!</v>
      </c>
      <c r="L334" s="13" t="e">
        <f t="shared" si="60"/>
        <v>#N/A</v>
      </c>
      <c r="N334">
        <f t="shared" si="61"/>
        <v>0</v>
      </c>
      <c r="O334">
        <f t="shared" si="62"/>
        <v>0</v>
      </c>
      <c r="R334" t="str">
        <f t="shared" si="64"/>
        <v/>
      </c>
      <c r="T334" s="8" t="str">
        <f t="shared" si="63"/>
        <v/>
      </c>
    </row>
    <row r="335" spans="7:20">
      <c r="G335" t="e">
        <f>INDEX('اسعار الاسهم'!A:B,MATCH(B335,'اسعار الاسهم'!K:K,0),2)</f>
        <v>#N/A</v>
      </c>
      <c r="H335" s="8" t="e">
        <f t="shared" si="57"/>
        <v>#N/A</v>
      </c>
      <c r="I335" s="8" t="e">
        <f t="shared" si="58"/>
        <v>#N/A</v>
      </c>
      <c r="J335" s="8" t="e">
        <f t="shared" si="56"/>
        <v>#N/A</v>
      </c>
      <c r="K335" s="8" t="e">
        <f t="shared" si="59"/>
        <v>#DIV/0!</v>
      </c>
      <c r="L335" s="13" t="e">
        <f t="shared" si="60"/>
        <v>#N/A</v>
      </c>
      <c r="N335">
        <f t="shared" si="61"/>
        <v>0</v>
      </c>
      <c r="O335">
        <f t="shared" si="62"/>
        <v>0</v>
      </c>
      <c r="R335" t="str">
        <f t="shared" si="64"/>
        <v/>
      </c>
      <c r="T335" s="8" t="str">
        <f t="shared" si="63"/>
        <v/>
      </c>
    </row>
    <row r="336" spans="7:20">
      <c r="G336" t="e">
        <f>INDEX('اسعار الاسهم'!A:B,MATCH(B336,'اسعار الاسهم'!K:K,0),2)</f>
        <v>#N/A</v>
      </c>
      <c r="H336" s="8" t="e">
        <f t="shared" si="57"/>
        <v>#N/A</v>
      </c>
      <c r="I336" s="8" t="e">
        <f t="shared" si="58"/>
        <v>#N/A</v>
      </c>
      <c r="J336" s="8" t="e">
        <f t="shared" si="56"/>
        <v>#N/A</v>
      </c>
      <c r="K336" s="8" t="e">
        <f t="shared" si="59"/>
        <v>#DIV/0!</v>
      </c>
      <c r="L336" s="13" t="e">
        <f t="shared" si="60"/>
        <v>#N/A</v>
      </c>
      <c r="N336">
        <f t="shared" si="61"/>
        <v>0</v>
      </c>
      <c r="O336">
        <f t="shared" si="62"/>
        <v>0</v>
      </c>
      <c r="R336" t="str">
        <f t="shared" si="64"/>
        <v/>
      </c>
      <c r="T336" s="8" t="str">
        <f t="shared" si="63"/>
        <v/>
      </c>
    </row>
    <row r="337" spans="7:20">
      <c r="G337" t="e">
        <f>INDEX('اسعار الاسهم'!A:B,MATCH(B337,'اسعار الاسهم'!K:K,0),2)</f>
        <v>#N/A</v>
      </c>
      <c r="H337" s="8" t="e">
        <f t="shared" si="57"/>
        <v>#N/A</v>
      </c>
      <c r="I337" s="8" t="e">
        <f t="shared" si="58"/>
        <v>#N/A</v>
      </c>
      <c r="J337" s="8" t="e">
        <f t="shared" si="56"/>
        <v>#N/A</v>
      </c>
      <c r="K337" s="8" t="e">
        <f t="shared" si="59"/>
        <v>#DIV/0!</v>
      </c>
      <c r="L337" s="13" t="e">
        <f t="shared" si="60"/>
        <v>#N/A</v>
      </c>
      <c r="N337">
        <f t="shared" si="61"/>
        <v>0</v>
      </c>
      <c r="O337">
        <f t="shared" si="62"/>
        <v>0</v>
      </c>
      <c r="R337" t="str">
        <f t="shared" si="64"/>
        <v/>
      </c>
      <c r="T337" s="8" t="str">
        <f t="shared" si="63"/>
        <v/>
      </c>
    </row>
    <row r="338" spans="7:20">
      <c r="G338" t="e">
        <f>INDEX('اسعار الاسهم'!A:B,MATCH(B338,'اسعار الاسهم'!K:K,0),2)</f>
        <v>#N/A</v>
      </c>
      <c r="H338" s="8" t="e">
        <f t="shared" si="57"/>
        <v>#N/A</v>
      </c>
      <c r="I338" s="8" t="e">
        <f t="shared" si="58"/>
        <v>#N/A</v>
      </c>
      <c r="J338" s="8" t="e">
        <f t="shared" si="56"/>
        <v>#N/A</v>
      </c>
      <c r="K338" s="8" t="e">
        <f t="shared" si="59"/>
        <v>#DIV/0!</v>
      </c>
      <c r="L338" s="13" t="e">
        <f t="shared" si="60"/>
        <v>#N/A</v>
      </c>
      <c r="N338">
        <f t="shared" si="61"/>
        <v>0</v>
      </c>
      <c r="O338">
        <f t="shared" si="62"/>
        <v>0</v>
      </c>
      <c r="R338" t="str">
        <f t="shared" si="64"/>
        <v/>
      </c>
      <c r="T338" s="8" t="str">
        <f t="shared" si="63"/>
        <v/>
      </c>
    </row>
    <row r="339" spans="7:20">
      <c r="G339" t="e">
        <f>INDEX('اسعار الاسهم'!A:B,MATCH(B339,'اسعار الاسهم'!K:K,0),2)</f>
        <v>#N/A</v>
      </c>
      <c r="H339" s="8" t="e">
        <f t="shared" si="57"/>
        <v>#N/A</v>
      </c>
      <c r="I339" s="8" t="e">
        <f t="shared" si="58"/>
        <v>#N/A</v>
      </c>
      <c r="J339" s="8" t="e">
        <f t="shared" si="56"/>
        <v>#N/A</v>
      </c>
      <c r="K339" s="8" t="e">
        <f t="shared" si="59"/>
        <v>#DIV/0!</v>
      </c>
      <c r="L339" s="13" t="e">
        <f t="shared" si="60"/>
        <v>#N/A</v>
      </c>
      <c r="N339">
        <f t="shared" si="61"/>
        <v>0</v>
      </c>
      <c r="O339">
        <f t="shared" si="62"/>
        <v>0</v>
      </c>
      <c r="R339" t="str">
        <f t="shared" si="64"/>
        <v/>
      </c>
      <c r="T339" s="8" t="str">
        <f t="shared" si="63"/>
        <v/>
      </c>
    </row>
    <row r="340" spans="7:20">
      <c r="G340" t="e">
        <f>INDEX('اسعار الاسهم'!A:B,MATCH(B340,'اسعار الاسهم'!K:K,0),2)</f>
        <v>#N/A</v>
      </c>
      <c r="H340" s="8" t="e">
        <f t="shared" si="57"/>
        <v>#N/A</v>
      </c>
      <c r="I340" s="8" t="e">
        <f t="shared" si="58"/>
        <v>#N/A</v>
      </c>
      <c r="J340" s="8" t="e">
        <f t="shared" si="56"/>
        <v>#N/A</v>
      </c>
      <c r="K340" s="8" t="e">
        <f t="shared" si="59"/>
        <v>#DIV/0!</v>
      </c>
      <c r="L340" s="13" t="e">
        <f t="shared" si="60"/>
        <v>#N/A</v>
      </c>
      <c r="N340">
        <f t="shared" si="61"/>
        <v>0</v>
      </c>
      <c r="O340">
        <f t="shared" si="62"/>
        <v>0</v>
      </c>
      <c r="R340" t="str">
        <f t="shared" si="64"/>
        <v/>
      </c>
      <c r="T340" s="8" t="str">
        <f t="shared" si="63"/>
        <v/>
      </c>
    </row>
    <row r="341" spans="7:20">
      <c r="G341" t="e">
        <f>INDEX('اسعار الاسهم'!A:B,MATCH(B341,'اسعار الاسهم'!K:K,0),2)</f>
        <v>#N/A</v>
      </c>
      <c r="H341" s="8" t="e">
        <f t="shared" si="57"/>
        <v>#N/A</v>
      </c>
      <c r="I341" s="8" t="e">
        <f t="shared" si="58"/>
        <v>#N/A</v>
      </c>
      <c r="J341" s="8" t="e">
        <f t="shared" si="56"/>
        <v>#N/A</v>
      </c>
      <c r="K341" s="8" t="e">
        <f t="shared" si="59"/>
        <v>#DIV/0!</v>
      </c>
      <c r="L341" s="13" t="e">
        <f t="shared" si="60"/>
        <v>#N/A</v>
      </c>
      <c r="N341">
        <f t="shared" si="61"/>
        <v>0</v>
      </c>
      <c r="O341">
        <f t="shared" si="62"/>
        <v>0</v>
      </c>
      <c r="R341" t="str">
        <f t="shared" si="64"/>
        <v/>
      </c>
      <c r="T341" s="8" t="str">
        <f t="shared" si="63"/>
        <v/>
      </c>
    </row>
    <row r="342" spans="7:20">
      <c r="G342" t="e">
        <f>INDEX('اسعار الاسهم'!A:B,MATCH(B342,'اسعار الاسهم'!K:K,0),2)</f>
        <v>#N/A</v>
      </c>
      <c r="H342" s="8" t="e">
        <f t="shared" si="57"/>
        <v>#N/A</v>
      </c>
      <c r="I342" s="8" t="e">
        <f t="shared" si="58"/>
        <v>#N/A</v>
      </c>
      <c r="J342" s="8" t="e">
        <f t="shared" si="56"/>
        <v>#N/A</v>
      </c>
      <c r="K342" s="8" t="e">
        <f t="shared" si="59"/>
        <v>#DIV/0!</v>
      </c>
      <c r="L342" s="13" t="e">
        <f t="shared" si="60"/>
        <v>#N/A</v>
      </c>
      <c r="N342">
        <f t="shared" si="61"/>
        <v>0</v>
      </c>
      <c r="O342">
        <f t="shared" si="62"/>
        <v>0</v>
      </c>
      <c r="R342" t="str">
        <f t="shared" si="64"/>
        <v/>
      </c>
      <c r="T342" s="8" t="str">
        <f t="shared" si="63"/>
        <v/>
      </c>
    </row>
    <row r="343" spans="7:20">
      <c r="G343" t="e">
        <f>INDEX('اسعار الاسهم'!A:B,MATCH(B343,'اسعار الاسهم'!K:K,0),2)</f>
        <v>#N/A</v>
      </c>
      <c r="H343" s="8" t="e">
        <f t="shared" si="57"/>
        <v>#N/A</v>
      </c>
      <c r="I343" s="8" t="e">
        <f t="shared" si="58"/>
        <v>#N/A</v>
      </c>
      <c r="J343" s="8" t="e">
        <f t="shared" si="56"/>
        <v>#N/A</v>
      </c>
      <c r="K343" s="8" t="e">
        <f t="shared" si="59"/>
        <v>#DIV/0!</v>
      </c>
      <c r="L343" s="13" t="e">
        <f t="shared" si="60"/>
        <v>#N/A</v>
      </c>
      <c r="N343">
        <f t="shared" si="61"/>
        <v>0</v>
      </c>
      <c r="O343">
        <f t="shared" si="62"/>
        <v>0</v>
      </c>
      <c r="R343" t="str">
        <f t="shared" si="64"/>
        <v/>
      </c>
      <c r="T343" s="8" t="str">
        <f t="shared" si="63"/>
        <v/>
      </c>
    </row>
    <row r="344" spans="7:20">
      <c r="G344" t="e">
        <f>INDEX('اسعار الاسهم'!A:B,MATCH(B344,'اسعار الاسهم'!K:K,0),2)</f>
        <v>#N/A</v>
      </c>
      <c r="H344" s="8" t="e">
        <f t="shared" si="57"/>
        <v>#N/A</v>
      </c>
      <c r="I344" s="8" t="e">
        <f t="shared" si="58"/>
        <v>#N/A</v>
      </c>
      <c r="J344" s="8" t="e">
        <f t="shared" si="56"/>
        <v>#N/A</v>
      </c>
      <c r="K344" s="8" t="e">
        <f t="shared" si="59"/>
        <v>#DIV/0!</v>
      </c>
      <c r="L344" s="13" t="e">
        <f t="shared" si="60"/>
        <v>#N/A</v>
      </c>
      <c r="N344">
        <f t="shared" si="61"/>
        <v>0</v>
      </c>
      <c r="O344">
        <f t="shared" si="62"/>
        <v>0</v>
      </c>
      <c r="R344" t="str">
        <f t="shared" si="64"/>
        <v/>
      </c>
      <c r="T344" s="8" t="str">
        <f t="shared" si="63"/>
        <v/>
      </c>
    </row>
    <row r="345" spans="7:20">
      <c r="G345" t="e">
        <f>INDEX('اسعار الاسهم'!A:B,MATCH(B345,'اسعار الاسهم'!K:K,0),2)</f>
        <v>#N/A</v>
      </c>
      <c r="H345" s="8" t="e">
        <f t="shared" si="57"/>
        <v>#N/A</v>
      </c>
      <c r="I345" s="8" t="e">
        <f t="shared" si="58"/>
        <v>#N/A</v>
      </c>
      <c r="J345" s="8" t="e">
        <f t="shared" si="56"/>
        <v>#N/A</v>
      </c>
      <c r="K345" s="8" t="e">
        <f t="shared" si="59"/>
        <v>#DIV/0!</v>
      </c>
      <c r="L345" s="13" t="e">
        <f t="shared" si="60"/>
        <v>#N/A</v>
      </c>
      <c r="N345">
        <f t="shared" si="61"/>
        <v>0</v>
      </c>
      <c r="O345">
        <f t="shared" si="62"/>
        <v>0</v>
      </c>
      <c r="R345" t="str">
        <f t="shared" si="64"/>
        <v/>
      </c>
      <c r="T345" s="8" t="str">
        <f t="shared" si="63"/>
        <v/>
      </c>
    </row>
    <row r="346" spans="7:20">
      <c r="G346" t="e">
        <f>INDEX('اسعار الاسهم'!A:B,MATCH(B346,'اسعار الاسهم'!K:K,0),2)</f>
        <v>#N/A</v>
      </c>
      <c r="H346" s="8" t="e">
        <f t="shared" si="57"/>
        <v>#N/A</v>
      </c>
      <c r="I346" s="8" t="e">
        <f t="shared" si="58"/>
        <v>#N/A</v>
      </c>
      <c r="J346" s="8" t="e">
        <f t="shared" si="56"/>
        <v>#N/A</v>
      </c>
      <c r="K346" s="8" t="e">
        <f t="shared" si="59"/>
        <v>#DIV/0!</v>
      </c>
      <c r="L346" s="13" t="e">
        <f t="shared" si="60"/>
        <v>#N/A</v>
      </c>
      <c r="N346">
        <f t="shared" si="61"/>
        <v>0</v>
      </c>
      <c r="O346">
        <f t="shared" si="62"/>
        <v>0</v>
      </c>
      <c r="R346" t="str">
        <f t="shared" si="64"/>
        <v/>
      </c>
      <c r="T346" s="8" t="str">
        <f t="shared" si="63"/>
        <v/>
      </c>
    </row>
    <row r="347" spans="7:20">
      <c r="G347" t="e">
        <f>INDEX('اسعار الاسهم'!A:B,MATCH(B347,'اسعار الاسهم'!K:K,0),2)</f>
        <v>#N/A</v>
      </c>
      <c r="H347" s="8" t="e">
        <f t="shared" si="57"/>
        <v>#N/A</v>
      </c>
      <c r="I347" s="8" t="e">
        <f t="shared" si="58"/>
        <v>#N/A</v>
      </c>
      <c r="J347" s="8" t="e">
        <f t="shared" si="56"/>
        <v>#N/A</v>
      </c>
      <c r="K347" s="8" t="e">
        <f t="shared" si="59"/>
        <v>#DIV/0!</v>
      </c>
      <c r="L347" s="13" t="e">
        <f t="shared" si="60"/>
        <v>#N/A</v>
      </c>
      <c r="N347">
        <f t="shared" si="61"/>
        <v>0</v>
      </c>
      <c r="O347">
        <f t="shared" si="62"/>
        <v>0</v>
      </c>
      <c r="R347" t="str">
        <f t="shared" si="64"/>
        <v/>
      </c>
      <c r="T347" s="8" t="str">
        <f t="shared" si="63"/>
        <v/>
      </c>
    </row>
    <row r="348" spans="7:20">
      <c r="G348" t="e">
        <f>INDEX('اسعار الاسهم'!A:B,MATCH(B348,'اسعار الاسهم'!K:K,0),2)</f>
        <v>#N/A</v>
      </c>
      <c r="H348" s="8" t="e">
        <f t="shared" si="57"/>
        <v>#N/A</v>
      </c>
      <c r="I348" s="8" t="e">
        <f t="shared" si="58"/>
        <v>#N/A</v>
      </c>
      <c r="J348" s="8" t="e">
        <f t="shared" si="56"/>
        <v>#N/A</v>
      </c>
      <c r="K348" s="8" t="e">
        <f t="shared" si="59"/>
        <v>#DIV/0!</v>
      </c>
      <c r="L348" s="13" t="e">
        <f t="shared" si="60"/>
        <v>#N/A</v>
      </c>
      <c r="N348">
        <f t="shared" si="61"/>
        <v>0</v>
      </c>
      <c r="O348">
        <f t="shared" si="62"/>
        <v>0</v>
      </c>
      <c r="R348" t="str">
        <f t="shared" si="64"/>
        <v/>
      </c>
      <c r="T348" s="8" t="str">
        <f t="shared" si="63"/>
        <v/>
      </c>
    </row>
    <row r="349" spans="7:20">
      <c r="G349" t="e">
        <f>INDEX('اسعار الاسهم'!A:B,MATCH(B349,'اسعار الاسهم'!K:K,0),2)</f>
        <v>#N/A</v>
      </c>
      <c r="H349" s="8" t="e">
        <f t="shared" si="57"/>
        <v>#N/A</v>
      </c>
      <c r="I349" s="8" t="e">
        <f t="shared" si="58"/>
        <v>#N/A</v>
      </c>
      <c r="J349" s="8" t="e">
        <f t="shared" si="56"/>
        <v>#N/A</v>
      </c>
      <c r="K349" s="8" t="e">
        <f t="shared" si="59"/>
        <v>#DIV/0!</v>
      </c>
      <c r="L349" s="13" t="e">
        <f t="shared" si="60"/>
        <v>#N/A</v>
      </c>
      <c r="N349">
        <f t="shared" si="61"/>
        <v>0</v>
      </c>
      <c r="O349">
        <f t="shared" si="62"/>
        <v>0</v>
      </c>
      <c r="R349" t="str">
        <f t="shared" si="64"/>
        <v/>
      </c>
      <c r="T349" s="8" t="str">
        <f t="shared" si="63"/>
        <v/>
      </c>
    </row>
    <row r="350" spans="7:20">
      <c r="G350" t="e">
        <f>INDEX('اسعار الاسهم'!A:B,MATCH(B350,'اسعار الاسهم'!K:K,0),2)</f>
        <v>#N/A</v>
      </c>
      <c r="H350" s="8" t="e">
        <f t="shared" si="57"/>
        <v>#N/A</v>
      </c>
      <c r="I350" s="8" t="e">
        <f t="shared" si="58"/>
        <v>#N/A</v>
      </c>
      <c r="J350" s="8" t="e">
        <f t="shared" si="56"/>
        <v>#N/A</v>
      </c>
      <c r="K350" s="8" t="e">
        <f t="shared" si="59"/>
        <v>#DIV/0!</v>
      </c>
      <c r="L350" s="13" t="e">
        <f t="shared" si="60"/>
        <v>#N/A</v>
      </c>
      <c r="N350">
        <f t="shared" si="61"/>
        <v>0</v>
      </c>
      <c r="O350">
        <f t="shared" si="62"/>
        <v>0</v>
      </c>
      <c r="R350" t="str">
        <f t="shared" si="64"/>
        <v/>
      </c>
      <c r="T350" s="8" t="str">
        <f t="shared" si="63"/>
        <v/>
      </c>
    </row>
    <row r="351" spans="7:20">
      <c r="G351" t="e">
        <f>INDEX('اسعار الاسهم'!A:B,MATCH(B351,'اسعار الاسهم'!K:K,0),2)</f>
        <v>#N/A</v>
      </c>
      <c r="H351" s="8" t="e">
        <f t="shared" si="57"/>
        <v>#N/A</v>
      </c>
      <c r="I351" s="8" t="e">
        <f t="shared" si="58"/>
        <v>#N/A</v>
      </c>
      <c r="J351" s="8" t="e">
        <f t="shared" si="56"/>
        <v>#N/A</v>
      </c>
      <c r="K351" s="8" t="e">
        <f t="shared" si="59"/>
        <v>#DIV/0!</v>
      </c>
      <c r="L351" s="13" t="e">
        <f t="shared" si="60"/>
        <v>#N/A</v>
      </c>
      <c r="N351">
        <f t="shared" si="61"/>
        <v>0</v>
      </c>
      <c r="O351">
        <f t="shared" si="62"/>
        <v>0</v>
      </c>
      <c r="R351" t="str">
        <f t="shared" si="64"/>
        <v/>
      </c>
      <c r="T351" s="8" t="str">
        <f t="shared" si="63"/>
        <v/>
      </c>
    </row>
    <row r="352" spans="7:20">
      <c r="G352" t="e">
        <f>INDEX('اسعار الاسهم'!A:B,MATCH(B352,'اسعار الاسهم'!K:K,0),2)</f>
        <v>#N/A</v>
      </c>
      <c r="H352" s="8" t="e">
        <f t="shared" si="57"/>
        <v>#N/A</v>
      </c>
      <c r="I352" s="8" t="e">
        <f t="shared" si="58"/>
        <v>#N/A</v>
      </c>
      <c r="J352" s="8" t="e">
        <f t="shared" si="56"/>
        <v>#N/A</v>
      </c>
      <c r="K352" s="8" t="e">
        <f t="shared" si="59"/>
        <v>#DIV/0!</v>
      </c>
      <c r="L352" s="13" t="e">
        <f t="shared" si="60"/>
        <v>#N/A</v>
      </c>
      <c r="N352">
        <f t="shared" si="61"/>
        <v>0</v>
      </c>
      <c r="O352">
        <f t="shared" si="62"/>
        <v>0</v>
      </c>
      <c r="R352" t="str">
        <f t="shared" si="64"/>
        <v/>
      </c>
      <c r="T352" s="8" t="str">
        <f t="shared" si="63"/>
        <v/>
      </c>
    </row>
    <row r="353" spans="7:20">
      <c r="G353" t="e">
        <f>INDEX('اسعار الاسهم'!A:B,MATCH(B353,'اسعار الاسهم'!K:K,0),2)</f>
        <v>#N/A</v>
      </c>
      <c r="H353" s="8" t="e">
        <f t="shared" si="57"/>
        <v>#N/A</v>
      </c>
      <c r="I353" s="8" t="e">
        <f t="shared" si="58"/>
        <v>#N/A</v>
      </c>
      <c r="J353" s="8" t="e">
        <f t="shared" si="56"/>
        <v>#N/A</v>
      </c>
      <c r="K353" s="8" t="e">
        <f t="shared" si="59"/>
        <v>#DIV/0!</v>
      </c>
      <c r="L353" s="13" t="e">
        <f t="shared" si="60"/>
        <v>#N/A</v>
      </c>
      <c r="N353">
        <f t="shared" si="61"/>
        <v>0</v>
      </c>
      <c r="O353">
        <f t="shared" si="62"/>
        <v>0</v>
      </c>
      <c r="R353" t="str">
        <f t="shared" si="64"/>
        <v/>
      </c>
      <c r="T353" s="8" t="str">
        <f t="shared" si="63"/>
        <v/>
      </c>
    </row>
    <row r="354" spans="7:20">
      <c r="G354" t="e">
        <f>INDEX('اسعار الاسهم'!A:B,MATCH(B354,'اسعار الاسهم'!K:K,0),2)</f>
        <v>#N/A</v>
      </c>
      <c r="H354" s="8" t="e">
        <f t="shared" si="57"/>
        <v>#N/A</v>
      </c>
      <c r="I354" s="8" t="e">
        <f t="shared" si="58"/>
        <v>#N/A</v>
      </c>
      <c r="J354" s="8" t="e">
        <f t="shared" si="56"/>
        <v>#N/A</v>
      </c>
      <c r="K354" s="8" t="e">
        <f t="shared" si="59"/>
        <v>#DIV/0!</v>
      </c>
      <c r="L354" s="13" t="e">
        <f t="shared" si="60"/>
        <v>#N/A</v>
      </c>
      <c r="N354">
        <f t="shared" si="61"/>
        <v>0</v>
      </c>
      <c r="O354">
        <f t="shared" si="62"/>
        <v>0</v>
      </c>
      <c r="R354" t="str">
        <f t="shared" si="64"/>
        <v/>
      </c>
      <c r="T354" s="8" t="str">
        <f t="shared" si="63"/>
        <v/>
      </c>
    </row>
    <row r="355" spans="7:20">
      <c r="G355" t="e">
        <f>INDEX('اسعار الاسهم'!A:B,MATCH(B355,'اسعار الاسهم'!K:K,0),2)</f>
        <v>#N/A</v>
      </c>
      <c r="H355" s="8" t="e">
        <f t="shared" si="57"/>
        <v>#N/A</v>
      </c>
      <c r="I355" s="8" t="e">
        <f t="shared" si="58"/>
        <v>#N/A</v>
      </c>
      <c r="J355" s="8" t="e">
        <f t="shared" si="56"/>
        <v>#N/A</v>
      </c>
      <c r="K355" s="8" t="e">
        <f t="shared" si="59"/>
        <v>#DIV/0!</v>
      </c>
      <c r="L355" s="13" t="e">
        <f t="shared" si="60"/>
        <v>#N/A</v>
      </c>
      <c r="N355">
        <f t="shared" si="61"/>
        <v>0</v>
      </c>
      <c r="O355">
        <f t="shared" si="62"/>
        <v>0</v>
      </c>
      <c r="R355" t="str">
        <f t="shared" si="64"/>
        <v/>
      </c>
      <c r="T355" s="8" t="str">
        <f t="shared" si="63"/>
        <v/>
      </c>
    </row>
    <row r="356" spans="7:20">
      <c r="G356" t="e">
        <f>INDEX('اسعار الاسهم'!A:B,MATCH(B356,'اسعار الاسهم'!K:K,0),2)</f>
        <v>#N/A</v>
      </c>
      <c r="H356" s="8" t="e">
        <f t="shared" si="57"/>
        <v>#N/A</v>
      </c>
      <c r="I356" s="8" t="e">
        <f t="shared" si="58"/>
        <v>#N/A</v>
      </c>
      <c r="J356" s="8" t="e">
        <f t="shared" si="56"/>
        <v>#N/A</v>
      </c>
      <c r="K356" s="8" t="e">
        <f t="shared" si="59"/>
        <v>#DIV/0!</v>
      </c>
      <c r="L356" s="13" t="e">
        <f t="shared" si="60"/>
        <v>#N/A</v>
      </c>
      <c r="N356">
        <f t="shared" si="61"/>
        <v>0</v>
      </c>
      <c r="O356">
        <f t="shared" si="62"/>
        <v>0</v>
      </c>
      <c r="R356" t="str">
        <f t="shared" si="64"/>
        <v/>
      </c>
      <c r="T356" s="8" t="str">
        <f t="shared" si="63"/>
        <v/>
      </c>
    </row>
    <row r="357" spans="7:20">
      <c r="G357" t="e">
        <f>INDEX('اسعار الاسهم'!A:B,MATCH(B357,'اسعار الاسهم'!K:K,0),2)</f>
        <v>#N/A</v>
      </c>
      <c r="H357" s="8" t="e">
        <f t="shared" si="57"/>
        <v>#N/A</v>
      </c>
      <c r="I357" s="8" t="e">
        <f t="shared" si="58"/>
        <v>#N/A</v>
      </c>
      <c r="J357" s="8" t="e">
        <f t="shared" si="56"/>
        <v>#N/A</v>
      </c>
      <c r="K357" s="8" t="e">
        <f t="shared" si="59"/>
        <v>#DIV/0!</v>
      </c>
      <c r="L357" s="13" t="e">
        <f t="shared" si="60"/>
        <v>#N/A</v>
      </c>
      <c r="N357">
        <f t="shared" si="61"/>
        <v>0</v>
      </c>
      <c r="O357">
        <f t="shared" si="62"/>
        <v>0</v>
      </c>
      <c r="R357" t="str">
        <f t="shared" si="64"/>
        <v/>
      </c>
      <c r="T357" s="8" t="str">
        <f t="shared" si="63"/>
        <v/>
      </c>
    </row>
    <row r="358" spans="7:20">
      <c r="G358" t="e">
        <f>INDEX('اسعار الاسهم'!A:B,MATCH(B358,'اسعار الاسهم'!K:K,0),2)</f>
        <v>#N/A</v>
      </c>
      <c r="H358" s="8" t="e">
        <f t="shared" si="57"/>
        <v>#N/A</v>
      </c>
      <c r="I358" s="8" t="e">
        <f t="shared" si="58"/>
        <v>#N/A</v>
      </c>
      <c r="J358" s="8" t="e">
        <f t="shared" si="56"/>
        <v>#N/A</v>
      </c>
      <c r="K358" s="8" t="e">
        <f t="shared" si="59"/>
        <v>#DIV/0!</v>
      </c>
      <c r="L358" s="13" t="e">
        <f t="shared" si="60"/>
        <v>#N/A</v>
      </c>
      <c r="N358">
        <f t="shared" si="61"/>
        <v>0</v>
      </c>
      <c r="O358">
        <f t="shared" si="62"/>
        <v>0</v>
      </c>
      <c r="R358" t="str">
        <f t="shared" si="64"/>
        <v/>
      </c>
      <c r="T358" s="8" t="str">
        <f t="shared" si="63"/>
        <v/>
      </c>
    </row>
    <row r="359" spans="7:20">
      <c r="G359" t="e">
        <f>INDEX('اسعار الاسهم'!A:B,MATCH(B359,'اسعار الاسهم'!K:K,0),2)</f>
        <v>#N/A</v>
      </c>
      <c r="H359" s="8" t="e">
        <f t="shared" si="57"/>
        <v>#N/A</v>
      </c>
      <c r="I359" s="8" t="e">
        <f t="shared" si="58"/>
        <v>#N/A</v>
      </c>
      <c r="J359" s="8" t="e">
        <f t="shared" si="56"/>
        <v>#N/A</v>
      </c>
      <c r="K359" s="8" t="e">
        <f t="shared" si="59"/>
        <v>#DIV/0!</v>
      </c>
      <c r="L359" s="13" t="e">
        <f t="shared" si="60"/>
        <v>#N/A</v>
      </c>
      <c r="N359">
        <f t="shared" si="61"/>
        <v>0</v>
      </c>
      <c r="O359">
        <f t="shared" si="62"/>
        <v>0</v>
      </c>
      <c r="R359" t="str">
        <f t="shared" si="64"/>
        <v/>
      </c>
      <c r="T359" s="8" t="str">
        <f t="shared" si="63"/>
        <v/>
      </c>
    </row>
    <row r="360" spans="7:20">
      <c r="G360" t="e">
        <f>INDEX('اسعار الاسهم'!A:B,MATCH(B360,'اسعار الاسهم'!K:K,0),2)</f>
        <v>#N/A</v>
      </c>
      <c r="H360" s="8" t="e">
        <f t="shared" si="57"/>
        <v>#N/A</v>
      </c>
      <c r="I360" s="8" t="e">
        <f t="shared" si="58"/>
        <v>#N/A</v>
      </c>
      <c r="J360" s="8" t="e">
        <f t="shared" si="56"/>
        <v>#N/A</v>
      </c>
      <c r="K360" s="8" t="e">
        <f t="shared" si="59"/>
        <v>#DIV/0!</v>
      </c>
      <c r="L360" s="13" t="e">
        <f t="shared" si="60"/>
        <v>#N/A</v>
      </c>
      <c r="N360">
        <f t="shared" si="61"/>
        <v>0</v>
      </c>
      <c r="O360">
        <f t="shared" si="62"/>
        <v>0</v>
      </c>
      <c r="R360" t="str">
        <f t="shared" si="64"/>
        <v/>
      </c>
      <c r="T360" s="8" t="str">
        <f t="shared" si="63"/>
        <v/>
      </c>
    </row>
    <row r="361" spans="7:20">
      <c r="G361" t="e">
        <f>INDEX('اسعار الاسهم'!A:B,MATCH(B361,'اسعار الاسهم'!K:K,0),2)</f>
        <v>#N/A</v>
      </c>
      <c r="H361" s="8" t="e">
        <f t="shared" si="57"/>
        <v>#N/A</v>
      </c>
      <c r="I361" s="8" t="e">
        <f t="shared" si="58"/>
        <v>#N/A</v>
      </c>
      <c r="J361" s="8" t="e">
        <f t="shared" si="56"/>
        <v>#N/A</v>
      </c>
      <c r="K361" s="8" t="e">
        <f t="shared" si="59"/>
        <v>#DIV/0!</v>
      </c>
      <c r="L361" s="13" t="e">
        <f t="shared" si="60"/>
        <v>#N/A</v>
      </c>
      <c r="N361">
        <f t="shared" si="61"/>
        <v>0</v>
      </c>
      <c r="O361">
        <f t="shared" si="62"/>
        <v>0</v>
      </c>
      <c r="R361" t="str">
        <f t="shared" ref="R361:R392" si="65">IF(Q361, Q361-C361+2,"")</f>
        <v/>
      </c>
      <c r="T361" s="8" t="str">
        <f t="shared" si="63"/>
        <v/>
      </c>
    </row>
    <row r="362" spans="7:20">
      <c r="G362" t="e">
        <f>INDEX('اسعار الاسهم'!A:B,MATCH(B362,'اسعار الاسهم'!K:K,0),2)</f>
        <v>#N/A</v>
      </c>
      <c r="H362" s="8" t="e">
        <f t="shared" si="57"/>
        <v>#N/A</v>
      </c>
      <c r="I362" s="8" t="e">
        <f t="shared" si="58"/>
        <v>#N/A</v>
      </c>
      <c r="J362" s="8" t="e">
        <f t="shared" si="56"/>
        <v>#N/A</v>
      </c>
      <c r="K362" s="8" t="e">
        <f t="shared" si="59"/>
        <v>#DIV/0!</v>
      </c>
      <c r="L362" s="13" t="e">
        <f t="shared" si="60"/>
        <v>#N/A</v>
      </c>
      <c r="N362">
        <f t="shared" si="61"/>
        <v>0</v>
      </c>
      <c r="O362">
        <f t="shared" si="62"/>
        <v>0</v>
      </c>
      <c r="R362" t="str">
        <f t="shared" si="65"/>
        <v/>
      </c>
      <c r="T362" s="8" t="str">
        <f t="shared" si="63"/>
        <v/>
      </c>
    </row>
    <row r="363" spans="7:20">
      <c r="G363" t="e">
        <f>INDEX('اسعار الاسهم'!A:B,MATCH(B363,'اسعار الاسهم'!K:K,0),2)</f>
        <v>#N/A</v>
      </c>
      <c r="H363" s="8" t="e">
        <f t="shared" si="57"/>
        <v>#N/A</v>
      </c>
      <c r="I363" s="8" t="e">
        <f t="shared" si="58"/>
        <v>#N/A</v>
      </c>
      <c r="J363" s="8" t="e">
        <f t="shared" si="56"/>
        <v>#N/A</v>
      </c>
      <c r="K363" s="8" t="e">
        <f t="shared" si="59"/>
        <v>#DIV/0!</v>
      </c>
      <c r="L363" s="13" t="e">
        <f t="shared" si="60"/>
        <v>#N/A</v>
      </c>
      <c r="N363">
        <f t="shared" si="61"/>
        <v>0</v>
      </c>
      <c r="O363">
        <f t="shared" si="62"/>
        <v>0</v>
      </c>
      <c r="R363" t="str">
        <f t="shared" si="65"/>
        <v/>
      </c>
      <c r="T363" s="8" t="str">
        <f t="shared" si="63"/>
        <v/>
      </c>
    </row>
    <row r="364" spans="7:20">
      <c r="G364" t="e">
        <f>INDEX('اسعار الاسهم'!A:B,MATCH(B364,'اسعار الاسهم'!K:K,0),2)</f>
        <v>#N/A</v>
      </c>
      <c r="H364" s="8" t="e">
        <f t="shared" si="57"/>
        <v>#N/A</v>
      </c>
      <c r="I364" s="8" t="e">
        <f t="shared" si="58"/>
        <v>#N/A</v>
      </c>
      <c r="J364" s="8" t="e">
        <f t="shared" si="56"/>
        <v>#N/A</v>
      </c>
      <c r="K364" s="8" t="e">
        <f t="shared" si="59"/>
        <v>#DIV/0!</v>
      </c>
      <c r="L364" s="13" t="e">
        <f t="shared" si="60"/>
        <v>#N/A</v>
      </c>
      <c r="N364">
        <f t="shared" si="61"/>
        <v>0</v>
      </c>
      <c r="O364">
        <f t="shared" si="62"/>
        <v>0</v>
      </c>
      <c r="R364" t="str">
        <f t="shared" si="65"/>
        <v/>
      </c>
      <c r="T364" s="8" t="str">
        <f t="shared" si="63"/>
        <v/>
      </c>
    </row>
    <row r="365" spans="7:20">
      <c r="G365" t="e">
        <f>INDEX('اسعار الاسهم'!A:B,MATCH(B365,'اسعار الاسهم'!K:K,0),2)</f>
        <v>#N/A</v>
      </c>
      <c r="H365" s="8" t="e">
        <f t="shared" si="57"/>
        <v>#N/A</v>
      </c>
      <c r="I365" s="8" t="e">
        <f t="shared" si="58"/>
        <v>#N/A</v>
      </c>
      <c r="J365" s="8" t="e">
        <f t="shared" si="56"/>
        <v>#N/A</v>
      </c>
      <c r="K365" s="8" t="e">
        <f t="shared" si="59"/>
        <v>#DIV/0!</v>
      </c>
      <c r="L365" s="13" t="e">
        <f t="shared" si="60"/>
        <v>#N/A</v>
      </c>
      <c r="N365">
        <f t="shared" si="61"/>
        <v>0</v>
      </c>
      <c r="O365">
        <f t="shared" si="62"/>
        <v>0</v>
      </c>
      <c r="R365" t="str">
        <f t="shared" si="65"/>
        <v/>
      </c>
      <c r="T365" s="8" t="str">
        <f t="shared" si="63"/>
        <v/>
      </c>
    </row>
    <row r="366" spans="7:20">
      <c r="G366" t="e">
        <f>INDEX('اسعار الاسهم'!A:B,MATCH(B366,'اسعار الاسهم'!K:K,0),2)</f>
        <v>#N/A</v>
      </c>
      <c r="H366" s="8" t="e">
        <f t="shared" si="57"/>
        <v>#N/A</v>
      </c>
      <c r="I366" s="8" t="e">
        <f t="shared" si="58"/>
        <v>#N/A</v>
      </c>
      <c r="J366" s="8" t="e">
        <f t="shared" si="56"/>
        <v>#N/A</v>
      </c>
      <c r="K366" s="8" t="e">
        <f t="shared" si="59"/>
        <v>#DIV/0!</v>
      </c>
      <c r="L366" s="13" t="e">
        <f t="shared" si="60"/>
        <v>#N/A</v>
      </c>
      <c r="N366">
        <f t="shared" si="61"/>
        <v>0</v>
      </c>
      <c r="O366">
        <f t="shared" si="62"/>
        <v>0</v>
      </c>
      <c r="R366" t="str">
        <f t="shared" si="65"/>
        <v/>
      </c>
      <c r="T366" s="8" t="str">
        <f t="shared" si="63"/>
        <v/>
      </c>
    </row>
    <row r="367" spans="7:20">
      <c r="G367" t="e">
        <f>INDEX('اسعار الاسهم'!A:B,MATCH(B367,'اسعار الاسهم'!K:K,0),2)</f>
        <v>#N/A</v>
      </c>
      <c r="H367" s="8" t="e">
        <f t="shared" si="57"/>
        <v>#N/A</v>
      </c>
      <c r="I367" s="8" t="e">
        <f t="shared" si="58"/>
        <v>#N/A</v>
      </c>
      <c r="J367" s="8" t="e">
        <f t="shared" si="56"/>
        <v>#N/A</v>
      </c>
      <c r="K367" s="8" t="e">
        <f t="shared" si="59"/>
        <v>#DIV/0!</v>
      </c>
      <c r="L367" s="13" t="e">
        <f t="shared" si="60"/>
        <v>#N/A</v>
      </c>
      <c r="N367">
        <f t="shared" si="61"/>
        <v>0</v>
      </c>
      <c r="O367">
        <f t="shared" si="62"/>
        <v>0</v>
      </c>
      <c r="R367" t="str">
        <f t="shared" si="65"/>
        <v/>
      </c>
      <c r="T367" s="8" t="str">
        <f t="shared" si="63"/>
        <v/>
      </c>
    </row>
    <row r="368" spans="7:20">
      <c r="G368" t="e">
        <f>INDEX('اسعار الاسهم'!A:B,MATCH(B368,'اسعار الاسهم'!K:K,0),2)</f>
        <v>#N/A</v>
      </c>
      <c r="H368" s="8" t="e">
        <f t="shared" si="57"/>
        <v>#N/A</v>
      </c>
      <c r="I368" s="8" t="e">
        <f t="shared" si="58"/>
        <v>#N/A</v>
      </c>
      <c r="J368" s="8" t="e">
        <f t="shared" si="56"/>
        <v>#N/A</v>
      </c>
      <c r="K368" s="8" t="e">
        <f t="shared" si="59"/>
        <v>#DIV/0!</v>
      </c>
      <c r="L368" s="13" t="e">
        <f t="shared" si="60"/>
        <v>#N/A</v>
      </c>
      <c r="N368">
        <f t="shared" si="61"/>
        <v>0</v>
      </c>
      <c r="O368">
        <f t="shared" si="62"/>
        <v>0</v>
      </c>
      <c r="R368" t="str">
        <f t="shared" si="65"/>
        <v/>
      </c>
      <c r="T368" s="8" t="str">
        <f t="shared" si="63"/>
        <v/>
      </c>
    </row>
    <row r="369" spans="7:20">
      <c r="G369" t="e">
        <f>INDEX('اسعار الاسهم'!A:B,MATCH(B369,'اسعار الاسهم'!K:K,0),2)</f>
        <v>#N/A</v>
      </c>
      <c r="H369" s="8" t="e">
        <f t="shared" si="57"/>
        <v>#N/A</v>
      </c>
      <c r="I369" s="8" t="e">
        <f t="shared" si="58"/>
        <v>#N/A</v>
      </c>
      <c r="J369" s="8" t="e">
        <f t="shared" si="56"/>
        <v>#N/A</v>
      </c>
      <c r="K369" s="8" t="e">
        <f t="shared" si="59"/>
        <v>#DIV/0!</v>
      </c>
      <c r="L369" s="13" t="e">
        <f t="shared" si="60"/>
        <v>#N/A</v>
      </c>
      <c r="N369">
        <f t="shared" si="61"/>
        <v>0</v>
      </c>
      <c r="O369">
        <f t="shared" si="62"/>
        <v>0</v>
      </c>
      <c r="R369" t="str">
        <f t="shared" si="65"/>
        <v/>
      </c>
      <c r="T369" s="8" t="str">
        <f t="shared" si="63"/>
        <v/>
      </c>
    </row>
    <row r="370" spans="7:20">
      <c r="G370" t="e">
        <f>INDEX('اسعار الاسهم'!A:B,MATCH(B370,'اسعار الاسهم'!K:K,0),2)</f>
        <v>#N/A</v>
      </c>
      <c r="H370" s="8" t="e">
        <f t="shared" si="57"/>
        <v>#N/A</v>
      </c>
      <c r="I370" s="8" t="e">
        <f t="shared" si="58"/>
        <v>#N/A</v>
      </c>
      <c r="J370" s="8" t="e">
        <f t="shared" si="56"/>
        <v>#N/A</v>
      </c>
      <c r="K370" s="8" t="e">
        <f t="shared" si="59"/>
        <v>#DIV/0!</v>
      </c>
      <c r="L370" s="13" t="e">
        <f t="shared" si="60"/>
        <v>#N/A</v>
      </c>
      <c r="N370">
        <f t="shared" si="61"/>
        <v>0</v>
      </c>
      <c r="O370">
        <f t="shared" si="62"/>
        <v>0</v>
      </c>
      <c r="R370" t="str">
        <f t="shared" si="65"/>
        <v/>
      </c>
      <c r="T370" s="8" t="str">
        <f t="shared" si="63"/>
        <v/>
      </c>
    </row>
    <row r="371" spans="7:20">
      <c r="G371" t="e">
        <f>INDEX('اسعار الاسهم'!A:B,MATCH(B371,'اسعار الاسهم'!K:K,0),2)</f>
        <v>#N/A</v>
      </c>
      <c r="H371" s="8" t="e">
        <f t="shared" si="57"/>
        <v>#N/A</v>
      </c>
      <c r="I371" s="8" t="e">
        <f t="shared" si="58"/>
        <v>#N/A</v>
      </c>
      <c r="J371" s="8" t="e">
        <f t="shared" si="56"/>
        <v>#N/A</v>
      </c>
      <c r="K371" s="8" t="e">
        <f t="shared" si="59"/>
        <v>#DIV/0!</v>
      </c>
      <c r="L371" s="13" t="e">
        <f t="shared" si="60"/>
        <v>#N/A</v>
      </c>
      <c r="N371">
        <f t="shared" si="61"/>
        <v>0</v>
      </c>
      <c r="O371">
        <f t="shared" si="62"/>
        <v>0</v>
      </c>
      <c r="R371" t="str">
        <f t="shared" si="65"/>
        <v/>
      </c>
      <c r="T371" s="8" t="str">
        <f t="shared" si="63"/>
        <v/>
      </c>
    </row>
    <row r="372" spans="7:20">
      <c r="G372" t="e">
        <f>INDEX('اسعار الاسهم'!A:B,MATCH(B372,'اسعار الاسهم'!K:K,0),2)</f>
        <v>#N/A</v>
      </c>
      <c r="H372" s="8" t="e">
        <f t="shared" si="57"/>
        <v>#N/A</v>
      </c>
      <c r="I372" s="8" t="e">
        <f t="shared" si="58"/>
        <v>#N/A</v>
      </c>
      <c r="J372" s="8" t="e">
        <f t="shared" si="56"/>
        <v>#N/A</v>
      </c>
      <c r="K372" s="8" t="e">
        <f t="shared" si="59"/>
        <v>#DIV/0!</v>
      </c>
      <c r="L372" s="13" t="e">
        <f t="shared" si="60"/>
        <v>#N/A</v>
      </c>
      <c r="N372">
        <f t="shared" si="61"/>
        <v>0</v>
      </c>
      <c r="O372">
        <f t="shared" si="62"/>
        <v>0</v>
      </c>
      <c r="R372" t="str">
        <f t="shared" si="65"/>
        <v/>
      </c>
      <c r="T372" s="8" t="str">
        <f t="shared" si="63"/>
        <v/>
      </c>
    </row>
    <row r="373" spans="7:20">
      <c r="G373" t="e">
        <f>INDEX('اسعار الاسهم'!A:B,MATCH(B373,'اسعار الاسهم'!K:K,0),2)</f>
        <v>#N/A</v>
      </c>
      <c r="H373" s="8" t="e">
        <f t="shared" si="57"/>
        <v>#N/A</v>
      </c>
      <c r="I373" s="8" t="e">
        <f t="shared" si="58"/>
        <v>#N/A</v>
      </c>
      <c r="J373" s="8" t="e">
        <f t="shared" si="56"/>
        <v>#N/A</v>
      </c>
      <c r="K373" s="8" t="e">
        <f t="shared" si="59"/>
        <v>#DIV/0!</v>
      </c>
      <c r="L373" s="13" t="e">
        <f t="shared" si="60"/>
        <v>#N/A</v>
      </c>
      <c r="N373">
        <f t="shared" si="61"/>
        <v>0</v>
      </c>
      <c r="O373">
        <f t="shared" si="62"/>
        <v>0</v>
      </c>
      <c r="R373" t="str">
        <f t="shared" si="65"/>
        <v/>
      </c>
      <c r="T373" s="8" t="str">
        <f t="shared" si="63"/>
        <v/>
      </c>
    </row>
    <row r="374" spans="7:20">
      <c r="G374" t="e">
        <f>INDEX('اسعار الاسهم'!A:B,MATCH(B374,'اسعار الاسهم'!K:K,0),2)</f>
        <v>#N/A</v>
      </c>
      <c r="H374" s="8" t="e">
        <f t="shared" si="57"/>
        <v>#N/A</v>
      </c>
      <c r="I374" s="8" t="e">
        <f t="shared" si="58"/>
        <v>#N/A</v>
      </c>
      <c r="J374" s="8" t="e">
        <f t="shared" ref="J374:J420" si="66">IF(P374="",  1-F374/G374,"")</f>
        <v>#N/A</v>
      </c>
      <c r="K374" s="8" t="e">
        <f t="shared" si="59"/>
        <v>#DIV/0!</v>
      </c>
      <c r="L374" s="13" t="e">
        <f t="shared" si="60"/>
        <v>#N/A</v>
      </c>
      <c r="N374">
        <f t="shared" si="61"/>
        <v>0</v>
      </c>
      <c r="O374">
        <f t="shared" si="62"/>
        <v>0</v>
      </c>
      <c r="R374" t="str">
        <f t="shared" si="65"/>
        <v/>
      </c>
      <c r="T374" s="8" t="str">
        <f t="shared" si="63"/>
        <v/>
      </c>
    </row>
    <row r="375" spans="7:20">
      <c r="G375" t="e">
        <f>INDEX('اسعار الاسهم'!A:B,MATCH(B375,'اسعار الاسهم'!K:K,0),2)</f>
        <v>#N/A</v>
      </c>
      <c r="H375" s="8" t="e">
        <f t="shared" si="57"/>
        <v>#N/A</v>
      </c>
      <c r="I375" s="8" t="e">
        <f t="shared" si="58"/>
        <v>#N/A</v>
      </c>
      <c r="J375" s="8" t="e">
        <f t="shared" si="66"/>
        <v>#N/A</v>
      </c>
      <c r="K375" s="8" t="e">
        <f t="shared" si="59"/>
        <v>#DIV/0!</v>
      </c>
      <c r="L375" s="13" t="e">
        <f t="shared" si="60"/>
        <v>#N/A</v>
      </c>
      <c r="N375">
        <f t="shared" si="61"/>
        <v>0</v>
      </c>
      <c r="O375">
        <f t="shared" si="62"/>
        <v>0</v>
      </c>
      <c r="R375" t="str">
        <f t="shared" si="65"/>
        <v/>
      </c>
      <c r="T375" s="8" t="str">
        <f t="shared" si="63"/>
        <v/>
      </c>
    </row>
    <row r="376" spans="7:20">
      <c r="G376" t="e">
        <f>INDEX('اسعار الاسهم'!A:B,MATCH(B376,'اسعار الاسهم'!K:K,0),2)</f>
        <v>#N/A</v>
      </c>
      <c r="H376" s="8" t="e">
        <f t="shared" si="57"/>
        <v>#N/A</v>
      </c>
      <c r="I376" s="8" t="e">
        <f t="shared" si="58"/>
        <v>#N/A</v>
      </c>
      <c r="J376" s="8" t="e">
        <f t="shared" si="66"/>
        <v>#N/A</v>
      </c>
      <c r="K376" s="8" t="e">
        <f t="shared" si="59"/>
        <v>#DIV/0!</v>
      </c>
      <c r="L376" s="13" t="e">
        <f t="shared" si="60"/>
        <v>#N/A</v>
      </c>
      <c r="N376">
        <f t="shared" si="61"/>
        <v>0</v>
      </c>
      <c r="O376">
        <f t="shared" si="62"/>
        <v>0</v>
      </c>
      <c r="R376" t="str">
        <f t="shared" si="65"/>
        <v/>
      </c>
      <c r="T376" s="8" t="str">
        <f t="shared" si="63"/>
        <v/>
      </c>
    </row>
    <row r="377" spans="7:20">
      <c r="G377" t="e">
        <f>INDEX('اسعار الاسهم'!A:B,MATCH(B377,'اسعار الاسهم'!K:K,0),2)</f>
        <v>#N/A</v>
      </c>
      <c r="H377" s="8" t="e">
        <f t="shared" si="57"/>
        <v>#N/A</v>
      </c>
      <c r="I377" s="8" t="e">
        <f t="shared" si="58"/>
        <v>#N/A</v>
      </c>
      <c r="J377" s="8" t="e">
        <f t="shared" si="66"/>
        <v>#N/A</v>
      </c>
      <c r="K377" s="8" t="e">
        <f t="shared" si="59"/>
        <v>#DIV/0!</v>
      </c>
      <c r="L377" s="13" t="e">
        <f t="shared" si="60"/>
        <v>#N/A</v>
      </c>
      <c r="N377">
        <f t="shared" si="61"/>
        <v>0</v>
      </c>
      <c r="O377">
        <f t="shared" si="62"/>
        <v>0</v>
      </c>
      <c r="R377" t="str">
        <f t="shared" si="65"/>
        <v/>
      </c>
      <c r="T377" s="8" t="str">
        <f t="shared" si="63"/>
        <v/>
      </c>
    </row>
    <row r="378" spans="7:20">
      <c r="G378" t="e">
        <f>INDEX('اسعار الاسهم'!A:B,MATCH(B378,'اسعار الاسهم'!K:K,0),2)</f>
        <v>#N/A</v>
      </c>
      <c r="H378" s="8" t="e">
        <f t="shared" si="57"/>
        <v>#N/A</v>
      </c>
      <c r="I378" s="8" t="e">
        <f t="shared" si="58"/>
        <v>#N/A</v>
      </c>
      <c r="J378" s="8" t="e">
        <f t="shared" si="66"/>
        <v>#N/A</v>
      </c>
      <c r="K378" s="8" t="e">
        <f t="shared" si="59"/>
        <v>#DIV/0!</v>
      </c>
      <c r="L378" s="13" t="e">
        <f t="shared" si="60"/>
        <v>#N/A</v>
      </c>
      <c r="N378">
        <f t="shared" si="61"/>
        <v>0</v>
      </c>
      <c r="O378">
        <f t="shared" si="62"/>
        <v>0</v>
      </c>
      <c r="R378" t="str">
        <f t="shared" si="65"/>
        <v/>
      </c>
      <c r="T378" s="8" t="str">
        <f t="shared" si="63"/>
        <v/>
      </c>
    </row>
    <row r="379" spans="7:20">
      <c r="G379" t="e">
        <f>INDEX('اسعار الاسهم'!A:B,MATCH(B379,'اسعار الاسهم'!K:K,0),2)</f>
        <v>#N/A</v>
      </c>
      <c r="H379" s="8" t="e">
        <f t="shared" si="57"/>
        <v>#N/A</v>
      </c>
      <c r="I379" s="8" t="e">
        <f t="shared" si="58"/>
        <v>#N/A</v>
      </c>
      <c r="J379" s="8" t="e">
        <f t="shared" si="66"/>
        <v>#N/A</v>
      </c>
      <c r="K379" s="8" t="e">
        <f t="shared" si="59"/>
        <v>#DIV/0!</v>
      </c>
      <c r="L379" s="13" t="e">
        <f t="shared" si="60"/>
        <v>#N/A</v>
      </c>
      <c r="N379">
        <f t="shared" si="61"/>
        <v>0</v>
      </c>
      <c r="O379">
        <f t="shared" si="62"/>
        <v>0</v>
      </c>
      <c r="R379" t="str">
        <f t="shared" si="65"/>
        <v/>
      </c>
      <c r="T379" s="8" t="str">
        <f t="shared" si="63"/>
        <v/>
      </c>
    </row>
    <row r="380" spans="7:20">
      <c r="G380" t="e">
        <f>INDEX('اسعار الاسهم'!A:B,MATCH(B380,'اسعار الاسهم'!K:K,0),2)</f>
        <v>#N/A</v>
      </c>
      <c r="H380" s="8" t="e">
        <f t="shared" si="57"/>
        <v>#N/A</v>
      </c>
      <c r="I380" s="8" t="e">
        <f t="shared" si="58"/>
        <v>#N/A</v>
      </c>
      <c r="J380" s="8" t="e">
        <f t="shared" si="66"/>
        <v>#N/A</v>
      </c>
      <c r="K380" s="8" t="e">
        <f t="shared" si="59"/>
        <v>#DIV/0!</v>
      </c>
      <c r="L380" s="13" t="e">
        <f t="shared" si="60"/>
        <v>#N/A</v>
      </c>
      <c r="N380">
        <f t="shared" si="61"/>
        <v>0</v>
      </c>
      <c r="O380">
        <f t="shared" si="62"/>
        <v>0</v>
      </c>
      <c r="R380" t="str">
        <f t="shared" si="65"/>
        <v/>
      </c>
      <c r="T380" s="8" t="str">
        <f t="shared" si="63"/>
        <v/>
      </c>
    </row>
    <row r="381" spans="7:20">
      <c r="G381" t="e">
        <f>INDEX('اسعار الاسهم'!A:B,MATCH(B381,'اسعار الاسهم'!K:K,0),2)</f>
        <v>#N/A</v>
      </c>
      <c r="H381" s="8" t="e">
        <f t="shared" si="57"/>
        <v>#N/A</v>
      </c>
      <c r="I381" s="8" t="e">
        <f t="shared" si="58"/>
        <v>#N/A</v>
      </c>
      <c r="J381" s="8" t="e">
        <f t="shared" si="66"/>
        <v>#N/A</v>
      </c>
      <c r="K381" s="8" t="e">
        <f t="shared" si="59"/>
        <v>#DIV/0!</v>
      </c>
      <c r="L381" s="13" t="e">
        <f t="shared" si="60"/>
        <v>#N/A</v>
      </c>
      <c r="N381">
        <f t="shared" si="61"/>
        <v>0</v>
      </c>
      <c r="O381">
        <f t="shared" si="62"/>
        <v>0</v>
      </c>
      <c r="R381" t="str">
        <f t="shared" si="65"/>
        <v/>
      </c>
      <c r="T381" s="8" t="str">
        <f t="shared" si="63"/>
        <v/>
      </c>
    </row>
    <row r="382" spans="7:20">
      <c r="G382" t="e">
        <f>INDEX('اسعار الاسهم'!A:B,MATCH(B382,'اسعار الاسهم'!K:K,0),2)</f>
        <v>#N/A</v>
      </c>
      <c r="H382" s="8" t="e">
        <f t="shared" si="57"/>
        <v>#N/A</v>
      </c>
      <c r="I382" s="8" t="e">
        <f t="shared" si="58"/>
        <v>#N/A</v>
      </c>
      <c r="J382" s="8" t="e">
        <f t="shared" si="66"/>
        <v>#N/A</v>
      </c>
      <c r="K382" s="8" t="e">
        <f t="shared" si="59"/>
        <v>#DIV/0!</v>
      </c>
      <c r="L382" s="13" t="e">
        <f t="shared" si="60"/>
        <v>#N/A</v>
      </c>
      <c r="N382">
        <f t="shared" si="61"/>
        <v>0</v>
      </c>
      <c r="O382">
        <f t="shared" si="62"/>
        <v>0</v>
      </c>
      <c r="R382" t="str">
        <f t="shared" si="65"/>
        <v/>
      </c>
      <c r="T382" s="8" t="str">
        <f t="shared" si="63"/>
        <v/>
      </c>
    </row>
    <row r="383" spans="7:20">
      <c r="G383" t="e">
        <f>INDEX('اسعار الاسهم'!A:B,MATCH(B383,'اسعار الاسهم'!K:K,0),2)</f>
        <v>#N/A</v>
      </c>
      <c r="H383" s="8" t="e">
        <f t="shared" si="57"/>
        <v>#N/A</v>
      </c>
      <c r="I383" s="8" t="e">
        <f t="shared" si="58"/>
        <v>#N/A</v>
      </c>
      <c r="J383" s="8" t="e">
        <f t="shared" si="66"/>
        <v>#N/A</v>
      </c>
      <c r="K383" s="8" t="e">
        <f t="shared" si="59"/>
        <v>#DIV/0!</v>
      </c>
      <c r="L383" s="13" t="e">
        <f t="shared" si="60"/>
        <v>#N/A</v>
      </c>
      <c r="N383">
        <f t="shared" si="61"/>
        <v>0</v>
      </c>
      <c r="O383">
        <f t="shared" si="62"/>
        <v>0</v>
      </c>
      <c r="R383" t="str">
        <f t="shared" si="65"/>
        <v/>
      </c>
      <c r="T383" s="8" t="str">
        <f t="shared" si="63"/>
        <v/>
      </c>
    </row>
    <row r="384" spans="7:20">
      <c r="G384" t="e">
        <f>INDEX('اسعار الاسهم'!A:B,MATCH(B384,'اسعار الاسهم'!K:K,0),2)</f>
        <v>#N/A</v>
      </c>
      <c r="H384" s="8" t="e">
        <f t="shared" si="57"/>
        <v>#N/A</v>
      </c>
      <c r="I384" s="8" t="e">
        <f t="shared" si="58"/>
        <v>#N/A</v>
      </c>
      <c r="J384" s="8" t="e">
        <f t="shared" si="66"/>
        <v>#N/A</v>
      </c>
      <c r="K384" s="8" t="e">
        <f t="shared" si="59"/>
        <v>#DIV/0!</v>
      </c>
      <c r="L384" s="13" t="e">
        <f t="shared" si="60"/>
        <v>#N/A</v>
      </c>
      <c r="N384">
        <f t="shared" si="61"/>
        <v>0</v>
      </c>
      <c r="O384">
        <f t="shared" si="62"/>
        <v>0</v>
      </c>
      <c r="R384" t="str">
        <f t="shared" si="65"/>
        <v/>
      </c>
      <c r="T384" s="8" t="str">
        <f t="shared" si="63"/>
        <v/>
      </c>
    </row>
    <row r="385" spans="7:20">
      <c r="G385" t="e">
        <f>INDEX('اسعار الاسهم'!A:B,MATCH(B385,'اسعار الاسهم'!K:K,0),2)</f>
        <v>#N/A</v>
      </c>
      <c r="H385" s="8" t="e">
        <f t="shared" si="57"/>
        <v>#N/A</v>
      </c>
      <c r="I385" s="8" t="e">
        <f t="shared" si="58"/>
        <v>#N/A</v>
      </c>
      <c r="J385" s="8" t="e">
        <f t="shared" si="66"/>
        <v>#N/A</v>
      </c>
      <c r="K385" s="8" t="e">
        <f t="shared" si="59"/>
        <v>#DIV/0!</v>
      </c>
      <c r="L385" s="13" t="e">
        <f t="shared" si="60"/>
        <v>#N/A</v>
      </c>
      <c r="N385">
        <f t="shared" si="61"/>
        <v>0</v>
      </c>
      <c r="O385">
        <f t="shared" si="62"/>
        <v>0</v>
      </c>
      <c r="R385" t="str">
        <f t="shared" si="65"/>
        <v/>
      </c>
      <c r="T385" s="8" t="str">
        <f t="shared" si="63"/>
        <v/>
      </c>
    </row>
    <row r="386" spans="7:20">
      <c r="G386" t="e">
        <f>INDEX('اسعار الاسهم'!A:B,MATCH(B386,'اسعار الاسهم'!K:K,0),2)</f>
        <v>#N/A</v>
      </c>
      <c r="H386" s="8" t="e">
        <f t="shared" ref="H386:H420" si="67">IF(P386="", G386/D386-1,"")</f>
        <v>#N/A</v>
      </c>
      <c r="I386" s="8" t="e">
        <f t="shared" ref="I386:I420" si="68">IF(P386="", E386/G386-1,"")</f>
        <v>#N/A</v>
      </c>
      <c r="J386" s="8" t="e">
        <f t="shared" si="66"/>
        <v>#N/A</v>
      </c>
      <c r="K386" s="8" t="e">
        <f t="shared" ref="K386:K420" si="69">E386/F386-1</f>
        <v>#DIV/0!</v>
      </c>
      <c r="L386" s="13" t="e">
        <f t="shared" ref="L386:L420" si="70">IF( S386="",I386/J386,"")</f>
        <v>#N/A</v>
      </c>
      <c r="N386">
        <f t="shared" ref="N386:N420" si="71">COUNTIFS(B:B,B386,Q:Q,"")</f>
        <v>0</v>
      </c>
      <c r="O386">
        <f t="shared" ref="O386:O420" si="72">COUNTIFS(B:B,B386)</f>
        <v>0</v>
      </c>
      <c r="R386" t="str">
        <f t="shared" si="65"/>
        <v/>
      </c>
      <c r="T386" s="8" t="str">
        <f t="shared" ref="T386:T420" si="73">IF(NOT( S386=""),IF(P386=1,E386/D386-1,F386/D386-1),"")</f>
        <v/>
      </c>
    </row>
    <row r="387" spans="7:20">
      <c r="G387" t="e">
        <f>INDEX('اسعار الاسهم'!A:B,MATCH(B387,'اسعار الاسهم'!K:K,0),2)</f>
        <v>#N/A</v>
      </c>
      <c r="H387" s="8" t="e">
        <f t="shared" si="67"/>
        <v>#N/A</v>
      </c>
      <c r="I387" s="8" t="e">
        <f t="shared" si="68"/>
        <v>#N/A</v>
      </c>
      <c r="J387" s="8" t="e">
        <f t="shared" si="66"/>
        <v>#N/A</v>
      </c>
      <c r="K387" s="8" t="e">
        <f t="shared" si="69"/>
        <v>#DIV/0!</v>
      </c>
      <c r="L387" s="13" t="e">
        <f t="shared" si="70"/>
        <v>#N/A</v>
      </c>
      <c r="N387">
        <f t="shared" si="71"/>
        <v>0</v>
      </c>
      <c r="O387">
        <f t="shared" si="72"/>
        <v>0</v>
      </c>
      <c r="R387" t="str">
        <f t="shared" si="65"/>
        <v/>
      </c>
      <c r="T387" s="8" t="str">
        <f t="shared" si="73"/>
        <v/>
      </c>
    </row>
    <row r="388" spans="7:20">
      <c r="G388" t="e">
        <f>INDEX('اسعار الاسهم'!A:B,MATCH(B388,'اسعار الاسهم'!K:K,0),2)</f>
        <v>#N/A</v>
      </c>
      <c r="H388" s="8" t="e">
        <f t="shared" si="67"/>
        <v>#N/A</v>
      </c>
      <c r="I388" s="8" t="e">
        <f t="shared" si="68"/>
        <v>#N/A</v>
      </c>
      <c r="J388" s="8" t="e">
        <f t="shared" si="66"/>
        <v>#N/A</v>
      </c>
      <c r="K388" s="8" t="e">
        <f t="shared" si="69"/>
        <v>#DIV/0!</v>
      </c>
      <c r="L388" s="13" t="e">
        <f t="shared" si="70"/>
        <v>#N/A</v>
      </c>
      <c r="N388">
        <f t="shared" si="71"/>
        <v>0</v>
      </c>
      <c r="O388">
        <f t="shared" si="72"/>
        <v>0</v>
      </c>
      <c r="R388" t="str">
        <f t="shared" si="65"/>
        <v/>
      </c>
      <c r="T388" s="8" t="str">
        <f t="shared" si="73"/>
        <v/>
      </c>
    </row>
    <row r="389" spans="7:20">
      <c r="G389" t="e">
        <f>INDEX('اسعار الاسهم'!A:B,MATCH(B389,'اسعار الاسهم'!K:K,0),2)</f>
        <v>#N/A</v>
      </c>
      <c r="H389" s="8" t="e">
        <f t="shared" si="67"/>
        <v>#N/A</v>
      </c>
      <c r="I389" s="8" t="e">
        <f t="shared" si="68"/>
        <v>#N/A</v>
      </c>
      <c r="J389" s="8" t="e">
        <f t="shared" si="66"/>
        <v>#N/A</v>
      </c>
      <c r="K389" s="8" t="e">
        <f t="shared" si="69"/>
        <v>#DIV/0!</v>
      </c>
      <c r="L389" s="13" t="e">
        <f t="shared" si="70"/>
        <v>#N/A</v>
      </c>
      <c r="N389">
        <f t="shared" si="71"/>
        <v>0</v>
      </c>
      <c r="O389">
        <f t="shared" si="72"/>
        <v>0</v>
      </c>
      <c r="R389" t="str">
        <f t="shared" si="65"/>
        <v/>
      </c>
      <c r="T389" s="8" t="str">
        <f t="shared" si="73"/>
        <v/>
      </c>
    </row>
    <row r="390" spans="7:20">
      <c r="G390" t="e">
        <f>INDEX('اسعار الاسهم'!A:B,MATCH(B390,'اسعار الاسهم'!K:K,0),2)</f>
        <v>#N/A</v>
      </c>
      <c r="H390" s="8" t="e">
        <f t="shared" si="67"/>
        <v>#N/A</v>
      </c>
      <c r="I390" s="8" t="e">
        <f t="shared" si="68"/>
        <v>#N/A</v>
      </c>
      <c r="J390" s="8" t="e">
        <f t="shared" si="66"/>
        <v>#N/A</v>
      </c>
      <c r="K390" s="8" t="e">
        <f t="shared" si="69"/>
        <v>#DIV/0!</v>
      </c>
      <c r="L390" s="13" t="e">
        <f t="shared" si="70"/>
        <v>#N/A</v>
      </c>
      <c r="N390">
        <f t="shared" si="71"/>
        <v>0</v>
      </c>
      <c r="O390">
        <f t="shared" si="72"/>
        <v>0</v>
      </c>
      <c r="R390" t="str">
        <f t="shared" si="65"/>
        <v/>
      </c>
      <c r="T390" s="8" t="str">
        <f t="shared" si="73"/>
        <v/>
      </c>
    </row>
    <row r="391" spans="7:20">
      <c r="G391" t="e">
        <f>INDEX('اسعار الاسهم'!A:B,MATCH(B391,'اسعار الاسهم'!K:K,0),2)</f>
        <v>#N/A</v>
      </c>
      <c r="H391" s="8" t="e">
        <f t="shared" si="67"/>
        <v>#N/A</v>
      </c>
      <c r="I391" s="8" t="e">
        <f t="shared" si="68"/>
        <v>#N/A</v>
      </c>
      <c r="J391" s="8" t="e">
        <f t="shared" si="66"/>
        <v>#N/A</v>
      </c>
      <c r="K391" s="8" t="e">
        <f t="shared" si="69"/>
        <v>#DIV/0!</v>
      </c>
      <c r="L391" s="13" t="e">
        <f t="shared" si="70"/>
        <v>#N/A</v>
      </c>
      <c r="N391">
        <f t="shared" si="71"/>
        <v>0</v>
      </c>
      <c r="O391">
        <f t="shared" si="72"/>
        <v>0</v>
      </c>
      <c r="R391" t="str">
        <f t="shared" si="65"/>
        <v/>
      </c>
      <c r="T391" s="8" t="str">
        <f t="shared" si="73"/>
        <v/>
      </c>
    </row>
    <row r="392" spans="7:20">
      <c r="G392" t="e">
        <f>INDEX('اسعار الاسهم'!A:B,MATCH(B392,'اسعار الاسهم'!K:K,0),2)</f>
        <v>#N/A</v>
      </c>
      <c r="H392" s="8" t="e">
        <f t="shared" si="67"/>
        <v>#N/A</v>
      </c>
      <c r="I392" s="8" t="e">
        <f t="shared" si="68"/>
        <v>#N/A</v>
      </c>
      <c r="J392" s="8" t="e">
        <f t="shared" si="66"/>
        <v>#N/A</v>
      </c>
      <c r="K392" s="8" t="e">
        <f t="shared" si="69"/>
        <v>#DIV/0!</v>
      </c>
      <c r="L392" s="13" t="e">
        <f t="shared" si="70"/>
        <v>#N/A</v>
      </c>
      <c r="N392">
        <f t="shared" si="71"/>
        <v>0</v>
      </c>
      <c r="O392">
        <f t="shared" si="72"/>
        <v>0</v>
      </c>
      <c r="R392" t="str">
        <f t="shared" si="65"/>
        <v/>
      </c>
      <c r="T392" s="8" t="str">
        <f t="shared" si="73"/>
        <v/>
      </c>
    </row>
    <row r="393" spans="7:20">
      <c r="G393" t="e">
        <f>INDEX('اسعار الاسهم'!A:B,MATCH(B393,'اسعار الاسهم'!K:K,0),2)</f>
        <v>#N/A</v>
      </c>
      <c r="H393" s="8" t="e">
        <f t="shared" si="67"/>
        <v>#N/A</v>
      </c>
      <c r="I393" s="8" t="e">
        <f t="shared" si="68"/>
        <v>#N/A</v>
      </c>
      <c r="J393" s="8" t="e">
        <f t="shared" si="66"/>
        <v>#N/A</v>
      </c>
      <c r="K393" s="8" t="e">
        <f t="shared" si="69"/>
        <v>#DIV/0!</v>
      </c>
      <c r="L393" s="13" t="e">
        <f t="shared" si="70"/>
        <v>#N/A</v>
      </c>
      <c r="N393">
        <f t="shared" si="71"/>
        <v>0</v>
      </c>
      <c r="O393">
        <f t="shared" si="72"/>
        <v>0</v>
      </c>
      <c r="R393" t="str">
        <f t="shared" ref="R393:R420" si="74">IF(Q393, Q393-C393+2,"")</f>
        <v/>
      </c>
      <c r="T393" s="8" t="str">
        <f t="shared" si="73"/>
        <v/>
      </c>
    </row>
    <row r="394" spans="7:20">
      <c r="G394" t="e">
        <f>INDEX('اسعار الاسهم'!A:B,MATCH(B394,'اسعار الاسهم'!K:K,0),2)</f>
        <v>#N/A</v>
      </c>
      <c r="H394" s="8" t="e">
        <f t="shared" si="67"/>
        <v>#N/A</v>
      </c>
      <c r="I394" s="8" t="e">
        <f t="shared" si="68"/>
        <v>#N/A</v>
      </c>
      <c r="J394" s="8" t="e">
        <f t="shared" si="66"/>
        <v>#N/A</v>
      </c>
      <c r="K394" s="8" t="e">
        <f t="shared" si="69"/>
        <v>#DIV/0!</v>
      </c>
      <c r="L394" s="13" t="e">
        <f t="shared" si="70"/>
        <v>#N/A</v>
      </c>
      <c r="N394">
        <f t="shared" si="71"/>
        <v>0</v>
      </c>
      <c r="O394">
        <f t="shared" si="72"/>
        <v>0</v>
      </c>
      <c r="R394" t="str">
        <f t="shared" si="74"/>
        <v/>
      </c>
      <c r="T394" s="8" t="str">
        <f t="shared" si="73"/>
        <v/>
      </c>
    </row>
    <row r="395" spans="7:20">
      <c r="G395" t="e">
        <f>INDEX('اسعار الاسهم'!A:B,MATCH(B395,'اسعار الاسهم'!K:K,0),2)</f>
        <v>#N/A</v>
      </c>
      <c r="H395" s="8" t="e">
        <f t="shared" si="67"/>
        <v>#N/A</v>
      </c>
      <c r="I395" s="8" t="e">
        <f t="shared" si="68"/>
        <v>#N/A</v>
      </c>
      <c r="J395" s="8" t="e">
        <f t="shared" si="66"/>
        <v>#N/A</v>
      </c>
      <c r="K395" s="8" t="e">
        <f t="shared" si="69"/>
        <v>#DIV/0!</v>
      </c>
      <c r="L395" s="13" t="e">
        <f t="shared" si="70"/>
        <v>#N/A</v>
      </c>
      <c r="N395">
        <f t="shared" si="71"/>
        <v>0</v>
      </c>
      <c r="O395">
        <f t="shared" si="72"/>
        <v>0</v>
      </c>
      <c r="R395" t="str">
        <f t="shared" si="74"/>
        <v/>
      </c>
      <c r="T395" s="8" t="str">
        <f t="shared" si="73"/>
        <v/>
      </c>
    </row>
    <row r="396" spans="7:20">
      <c r="G396" t="e">
        <f>INDEX('اسعار الاسهم'!A:B,MATCH(B396,'اسعار الاسهم'!K:K,0),2)</f>
        <v>#N/A</v>
      </c>
      <c r="H396" s="8" t="e">
        <f t="shared" si="67"/>
        <v>#N/A</v>
      </c>
      <c r="I396" s="8" t="e">
        <f t="shared" si="68"/>
        <v>#N/A</v>
      </c>
      <c r="J396" s="8" t="e">
        <f t="shared" si="66"/>
        <v>#N/A</v>
      </c>
      <c r="K396" s="8" t="e">
        <f t="shared" si="69"/>
        <v>#DIV/0!</v>
      </c>
      <c r="L396" s="13" t="e">
        <f t="shared" si="70"/>
        <v>#N/A</v>
      </c>
      <c r="N396">
        <f t="shared" si="71"/>
        <v>0</v>
      </c>
      <c r="O396">
        <f t="shared" si="72"/>
        <v>0</v>
      </c>
      <c r="R396" t="str">
        <f t="shared" si="74"/>
        <v/>
      </c>
      <c r="T396" s="8" t="str">
        <f t="shared" si="73"/>
        <v/>
      </c>
    </row>
    <row r="397" spans="7:20">
      <c r="G397" t="e">
        <f>INDEX('اسعار الاسهم'!A:B,MATCH(B397,'اسعار الاسهم'!K:K,0),2)</f>
        <v>#N/A</v>
      </c>
      <c r="H397" s="8" t="e">
        <f t="shared" si="67"/>
        <v>#N/A</v>
      </c>
      <c r="I397" s="8" t="e">
        <f t="shared" si="68"/>
        <v>#N/A</v>
      </c>
      <c r="J397" s="8" t="e">
        <f t="shared" si="66"/>
        <v>#N/A</v>
      </c>
      <c r="K397" s="8" t="e">
        <f t="shared" si="69"/>
        <v>#DIV/0!</v>
      </c>
      <c r="L397" s="13" t="e">
        <f t="shared" si="70"/>
        <v>#N/A</v>
      </c>
      <c r="N397">
        <f t="shared" si="71"/>
        <v>0</v>
      </c>
      <c r="O397">
        <f t="shared" si="72"/>
        <v>0</v>
      </c>
      <c r="R397" t="str">
        <f t="shared" si="74"/>
        <v/>
      </c>
      <c r="T397" s="8" t="str">
        <f t="shared" si="73"/>
        <v/>
      </c>
    </row>
    <row r="398" spans="7:20">
      <c r="G398" t="e">
        <f>INDEX('اسعار الاسهم'!A:B,MATCH(B398,'اسعار الاسهم'!K:K,0),2)</f>
        <v>#N/A</v>
      </c>
      <c r="H398" s="8" t="e">
        <f t="shared" si="67"/>
        <v>#N/A</v>
      </c>
      <c r="I398" s="8" t="e">
        <f t="shared" si="68"/>
        <v>#N/A</v>
      </c>
      <c r="J398" s="8" t="e">
        <f t="shared" si="66"/>
        <v>#N/A</v>
      </c>
      <c r="K398" s="8" t="e">
        <f t="shared" si="69"/>
        <v>#DIV/0!</v>
      </c>
      <c r="L398" s="13" t="e">
        <f t="shared" si="70"/>
        <v>#N/A</v>
      </c>
      <c r="N398">
        <f t="shared" si="71"/>
        <v>0</v>
      </c>
      <c r="O398">
        <f t="shared" si="72"/>
        <v>0</v>
      </c>
      <c r="R398" t="str">
        <f t="shared" si="74"/>
        <v/>
      </c>
      <c r="T398" s="8" t="str">
        <f t="shared" si="73"/>
        <v/>
      </c>
    </row>
    <row r="399" spans="7:20">
      <c r="G399" t="e">
        <f>INDEX('اسعار الاسهم'!A:B,MATCH(B399,'اسعار الاسهم'!K:K,0),2)</f>
        <v>#N/A</v>
      </c>
      <c r="H399" s="8" t="e">
        <f t="shared" si="67"/>
        <v>#N/A</v>
      </c>
      <c r="I399" s="8" t="e">
        <f t="shared" si="68"/>
        <v>#N/A</v>
      </c>
      <c r="J399" s="8" t="e">
        <f t="shared" si="66"/>
        <v>#N/A</v>
      </c>
      <c r="K399" s="8" t="e">
        <f t="shared" si="69"/>
        <v>#DIV/0!</v>
      </c>
      <c r="L399" s="13" t="e">
        <f t="shared" si="70"/>
        <v>#N/A</v>
      </c>
      <c r="N399">
        <f t="shared" si="71"/>
        <v>0</v>
      </c>
      <c r="O399">
        <f t="shared" si="72"/>
        <v>0</v>
      </c>
      <c r="R399" t="str">
        <f t="shared" si="74"/>
        <v/>
      </c>
      <c r="T399" s="8" t="str">
        <f t="shared" si="73"/>
        <v/>
      </c>
    </row>
    <row r="400" spans="7:20">
      <c r="G400" t="e">
        <f>INDEX('اسعار الاسهم'!A:B,MATCH(B400,'اسعار الاسهم'!K:K,0),2)</f>
        <v>#N/A</v>
      </c>
      <c r="H400" s="8" t="e">
        <f t="shared" si="67"/>
        <v>#N/A</v>
      </c>
      <c r="I400" s="8" t="e">
        <f t="shared" si="68"/>
        <v>#N/A</v>
      </c>
      <c r="J400" s="8" t="e">
        <f t="shared" si="66"/>
        <v>#N/A</v>
      </c>
      <c r="K400" s="8" t="e">
        <f t="shared" si="69"/>
        <v>#DIV/0!</v>
      </c>
      <c r="L400" s="13" t="e">
        <f t="shared" si="70"/>
        <v>#N/A</v>
      </c>
      <c r="N400">
        <f t="shared" si="71"/>
        <v>0</v>
      </c>
      <c r="O400">
        <f t="shared" si="72"/>
        <v>0</v>
      </c>
      <c r="R400" t="str">
        <f t="shared" si="74"/>
        <v/>
      </c>
      <c r="T400" s="8" t="str">
        <f t="shared" si="73"/>
        <v/>
      </c>
    </row>
    <row r="401" spans="7:20">
      <c r="G401" t="e">
        <f>INDEX('اسعار الاسهم'!A:B,MATCH(B401,'اسعار الاسهم'!K:K,0),2)</f>
        <v>#N/A</v>
      </c>
      <c r="H401" s="8" t="e">
        <f t="shared" si="67"/>
        <v>#N/A</v>
      </c>
      <c r="I401" s="8" t="e">
        <f t="shared" si="68"/>
        <v>#N/A</v>
      </c>
      <c r="J401" s="8" t="e">
        <f t="shared" si="66"/>
        <v>#N/A</v>
      </c>
      <c r="K401" s="8" t="e">
        <f t="shared" si="69"/>
        <v>#DIV/0!</v>
      </c>
      <c r="L401" s="13" t="e">
        <f t="shared" si="70"/>
        <v>#N/A</v>
      </c>
      <c r="N401">
        <f t="shared" si="71"/>
        <v>0</v>
      </c>
      <c r="O401">
        <f t="shared" si="72"/>
        <v>0</v>
      </c>
      <c r="R401" t="str">
        <f t="shared" si="74"/>
        <v/>
      </c>
      <c r="T401" s="8" t="str">
        <f t="shared" si="73"/>
        <v/>
      </c>
    </row>
    <row r="402" spans="7:20">
      <c r="G402" t="e">
        <f>INDEX('اسعار الاسهم'!A:B,MATCH(B402,'اسعار الاسهم'!K:K,0),2)</f>
        <v>#N/A</v>
      </c>
      <c r="H402" s="8" t="e">
        <f t="shared" si="67"/>
        <v>#N/A</v>
      </c>
      <c r="I402" s="8" t="e">
        <f t="shared" si="68"/>
        <v>#N/A</v>
      </c>
      <c r="J402" s="8" t="e">
        <f t="shared" si="66"/>
        <v>#N/A</v>
      </c>
      <c r="K402" s="8" t="e">
        <f t="shared" si="69"/>
        <v>#DIV/0!</v>
      </c>
      <c r="L402" s="13" t="e">
        <f t="shared" si="70"/>
        <v>#N/A</v>
      </c>
      <c r="N402">
        <f t="shared" si="71"/>
        <v>0</v>
      </c>
      <c r="O402">
        <f t="shared" si="72"/>
        <v>0</v>
      </c>
      <c r="R402" t="str">
        <f t="shared" si="74"/>
        <v/>
      </c>
      <c r="T402" s="8" t="str">
        <f t="shared" si="73"/>
        <v/>
      </c>
    </row>
    <row r="403" spans="7:20">
      <c r="G403" t="e">
        <f>INDEX('اسعار الاسهم'!A:B,MATCH(B403,'اسعار الاسهم'!K:K,0),2)</f>
        <v>#N/A</v>
      </c>
      <c r="H403" s="8" t="e">
        <f t="shared" si="67"/>
        <v>#N/A</v>
      </c>
      <c r="I403" s="8" t="e">
        <f t="shared" si="68"/>
        <v>#N/A</v>
      </c>
      <c r="J403" s="8" t="e">
        <f t="shared" si="66"/>
        <v>#N/A</v>
      </c>
      <c r="K403" s="8" t="e">
        <f t="shared" si="69"/>
        <v>#DIV/0!</v>
      </c>
      <c r="L403" s="13" t="e">
        <f t="shared" si="70"/>
        <v>#N/A</v>
      </c>
      <c r="N403">
        <f t="shared" si="71"/>
        <v>0</v>
      </c>
      <c r="O403">
        <f t="shared" si="72"/>
        <v>0</v>
      </c>
      <c r="R403" t="str">
        <f t="shared" si="74"/>
        <v/>
      </c>
      <c r="T403" s="8" t="str">
        <f t="shared" si="73"/>
        <v/>
      </c>
    </row>
    <row r="404" spans="7:20">
      <c r="G404" t="e">
        <f>INDEX('اسعار الاسهم'!A:B,MATCH(B404,'اسعار الاسهم'!K:K,0),2)</f>
        <v>#N/A</v>
      </c>
      <c r="H404" s="8" t="e">
        <f t="shared" si="67"/>
        <v>#N/A</v>
      </c>
      <c r="I404" s="8" t="e">
        <f t="shared" si="68"/>
        <v>#N/A</v>
      </c>
      <c r="J404" s="8" t="e">
        <f t="shared" si="66"/>
        <v>#N/A</v>
      </c>
      <c r="K404" s="8" t="e">
        <f t="shared" si="69"/>
        <v>#DIV/0!</v>
      </c>
      <c r="L404" s="13" t="e">
        <f t="shared" si="70"/>
        <v>#N/A</v>
      </c>
      <c r="N404">
        <f t="shared" si="71"/>
        <v>0</v>
      </c>
      <c r="O404">
        <f t="shared" si="72"/>
        <v>0</v>
      </c>
      <c r="R404" t="str">
        <f t="shared" si="74"/>
        <v/>
      </c>
      <c r="T404" s="8" t="str">
        <f t="shared" si="73"/>
        <v/>
      </c>
    </row>
    <row r="405" spans="7:20">
      <c r="G405" t="e">
        <f>INDEX('اسعار الاسهم'!A:B,MATCH(B405,'اسعار الاسهم'!K:K,0),2)</f>
        <v>#N/A</v>
      </c>
      <c r="H405" s="8" t="e">
        <f t="shared" si="67"/>
        <v>#N/A</v>
      </c>
      <c r="I405" s="8" t="e">
        <f t="shared" si="68"/>
        <v>#N/A</v>
      </c>
      <c r="J405" s="8" t="e">
        <f t="shared" si="66"/>
        <v>#N/A</v>
      </c>
      <c r="K405" s="8" t="e">
        <f t="shared" si="69"/>
        <v>#DIV/0!</v>
      </c>
      <c r="L405" s="13" t="e">
        <f t="shared" si="70"/>
        <v>#N/A</v>
      </c>
      <c r="N405">
        <f t="shared" si="71"/>
        <v>0</v>
      </c>
      <c r="O405">
        <f t="shared" si="72"/>
        <v>0</v>
      </c>
      <c r="R405" t="str">
        <f t="shared" si="74"/>
        <v/>
      </c>
      <c r="T405" s="8" t="str">
        <f t="shared" si="73"/>
        <v/>
      </c>
    </row>
    <row r="406" spans="7:20">
      <c r="G406" t="e">
        <f>INDEX('اسعار الاسهم'!A:B,MATCH(B406,'اسعار الاسهم'!K:K,0),2)</f>
        <v>#N/A</v>
      </c>
      <c r="H406" s="8" t="e">
        <f t="shared" si="67"/>
        <v>#N/A</v>
      </c>
      <c r="I406" s="8" t="e">
        <f t="shared" si="68"/>
        <v>#N/A</v>
      </c>
      <c r="J406" s="8" t="e">
        <f t="shared" si="66"/>
        <v>#N/A</v>
      </c>
      <c r="K406" s="8" t="e">
        <f t="shared" si="69"/>
        <v>#DIV/0!</v>
      </c>
      <c r="L406" s="13" t="e">
        <f t="shared" si="70"/>
        <v>#N/A</v>
      </c>
      <c r="N406">
        <f t="shared" si="71"/>
        <v>0</v>
      </c>
      <c r="O406">
        <f t="shared" si="72"/>
        <v>0</v>
      </c>
      <c r="R406" t="str">
        <f t="shared" si="74"/>
        <v/>
      </c>
      <c r="T406" s="8" t="str">
        <f t="shared" si="73"/>
        <v/>
      </c>
    </row>
    <row r="407" spans="7:20">
      <c r="G407" t="e">
        <f>INDEX('اسعار الاسهم'!A:B,MATCH(B407,'اسعار الاسهم'!K:K,0),2)</f>
        <v>#N/A</v>
      </c>
      <c r="H407" s="8" t="e">
        <f t="shared" si="67"/>
        <v>#N/A</v>
      </c>
      <c r="I407" s="8" t="e">
        <f t="shared" si="68"/>
        <v>#N/A</v>
      </c>
      <c r="J407" s="8" t="e">
        <f t="shared" si="66"/>
        <v>#N/A</v>
      </c>
      <c r="K407" s="8" t="e">
        <f t="shared" si="69"/>
        <v>#DIV/0!</v>
      </c>
      <c r="L407" s="13" t="e">
        <f t="shared" si="70"/>
        <v>#N/A</v>
      </c>
      <c r="N407">
        <f t="shared" si="71"/>
        <v>0</v>
      </c>
      <c r="O407">
        <f t="shared" si="72"/>
        <v>0</v>
      </c>
      <c r="R407" t="str">
        <f t="shared" si="74"/>
        <v/>
      </c>
      <c r="T407" s="8" t="str">
        <f t="shared" si="73"/>
        <v/>
      </c>
    </row>
    <row r="408" spans="7:20">
      <c r="G408" t="e">
        <f>INDEX('اسعار الاسهم'!A:B,MATCH(B408,'اسعار الاسهم'!K:K,0),2)</f>
        <v>#N/A</v>
      </c>
      <c r="H408" s="8" t="e">
        <f t="shared" si="67"/>
        <v>#N/A</v>
      </c>
      <c r="I408" s="8" t="e">
        <f t="shared" si="68"/>
        <v>#N/A</v>
      </c>
      <c r="J408" s="8" t="e">
        <f t="shared" si="66"/>
        <v>#N/A</v>
      </c>
      <c r="K408" s="8" t="e">
        <f t="shared" si="69"/>
        <v>#DIV/0!</v>
      </c>
      <c r="L408" s="13" t="e">
        <f t="shared" si="70"/>
        <v>#N/A</v>
      </c>
      <c r="N408">
        <f t="shared" si="71"/>
        <v>0</v>
      </c>
      <c r="O408">
        <f t="shared" si="72"/>
        <v>0</v>
      </c>
      <c r="R408" t="str">
        <f t="shared" si="74"/>
        <v/>
      </c>
      <c r="T408" s="8" t="str">
        <f t="shared" si="73"/>
        <v/>
      </c>
    </row>
    <row r="409" spans="7:20">
      <c r="G409" t="e">
        <f>INDEX('اسعار الاسهم'!A:B,MATCH(B409,'اسعار الاسهم'!K:K,0),2)</f>
        <v>#N/A</v>
      </c>
      <c r="H409" s="8" t="e">
        <f t="shared" si="67"/>
        <v>#N/A</v>
      </c>
      <c r="I409" s="8" t="e">
        <f t="shared" si="68"/>
        <v>#N/A</v>
      </c>
      <c r="J409" s="8" t="e">
        <f t="shared" si="66"/>
        <v>#N/A</v>
      </c>
      <c r="K409" s="8" t="e">
        <f t="shared" si="69"/>
        <v>#DIV/0!</v>
      </c>
      <c r="L409" s="13" t="e">
        <f t="shared" si="70"/>
        <v>#N/A</v>
      </c>
      <c r="N409">
        <f t="shared" si="71"/>
        <v>0</v>
      </c>
      <c r="O409">
        <f t="shared" si="72"/>
        <v>0</v>
      </c>
      <c r="R409" t="str">
        <f t="shared" si="74"/>
        <v/>
      </c>
      <c r="T409" s="8" t="str">
        <f t="shared" si="73"/>
        <v/>
      </c>
    </row>
    <row r="410" spans="7:20">
      <c r="G410" t="e">
        <f>INDEX('اسعار الاسهم'!A:B,MATCH(B410,'اسعار الاسهم'!K:K,0),2)</f>
        <v>#N/A</v>
      </c>
      <c r="H410" s="8" t="e">
        <f t="shared" si="67"/>
        <v>#N/A</v>
      </c>
      <c r="I410" s="8" t="e">
        <f t="shared" si="68"/>
        <v>#N/A</v>
      </c>
      <c r="J410" s="8" t="e">
        <f t="shared" si="66"/>
        <v>#N/A</v>
      </c>
      <c r="K410" s="8" t="e">
        <f t="shared" si="69"/>
        <v>#DIV/0!</v>
      </c>
      <c r="L410" s="13" t="e">
        <f t="shared" si="70"/>
        <v>#N/A</v>
      </c>
      <c r="N410">
        <f t="shared" si="71"/>
        <v>0</v>
      </c>
      <c r="O410">
        <f t="shared" si="72"/>
        <v>0</v>
      </c>
      <c r="R410" t="str">
        <f t="shared" si="74"/>
        <v/>
      </c>
      <c r="T410" s="8" t="str">
        <f t="shared" si="73"/>
        <v/>
      </c>
    </row>
    <row r="411" spans="7:20">
      <c r="G411" t="e">
        <f>INDEX('اسعار الاسهم'!A:B,MATCH(B411,'اسعار الاسهم'!K:K,0),2)</f>
        <v>#N/A</v>
      </c>
      <c r="H411" s="8" t="e">
        <f t="shared" si="67"/>
        <v>#N/A</v>
      </c>
      <c r="I411" s="8" t="e">
        <f t="shared" si="68"/>
        <v>#N/A</v>
      </c>
      <c r="J411" s="8" t="e">
        <f t="shared" si="66"/>
        <v>#N/A</v>
      </c>
      <c r="K411" s="8" t="e">
        <f t="shared" si="69"/>
        <v>#DIV/0!</v>
      </c>
      <c r="L411" s="13" t="e">
        <f t="shared" si="70"/>
        <v>#N/A</v>
      </c>
      <c r="N411">
        <f t="shared" si="71"/>
        <v>0</v>
      </c>
      <c r="O411">
        <f t="shared" si="72"/>
        <v>0</v>
      </c>
      <c r="R411" t="str">
        <f t="shared" si="74"/>
        <v/>
      </c>
      <c r="T411" s="8" t="str">
        <f t="shared" si="73"/>
        <v/>
      </c>
    </row>
    <row r="412" spans="7:20">
      <c r="G412" t="e">
        <f>INDEX('اسعار الاسهم'!A:B,MATCH(B412,'اسعار الاسهم'!K:K,0),2)</f>
        <v>#N/A</v>
      </c>
      <c r="H412" s="8" t="e">
        <f t="shared" si="67"/>
        <v>#N/A</v>
      </c>
      <c r="I412" s="8" t="e">
        <f t="shared" si="68"/>
        <v>#N/A</v>
      </c>
      <c r="J412" s="8" t="e">
        <f t="shared" si="66"/>
        <v>#N/A</v>
      </c>
      <c r="K412" s="8" t="e">
        <f t="shared" si="69"/>
        <v>#DIV/0!</v>
      </c>
      <c r="L412" s="13" t="e">
        <f t="shared" si="70"/>
        <v>#N/A</v>
      </c>
      <c r="N412">
        <f t="shared" si="71"/>
        <v>0</v>
      </c>
      <c r="O412">
        <f t="shared" si="72"/>
        <v>0</v>
      </c>
      <c r="R412" t="str">
        <f t="shared" si="74"/>
        <v/>
      </c>
      <c r="T412" s="8" t="str">
        <f t="shared" si="73"/>
        <v/>
      </c>
    </row>
    <row r="413" spans="7:20">
      <c r="G413" t="e">
        <f>INDEX('اسعار الاسهم'!A:B,MATCH(B413,'اسعار الاسهم'!K:K,0),2)</f>
        <v>#N/A</v>
      </c>
      <c r="H413" s="8" t="e">
        <f t="shared" si="67"/>
        <v>#N/A</v>
      </c>
      <c r="I413" s="8" t="e">
        <f t="shared" si="68"/>
        <v>#N/A</v>
      </c>
      <c r="J413" s="8" t="e">
        <f t="shared" si="66"/>
        <v>#N/A</v>
      </c>
      <c r="K413" s="8" t="e">
        <f t="shared" si="69"/>
        <v>#DIV/0!</v>
      </c>
      <c r="L413" s="13" t="e">
        <f t="shared" si="70"/>
        <v>#N/A</v>
      </c>
      <c r="N413">
        <f t="shared" si="71"/>
        <v>0</v>
      </c>
      <c r="O413">
        <f t="shared" si="72"/>
        <v>0</v>
      </c>
      <c r="R413" t="str">
        <f t="shared" si="74"/>
        <v/>
      </c>
      <c r="T413" s="8" t="str">
        <f t="shared" si="73"/>
        <v/>
      </c>
    </row>
    <row r="414" spans="7:20">
      <c r="G414" t="e">
        <f>INDEX('اسعار الاسهم'!A:B,MATCH(B414,'اسعار الاسهم'!K:K,0),2)</f>
        <v>#N/A</v>
      </c>
      <c r="H414" s="8" t="e">
        <f t="shared" si="67"/>
        <v>#N/A</v>
      </c>
      <c r="I414" s="8" t="e">
        <f t="shared" si="68"/>
        <v>#N/A</v>
      </c>
      <c r="J414" s="8" t="e">
        <f t="shared" si="66"/>
        <v>#N/A</v>
      </c>
      <c r="K414" s="8" t="e">
        <f t="shared" si="69"/>
        <v>#DIV/0!</v>
      </c>
      <c r="L414" s="13" t="e">
        <f t="shared" si="70"/>
        <v>#N/A</v>
      </c>
      <c r="N414">
        <f t="shared" si="71"/>
        <v>0</v>
      </c>
      <c r="O414">
        <f t="shared" si="72"/>
        <v>0</v>
      </c>
      <c r="R414" t="str">
        <f t="shared" si="74"/>
        <v/>
      </c>
      <c r="T414" s="8" t="str">
        <f t="shared" si="73"/>
        <v/>
      </c>
    </row>
    <row r="415" spans="7:20">
      <c r="G415" t="e">
        <f>INDEX('اسعار الاسهم'!A:B,MATCH(B415,'اسعار الاسهم'!K:K,0),2)</f>
        <v>#N/A</v>
      </c>
      <c r="H415" s="8" t="e">
        <f t="shared" si="67"/>
        <v>#N/A</v>
      </c>
      <c r="I415" s="8" t="e">
        <f t="shared" si="68"/>
        <v>#N/A</v>
      </c>
      <c r="J415" s="8" t="e">
        <f t="shared" si="66"/>
        <v>#N/A</v>
      </c>
      <c r="K415" s="8" t="e">
        <f t="shared" si="69"/>
        <v>#DIV/0!</v>
      </c>
      <c r="L415" s="13" t="e">
        <f t="shared" si="70"/>
        <v>#N/A</v>
      </c>
      <c r="N415">
        <f t="shared" si="71"/>
        <v>0</v>
      </c>
      <c r="O415">
        <f t="shared" si="72"/>
        <v>0</v>
      </c>
      <c r="R415" t="str">
        <f t="shared" si="74"/>
        <v/>
      </c>
      <c r="T415" s="8" t="str">
        <f t="shared" si="73"/>
        <v/>
      </c>
    </row>
    <row r="416" spans="7:20">
      <c r="G416" t="e">
        <f>INDEX('اسعار الاسهم'!A:B,MATCH(B416,'اسعار الاسهم'!K:K,0),2)</f>
        <v>#N/A</v>
      </c>
      <c r="H416" s="8" t="e">
        <f t="shared" si="67"/>
        <v>#N/A</v>
      </c>
      <c r="I416" s="8" t="e">
        <f t="shared" si="68"/>
        <v>#N/A</v>
      </c>
      <c r="J416" s="8" t="e">
        <f t="shared" si="66"/>
        <v>#N/A</v>
      </c>
      <c r="K416" s="8" t="e">
        <f t="shared" si="69"/>
        <v>#DIV/0!</v>
      </c>
      <c r="L416" s="13" t="e">
        <f t="shared" si="70"/>
        <v>#N/A</v>
      </c>
      <c r="N416">
        <f t="shared" si="71"/>
        <v>0</v>
      </c>
      <c r="O416">
        <f t="shared" si="72"/>
        <v>0</v>
      </c>
      <c r="R416" t="str">
        <f t="shared" si="74"/>
        <v/>
      </c>
      <c r="T416" s="8" t="str">
        <f t="shared" si="73"/>
        <v/>
      </c>
    </row>
    <row r="417" spans="7:20">
      <c r="G417" t="e">
        <f>INDEX('اسعار الاسهم'!A:B,MATCH(B417,'اسعار الاسهم'!K:K,0),2)</f>
        <v>#N/A</v>
      </c>
      <c r="H417" s="8" t="e">
        <f t="shared" si="67"/>
        <v>#N/A</v>
      </c>
      <c r="I417" s="8" t="e">
        <f t="shared" si="68"/>
        <v>#N/A</v>
      </c>
      <c r="J417" s="8" t="e">
        <f t="shared" si="66"/>
        <v>#N/A</v>
      </c>
      <c r="K417" s="8" t="e">
        <f t="shared" si="69"/>
        <v>#DIV/0!</v>
      </c>
      <c r="L417" s="13" t="e">
        <f t="shared" si="70"/>
        <v>#N/A</v>
      </c>
      <c r="N417">
        <f t="shared" si="71"/>
        <v>0</v>
      </c>
      <c r="O417">
        <f t="shared" si="72"/>
        <v>0</v>
      </c>
      <c r="R417" t="str">
        <f t="shared" si="74"/>
        <v/>
      </c>
      <c r="T417" s="8" t="str">
        <f t="shared" si="73"/>
        <v/>
      </c>
    </row>
    <row r="418" spans="7:20">
      <c r="G418" t="e">
        <f>INDEX('اسعار الاسهم'!A:B,MATCH(B418,'اسعار الاسهم'!K:K,0),2)</f>
        <v>#N/A</v>
      </c>
      <c r="H418" s="8" t="e">
        <f t="shared" si="67"/>
        <v>#N/A</v>
      </c>
      <c r="I418" s="8" t="e">
        <f t="shared" si="68"/>
        <v>#N/A</v>
      </c>
      <c r="J418" s="8" t="e">
        <f t="shared" si="66"/>
        <v>#N/A</v>
      </c>
      <c r="K418" s="8" t="e">
        <f t="shared" si="69"/>
        <v>#DIV/0!</v>
      </c>
      <c r="L418" s="13" t="e">
        <f t="shared" si="70"/>
        <v>#N/A</v>
      </c>
      <c r="N418">
        <f t="shared" si="71"/>
        <v>0</v>
      </c>
      <c r="O418">
        <f t="shared" si="72"/>
        <v>0</v>
      </c>
      <c r="R418" t="str">
        <f t="shared" si="74"/>
        <v/>
      </c>
      <c r="T418" s="8" t="str">
        <f t="shared" si="73"/>
        <v/>
      </c>
    </row>
    <row r="419" spans="7:20">
      <c r="G419" t="e">
        <f>INDEX('اسعار الاسهم'!A:B,MATCH(B419,'اسعار الاسهم'!K:K,0),2)</f>
        <v>#N/A</v>
      </c>
      <c r="H419" s="8" t="e">
        <f t="shared" si="67"/>
        <v>#N/A</v>
      </c>
      <c r="I419" s="8" t="e">
        <f t="shared" si="68"/>
        <v>#N/A</v>
      </c>
      <c r="J419" s="8" t="e">
        <f t="shared" si="66"/>
        <v>#N/A</v>
      </c>
      <c r="K419" s="8" t="e">
        <f t="shared" si="69"/>
        <v>#DIV/0!</v>
      </c>
      <c r="L419" s="13" t="e">
        <f t="shared" si="70"/>
        <v>#N/A</v>
      </c>
      <c r="N419">
        <f t="shared" si="71"/>
        <v>0</v>
      </c>
      <c r="O419">
        <f t="shared" si="72"/>
        <v>0</v>
      </c>
      <c r="R419" t="str">
        <f t="shared" si="74"/>
        <v/>
      </c>
      <c r="T419" s="8" t="str">
        <f t="shared" si="73"/>
        <v/>
      </c>
    </row>
    <row r="420" spans="7:20">
      <c r="G420" t="e">
        <f>INDEX('اسعار الاسهم'!A:B,MATCH(B420,'اسعار الاسهم'!K:K,0),2)</f>
        <v>#N/A</v>
      </c>
      <c r="H420" s="8" t="e">
        <f t="shared" si="67"/>
        <v>#N/A</v>
      </c>
      <c r="I420" s="8" t="e">
        <f t="shared" si="68"/>
        <v>#N/A</v>
      </c>
      <c r="J420" s="8" t="e">
        <f t="shared" si="66"/>
        <v>#N/A</v>
      </c>
      <c r="K420" s="8" t="e">
        <f t="shared" si="69"/>
        <v>#DIV/0!</v>
      </c>
      <c r="L420" s="13" t="e">
        <f t="shared" si="70"/>
        <v>#N/A</v>
      </c>
      <c r="N420">
        <f t="shared" si="71"/>
        <v>0</v>
      </c>
      <c r="O420">
        <f t="shared" si="72"/>
        <v>0</v>
      </c>
      <c r="R420" t="str">
        <f t="shared" si="74"/>
        <v/>
      </c>
      <c r="T420" s="8" t="str">
        <f t="shared" si="73"/>
        <v/>
      </c>
    </row>
  </sheetData>
  <autoFilter ref="A1:T420" xr:uid="{AEA6C8E9-8C04-8F4B-B1BB-06B48AA98131}">
    <filterColumn colId="15">
      <filters blank="1"/>
    </filterColumn>
    <sortState xmlns:xlrd2="http://schemas.microsoft.com/office/spreadsheetml/2017/richdata2" ref="A2:T420">
      <sortCondition ref="I1:I420"/>
    </sortState>
  </autoFilter>
  <conditionalFormatting sqref="H2:H420"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:I420"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:J420"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:K420"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:L420"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:T420">
    <cfRule type="colorScale" priority="5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9157-7F34-A84E-BC90-3D7E8579032B}">
  <dimension ref="A1:O416"/>
  <sheetViews>
    <sheetView topLeftCell="H237" zoomScaleNormal="60" zoomScaleSheetLayoutView="100" workbookViewId="0">
      <selection activeCell="L238" sqref="L1:L1048576"/>
    </sheetView>
  </sheetViews>
  <sheetFormatPr defaultRowHeight="14.4"/>
  <cols>
    <col min="1" max="1" width="18" bestFit="1" customWidth="1"/>
    <col min="3" max="3" width="8.88671875" bestFit="1" customWidth="1"/>
    <col min="5" max="5" width="17.44140625" bestFit="1" customWidth="1"/>
    <col min="6" max="6" width="12.77734375" bestFit="1" customWidth="1"/>
    <col min="10" max="10" width="16.109375" bestFit="1" customWidth="1"/>
  </cols>
  <sheetData>
    <row r="1" spans="1:15">
      <c r="A1" t="s">
        <v>302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  <c r="J1" t="s">
        <v>713</v>
      </c>
      <c r="K1" t="s">
        <v>460</v>
      </c>
      <c r="N1" t="s">
        <v>141</v>
      </c>
      <c r="O1" s="6" t="s">
        <v>301</v>
      </c>
    </row>
    <row r="2" spans="1:15">
      <c r="A2" s="19" t="s">
        <v>340</v>
      </c>
      <c r="B2" s="23">
        <v>200</v>
      </c>
      <c r="C2" s="21">
        <v>2.8999999999999998E-3</v>
      </c>
      <c r="D2" s="22" t="s">
        <v>1255</v>
      </c>
      <c r="E2" s="23">
        <v>2807616.75</v>
      </c>
      <c r="F2" s="24">
        <v>14016</v>
      </c>
      <c r="G2" s="23">
        <v>199.29</v>
      </c>
      <c r="H2" s="23">
        <v>210</v>
      </c>
      <c r="I2" s="23">
        <v>195.1</v>
      </c>
      <c r="J2" s="25">
        <v>46163.391388888886</v>
      </c>
      <c r="K2" t="str">
        <f>INDEX('رموز سريعة'!B:B,MATCH(A2,'رموز سريعة'!A:A,0),1)</f>
        <v>AALR</v>
      </c>
      <c r="L2" t="b">
        <f t="shared" ref="L2:L33" si="0">K2=K1</f>
        <v>0</v>
      </c>
    </row>
    <row r="3" spans="1:15">
      <c r="A3" s="26" t="s">
        <v>142</v>
      </c>
      <c r="B3" s="27">
        <v>86.56</v>
      </c>
      <c r="C3" s="28">
        <v>7.3000000000000001E-3</v>
      </c>
      <c r="D3" s="29" t="s">
        <v>1250</v>
      </c>
      <c r="E3" s="30">
        <v>15684277</v>
      </c>
      <c r="F3" s="31">
        <v>181927</v>
      </c>
      <c r="G3" s="27">
        <v>86.01</v>
      </c>
      <c r="H3" s="27">
        <v>86.98</v>
      </c>
      <c r="I3" s="27">
        <v>85.6</v>
      </c>
      <c r="J3" s="32">
        <v>46163.391319444447</v>
      </c>
      <c r="K3" t="str">
        <f>INDEX('رموز سريعة'!B:B,MATCH(A3,'رموز سريعة'!A:A,0),1)</f>
        <v>ABUK</v>
      </c>
      <c r="L3" t="b">
        <f t="shared" si="0"/>
        <v>0</v>
      </c>
    </row>
    <row r="4" spans="1:15">
      <c r="A4" s="19" t="s">
        <v>424</v>
      </c>
      <c r="B4" s="20">
        <v>2.17</v>
      </c>
      <c r="C4" s="21">
        <v>-2.2499999999999999E-2</v>
      </c>
      <c r="D4" s="33" t="s">
        <v>1169</v>
      </c>
      <c r="E4" s="23">
        <v>18554640</v>
      </c>
      <c r="F4" s="24">
        <v>8462507</v>
      </c>
      <c r="G4" s="20">
        <v>2.2200000000000002</v>
      </c>
      <c r="H4" s="20">
        <v>2.2200000000000002</v>
      </c>
      <c r="I4" s="20">
        <v>2.17</v>
      </c>
      <c r="J4" s="25">
        <v>46163.390150462961</v>
      </c>
      <c r="K4" t="str">
        <f>INDEX('رموز سريعة'!B:B,MATCH(A4,'رموز سريعة'!A:A,0),1)</f>
        <v>ACAMD</v>
      </c>
      <c r="L4" t="b">
        <f t="shared" si="0"/>
        <v>0</v>
      </c>
    </row>
    <row r="5" spans="1:15">
      <c r="A5" s="19" t="s">
        <v>435</v>
      </c>
      <c r="B5" s="20">
        <v>8.3000000000000007</v>
      </c>
      <c r="C5" s="21">
        <v>-1.1999999999999999E-3</v>
      </c>
      <c r="D5" s="33" t="s">
        <v>753</v>
      </c>
      <c r="E5" s="23">
        <v>1732188.38</v>
      </c>
      <c r="F5" s="24">
        <v>207622</v>
      </c>
      <c r="G5" s="20">
        <v>8.31</v>
      </c>
      <c r="H5" s="20">
        <v>8.4499999999999993</v>
      </c>
      <c r="I5" s="20">
        <v>8.23</v>
      </c>
      <c r="J5" s="25">
        <v>46163.389907407407</v>
      </c>
      <c r="K5" t="str">
        <f>INDEX('رموز سريعة'!B:B,MATCH(A5,'رموز سريعة'!A:A,0),1)</f>
        <v>ACAP</v>
      </c>
      <c r="L5" t="b">
        <f t="shared" si="0"/>
        <v>0</v>
      </c>
    </row>
    <row r="6" spans="1:15">
      <c r="A6" s="19" t="s">
        <v>436</v>
      </c>
      <c r="B6" s="20">
        <v>10.1</v>
      </c>
      <c r="C6" s="21">
        <v>-2.98E-2</v>
      </c>
      <c r="D6" s="22" t="s">
        <v>1220</v>
      </c>
      <c r="E6" s="23">
        <v>63010976</v>
      </c>
      <c r="F6" s="24">
        <v>6175942</v>
      </c>
      <c r="G6" s="20">
        <v>10.4</v>
      </c>
      <c r="H6" s="20">
        <v>10.58</v>
      </c>
      <c r="I6" s="20">
        <v>9.9</v>
      </c>
      <c r="J6" s="25">
        <v>46163.391192129631</v>
      </c>
      <c r="K6" t="str">
        <f>INDEX('رموز سريعة'!B:B,MATCH(A6,'رموز سريعة'!A:A,0),1)</f>
        <v>ACGC</v>
      </c>
      <c r="L6" t="b">
        <f t="shared" si="0"/>
        <v>0</v>
      </c>
    </row>
    <row r="7" spans="1:15">
      <c r="A7" s="26" t="s">
        <v>451</v>
      </c>
      <c r="B7" s="27">
        <v>95.7</v>
      </c>
      <c r="C7" s="28">
        <v>0</v>
      </c>
      <c r="D7" s="29" t="s">
        <v>330</v>
      </c>
      <c r="E7" s="30">
        <v>1148.4000000000001</v>
      </c>
      <c r="F7" s="31">
        <v>12</v>
      </c>
      <c r="G7" s="27">
        <v>95.7</v>
      </c>
      <c r="H7" s="27">
        <v>95.7</v>
      </c>
      <c r="I7" s="27">
        <v>95.7</v>
      </c>
      <c r="J7" s="32">
        <v>46160.385509259257</v>
      </c>
      <c r="K7" t="str">
        <f>INDEX('رموز سريعة'!B:B,MATCH(A7,'رموز سريعة'!A:A,0),1)</f>
        <v>ACRO</v>
      </c>
      <c r="L7" t="b">
        <f t="shared" si="0"/>
        <v>0</v>
      </c>
    </row>
    <row r="8" spans="1:15">
      <c r="A8" t="s">
        <v>720</v>
      </c>
      <c r="B8">
        <v>2.74</v>
      </c>
      <c r="C8">
        <v>0</v>
      </c>
      <c r="D8" t="s">
        <v>330</v>
      </c>
      <c r="E8">
        <v>3218084</v>
      </c>
      <c r="F8">
        <v>1174679</v>
      </c>
      <c r="G8">
        <v>2.73</v>
      </c>
      <c r="H8">
        <v>2.75</v>
      </c>
      <c r="I8">
        <v>2.73</v>
      </c>
      <c r="J8">
        <v>46163.389236111114</v>
      </c>
      <c r="K8" t="str">
        <f>INDEX('رموز سريعة'!B:B,MATCH(A8,'رموز سريعة'!A:A,0),1)</f>
        <v>ACTF</v>
      </c>
      <c r="L8" t="b">
        <f t="shared" si="0"/>
        <v>0</v>
      </c>
    </row>
    <row r="9" spans="1:15">
      <c r="A9" s="19" t="s">
        <v>377</v>
      </c>
      <c r="B9" s="20">
        <v>208.1</v>
      </c>
      <c r="C9" s="21">
        <v>2.3999999999999998E-3</v>
      </c>
      <c r="D9" s="22" t="s">
        <v>1233</v>
      </c>
      <c r="E9" s="23">
        <v>1384041.75</v>
      </c>
      <c r="F9" s="24">
        <v>6643</v>
      </c>
      <c r="G9" s="20">
        <v>208.3</v>
      </c>
      <c r="H9" s="20">
        <v>211</v>
      </c>
      <c r="I9" s="20">
        <v>206.51</v>
      </c>
      <c r="J9" s="25">
        <v>46163.391400462962</v>
      </c>
      <c r="K9" t="str">
        <f>INDEX('رموز سريعة'!B:B,MATCH(A9,'رموز سريعة'!A:A,0),1)</f>
        <v>ADCI</v>
      </c>
      <c r="L9" t="b">
        <f t="shared" si="0"/>
        <v>0</v>
      </c>
    </row>
    <row r="10" spans="1:15">
      <c r="A10" s="19" t="s">
        <v>423</v>
      </c>
      <c r="B10" s="20">
        <v>46.1</v>
      </c>
      <c r="C10" s="21">
        <v>1.1000000000000001E-3</v>
      </c>
      <c r="D10" s="22" t="s">
        <v>319</v>
      </c>
      <c r="E10" s="23">
        <v>59240956</v>
      </c>
      <c r="F10" s="24">
        <v>1285602</v>
      </c>
      <c r="G10" s="20">
        <v>46</v>
      </c>
      <c r="H10" s="20">
        <v>46.49</v>
      </c>
      <c r="I10" s="20">
        <v>45.6</v>
      </c>
      <c r="J10" s="25">
        <v>46163.391597222224</v>
      </c>
      <c r="K10" t="str">
        <f>INDEX('رموز سريعة'!B:B,MATCH(A10,'رموز سريعة'!A:A,0),1)</f>
        <v>ADIB</v>
      </c>
      <c r="L10" t="b">
        <f t="shared" si="0"/>
        <v>0</v>
      </c>
    </row>
    <row r="11" spans="1:15">
      <c r="A11" s="26" t="s">
        <v>384</v>
      </c>
      <c r="B11" s="27">
        <v>3.95</v>
      </c>
      <c r="C11" s="28">
        <v>-2.7099999999999999E-2</v>
      </c>
      <c r="D11" s="34" t="s">
        <v>1179</v>
      </c>
      <c r="E11" s="30">
        <v>18917320</v>
      </c>
      <c r="F11" s="31">
        <v>4702330</v>
      </c>
      <c r="G11" s="27">
        <v>4.0599999999999996</v>
      </c>
      <c r="H11" s="27">
        <v>4.18</v>
      </c>
      <c r="I11" s="27">
        <v>3.94</v>
      </c>
      <c r="J11" s="32">
        <v>46163.391631944447</v>
      </c>
      <c r="K11" t="str">
        <f>INDEX('رموز سريعة'!B:B,MATCH(A11,'رموز سريعة'!A:A,0),1)</f>
        <v>ADPC</v>
      </c>
      <c r="L11" t="b">
        <f t="shared" si="0"/>
        <v>0</v>
      </c>
    </row>
    <row r="12" spans="1:15">
      <c r="A12" s="19" t="s">
        <v>395</v>
      </c>
      <c r="B12" s="20">
        <v>7.28</v>
      </c>
      <c r="C12" s="21">
        <v>5.4999999999999997E-3</v>
      </c>
      <c r="D12" s="20" t="s">
        <v>1197</v>
      </c>
      <c r="E12" s="23">
        <v>538507.25</v>
      </c>
      <c r="F12" s="24">
        <v>73760</v>
      </c>
      <c r="G12" s="20">
        <v>7.3</v>
      </c>
      <c r="H12" s="20">
        <v>7.38</v>
      </c>
      <c r="I12" s="20">
        <v>7.25</v>
      </c>
      <c r="J12" s="25">
        <v>46163.390810185185</v>
      </c>
      <c r="K12" t="str">
        <f>INDEX('رموز سريعة'!B:B,MATCH(A12,'رموز سريعة'!A:A,0),1)</f>
        <v>ADRI</v>
      </c>
      <c r="L12" t="b">
        <f t="shared" si="0"/>
        <v>0</v>
      </c>
    </row>
    <row r="13" spans="1:15">
      <c r="A13" s="26" t="s">
        <v>354</v>
      </c>
      <c r="B13" s="27">
        <v>41.67</v>
      </c>
      <c r="C13" s="28">
        <v>1.9099999999999999E-2</v>
      </c>
      <c r="D13" s="27" t="s">
        <v>1236</v>
      </c>
      <c r="E13" s="30">
        <v>5440218</v>
      </c>
      <c r="F13" s="31">
        <v>132458</v>
      </c>
      <c r="G13" s="27">
        <v>40.81</v>
      </c>
      <c r="H13" s="27">
        <v>41.67</v>
      </c>
      <c r="I13" s="27">
        <v>40.61</v>
      </c>
      <c r="J13" s="32">
        <v>46163.391574074078</v>
      </c>
      <c r="K13" t="str">
        <f>INDEX('رموز سريعة'!B:B,MATCH(A13,'رموز سريعة'!A:A,0),1)</f>
        <v>AFDI</v>
      </c>
      <c r="L13" t="b">
        <f t="shared" si="0"/>
        <v>0</v>
      </c>
    </row>
    <row r="14" spans="1:15">
      <c r="A14" s="19" t="s">
        <v>441</v>
      </c>
      <c r="B14" s="20">
        <v>70.95</v>
      </c>
      <c r="C14" s="21">
        <v>-1.7899999999999999E-2</v>
      </c>
      <c r="D14" s="33" t="s">
        <v>1273</v>
      </c>
      <c r="E14" s="23">
        <v>3611502</v>
      </c>
      <c r="F14" s="24">
        <v>50999</v>
      </c>
      <c r="G14" s="20">
        <v>72.05</v>
      </c>
      <c r="H14" s="20">
        <v>72.989999999999995</v>
      </c>
      <c r="I14" s="20">
        <v>69.33</v>
      </c>
      <c r="J14" s="25">
        <v>46163.390393518515</v>
      </c>
      <c r="K14" t="str">
        <f>INDEX('رموز سريعة'!B:B,MATCH(A14,'رموز سريعة'!A:A,0),1)</f>
        <v>AFMC</v>
      </c>
      <c r="L14" t="b">
        <f t="shared" si="0"/>
        <v>0</v>
      </c>
    </row>
    <row r="15" spans="1:15">
      <c r="A15" s="19" t="s">
        <v>146</v>
      </c>
      <c r="B15" s="20">
        <v>1.74</v>
      </c>
      <c r="C15" s="21">
        <v>-1.7000000000000001E-2</v>
      </c>
      <c r="D15" s="22" t="s">
        <v>389</v>
      </c>
      <c r="E15" s="23">
        <v>3410449.25</v>
      </c>
      <c r="F15" s="24">
        <v>1972679</v>
      </c>
      <c r="G15" s="20">
        <v>1.76</v>
      </c>
      <c r="H15" s="20">
        <v>1.77</v>
      </c>
      <c r="I15" s="20">
        <v>1.71</v>
      </c>
      <c r="J15" s="25">
        <v>46163.3905787037</v>
      </c>
      <c r="K15" t="str">
        <f>INDEX('رموز سريعة'!B:B,MATCH(A15,'رموز سريعة'!A:A,0),1)</f>
        <v>AIFI</v>
      </c>
      <c r="L15" t="b">
        <f t="shared" si="0"/>
        <v>0</v>
      </c>
    </row>
    <row r="16" spans="1:15">
      <c r="A16" s="19" t="s">
        <v>431</v>
      </c>
      <c r="B16" s="20">
        <v>0.34</v>
      </c>
      <c r="C16" s="21">
        <v>0</v>
      </c>
      <c r="D16" s="33" t="s">
        <v>330</v>
      </c>
      <c r="E16" s="23">
        <v>3508196</v>
      </c>
      <c r="F16" s="24">
        <v>10284419</v>
      </c>
      <c r="G16" s="20">
        <v>0.34</v>
      </c>
      <c r="H16" s="20">
        <v>0.34</v>
      </c>
      <c r="I16" s="20">
        <v>0.34</v>
      </c>
      <c r="J16" s="25">
        <v>46163.391365740739</v>
      </c>
      <c r="K16" t="str">
        <f>INDEX('رموز سريعة'!B:B,MATCH(A16,'رموز سريعة'!A:A,0),1)</f>
        <v>AIH</v>
      </c>
      <c r="L16" t="b">
        <f t="shared" si="0"/>
        <v>0</v>
      </c>
    </row>
    <row r="17" spans="1:12">
      <c r="A17" s="19" t="s">
        <v>149</v>
      </c>
      <c r="B17" s="20">
        <v>133.5</v>
      </c>
      <c r="C17" s="21">
        <v>3.3E-3</v>
      </c>
      <c r="D17" s="20" t="s">
        <v>650</v>
      </c>
      <c r="E17" s="23">
        <v>3380760</v>
      </c>
      <c r="F17" s="24">
        <v>25378</v>
      </c>
      <c r="G17" s="20">
        <v>132.97</v>
      </c>
      <c r="H17" s="20">
        <v>133.94999999999999</v>
      </c>
      <c r="I17" s="20">
        <v>132.80000000000001</v>
      </c>
      <c r="J17" s="25">
        <v>46163.385729166665</v>
      </c>
      <c r="K17" t="str">
        <f>INDEX('رموز سريعة'!B:B,MATCH(A17,'رموز سريعة'!A:A,0),1)</f>
        <v>AJWA</v>
      </c>
      <c r="L17" t="b">
        <f t="shared" si="0"/>
        <v>0</v>
      </c>
    </row>
    <row r="18" spans="1:12">
      <c r="A18" s="26" t="s">
        <v>412</v>
      </c>
      <c r="B18" s="27">
        <v>28.85</v>
      </c>
      <c r="C18" s="28">
        <v>2.0999999999999999E-3</v>
      </c>
      <c r="D18" s="29" t="s">
        <v>1163</v>
      </c>
      <c r="E18" s="30">
        <v>3478605.25</v>
      </c>
      <c r="F18" s="31">
        <v>120877</v>
      </c>
      <c r="G18" s="27">
        <v>28.73</v>
      </c>
      <c r="H18" s="27">
        <v>29</v>
      </c>
      <c r="I18" s="27">
        <v>28.7</v>
      </c>
      <c r="J18" s="32">
        <v>46163.390925925924</v>
      </c>
      <c r="K18" t="str">
        <f>INDEX('رموز سريعة'!B:B,MATCH(A18,'رموز سريعة'!A:A,0),1)</f>
        <v>ALCN</v>
      </c>
      <c r="L18" t="b">
        <f t="shared" si="0"/>
        <v>0</v>
      </c>
    </row>
    <row r="19" spans="1:12">
      <c r="A19" s="26" t="s">
        <v>350</v>
      </c>
      <c r="B19" s="27">
        <v>20</v>
      </c>
      <c r="C19" s="28">
        <v>0</v>
      </c>
      <c r="D19" s="27" t="s">
        <v>330</v>
      </c>
      <c r="E19" s="30">
        <v>100702.9</v>
      </c>
      <c r="F19" s="31">
        <v>5068</v>
      </c>
      <c r="G19" s="27">
        <v>20</v>
      </c>
      <c r="H19" s="27">
        <v>20.3</v>
      </c>
      <c r="I19" s="27">
        <v>17.7</v>
      </c>
      <c r="J19" s="32">
        <v>46162.395555555559</v>
      </c>
      <c r="K19" t="str">
        <f>INDEX('رموز سريعة'!B:B,MATCH(A19,'رموز سريعة'!A:A,0),1)</f>
        <v>ALEX</v>
      </c>
      <c r="L19" t="b">
        <f t="shared" si="0"/>
        <v>0</v>
      </c>
    </row>
    <row r="20" spans="1:12">
      <c r="A20" s="19" t="s">
        <v>152</v>
      </c>
      <c r="B20" s="20">
        <v>24.7</v>
      </c>
      <c r="C20" s="21">
        <v>2.0199999999999999E-2</v>
      </c>
      <c r="D20" s="33" t="s">
        <v>1209</v>
      </c>
      <c r="E20" s="23">
        <v>2375030</v>
      </c>
      <c r="F20" s="24">
        <v>96425</v>
      </c>
      <c r="G20" s="20">
        <v>24.31</v>
      </c>
      <c r="H20" s="20">
        <v>24.81</v>
      </c>
      <c r="I20" s="20">
        <v>24.26</v>
      </c>
      <c r="J20" s="25">
        <v>46163.39</v>
      </c>
      <c r="K20" t="str">
        <f>INDEX('رموز سريعة'!B:B,MATCH(A20,'رموز سريعة'!A:A,0),1)</f>
        <v>ALUM</v>
      </c>
      <c r="L20" t="b">
        <f t="shared" si="0"/>
        <v>0</v>
      </c>
    </row>
    <row r="21" spans="1:12">
      <c r="A21" s="19" t="s">
        <v>153</v>
      </c>
      <c r="B21" s="20">
        <v>2.57</v>
      </c>
      <c r="C21" s="21">
        <v>1.18E-2</v>
      </c>
      <c r="D21" s="20" t="s">
        <v>1203</v>
      </c>
      <c r="E21" s="23">
        <v>63698844</v>
      </c>
      <c r="F21" s="24">
        <v>24510314</v>
      </c>
      <c r="G21" s="20">
        <v>2.54</v>
      </c>
      <c r="H21" s="20">
        <v>2.65</v>
      </c>
      <c r="I21" s="20">
        <v>2.52</v>
      </c>
      <c r="J21" s="25">
        <v>46163.391539351855</v>
      </c>
      <c r="K21" t="str">
        <f>INDEX('رموز سريعة'!B:B,MATCH(A21,'رموز سريعة'!A:A,0),1)</f>
        <v>AMER</v>
      </c>
      <c r="L21" t="b">
        <f t="shared" si="0"/>
        <v>0</v>
      </c>
    </row>
    <row r="22" spans="1:12">
      <c r="A22" t="s">
        <v>342</v>
      </c>
      <c r="B22">
        <v>53.3</v>
      </c>
      <c r="C22">
        <v>-1.06E-2</v>
      </c>
      <c r="D22" t="s">
        <v>1216</v>
      </c>
      <c r="E22">
        <v>2684996.75</v>
      </c>
      <c r="F22">
        <v>50240</v>
      </c>
      <c r="G22">
        <v>53.66</v>
      </c>
      <c r="H22">
        <v>54.49</v>
      </c>
      <c r="I22">
        <v>53</v>
      </c>
      <c r="J22">
        <v>46163.383055555554</v>
      </c>
      <c r="K22" t="str">
        <f>INDEX('رموز سريعة'!B:B,MATCH(A22,'رموز سريعة'!A:A,0),1)</f>
        <v>AMES</v>
      </c>
      <c r="L22" t="b">
        <f t="shared" si="0"/>
        <v>0</v>
      </c>
    </row>
    <row r="23" spans="1:12">
      <c r="A23" s="26" t="s">
        <v>434</v>
      </c>
      <c r="B23" s="27">
        <v>8.6999999999999993</v>
      </c>
      <c r="C23" s="28">
        <v>-1.5800000000000002E-2</v>
      </c>
      <c r="D23" s="29" t="s">
        <v>1213</v>
      </c>
      <c r="E23" s="30">
        <v>2196852</v>
      </c>
      <c r="F23" s="31">
        <v>251100</v>
      </c>
      <c r="G23" s="27">
        <v>8.85</v>
      </c>
      <c r="H23" s="27">
        <v>8.9499999999999993</v>
      </c>
      <c r="I23" s="27">
        <v>8.6999999999999993</v>
      </c>
      <c r="J23" s="32">
        <v>46163.390555555554</v>
      </c>
      <c r="K23" t="str">
        <f>INDEX('رموز سريعة'!B:B,MATCH(A23,'رموز سريعة'!A:A,0),1)</f>
        <v>AMIA</v>
      </c>
      <c r="L23" t="b">
        <f t="shared" si="0"/>
        <v>0</v>
      </c>
    </row>
    <row r="24" spans="1:12">
      <c r="A24" t="s">
        <v>154</v>
      </c>
      <c r="B24">
        <v>8.35</v>
      </c>
      <c r="C24">
        <v>-7.1000000000000004E-3</v>
      </c>
      <c r="D24" t="s">
        <v>1175</v>
      </c>
      <c r="E24">
        <v>16151264</v>
      </c>
      <c r="F24">
        <v>1934992</v>
      </c>
      <c r="G24">
        <v>8.4</v>
      </c>
      <c r="H24">
        <v>8.44</v>
      </c>
      <c r="I24">
        <v>8.3000000000000007</v>
      </c>
      <c r="J24">
        <v>46163.391550925924</v>
      </c>
      <c r="K24" t="str">
        <f>INDEX('رموز سريعة'!B:B,MATCH(A24,'رموز سريعة'!A:A,0),1)</f>
        <v>AMOC</v>
      </c>
      <c r="L24" t="b">
        <f t="shared" si="0"/>
        <v>0</v>
      </c>
    </row>
    <row r="25" spans="1:12">
      <c r="A25" t="s">
        <v>405</v>
      </c>
      <c r="B25">
        <v>1.31</v>
      </c>
      <c r="C25">
        <v>-2.9600000000000001E-2</v>
      </c>
      <c r="D25" t="s">
        <v>371</v>
      </c>
      <c r="E25">
        <v>69967.039999999994</v>
      </c>
      <c r="F25">
        <v>53366</v>
      </c>
      <c r="G25">
        <v>1.35</v>
      </c>
      <c r="H25">
        <v>1.39</v>
      </c>
      <c r="I25">
        <v>1.3</v>
      </c>
      <c r="J25">
        <v>46162.395011574074</v>
      </c>
      <c r="K25" t="str">
        <f>INDEX('رموز سريعة'!B:B,MATCH(A25,'رموز سريعة'!A:A,0),1)</f>
        <v>APPC</v>
      </c>
      <c r="L25" t="b">
        <f t="shared" si="0"/>
        <v>0</v>
      </c>
    </row>
    <row r="26" spans="1:12">
      <c r="A26" s="26" t="s">
        <v>341</v>
      </c>
      <c r="B26" s="27">
        <v>8.86</v>
      </c>
      <c r="C26" s="28">
        <v>-1.2200000000000001E-2</v>
      </c>
      <c r="D26" s="34" t="s">
        <v>1179</v>
      </c>
      <c r="E26" s="30">
        <v>505722.13</v>
      </c>
      <c r="F26" s="31">
        <v>56945</v>
      </c>
      <c r="G26" s="27">
        <v>9</v>
      </c>
      <c r="H26" s="27">
        <v>9.1300000000000008</v>
      </c>
      <c r="I26" s="27">
        <v>8.6199999999999992</v>
      </c>
      <c r="J26" s="32">
        <v>46163.375625000001</v>
      </c>
      <c r="K26" t="str">
        <f>INDEX('رموز سريعة'!B:B,MATCH(A26,'رموز سريعة'!A:A,0),1)</f>
        <v>APSW</v>
      </c>
      <c r="L26" t="b">
        <f t="shared" si="0"/>
        <v>0</v>
      </c>
    </row>
    <row r="27" spans="1:12">
      <c r="A27" s="19" t="s">
        <v>337</v>
      </c>
      <c r="B27" s="20">
        <v>0.2</v>
      </c>
      <c r="C27" s="21">
        <v>5.1000000000000004E-3</v>
      </c>
      <c r="D27" s="33" t="s">
        <v>330</v>
      </c>
      <c r="E27" s="23">
        <v>23198838</v>
      </c>
      <c r="F27" s="20">
        <v>116601874</v>
      </c>
      <c r="G27" s="20">
        <v>0.2</v>
      </c>
      <c r="H27" s="20">
        <v>0.2</v>
      </c>
      <c r="I27" s="20">
        <v>0.19</v>
      </c>
      <c r="J27" s="25">
        <v>46163.387465277781</v>
      </c>
      <c r="K27" t="str">
        <f>INDEX('رموز سريعة'!B:B,MATCH(A27,'رموز سريعة'!A:A,0),1)</f>
        <v>ARAB</v>
      </c>
      <c r="L27" t="b">
        <f t="shared" si="0"/>
        <v>0</v>
      </c>
    </row>
    <row r="28" spans="1:12">
      <c r="A28" s="19" t="s">
        <v>158</v>
      </c>
      <c r="B28" s="23">
        <v>54.2</v>
      </c>
      <c r="C28" s="21">
        <v>3.2000000000000002E-3</v>
      </c>
      <c r="D28" s="33" t="s">
        <v>1196</v>
      </c>
      <c r="E28" s="23">
        <v>13052514</v>
      </c>
      <c r="F28" s="24">
        <v>241438</v>
      </c>
      <c r="G28" s="23">
        <v>53.9</v>
      </c>
      <c r="H28" s="23">
        <v>54.95</v>
      </c>
      <c r="I28" s="23">
        <v>53.6</v>
      </c>
      <c r="J28" s="25">
        <v>46163.391180555554</v>
      </c>
      <c r="K28" t="str">
        <f>INDEX('رموز سريعة'!B:B,MATCH(A28,'رموز سريعة'!A:A,0),1)</f>
        <v>ARCC</v>
      </c>
      <c r="L28" t="b">
        <f t="shared" si="0"/>
        <v>0</v>
      </c>
    </row>
    <row r="29" spans="1:12">
      <c r="A29" s="19" t="s">
        <v>385</v>
      </c>
      <c r="B29" s="20">
        <v>1.3</v>
      </c>
      <c r="C29" s="21">
        <v>7.7999999999999996E-3</v>
      </c>
      <c r="D29" s="33" t="s">
        <v>336</v>
      </c>
      <c r="E29" s="23">
        <v>2420582.75</v>
      </c>
      <c r="F29" s="24">
        <v>1874748</v>
      </c>
      <c r="G29" s="20">
        <v>1.28</v>
      </c>
      <c r="H29" s="20">
        <v>1.3</v>
      </c>
      <c r="I29" s="20">
        <v>1.28</v>
      </c>
      <c r="J29" s="25">
        <v>46163.386273148149</v>
      </c>
      <c r="K29" t="str">
        <f>INDEX('رموز سريعة'!B:B,MATCH(A29,'رموز سريعة'!A:A,0),1)</f>
        <v>AREH</v>
      </c>
      <c r="L29" t="b">
        <f t="shared" si="0"/>
        <v>0</v>
      </c>
    </row>
    <row r="30" spans="1:12">
      <c r="A30" s="19" t="s">
        <v>496</v>
      </c>
      <c r="B30" s="20">
        <v>0.08</v>
      </c>
      <c r="C30" s="21">
        <v>-0.2727</v>
      </c>
      <c r="D30" s="22" t="s">
        <v>389</v>
      </c>
      <c r="E30" s="23">
        <v>608204.12</v>
      </c>
      <c r="F30" s="24">
        <v>7601545</v>
      </c>
      <c r="G30" s="20">
        <v>0.11</v>
      </c>
      <c r="H30" s="20">
        <v>0.11</v>
      </c>
      <c r="I30" s="20">
        <v>0.06</v>
      </c>
      <c r="J30" s="25">
        <v>45651.437361111108</v>
      </c>
      <c r="K30" t="str">
        <f>INDEX('رموز سريعة'!B:B,MATCH(A30,'رموز سريعة'!A:A,0),1)</f>
        <v>ARPI</v>
      </c>
      <c r="L30" t="b">
        <f t="shared" si="0"/>
        <v>0</v>
      </c>
    </row>
    <row r="31" spans="1:12">
      <c r="A31" s="19" t="s">
        <v>160</v>
      </c>
      <c r="B31" s="20">
        <v>8.3699999999999992</v>
      </c>
      <c r="C31" s="21">
        <v>-3.6799999999999999E-2</v>
      </c>
      <c r="D31" s="33" t="s">
        <v>1193</v>
      </c>
      <c r="E31" s="23">
        <v>3953648.25</v>
      </c>
      <c r="F31" s="24">
        <v>475185</v>
      </c>
      <c r="G31" s="20">
        <v>8.6999999999999993</v>
      </c>
      <c r="H31" s="20">
        <v>8.84</v>
      </c>
      <c r="I31" s="20">
        <v>7.71</v>
      </c>
      <c r="J31" s="25">
        <v>46163.388402777775</v>
      </c>
      <c r="K31" t="str">
        <f>INDEX('رموز سريعة'!B:B,MATCH(A31,'رموز سريعة'!A:A,0),1)</f>
        <v>ARVA</v>
      </c>
      <c r="L31" t="b">
        <f t="shared" si="0"/>
        <v>0</v>
      </c>
    </row>
    <row r="32" spans="1:12">
      <c r="A32" s="26" t="s">
        <v>161</v>
      </c>
      <c r="B32" s="27">
        <v>47.7</v>
      </c>
      <c r="C32" s="28">
        <v>0</v>
      </c>
      <c r="D32" s="34" t="s">
        <v>330</v>
      </c>
      <c r="E32" s="30">
        <v>4118873</v>
      </c>
      <c r="F32" s="31">
        <v>86123</v>
      </c>
      <c r="G32" s="27">
        <v>47.7</v>
      </c>
      <c r="H32" s="27">
        <v>48.48</v>
      </c>
      <c r="I32" s="27">
        <v>47.6</v>
      </c>
      <c r="J32" s="32">
        <v>46163.390775462962</v>
      </c>
      <c r="K32" t="str">
        <f>INDEX('رموز سريعة'!B:B,MATCH(A32,'رموز سريعة'!A:A,0),1)</f>
        <v>ASCM</v>
      </c>
      <c r="L32" t="b">
        <f t="shared" si="0"/>
        <v>0</v>
      </c>
    </row>
    <row r="33" spans="1:12">
      <c r="A33" s="26" t="s">
        <v>393</v>
      </c>
      <c r="B33" s="27">
        <v>0.3</v>
      </c>
      <c r="C33" s="28">
        <v>-6.6E-3</v>
      </c>
      <c r="D33" s="29" t="s">
        <v>754</v>
      </c>
      <c r="E33" s="30">
        <v>3027920.75</v>
      </c>
      <c r="F33" s="31">
        <v>10115571</v>
      </c>
      <c r="G33" s="27">
        <v>0.3</v>
      </c>
      <c r="H33" s="27">
        <v>0.3</v>
      </c>
      <c r="I33" s="27">
        <v>0.3</v>
      </c>
      <c r="J33" s="32">
        <v>46163.390706018516</v>
      </c>
      <c r="K33" t="str">
        <f>INDEX('رموز سريعة'!B:B,MATCH(A33,'رموز سريعة'!A:A,0),1)</f>
        <v>ASPI</v>
      </c>
      <c r="L33" t="b">
        <f t="shared" si="0"/>
        <v>0</v>
      </c>
    </row>
    <row r="34" spans="1:12">
      <c r="A34" s="26" t="s">
        <v>164</v>
      </c>
      <c r="B34" s="27">
        <v>4.8</v>
      </c>
      <c r="C34" s="28">
        <v>1.2699999999999999E-2</v>
      </c>
      <c r="D34" s="27" t="s">
        <v>1163</v>
      </c>
      <c r="E34" s="30">
        <v>2895442.5</v>
      </c>
      <c r="F34" s="31">
        <v>608829</v>
      </c>
      <c r="G34" s="27">
        <v>4.7300000000000004</v>
      </c>
      <c r="H34" s="27">
        <v>4.87</v>
      </c>
      <c r="I34" s="27">
        <v>4.74</v>
      </c>
      <c r="J34" s="32">
        <v>46163.384421296294</v>
      </c>
      <c r="K34" t="str">
        <f>INDEX('رموز سريعة'!B:B,MATCH(A34,'رموز سريعة'!A:A,0),1)</f>
        <v>ATLC</v>
      </c>
      <c r="L34" t="b">
        <f t="shared" ref="L34:L65" si="1">K34=K33</f>
        <v>0</v>
      </c>
    </row>
    <row r="35" spans="1:12">
      <c r="A35" t="s">
        <v>165</v>
      </c>
      <c r="B35">
        <v>9.4600000000000009</v>
      </c>
      <c r="C35">
        <v>3.2000000000000002E-3</v>
      </c>
      <c r="D35" t="s">
        <v>1203</v>
      </c>
      <c r="E35">
        <v>5250473</v>
      </c>
      <c r="F35">
        <v>554766</v>
      </c>
      <c r="G35">
        <v>9.42</v>
      </c>
      <c r="H35">
        <v>9.52</v>
      </c>
      <c r="I35">
        <v>9.42</v>
      </c>
      <c r="J35">
        <v>46163.3903587963</v>
      </c>
      <c r="K35" t="str">
        <f>INDEX('رموز سريعة'!B:B,MATCH(A35,'رموز سريعة'!A:A,0),1)</f>
        <v>ATQA</v>
      </c>
      <c r="L35" t="b">
        <f t="shared" si="1"/>
        <v>0</v>
      </c>
    </row>
    <row r="36" spans="1:12">
      <c r="A36" s="19" t="s">
        <v>166</v>
      </c>
      <c r="B36" s="20">
        <v>1145.05</v>
      </c>
      <c r="C36" s="21">
        <v>2.2000000000000001E-3</v>
      </c>
      <c r="D36" s="33" t="s">
        <v>1257</v>
      </c>
      <c r="E36" s="23">
        <v>338358.63</v>
      </c>
      <c r="F36" s="24">
        <v>296</v>
      </c>
      <c r="G36" s="20">
        <v>1140.33</v>
      </c>
      <c r="H36" s="20">
        <v>1151.8900000000001</v>
      </c>
      <c r="I36" s="20">
        <v>1139</v>
      </c>
      <c r="J36" s="25">
        <v>46163.389236111114</v>
      </c>
      <c r="K36" t="str">
        <f>INDEX('رموز سريعة'!B:B,MATCH(A36,'رموز سريعة'!A:A,0),1)</f>
        <v>AXPH</v>
      </c>
      <c r="L36" t="b">
        <f t="shared" si="1"/>
        <v>0</v>
      </c>
    </row>
    <row r="37" spans="1:12">
      <c r="A37" s="26" t="s">
        <v>356</v>
      </c>
      <c r="B37" s="27">
        <v>1.39</v>
      </c>
      <c r="C37" s="28">
        <v>4.5100000000000001E-2</v>
      </c>
      <c r="D37" s="27" t="s">
        <v>1163</v>
      </c>
      <c r="E37" s="30">
        <v>1009095.06</v>
      </c>
      <c r="F37" s="31">
        <v>726257</v>
      </c>
      <c r="G37" s="27">
        <v>1.33</v>
      </c>
      <c r="H37" s="27">
        <v>1.39</v>
      </c>
      <c r="I37" s="27">
        <v>1.33</v>
      </c>
      <c r="J37" s="32">
        <v>46163.383993055555</v>
      </c>
      <c r="K37" t="str">
        <f>INDEX('رموز سريعة'!B:B,MATCH(A37,'رموز سريعة'!A:A,0),1)</f>
        <v>BIDI</v>
      </c>
      <c r="L37" t="b">
        <f t="shared" si="1"/>
        <v>0</v>
      </c>
    </row>
    <row r="38" spans="1:12">
      <c r="A38" t="s">
        <v>382</v>
      </c>
      <c r="B38">
        <v>0.18</v>
      </c>
      <c r="C38">
        <v>1.6899999999999998E-2</v>
      </c>
      <c r="D38" t="s">
        <v>330</v>
      </c>
      <c r="E38">
        <v>115643.59</v>
      </c>
      <c r="F38">
        <v>648477</v>
      </c>
      <c r="G38">
        <v>0.18</v>
      </c>
      <c r="H38">
        <v>0.18</v>
      </c>
      <c r="I38">
        <v>0.18</v>
      </c>
      <c r="J38">
        <v>46163.387708333335</v>
      </c>
      <c r="K38" t="str">
        <f>INDEX('رموز سريعة'!B:B,MATCH(A38,'رموز سريعة'!A:A,0),1)</f>
        <v>BIGP</v>
      </c>
      <c r="L38" t="b">
        <f t="shared" si="1"/>
        <v>0</v>
      </c>
    </row>
    <row r="39" spans="1:12">
      <c r="A39" s="19" t="s">
        <v>167</v>
      </c>
      <c r="B39" s="20">
        <v>41.43</v>
      </c>
      <c r="C39" s="21">
        <v>1E-3</v>
      </c>
      <c r="D39" s="20" t="s">
        <v>1197</v>
      </c>
      <c r="E39" s="23">
        <v>611864.31000000006</v>
      </c>
      <c r="F39" s="24">
        <v>14898</v>
      </c>
      <c r="G39" s="20">
        <v>41.05</v>
      </c>
      <c r="H39" s="20">
        <v>41.43</v>
      </c>
      <c r="I39" s="20">
        <v>41</v>
      </c>
      <c r="J39" s="25">
        <v>46163.390763888892</v>
      </c>
      <c r="K39" t="str">
        <f>INDEX('رموز سريعة'!B:B,MATCH(A39,'رموز سريعة'!A:A,0),1)</f>
        <v>BINV</v>
      </c>
      <c r="L39" t="b">
        <f t="shared" si="1"/>
        <v>0</v>
      </c>
    </row>
    <row r="40" spans="1:12">
      <c r="A40" t="s">
        <v>169</v>
      </c>
      <c r="B40">
        <v>70.459999999999994</v>
      </c>
      <c r="C40">
        <v>-4.0000000000000002E-4</v>
      </c>
      <c r="D40" t="s">
        <v>389</v>
      </c>
      <c r="E40">
        <v>489034.16</v>
      </c>
      <c r="F40">
        <v>6891</v>
      </c>
      <c r="G40">
        <v>70.599999999999994</v>
      </c>
      <c r="H40">
        <v>72.7</v>
      </c>
      <c r="I40">
        <v>70.400000000000006</v>
      </c>
      <c r="J40">
        <v>46163.390393518515</v>
      </c>
      <c r="K40" t="str">
        <f>INDEX('رموز سريعة'!B:B,MATCH(A40,'رموز سريعة'!A:A,0),1)</f>
        <v>BIOC</v>
      </c>
      <c r="L40" t="b">
        <f t="shared" si="1"/>
        <v>0</v>
      </c>
    </row>
    <row r="41" spans="1:12">
      <c r="A41" s="26" t="s">
        <v>1131</v>
      </c>
      <c r="B41" s="27">
        <v>4.88</v>
      </c>
      <c r="C41" s="28">
        <v>2.7400000000000001E-2</v>
      </c>
      <c r="D41" s="34" t="s">
        <v>651</v>
      </c>
      <c r="E41" s="30">
        <v>6939847.5</v>
      </c>
      <c r="F41" s="31">
        <v>1440243</v>
      </c>
      <c r="G41" s="27">
        <v>4.75</v>
      </c>
      <c r="H41" s="27">
        <v>4.8899999999999997</v>
      </c>
      <c r="I41" s="27">
        <v>4.72</v>
      </c>
      <c r="J41" s="32">
        <v>46163.391435185185</v>
      </c>
      <c r="K41" t="str">
        <f>INDEX('رموز سريعة'!B:B,MATCH(A41,'رموز سريعة'!A:A,0),1)</f>
        <v>BONY</v>
      </c>
      <c r="L41" t="b">
        <f t="shared" si="1"/>
        <v>0</v>
      </c>
    </row>
    <row r="42" spans="1:12">
      <c r="A42" s="19" t="s">
        <v>421</v>
      </c>
      <c r="B42" s="20">
        <v>3.08</v>
      </c>
      <c r="C42" s="21">
        <v>3.3E-3</v>
      </c>
      <c r="D42" s="22" t="s">
        <v>336</v>
      </c>
      <c r="E42" s="23">
        <v>106746064</v>
      </c>
      <c r="F42" s="24">
        <v>34615574</v>
      </c>
      <c r="G42" s="20">
        <v>3.06</v>
      </c>
      <c r="H42" s="20">
        <v>3.11</v>
      </c>
      <c r="I42" s="20">
        <v>3.05</v>
      </c>
      <c r="J42" s="25">
        <v>46163.390347222223</v>
      </c>
      <c r="K42" t="str">
        <f>INDEX('رموز سريعة'!B:B,MATCH(A42,'رموز سريعة'!A:A,0),1)</f>
        <v>BTFH</v>
      </c>
      <c r="L42" t="b">
        <f t="shared" si="1"/>
        <v>0</v>
      </c>
    </row>
    <row r="43" spans="1:12">
      <c r="A43" s="19" t="s">
        <v>457</v>
      </c>
      <c r="B43" s="23">
        <v>75.099999999999994</v>
      </c>
      <c r="C43" s="21">
        <v>2.9000000000000001E-2</v>
      </c>
      <c r="D43" s="22" t="s">
        <v>1228</v>
      </c>
      <c r="E43" s="23">
        <v>17037628</v>
      </c>
      <c r="F43" s="24">
        <v>222641</v>
      </c>
      <c r="G43" s="23">
        <v>73.02</v>
      </c>
      <c r="H43" s="23">
        <v>79.87</v>
      </c>
      <c r="I43" s="23">
        <v>70.41</v>
      </c>
      <c r="J43" s="25">
        <v>46163.390439814815</v>
      </c>
      <c r="K43" t="str">
        <f>INDEX('رموز سريعة'!B:B,MATCH(A43,'رموز سريعة'!A:A,0),1)</f>
        <v>CAED</v>
      </c>
      <c r="L43" t="b">
        <f t="shared" si="1"/>
        <v>0</v>
      </c>
    </row>
    <row r="44" spans="1:12">
      <c r="A44" t="s">
        <v>171</v>
      </c>
      <c r="B44">
        <v>34.5</v>
      </c>
      <c r="C44">
        <v>5.8999999999999999E-3</v>
      </c>
      <c r="D44" t="s">
        <v>1190</v>
      </c>
      <c r="E44">
        <v>1372009.5</v>
      </c>
      <c r="F44">
        <v>39824</v>
      </c>
      <c r="G44">
        <v>34.14</v>
      </c>
      <c r="H44">
        <v>35</v>
      </c>
      <c r="I44">
        <v>34.11</v>
      </c>
      <c r="J44">
        <v>46163.388773148145</v>
      </c>
      <c r="K44" t="str">
        <f>INDEX('رموز سريعة'!B:B,MATCH(A44,'رموز سريعة'!A:A,0),1)</f>
        <v>CANA</v>
      </c>
      <c r="L44" t="b">
        <f t="shared" si="1"/>
        <v>0</v>
      </c>
    </row>
    <row r="45" spans="1:12">
      <c r="A45" s="19" t="s">
        <v>417</v>
      </c>
      <c r="B45" s="20">
        <v>5.2</v>
      </c>
      <c r="C45" s="21">
        <v>0</v>
      </c>
      <c r="D45" s="22" t="s">
        <v>330</v>
      </c>
      <c r="E45" s="23">
        <v>269226688</v>
      </c>
      <c r="F45" s="24">
        <v>51629609</v>
      </c>
      <c r="G45" s="20">
        <v>5.2</v>
      </c>
      <c r="H45" s="20">
        <v>5.26</v>
      </c>
      <c r="I45" s="20">
        <v>5.14</v>
      </c>
      <c r="J45" s="25">
        <v>46163.391226851854</v>
      </c>
      <c r="K45" t="str">
        <f>INDEX('رموز سريعة'!B:B,MATCH(A45,'رموز سريعة'!A:A,0),1)</f>
        <v>CCAP</v>
      </c>
      <c r="L45" t="b">
        <f t="shared" si="1"/>
        <v>0</v>
      </c>
    </row>
    <row r="46" spans="1:12">
      <c r="A46" s="26" t="s">
        <v>439</v>
      </c>
      <c r="B46" s="27">
        <v>2.38</v>
      </c>
      <c r="C46" s="28">
        <v>5.2900000000000003E-2</v>
      </c>
      <c r="D46" s="34" t="s">
        <v>1223</v>
      </c>
      <c r="E46" s="30">
        <v>10855159</v>
      </c>
      <c r="F46" s="31">
        <v>4548390</v>
      </c>
      <c r="G46" s="27">
        <v>2.27</v>
      </c>
      <c r="H46" s="27">
        <v>2.4300000000000002</v>
      </c>
      <c r="I46" s="27">
        <v>2.3199999999999998</v>
      </c>
      <c r="J46" s="32">
        <v>46163.391192129631</v>
      </c>
      <c r="K46" t="str">
        <f>INDEX('رموز سريعة'!B:B,MATCH(A46,'رموز سريعة'!A:A,0),1)</f>
        <v>CCRS</v>
      </c>
      <c r="L46" t="b">
        <f t="shared" si="1"/>
        <v>0</v>
      </c>
    </row>
    <row r="47" spans="1:12">
      <c r="A47" s="26" t="s">
        <v>445</v>
      </c>
      <c r="B47" s="27">
        <v>109.5</v>
      </c>
      <c r="C47" s="28">
        <v>-7.4999999999999997E-3</v>
      </c>
      <c r="D47" s="34" t="s">
        <v>1217</v>
      </c>
      <c r="E47" s="30">
        <v>173364.14</v>
      </c>
      <c r="F47" s="31">
        <v>1593</v>
      </c>
      <c r="G47" s="27">
        <v>110.33</v>
      </c>
      <c r="H47" s="27">
        <v>111.94</v>
      </c>
      <c r="I47" s="27">
        <v>108</v>
      </c>
      <c r="J47" s="32">
        <v>46163.389374999999</v>
      </c>
      <c r="K47" t="str">
        <f>INDEX('رموز سريعة'!B:B,MATCH(A47,'رموز سريعة'!A:A,0),1)</f>
        <v>CEFM</v>
      </c>
      <c r="L47" t="b">
        <f t="shared" si="1"/>
        <v>0</v>
      </c>
    </row>
    <row r="48" spans="1:12">
      <c r="A48" s="49" t="s">
        <v>173</v>
      </c>
      <c r="B48" s="27">
        <v>1.17</v>
      </c>
      <c r="C48" s="28">
        <v>8.6E-3</v>
      </c>
      <c r="D48" s="29" t="s">
        <v>336</v>
      </c>
      <c r="E48" s="30">
        <v>3739154.5</v>
      </c>
      <c r="F48" s="27">
        <v>3244569</v>
      </c>
      <c r="G48" s="27">
        <v>1.1599999999999999</v>
      </c>
      <c r="H48" s="27">
        <v>1.17</v>
      </c>
      <c r="I48" s="27">
        <v>1.1299999999999999</v>
      </c>
      <c r="J48" s="32">
        <v>46163.387870370374</v>
      </c>
      <c r="K48" t="str">
        <f>INDEX('رموز سريعة'!B:B,MATCH(A48,'رموز سريعة'!A:A,0),1)</f>
        <v>CERA</v>
      </c>
      <c r="L48" t="b">
        <f t="shared" si="1"/>
        <v>0</v>
      </c>
    </row>
    <row r="49" spans="1:12">
      <c r="A49" s="19" t="s">
        <v>655</v>
      </c>
      <c r="B49" s="20">
        <v>0.1</v>
      </c>
      <c r="C49" s="21">
        <v>-9.4000000000000004E-3</v>
      </c>
      <c r="D49" s="22" t="s">
        <v>754</v>
      </c>
      <c r="E49" s="23">
        <v>4053.98</v>
      </c>
      <c r="F49" s="24">
        <v>38515</v>
      </c>
      <c r="G49" s="20">
        <v>0.11</v>
      </c>
      <c r="H49" s="20">
        <v>0.11</v>
      </c>
      <c r="I49" s="20">
        <v>0.1</v>
      </c>
      <c r="J49" s="25">
        <v>46163.325706018521</v>
      </c>
      <c r="K49" t="str">
        <f>INDEX('رموز سريعة'!B:B,MATCH(A49,'رموز سريعة'!A:A,0),1)</f>
        <v>CFGH</v>
      </c>
      <c r="L49" t="b">
        <f t="shared" si="1"/>
        <v>0</v>
      </c>
    </row>
    <row r="50" spans="1:12">
      <c r="A50" s="19" t="s">
        <v>398</v>
      </c>
      <c r="B50" s="20">
        <v>12.71</v>
      </c>
      <c r="C50" s="21">
        <v>1.2E-2</v>
      </c>
      <c r="D50" s="22" t="s">
        <v>1226</v>
      </c>
      <c r="E50" s="23">
        <v>674140.56</v>
      </c>
      <c r="F50" s="24">
        <v>53213</v>
      </c>
      <c r="G50" s="20">
        <v>12.54</v>
      </c>
      <c r="H50" s="20">
        <v>12.96</v>
      </c>
      <c r="I50" s="20">
        <v>12.41</v>
      </c>
      <c r="J50" s="25">
        <v>46163.387152777781</v>
      </c>
      <c r="K50" t="str">
        <f>INDEX('رموز سريعة'!B:B,MATCH(A50,'رموز سريعة'!A:A,0),1)</f>
        <v>CICH</v>
      </c>
      <c r="L50" t="b">
        <f t="shared" si="1"/>
        <v>0</v>
      </c>
    </row>
    <row r="51" spans="1:12">
      <c r="A51" s="19" t="s">
        <v>174</v>
      </c>
      <c r="B51" s="20">
        <v>23.41</v>
      </c>
      <c r="C51" s="21">
        <v>2.5999999999999999E-3</v>
      </c>
      <c r="D51" s="33" t="s">
        <v>1163</v>
      </c>
      <c r="E51" s="23">
        <v>2135854</v>
      </c>
      <c r="F51" s="24">
        <v>91171</v>
      </c>
      <c r="G51" s="20">
        <v>23.41</v>
      </c>
      <c r="H51" s="20">
        <v>23.65</v>
      </c>
      <c r="I51" s="20">
        <v>23.31</v>
      </c>
      <c r="J51" s="25">
        <v>46163.390162037038</v>
      </c>
      <c r="K51" t="str">
        <f>INDEX('رموز سريعة'!B:B,MATCH(A51,'رموز سريعة'!A:A,0),1)</f>
        <v>CIEB</v>
      </c>
      <c r="L51" t="b">
        <f t="shared" si="1"/>
        <v>0</v>
      </c>
    </row>
    <row r="52" spans="1:12">
      <c r="A52" t="s">
        <v>759</v>
      </c>
      <c r="B52">
        <v>27.63</v>
      </c>
      <c r="C52">
        <v>1.47E-2</v>
      </c>
      <c r="D52" t="s">
        <v>1195</v>
      </c>
      <c r="E52">
        <v>17620116</v>
      </c>
      <c r="F52">
        <v>638524</v>
      </c>
      <c r="G52">
        <v>27.23</v>
      </c>
      <c r="H52">
        <v>27.96</v>
      </c>
      <c r="I52">
        <v>27.01</v>
      </c>
      <c r="J52">
        <v>46163.391608796293</v>
      </c>
      <c r="K52" t="str">
        <f>INDEX('رموز سريعة'!B:B,MATCH(A52,'رموز سريعة'!A:A,0),1)</f>
        <v>CIRA</v>
      </c>
      <c r="L52" t="b">
        <f t="shared" si="1"/>
        <v>0</v>
      </c>
    </row>
    <row r="53" spans="1:12">
      <c r="A53" t="s">
        <v>379</v>
      </c>
      <c r="B53">
        <v>15.19</v>
      </c>
      <c r="C53">
        <v>-1.8800000000000001E-2</v>
      </c>
      <c r="D53" t="s">
        <v>1212</v>
      </c>
      <c r="E53">
        <v>4723384.5</v>
      </c>
      <c r="F53">
        <v>310982</v>
      </c>
      <c r="G53">
        <v>15.45</v>
      </c>
      <c r="H53">
        <v>15.7</v>
      </c>
      <c r="I53">
        <v>15</v>
      </c>
      <c r="J53">
        <v>46163.391550925924</v>
      </c>
      <c r="K53" t="str">
        <f>INDEX('رموز سريعة'!B:B,MATCH(A53,'رموز سريعة'!A:A,0),1)</f>
        <v>CLHO</v>
      </c>
      <c r="L53" t="b">
        <f t="shared" si="1"/>
        <v>0</v>
      </c>
    </row>
    <row r="54" spans="1:12">
      <c r="A54" s="26" t="s">
        <v>315</v>
      </c>
      <c r="B54" s="27">
        <v>4.62</v>
      </c>
      <c r="C54" s="28">
        <v>4.3E-3</v>
      </c>
      <c r="D54" s="29" t="s">
        <v>957</v>
      </c>
      <c r="E54" s="30">
        <v>4882395.5</v>
      </c>
      <c r="F54" s="31">
        <v>1056810</v>
      </c>
      <c r="G54" s="27">
        <v>4.5999999999999996</v>
      </c>
      <c r="H54" s="27">
        <v>4.68</v>
      </c>
      <c r="I54" s="27">
        <v>4.55</v>
      </c>
      <c r="J54" s="32">
        <v>46163.390740740739</v>
      </c>
      <c r="K54" t="str">
        <f>INDEX('رموز سريعة'!B:B,MATCH(A54,'رموز سريعة'!A:A,0),1)</f>
        <v>CNFN</v>
      </c>
      <c r="L54" t="b">
        <f t="shared" si="1"/>
        <v>0</v>
      </c>
    </row>
    <row r="55" spans="1:12">
      <c r="A55" s="26" t="s">
        <v>709</v>
      </c>
      <c r="B55" s="27">
        <v>132.35</v>
      </c>
      <c r="C55" s="28">
        <v>8.3999999999999995E-3</v>
      </c>
      <c r="D55" s="29" t="s">
        <v>1248</v>
      </c>
      <c r="E55" s="30">
        <v>82702328</v>
      </c>
      <c r="F55" s="31">
        <v>624444</v>
      </c>
      <c r="G55" s="27">
        <v>131.72</v>
      </c>
      <c r="H55" s="27">
        <v>132.96</v>
      </c>
      <c r="I55" s="27">
        <v>131.80000000000001</v>
      </c>
      <c r="J55" s="32">
        <v>46163.391412037039</v>
      </c>
      <c r="K55" t="str">
        <f>INDEX('رموز سريعة'!B:B,MATCH(A55,'رموز سريعة'!A:A,0),1)</f>
        <v>COMI</v>
      </c>
      <c r="L55" t="b">
        <f t="shared" si="1"/>
        <v>0</v>
      </c>
    </row>
    <row r="56" spans="1:12">
      <c r="A56" t="s">
        <v>338</v>
      </c>
      <c r="B56">
        <v>0.36</v>
      </c>
      <c r="C56">
        <v>1.12E-2</v>
      </c>
      <c r="D56" t="s">
        <v>330</v>
      </c>
      <c r="E56">
        <v>30492802</v>
      </c>
      <c r="F56">
        <v>83943030</v>
      </c>
      <c r="G56">
        <v>0.36</v>
      </c>
      <c r="H56">
        <v>0.37</v>
      </c>
      <c r="I56">
        <v>0.36</v>
      </c>
      <c r="J56">
        <v>46163.391597222224</v>
      </c>
      <c r="K56" t="str">
        <f>INDEX('رموز سريعة'!B:B,MATCH(A56,'رموز سريعة'!A:A,0),1)</f>
        <v>COPR</v>
      </c>
      <c r="L56" t="b">
        <f t="shared" si="1"/>
        <v>0</v>
      </c>
    </row>
    <row r="57" spans="1:12">
      <c r="A57" s="19" t="s">
        <v>416</v>
      </c>
      <c r="B57" s="20">
        <v>1.52</v>
      </c>
      <c r="C57" s="21">
        <v>-1.3100000000000001E-2</v>
      </c>
      <c r="D57" s="20" t="s">
        <v>374</v>
      </c>
      <c r="E57" s="23">
        <v>15117124</v>
      </c>
      <c r="F57" s="24">
        <v>9904180</v>
      </c>
      <c r="G57" s="20">
        <v>1.53</v>
      </c>
      <c r="H57" s="20">
        <v>1.56</v>
      </c>
      <c r="I57" s="20">
        <v>1.51</v>
      </c>
      <c r="J57" s="25">
        <v>46163.389548611114</v>
      </c>
      <c r="K57" t="str">
        <f>INDEX('رموز سريعة'!B:B,MATCH(A57,'رموز سريعة'!A:A,0),1)</f>
        <v>COSG</v>
      </c>
      <c r="L57" t="b">
        <f t="shared" si="1"/>
        <v>0</v>
      </c>
    </row>
    <row r="58" spans="1:12">
      <c r="A58" s="26" t="s">
        <v>179</v>
      </c>
      <c r="B58" s="30">
        <v>346.03</v>
      </c>
      <c r="C58" s="28">
        <v>-3.8999999999999998E-3</v>
      </c>
      <c r="D58" s="29" t="s">
        <v>1262</v>
      </c>
      <c r="E58" s="30">
        <v>1096619.5</v>
      </c>
      <c r="F58" s="31">
        <v>3166</v>
      </c>
      <c r="G58" s="30">
        <v>347.02</v>
      </c>
      <c r="H58" s="30">
        <v>349</v>
      </c>
      <c r="I58" s="30">
        <v>345.01</v>
      </c>
      <c r="J58" s="32">
        <v>46163.390439814815</v>
      </c>
      <c r="K58" t="str">
        <f>INDEX('رموز سريعة'!B:B,MATCH(A58,'رموز سريعة'!A:A,0),1)</f>
        <v>CPCI</v>
      </c>
      <c r="L58" t="b">
        <f t="shared" si="1"/>
        <v>0</v>
      </c>
    </row>
    <row r="59" spans="1:12">
      <c r="A59" t="s">
        <v>1156</v>
      </c>
      <c r="B59">
        <v>1.1299999999999999</v>
      </c>
      <c r="C59">
        <v>8.8000000000000005E-3</v>
      </c>
      <c r="D59" t="s">
        <v>336</v>
      </c>
      <c r="E59">
        <v>73466336</v>
      </c>
      <c r="F59">
        <v>63389664</v>
      </c>
      <c r="G59">
        <v>1.1299999999999999</v>
      </c>
      <c r="H59">
        <v>1.19</v>
      </c>
      <c r="I59">
        <v>1.1299999999999999</v>
      </c>
      <c r="J59">
        <v>46163.391481481478</v>
      </c>
      <c r="K59" t="str">
        <f>INDEX('رموز سريعة'!B:B,MATCH(A59,'رموز سريعة'!A:A,0),1)</f>
        <v>CRST</v>
      </c>
      <c r="L59" t="b">
        <f t="shared" si="1"/>
        <v>0</v>
      </c>
    </row>
    <row r="60" spans="1:12">
      <c r="A60" s="26" t="s">
        <v>444</v>
      </c>
      <c r="B60" s="27">
        <v>30.5</v>
      </c>
      <c r="C60" s="28">
        <v>6.9999999999999999E-4</v>
      </c>
      <c r="D60" s="34" t="s">
        <v>957</v>
      </c>
      <c r="E60" s="30">
        <v>3360048.75</v>
      </c>
      <c r="F60" s="31">
        <v>110007</v>
      </c>
      <c r="G60" s="27">
        <v>30.52</v>
      </c>
      <c r="H60" s="27">
        <v>30.74</v>
      </c>
      <c r="I60" s="27">
        <v>30.41</v>
      </c>
      <c r="J60" s="32">
        <v>46163.391597222224</v>
      </c>
      <c r="K60" t="str">
        <f>INDEX('رموز سريعة'!B:B,MATCH(A60,'رموز سريعة'!A:A,0),1)</f>
        <v>CSAG</v>
      </c>
      <c r="L60" t="b">
        <f t="shared" si="1"/>
        <v>0</v>
      </c>
    </row>
    <row r="61" spans="1:12">
      <c r="A61" s="26" t="s">
        <v>322</v>
      </c>
      <c r="B61" s="27">
        <v>82.62</v>
      </c>
      <c r="C61" s="28">
        <v>2.3E-3</v>
      </c>
      <c r="D61" s="34" t="s">
        <v>1256</v>
      </c>
      <c r="E61" s="30">
        <v>4372411</v>
      </c>
      <c r="F61" s="31">
        <v>53076</v>
      </c>
      <c r="G61" s="27">
        <v>82.47</v>
      </c>
      <c r="H61" s="27">
        <v>83.5</v>
      </c>
      <c r="I61" s="27">
        <v>81.599999999999994</v>
      </c>
      <c r="J61" s="32">
        <v>46163.38921296296</v>
      </c>
      <c r="K61" t="str">
        <f>INDEX('رموز سريعة'!B:B,MATCH(A61,'رموز سريعة'!A:A,0),1)</f>
        <v>DAPH</v>
      </c>
      <c r="L61" t="b">
        <f t="shared" si="1"/>
        <v>0</v>
      </c>
    </row>
    <row r="62" spans="1:12">
      <c r="A62" s="19" t="s">
        <v>662</v>
      </c>
      <c r="B62" s="20">
        <v>9.35</v>
      </c>
      <c r="C62" s="21">
        <v>4.9399999999999999E-2</v>
      </c>
      <c r="D62" s="22" t="s">
        <v>650</v>
      </c>
      <c r="E62" s="23">
        <v>916.3</v>
      </c>
      <c r="F62" s="20">
        <v>98</v>
      </c>
      <c r="G62" s="20">
        <v>9.35</v>
      </c>
      <c r="H62" s="20">
        <v>9.35</v>
      </c>
      <c r="I62" s="20">
        <v>9.35</v>
      </c>
      <c r="J62" s="25">
        <v>39545</v>
      </c>
      <c r="K62" t="str">
        <f>INDEX('رموز سريعة'!B:B,MATCH(A62,'رموز سريعة'!A:A,0),1)</f>
        <v>DCCC</v>
      </c>
      <c r="L62" t="b">
        <f t="shared" si="1"/>
        <v>0</v>
      </c>
    </row>
    <row r="63" spans="1:12">
      <c r="A63" s="26" t="s">
        <v>386</v>
      </c>
      <c r="B63" s="27">
        <v>50</v>
      </c>
      <c r="C63" s="28">
        <v>2.0400000000000001E-2</v>
      </c>
      <c r="D63" s="34" t="s">
        <v>1208</v>
      </c>
      <c r="E63" s="30">
        <v>639850</v>
      </c>
      <c r="F63" s="31">
        <v>12797</v>
      </c>
      <c r="G63" s="27">
        <v>49</v>
      </c>
      <c r="H63" s="27">
        <v>50</v>
      </c>
      <c r="I63" s="27">
        <v>50</v>
      </c>
      <c r="J63" s="32">
        <v>46162.388449074075</v>
      </c>
      <c r="K63" t="str">
        <f>INDEX('رموز سريعة'!B:B,MATCH(A63,'رموز سريعة'!A:A,0),1)</f>
        <v>DCRC</v>
      </c>
      <c r="L63" t="b">
        <f t="shared" si="1"/>
        <v>0</v>
      </c>
    </row>
    <row r="64" spans="1:12">
      <c r="A64" s="26" t="s">
        <v>677</v>
      </c>
      <c r="B64" s="27">
        <v>13.65</v>
      </c>
      <c r="C64" s="28">
        <v>0.19950000000000001</v>
      </c>
      <c r="D64" s="27" t="s">
        <v>1154</v>
      </c>
      <c r="E64" s="30">
        <v>546</v>
      </c>
      <c r="F64" s="31">
        <v>40</v>
      </c>
      <c r="G64" s="27">
        <v>11.38</v>
      </c>
      <c r="H64" s="27">
        <v>13.65</v>
      </c>
      <c r="I64" s="27">
        <v>13.65</v>
      </c>
      <c r="J64" s="32">
        <v>46141.395185185182</v>
      </c>
      <c r="K64" t="str">
        <f>INDEX('رموز سريعة'!B:B,MATCH(A64,'رموز سريعة'!A:A,0),1)</f>
        <v>DEIN</v>
      </c>
      <c r="L64" t="b">
        <f t="shared" si="1"/>
        <v>0</v>
      </c>
    </row>
    <row r="65" spans="1:12">
      <c r="A65" s="26" t="s">
        <v>321</v>
      </c>
      <c r="B65" s="27">
        <v>2.61</v>
      </c>
      <c r="C65" s="28">
        <v>1.17E-2</v>
      </c>
      <c r="D65" s="34" t="s">
        <v>1203</v>
      </c>
      <c r="E65" s="30">
        <v>2517989.25</v>
      </c>
      <c r="F65" s="31">
        <v>972990</v>
      </c>
      <c r="G65" s="27">
        <v>2.57</v>
      </c>
      <c r="H65" s="27">
        <v>2.62</v>
      </c>
      <c r="I65" s="27">
        <v>2.5499999999999998</v>
      </c>
      <c r="J65" s="32">
        <v>46163.391203703701</v>
      </c>
      <c r="K65" t="str">
        <f>INDEX('رموز سريعة'!B:B,MATCH(A65,'رموز سريعة'!A:A,0),1)</f>
        <v>DGTZ</v>
      </c>
      <c r="L65" t="b">
        <f t="shared" si="1"/>
        <v>0</v>
      </c>
    </row>
    <row r="66" spans="1:12">
      <c r="A66" s="19" t="s">
        <v>661</v>
      </c>
      <c r="B66" s="20">
        <v>11.79</v>
      </c>
      <c r="C66" s="21">
        <v>-1.5900000000000001E-2</v>
      </c>
      <c r="D66" s="22" t="s">
        <v>1157</v>
      </c>
      <c r="E66" s="20">
        <v>93338.77</v>
      </c>
      <c r="F66" s="20">
        <v>9243</v>
      </c>
      <c r="G66" s="20">
        <v>11.98</v>
      </c>
      <c r="H66" s="20">
        <v>11.94</v>
      </c>
      <c r="I66" s="20">
        <v>10</v>
      </c>
      <c r="J66" s="25">
        <v>46162.395810185182</v>
      </c>
      <c r="K66" t="str">
        <f>INDEX('رموز سريعة'!B:B,MATCH(A66,'رموز سريعة'!A:A,0),1)</f>
        <v>DIFC</v>
      </c>
      <c r="L66" t="b">
        <f t="shared" ref="L66:L97" si="2">K66=K65</f>
        <v>0</v>
      </c>
    </row>
    <row r="67" spans="1:12">
      <c r="A67" s="26" t="s">
        <v>183</v>
      </c>
      <c r="B67" s="27">
        <v>25.11</v>
      </c>
      <c r="C67" s="28">
        <v>-1.4500000000000001E-2</v>
      </c>
      <c r="D67" s="27" t="s">
        <v>1272</v>
      </c>
      <c r="E67" s="30">
        <v>444169.72</v>
      </c>
      <c r="F67" s="31">
        <v>17672</v>
      </c>
      <c r="G67" s="27">
        <v>25.49</v>
      </c>
      <c r="H67" s="27">
        <v>25.5</v>
      </c>
      <c r="I67" s="27">
        <v>25</v>
      </c>
      <c r="J67" s="32">
        <v>46163.37394675926</v>
      </c>
      <c r="K67" t="str">
        <f>INDEX('رموز سريعة'!B:B,MATCH(A67,'رموز سريعة'!A:A,0),1)</f>
        <v>DOMT</v>
      </c>
      <c r="L67" t="b">
        <f t="shared" si="2"/>
        <v>0</v>
      </c>
    </row>
    <row r="68" spans="1:12">
      <c r="A68" s="26" t="s">
        <v>184</v>
      </c>
      <c r="B68" s="27">
        <v>1.74</v>
      </c>
      <c r="C68" s="28">
        <v>5.7999999999999996E-3</v>
      </c>
      <c r="D68" s="27" t="s">
        <v>336</v>
      </c>
      <c r="E68" s="30">
        <v>43024584</v>
      </c>
      <c r="F68" s="31">
        <v>24709670</v>
      </c>
      <c r="G68" s="27">
        <v>1.73</v>
      </c>
      <c r="H68" s="27">
        <v>1.76</v>
      </c>
      <c r="I68" s="27">
        <v>1.72</v>
      </c>
      <c r="J68" s="32">
        <v>46163.391481481478</v>
      </c>
      <c r="K68" t="str">
        <f>INDEX('رموز سريعة'!B:B,MATCH(A68,'رموز سريعة'!A:A,0),1)</f>
        <v>DSCW</v>
      </c>
      <c r="L68" t="b">
        <f t="shared" si="2"/>
        <v>0</v>
      </c>
    </row>
    <row r="69" spans="1:12">
      <c r="A69" s="26" t="s">
        <v>449</v>
      </c>
      <c r="B69" s="27">
        <v>130.5</v>
      </c>
      <c r="C69" s="28">
        <v>5.7000000000000002E-3</v>
      </c>
      <c r="D69" s="29" t="s">
        <v>1252</v>
      </c>
      <c r="E69" s="30">
        <v>504237.59</v>
      </c>
      <c r="F69" s="31">
        <v>3862</v>
      </c>
      <c r="G69" s="27">
        <v>129.71</v>
      </c>
      <c r="H69" s="27">
        <v>132.69</v>
      </c>
      <c r="I69" s="27">
        <v>128.41999999999999</v>
      </c>
      <c r="J69" s="32">
        <v>46163.38003472222</v>
      </c>
      <c r="K69" t="str">
        <f>INDEX('رموز سريعة'!B:B,MATCH(A69,'رموز سريعة'!A:A,0),1)</f>
        <v>DTPP</v>
      </c>
      <c r="L69" t="b">
        <f t="shared" si="2"/>
        <v>0</v>
      </c>
    </row>
    <row r="70" spans="1:12">
      <c r="A70" t="s">
        <v>452</v>
      </c>
      <c r="B70">
        <v>351.76</v>
      </c>
      <c r="C70">
        <v>-4.3E-3</v>
      </c>
      <c r="D70" t="s">
        <v>1263</v>
      </c>
      <c r="E70">
        <v>2776488.75</v>
      </c>
      <c r="F70">
        <v>7807</v>
      </c>
      <c r="G70">
        <v>353.99</v>
      </c>
      <c r="H70">
        <v>364.99</v>
      </c>
      <c r="I70">
        <v>346.01</v>
      </c>
      <c r="J70">
        <v>46163.390335648146</v>
      </c>
      <c r="K70" t="str">
        <f>INDEX('رموز سريعة'!B:B,MATCH(A70,'رموز سريعة'!A:A,0),1)</f>
        <v>EALR</v>
      </c>
      <c r="L70" t="b">
        <f t="shared" si="2"/>
        <v>0</v>
      </c>
    </row>
    <row r="71" spans="1:12">
      <c r="A71" s="26" t="s">
        <v>324</v>
      </c>
      <c r="B71" s="27">
        <v>4.76</v>
      </c>
      <c r="C71" s="28">
        <v>-2.6599999999999999E-2</v>
      </c>
      <c r="D71" s="27" t="s">
        <v>1180</v>
      </c>
      <c r="E71" s="30">
        <v>175977.41</v>
      </c>
      <c r="F71" s="31">
        <v>36692</v>
      </c>
      <c r="G71" s="27">
        <v>4.8899999999999997</v>
      </c>
      <c r="H71" s="27">
        <v>4.8899999999999997</v>
      </c>
      <c r="I71" s="27">
        <v>4.7300000000000004</v>
      </c>
      <c r="J71" s="32">
        <v>46163.389745370368</v>
      </c>
      <c r="K71" t="str">
        <f>INDEX('رموز سريعة'!B:B,MATCH(A71,'رموز سريعة'!A:A,0),1)</f>
        <v>EASB</v>
      </c>
      <c r="L71" t="b">
        <f t="shared" si="2"/>
        <v>0</v>
      </c>
    </row>
    <row r="72" spans="1:12">
      <c r="A72" s="26" t="s">
        <v>186</v>
      </c>
      <c r="B72" s="27">
        <v>37.590000000000003</v>
      </c>
      <c r="C72" s="28">
        <v>-4.2700000000000002E-2</v>
      </c>
      <c r="D72" s="34" t="s">
        <v>1278</v>
      </c>
      <c r="E72" s="30">
        <v>14183186</v>
      </c>
      <c r="F72" s="31">
        <v>376097</v>
      </c>
      <c r="G72" s="27">
        <v>39.15</v>
      </c>
      <c r="H72" s="27">
        <v>38.14</v>
      </c>
      <c r="I72" s="27">
        <v>37.26</v>
      </c>
      <c r="J72" s="32">
        <v>46163.391319444447</v>
      </c>
      <c r="K72" t="str">
        <f>INDEX('رموز سريعة'!B:B,MATCH(A72,'رموز سريعة'!A:A,0),1)</f>
        <v>EAST</v>
      </c>
      <c r="L72" t="b">
        <f t="shared" si="2"/>
        <v>0</v>
      </c>
    </row>
    <row r="73" spans="1:12">
      <c r="A73" s="26" t="s">
        <v>349</v>
      </c>
      <c r="B73" s="27">
        <v>1.66</v>
      </c>
      <c r="C73" s="28">
        <v>-6.0000000000000001E-3</v>
      </c>
      <c r="D73" s="34" t="s">
        <v>753</v>
      </c>
      <c r="E73" s="30">
        <v>162011.41</v>
      </c>
      <c r="F73" s="31">
        <v>98034</v>
      </c>
      <c r="G73" s="27">
        <v>1.67</v>
      </c>
      <c r="H73" s="27">
        <v>1.66</v>
      </c>
      <c r="I73" s="27">
        <v>1.65</v>
      </c>
      <c r="J73" s="32">
        <v>46163.38925925926</v>
      </c>
      <c r="K73" t="str">
        <f>INDEX('رموز سريعة'!B:B,MATCH(A73,'رموز سريعة'!A:A,0),1)</f>
        <v>EBSC</v>
      </c>
      <c r="L73" t="b">
        <f t="shared" si="2"/>
        <v>0</v>
      </c>
    </row>
    <row r="74" spans="1:12">
      <c r="A74" s="19" t="s">
        <v>188</v>
      </c>
      <c r="B74" s="20">
        <v>29.32</v>
      </c>
      <c r="C74" s="21">
        <v>1.6500000000000001E-2</v>
      </c>
      <c r="D74" s="20" t="s">
        <v>1235</v>
      </c>
      <c r="E74" s="23">
        <v>950285</v>
      </c>
      <c r="F74" s="24">
        <v>32427</v>
      </c>
      <c r="G74" s="20">
        <v>29.02</v>
      </c>
      <c r="H74" s="20">
        <v>29.68</v>
      </c>
      <c r="I74" s="20">
        <v>29.02</v>
      </c>
      <c r="J74" s="25">
        <v>46163.388240740744</v>
      </c>
      <c r="K74" t="str">
        <f>INDEX('رموز سريعة'!B:B,MATCH(A74,'رموز سريعة'!A:A,0),1)</f>
        <v>ECAP</v>
      </c>
      <c r="L74" t="b">
        <f t="shared" si="2"/>
        <v>0</v>
      </c>
    </row>
    <row r="75" spans="1:12">
      <c r="A75" s="19" t="s">
        <v>191</v>
      </c>
      <c r="B75" s="20">
        <v>337.98</v>
      </c>
      <c r="C75" s="21">
        <v>1.21E-2</v>
      </c>
      <c r="D75" s="20" t="s">
        <v>1243</v>
      </c>
      <c r="E75" s="23">
        <v>267770.63</v>
      </c>
      <c r="F75" s="24">
        <v>803</v>
      </c>
      <c r="G75" s="20">
        <v>333.94</v>
      </c>
      <c r="H75" s="20">
        <v>340</v>
      </c>
      <c r="I75" s="20">
        <v>330.11</v>
      </c>
      <c r="J75" s="25">
        <v>46163.379664351851</v>
      </c>
      <c r="K75" t="str">
        <f>INDEX('رموز سريعة'!B:B,MATCH(A75,'رموز سريعة'!A:A,0),1)</f>
        <v>EDFM</v>
      </c>
      <c r="L75" t="b">
        <f t="shared" si="2"/>
        <v>0</v>
      </c>
    </row>
    <row r="76" spans="1:12">
      <c r="A76" s="26" t="s">
        <v>420</v>
      </c>
      <c r="B76" s="27">
        <v>2.33</v>
      </c>
      <c r="C76" s="28">
        <v>2.18E-2</v>
      </c>
      <c r="D76" s="29" t="s">
        <v>319</v>
      </c>
      <c r="E76" s="30">
        <v>4917548.5</v>
      </c>
      <c r="F76" s="31">
        <v>2113783</v>
      </c>
      <c r="G76" s="27">
        <v>2.29</v>
      </c>
      <c r="H76" s="27">
        <v>2.35</v>
      </c>
      <c r="I76" s="27">
        <v>2.31</v>
      </c>
      <c r="J76" s="32">
        <v>46163.389930555553</v>
      </c>
      <c r="K76" t="str">
        <f>INDEX('رموز سريعة'!B:B,MATCH(A76,'رموز سريعة'!A:A,0),1)</f>
        <v>EEII</v>
      </c>
      <c r="L76" t="b">
        <f t="shared" si="2"/>
        <v>0</v>
      </c>
    </row>
    <row r="77" spans="1:12">
      <c r="A77" s="26" t="s">
        <v>403</v>
      </c>
      <c r="B77" s="27">
        <v>213.98</v>
      </c>
      <c r="C77" s="28">
        <v>2.2000000000000001E-3</v>
      </c>
      <c r="D77" s="27" t="s">
        <v>1235</v>
      </c>
      <c r="E77" s="27">
        <v>153564.01999999999</v>
      </c>
      <c r="F77" s="27">
        <v>722</v>
      </c>
      <c r="G77" s="27">
        <v>213.5</v>
      </c>
      <c r="H77" s="27">
        <v>215</v>
      </c>
      <c r="I77" s="27">
        <v>212.2</v>
      </c>
      <c r="J77" s="32">
        <v>46163.387881944444</v>
      </c>
      <c r="K77" t="str">
        <f>INDEX('رموز سريعة'!B:B,MATCH(A77,'رموز سريعة'!A:A,0),1)</f>
        <v>EFIC</v>
      </c>
      <c r="L77" t="b">
        <f t="shared" si="2"/>
        <v>0</v>
      </c>
    </row>
    <row r="78" spans="1:12">
      <c r="A78" s="26" t="s">
        <v>193</v>
      </c>
      <c r="B78" s="27">
        <v>27.92</v>
      </c>
      <c r="C78" s="28">
        <v>7.6E-3</v>
      </c>
      <c r="D78" s="29" t="s">
        <v>1249</v>
      </c>
      <c r="E78" s="30">
        <v>13218897</v>
      </c>
      <c r="F78" s="31">
        <v>477209</v>
      </c>
      <c r="G78" s="27">
        <v>27.72</v>
      </c>
      <c r="H78" s="27">
        <v>27.99</v>
      </c>
      <c r="I78" s="27">
        <v>27.49</v>
      </c>
      <c r="J78" s="32">
        <v>46163.391192129631</v>
      </c>
      <c r="K78" t="str">
        <f>INDEX('رموز سريعة'!B:B,MATCH(A78,'رموز سريعة'!A:A,0),1)</f>
        <v>EFID</v>
      </c>
      <c r="L78" t="b">
        <f t="shared" si="2"/>
        <v>0</v>
      </c>
    </row>
    <row r="79" spans="1:12">
      <c r="A79" s="26" t="s">
        <v>314</v>
      </c>
      <c r="B79" s="27">
        <v>21.76</v>
      </c>
      <c r="C79" s="28">
        <v>7.4000000000000003E-3</v>
      </c>
      <c r="D79" s="27" t="s">
        <v>1164</v>
      </c>
      <c r="E79" s="27">
        <v>5342227</v>
      </c>
      <c r="F79" s="27">
        <v>246554</v>
      </c>
      <c r="G79" s="27">
        <v>21.62</v>
      </c>
      <c r="H79" s="27">
        <v>21.84</v>
      </c>
      <c r="I79" s="27">
        <v>21.5</v>
      </c>
      <c r="J79" s="32">
        <v>46163.38989583333</v>
      </c>
      <c r="K79" t="str">
        <f>INDEX('رموز سريعة'!B:B,MATCH(A79,'رموز سريعة'!A:A,0),1)</f>
        <v>EFIH</v>
      </c>
      <c r="L79" t="b">
        <f t="shared" si="2"/>
        <v>0</v>
      </c>
    </row>
    <row r="80" spans="1:12">
      <c r="A80" s="26" t="s">
        <v>194</v>
      </c>
      <c r="B80" s="27">
        <v>331.99</v>
      </c>
      <c r="C80" s="28">
        <v>2.6200000000000001E-2</v>
      </c>
      <c r="D80" s="29" t="s">
        <v>1231</v>
      </c>
      <c r="E80" s="30">
        <v>48553908</v>
      </c>
      <c r="F80" s="31">
        <v>147884</v>
      </c>
      <c r="G80" s="27">
        <v>323.51</v>
      </c>
      <c r="H80" s="27">
        <v>332</v>
      </c>
      <c r="I80" s="27">
        <v>324</v>
      </c>
      <c r="J80" s="32">
        <v>46163.391550925924</v>
      </c>
      <c r="K80" t="str">
        <f>INDEX('رموز سريعة'!B:B,MATCH(A80,'رموز سريعة'!A:A,0),1)</f>
        <v>EGAL</v>
      </c>
      <c r="L80" t="b">
        <f t="shared" si="2"/>
        <v>0</v>
      </c>
    </row>
    <row r="81" spans="1:12">
      <c r="A81" s="26" t="s">
        <v>196</v>
      </c>
      <c r="B81" s="27">
        <v>49</v>
      </c>
      <c r="C81" s="28">
        <v>4.3E-3</v>
      </c>
      <c r="D81" s="29" t="s">
        <v>1249</v>
      </c>
      <c r="E81" s="30">
        <v>4395064</v>
      </c>
      <c r="F81" s="31">
        <v>89801</v>
      </c>
      <c r="G81" s="27">
        <v>48.79</v>
      </c>
      <c r="H81" s="27">
        <v>49.8</v>
      </c>
      <c r="I81" s="27">
        <v>48.61</v>
      </c>
      <c r="J81" s="32">
        <v>46163.390856481485</v>
      </c>
      <c r="K81" t="str">
        <f>INDEX('رموز سريعة'!B:B,MATCH(A81,'رموز سريعة'!A:A,0),1)</f>
        <v>EGAS</v>
      </c>
      <c r="L81" t="b">
        <f t="shared" si="2"/>
        <v>0</v>
      </c>
    </row>
    <row r="82" spans="1:12">
      <c r="A82" s="19" t="s">
        <v>358</v>
      </c>
      <c r="B82" s="20">
        <v>0.45</v>
      </c>
      <c r="C82" s="21">
        <v>-1.0999999999999999E-2</v>
      </c>
      <c r="D82" s="20" t="s">
        <v>753</v>
      </c>
      <c r="E82" s="23">
        <v>77739.28</v>
      </c>
      <c r="F82" s="24">
        <v>172514</v>
      </c>
      <c r="G82" s="20">
        <v>0.46</v>
      </c>
      <c r="H82" s="20">
        <v>0.46</v>
      </c>
      <c r="I82" s="20">
        <v>0.45</v>
      </c>
      <c r="J82" s="25">
        <v>46163.388622685183</v>
      </c>
      <c r="K82" t="str">
        <f>INDEX('رموز سريعة'!B:B,MATCH(A82,'رموز سريعة'!A:A,0),1)</f>
        <v>EGBE</v>
      </c>
      <c r="L82" t="b">
        <f t="shared" si="2"/>
        <v>0</v>
      </c>
    </row>
    <row r="83" spans="1:12">
      <c r="A83" s="26" t="s">
        <v>197</v>
      </c>
      <c r="B83" s="27">
        <v>14.13</v>
      </c>
      <c r="C83" s="28">
        <v>1.7299999999999999E-2</v>
      </c>
      <c r="D83" s="34" t="s">
        <v>1201</v>
      </c>
      <c r="E83" s="30">
        <v>48067224</v>
      </c>
      <c r="F83" s="31">
        <v>3427246</v>
      </c>
      <c r="G83" s="27">
        <v>13.9</v>
      </c>
      <c r="H83" s="27">
        <v>14.17</v>
      </c>
      <c r="I83" s="27">
        <v>13.83</v>
      </c>
      <c r="J83" s="32">
        <v>46163.390983796293</v>
      </c>
      <c r="K83" t="str">
        <f>INDEX('رموز سريعة'!B:B,MATCH(A83,'رموز سريعة'!A:A,0),1)</f>
        <v>EGCH</v>
      </c>
      <c r="L83" t="b">
        <f t="shared" si="2"/>
        <v>0</v>
      </c>
    </row>
    <row r="84" spans="1:12">
      <c r="A84" s="26" t="s">
        <v>459</v>
      </c>
      <c r="B84" s="27">
        <v>12.84</v>
      </c>
      <c r="C84" s="28">
        <v>-3.09E-2</v>
      </c>
      <c r="D84" s="27" t="s">
        <v>1200</v>
      </c>
      <c r="E84" s="30">
        <v>108151.59</v>
      </c>
      <c r="F84" s="31">
        <v>8296</v>
      </c>
      <c r="G84" s="27">
        <v>13.25</v>
      </c>
      <c r="H84" s="27">
        <v>13.25</v>
      </c>
      <c r="I84" s="27">
        <v>12.84</v>
      </c>
      <c r="J84" s="32">
        <v>46163.365833333337</v>
      </c>
      <c r="K84" t="str">
        <f>INDEX('رموز سريعة'!B:B,MATCH(A84,'رموز سريعة'!A:A,0),1)</f>
        <v>EGREF</v>
      </c>
      <c r="L84" t="b">
        <f t="shared" si="2"/>
        <v>0</v>
      </c>
    </row>
    <row r="85" spans="1:12">
      <c r="A85" s="19" t="s">
        <v>432</v>
      </c>
      <c r="B85" s="20">
        <v>9.0299999999999994</v>
      </c>
      <c r="C85" s="21">
        <v>4.7199999999999999E-2</v>
      </c>
      <c r="D85" s="22" t="s">
        <v>1205</v>
      </c>
      <c r="E85" s="23">
        <v>39803.620000000003</v>
      </c>
      <c r="F85" s="24">
        <v>4429</v>
      </c>
      <c r="G85" s="20">
        <v>8.69</v>
      </c>
      <c r="H85" s="20">
        <v>9.19</v>
      </c>
      <c r="I85" s="20">
        <v>8.6999999999999993</v>
      </c>
      <c r="J85" s="25">
        <v>46163.384479166663</v>
      </c>
      <c r="K85" t="str">
        <f>INDEX('رموز سريعة'!B:B,MATCH(A85,'رموز سريعة'!A:A,0),1)</f>
        <v>EGSA</v>
      </c>
      <c r="L85" t="b">
        <f t="shared" si="2"/>
        <v>0</v>
      </c>
    </row>
    <row r="86" spans="1:12">
      <c r="A86" s="19" t="s">
        <v>422</v>
      </c>
      <c r="B86" s="20">
        <v>19.55</v>
      </c>
      <c r="C86" s="21">
        <v>-9.5999999999999992E-3</v>
      </c>
      <c r="D86" s="22" t="s">
        <v>1157</v>
      </c>
      <c r="E86" s="23">
        <v>50755072</v>
      </c>
      <c r="F86" s="24">
        <v>2613165</v>
      </c>
      <c r="G86" s="20">
        <v>19.7</v>
      </c>
      <c r="H86" s="20">
        <v>20.13</v>
      </c>
      <c r="I86" s="20">
        <v>18.989999999999998</v>
      </c>
      <c r="J86" s="25">
        <v>46163.391122685185</v>
      </c>
      <c r="K86" t="str">
        <f>INDEX('رموز سريعة'!B:B,MATCH(A86,'رموز سريعة'!A:A,0),1)</f>
        <v>EGTS</v>
      </c>
      <c r="L86" t="b">
        <f t="shared" si="2"/>
        <v>0</v>
      </c>
    </row>
    <row r="87" spans="1:12">
      <c r="A87" s="26" t="s">
        <v>200</v>
      </c>
      <c r="B87" s="27">
        <v>2.2599999999999998</v>
      </c>
      <c r="C87" s="28">
        <v>4.4000000000000003E-3</v>
      </c>
      <c r="D87" s="29" t="s">
        <v>336</v>
      </c>
      <c r="E87" s="30">
        <v>4033930</v>
      </c>
      <c r="F87" s="31">
        <v>1783632</v>
      </c>
      <c r="G87" s="27">
        <v>2.2599999999999998</v>
      </c>
      <c r="H87" s="27">
        <v>2.29</v>
      </c>
      <c r="I87" s="27">
        <v>2.25</v>
      </c>
      <c r="J87" s="32">
        <v>46163.390266203707</v>
      </c>
      <c r="K87" t="str">
        <f>INDEX('رموز سريعة'!B:B,MATCH(A87,'رموز سريعة'!A:A,0),1)</f>
        <v>EHDR</v>
      </c>
      <c r="L87" t="b">
        <f t="shared" si="2"/>
        <v>0</v>
      </c>
    </row>
    <row r="88" spans="1:12">
      <c r="A88" s="19" t="s">
        <v>670</v>
      </c>
      <c r="B88" s="20">
        <v>9.94</v>
      </c>
      <c r="C88" s="21">
        <v>0.10199999999999999</v>
      </c>
      <c r="D88" s="22" t="s">
        <v>1207</v>
      </c>
      <c r="E88" s="23">
        <v>61113.91</v>
      </c>
      <c r="F88" s="24">
        <v>6415</v>
      </c>
      <c r="G88" s="20">
        <v>9.02</v>
      </c>
      <c r="H88" s="20">
        <v>9.94</v>
      </c>
      <c r="I88" s="20">
        <v>9.2100000000000009</v>
      </c>
      <c r="J88" s="25">
        <v>46162.394606481481</v>
      </c>
      <c r="K88" t="str">
        <f>INDEX('رموز سريعة'!B:B,MATCH(A88,'رموز سريعة'!A:A,0),1)</f>
        <v>EITP</v>
      </c>
      <c r="L88" t="b">
        <f t="shared" si="2"/>
        <v>0</v>
      </c>
    </row>
    <row r="89" spans="1:12">
      <c r="A89" s="26" t="s">
        <v>404</v>
      </c>
      <c r="B89" s="27">
        <v>2.1</v>
      </c>
      <c r="C89" s="28">
        <v>-9.4999999999999998E-3</v>
      </c>
      <c r="D89" s="27" t="s">
        <v>374</v>
      </c>
      <c r="E89" s="30">
        <v>14186785</v>
      </c>
      <c r="F89" s="31">
        <v>6757571</v>
      </c>
      <c r="G89" s="27">
        <v>2.11</v>
      </c>
      <c r="H89" s="27">
        <v>2.12</v>
      </c>
      <c r="I89" s="27">
        <v>2.08</v>
      </c>
      <c r="J89" s="32">
        <v>46163.39162037037</v>
      </c>
      <c r="K89" t="str">
        <f>INDEX('رموز سريعة'!B:B,MATCH(A89,'رموز سريعة'!A:A,0),1)</f>
        <v>ELEC</v>
      </c>
      <c r="L89" t="b">
        <f t="shared" si="2"/>
        <v>0</v>
      </c>
    </row>
    <row r="90" spans="1:12">
      <c r="A90" s="26" t="s">
        <v>203</v>
      </c>
      <c r="B90" s="27">
        <v>1.1399999999999999</v>
      </c>
      <c r="C90" s="28">
        <v>8.8000000000000005E-3</v>
      </c>
      <c r="D90" s="34" t="s">
        <v>336</v>
      </c>
      <c r="E90" s="30">
        <v>6408509</v>
      </c>
      <c r="F90" s="31">
        <v>5618008</v>
      </c>
      <c r="G90" s="27">
        <v>1.1299999999999999</v>
      </c>
      <c r="H90" s="27">
        <v>1.1499999999999999</v>
      </c>
      <c r="I90" s="27">
        <v>1.1299999999999999</v>
      </c>
      <c r="J90" s="32">
        <v>46163.391192129631</v>
      </c>
      <c r="K90" t="str">
        <f>INDEX('رموز سريعة'!B:B,MATCH(A90,'رموز سريعة'!A:A,0),1)</f>
        <v>ELKA</v>
      </c>
      <c r="L90" t="b">
        <f t="shared" si="2"/>
        <v>0</v>
      </c>
    </row>
    <row r="91" spans="1:12">
      <c r="A91" s="19" t="s">
        <v>413</v>
      </c>
      <c r="B91" s="23">
        <v>39.99</v>
      </c>
      <c r="C91" s="21">
        <v>-6.4999999999999997E-3</v>
      </c>
      <c r="D91" s="22" t="s">
        <v>1191</v>
      </c>
      <c r="E91" s="23">
        <v>124995</v>
      </c>
      <c r="F91" s="24">
        <v>3177</v>
      </c>
      <c r="G91" s="23">
        <v>40.25</v>
      </c>
      <c r="H91" s="23">
        <v>40.1</v>
      </c>
      <c r="I91" s="23">
        <v>39</v>
      </c>
      <c r="J91" s="25">
        <v>46163.381574074076</v>
      </c>
      <c r="K91" t="str">
        <f>INDEX('رموز سريعة'!B:B,MATCH(A91,'رموز سريعة'!A:A,0),1)</f>
        <v>ELNA</v>
      </c>
      <c r="L91" t="b">
        <f t="shared" si="2"/>
        <v>0</v>
      </c>
    </row>
    <row r="92" spans="1:12">
      <c r="A92" s="19" t="s">
        <v>204</v>
      </c>
      <c r="B92" s="20">
        <v>8.3800000000000008</v>
      </c>
      <c r="C92" s="21">
        <v>2.1999999999999999E-2</v>
      </c>
      <c r="D92" s="33" t="s">
        <v>1234</v>
      </c>
      <c r="E92" s="23">
        <v>15656420</v>
      </c>
      <c r="F92" s="24">
        <v>1869625</v>
      </c>
      <c r="G92" s="20">
        <v>8.1999999999999993</v>
      </c>
      <c r="H92" s="20">
        <v>8.49</v>
      </c>
      <c r="I92" s="20">
        <v>8.23</v>
      </c>
      <c r="J92" s="25">
        <v>46163.390243055554</v>
      </c>
      <c r="K92" t="str">
        <f>INDEX('رموز سريعة'!B:B,MATCH(A92,'رموز سريعة'!A:A,0),1)</f>
        <v>ELSH</v>
      </c>
      <c r="L92" t="b">
        <f t="shared" si="2"/>
        <v>0</v>
      </c>
    </row>
    <row r="93" spans="1:12">
      <c r="A93" s="26" t="s">
        <v>206</v>
      </c>
      <c r="B93" s="27">
        <v>1.86</v>
      </c>
      <c r="C93" s="28">
        <v>-5.4000000000000003E-3</v>
      </c>
      <c r="D93" s="27" t="s">
        <v>753</v>
      </c>
      <c r="E93" s="30">
        <v>346417</v>
      </c>
      <c r="F93" s="31">
        <v>187500</v>
      </c>
      <c r="G93" s="27">
        <v>1.86</v>
      </c>
      <c r="H93" s="27">
        <v>1.87</v>
      </c>
      <c r="I93" s="27">
        <v>1.84</v>
      </c>
      <c r="J93" s="32">
        <v>46163.376296296294</v>
      </c>
      <c r="K93" t="str">
        <f>INDEX('رموز سريعة'!B:B,MATCH(A93,'رموز سريعة'!A:A,0),1)</f>
        <v>ELWA</v>
      </c>
      <c r="L93" t="b">
        <f t="shared" si="2"/>
        <v>0</v>
      </c>
    </row>
    <row r="94" spans="1:12">
      <c r="A94" s="19" t="s">
        <v>208</v>
      </c>
      <c r="B94" s="23">
        <v>10.11</v>
      </c>
      <c r="C94" s="21">
        <v>1.4E-2</v>
      </c>
      <c r="D94" s="33" t="s">
        <v>1204</v>
      </c>
      <c r="E94" s="23">
        <v>6911347.5</v>
      </c>
      <c r="F94" s="24">
        <v>683650</v>
      </c>
      <c r="G94" s="23">
        <v>10</v>
      </c>
      <c r="H94" s="23">
        <v>10.28</v>
      </c>
      <c r="I94" s="23">
        <v>10.02</v>
      </c>
      <c r="J94" s="25">
        <v>46163.390185185184</v>
      </c>
      <c r="K94" t="str">
        <f>INDEX('رموز سريعة'!B:B,MATCH(A94,'رموز سريعة'!A:A,0),1)</f>
        <v>EMFD</v>
      </c>
      <c r="L94" t="b">
        <f t="shared" si="2"/>
        <v>0</v>
      </c>
    </row>
    <row r="95" spans="1:12">
      <c r="A95" s="26" t="s">
        <v>209</v>
      </c>
      <c r="B95" s="27">
        <v>32.76</v>
      </c>
      <c r="C95" s="28">
        <v>-4.8999999999999998E-3</v>
      </c>
      <c r="D95" s="34" t="s">
        <v>1182</v>
      </c>
      <c r="E95" s="30">
        <v>1303615.6299999999</v>
      </c>
      <c r="F95" s="31">
        <v>39760</v>
      </c>
      <c r="G95" s="27">
        <v>32.89</v>
      </c>
      <c r="H95" s="27">
        <v>33.29</v>
      </c>
      <c r="I95" s="27">
        <v>32.53</v>
      </c>
      <c r="J95" s="32">
        <v>46163.391504629632</v>
      </c>
      <c r="K95" t="str">
        <f>INDEX('رموز سريعة'!B:B,MATCH(A95,'رموز سريعة'!A:A,0),1)</f>
        <v>ENGC</v>
      </c>
      <c r="L95" t="b">
        <f t="shared" si="2"/>
        <v>0</v>
      </c>
    </row>
    <row r="96" spans="1:12">
      <c r="A96" s="26" t="s">
        <v>649</v>
      </c>
      <c r="B96" s="30">
        <v>1.48</v>
      </c>
      <c r="C96" s="28">
        <v>4.9599999999999998E-2</v>
      </c>
      <c r="D96" s="29" t="s">
        <v>1224</v>
      </c>
      <c r="E96" s="30">
        <v>23824.46</v>
      </c>
      <c r="F96" s="31">
        <v>16223</v>
      </c>
      <c r="G96" s="30">
        <v>1.41</v>
      </c>
      <c r="H96" s="30">
        <v>1.48</v>
      </c>
      <c r="I96" s="30">
        <v>1.42</v>
      </c>
      <c r="J96" s="32">
        <v>46163.390543981484</v>
      </c>
      <c r="K96" t="str">
        <f>INDEX('رموز سريعة'!B:B,MATCH(A96,'رموز سريعة'!A:A,0),1)</f>
        <v>EOSB</v>
      </c>
      <c r="L96" t="b">
        <f t="shared" si="2"/>
        <v>0</v>
      </c>
    </row>
    <row r="97" spans="1:12">
      <c r="A97" s="19" t="s">
        <v>369</v>
      </c>
      <c r="B97" s="20">
        <v>8.94</v>
      </c>
      <c r="C97" s="21">
        <v>1.8499999999999999E-2</v>
      </c>
      <c r="D97" s="22" t="s">
        <v>1164</v>
      </c>
      <c r="E97" s="23">
        <v>7023657</v>
      </c>
      <c r="F97" s="24">
        <v>799178</v>
      </c>
      <c r="G97" s="20">
        <v>8.67</v>
      </c>
      <c r="H97" s="20">
        <v>9</v>
      </c>
      <c r="I97" s="20">
        <v>8.6300000000000008</v>
      </c>
      <c r="J97" s="25">
        <v>46163.391377314816</v>
      </c>
      <c r="K97" t="str">
        <f>INDEX('رموز سريعة'!B:B,MATCH(A97,'رموز سريعة'!A:A,0),1)</f>
        <v>EPCO</v>
      </c>
      <c r="L97" t="b">
        <f t="shared" si="2"/>
        <v>0</v>
      </c>
    </row>
    <row r="98" spans="1:12">
      <c r="A98" s="19" t="s">
        <v>366</v>
      </c>
      <c r="B98" s="20">
        <v>12.63</v>
      </c>
      <c r="C98" s="21">
        <v>1.77E-2</v>
      </c>
      <c r="D98" s="22" t="s">
        <v>1237</v>
      </c>
      <c r="E98" s="23">
        <v>58223.360000000001</v>
      </c>
      <c r="F98" s="24">
        <v>4713</v>
      </c>
      <c r="G98" s="20">
        <v>12.41</v>
      </c>
      <c r="H98" s="20">
        <v>12.67</v>
      </c>
      <c r="I98" s="20">
        <v>12.32</v>
      </c>
      <c r="J98" s="25">
        <v>46163.37777777778</v>
      </c>
      <c r="K98" t="str">
        <f>INDEX('رموز سريعة'!B:B,MATCH(A98,'رموز سريعة'!A:A,0),1)</f>
        <v>EPPK</v>
      </c>
      <c r="L98" t="b">
        <f t="shared" ref="L98:L103" si="3">K98=K97</f>
        <v>0</v>
      </c>
    </row>
    <row r="99" spans="1:12">
      <c r="A99" s="19" t="s">
        <v>367</v>
      </c>
      <c r="B99" s="20">
        <v>0.12</v>
      </c>
      <c r="C99" s="21">
        <v>9.0899999999999995E-2</v>
      </c>
      <c r="D99" s="20" t="s">
        <v>336</v>
      </c>
      <c r="E99" s="23">
        <v>16065.68</v>
      </c>
      <c r="F99" s="24">
        <v>133757</v>
      </c>
      <c r="G99" s="20">
        <v>0.11</v>
      </c>
      <c r="H99" s="20">
        <v>0.13</v>
      </c>
      <c r="I99" s="20">
        <v>0.11</v>
      </c>
      <c r="J99" s="25">
        <v>46162.395787037036</v>
      </c>
      <c r="K99" t="str">
        <f>INDEX('رموز سريعة'!B:B,MATCH(A99,'رموز سريعة'!A:A,0),1)</f>
        <v>ESAC</v>
      </c>
      <c r="L99" t="b">
        <f t="shared" si="3"/>
        <v>0</v>
      </c>
    </row>
    <row r="100" spans="1:12">
      <c r="A100" s="19" t="s">
        <v>211</v>
      </c>
      <c r="B100" s="20">
        <v>141</v>
      </c>
      <c r="C100" s="21">
        <v>0</v>
      </c>
      <c r="D100" s="33" t="s">
        <v>330</v>
      </c>
      <c r="E100" s="23">
        <v>336010.69</v>
      </c>
      <c r="F100" s="20">
        <v>2383</v>
      </c>
      <c r="G100" s="20">
        <v>141</v>
      </c>
      <c r="H100" s="20">
        <v>141.69999999999999</v>
      </c>
      <c r="I100" s="20">
        <v>141</v>
      </c>
      <c r="J100" s="25">
        <v>46162.394479166665</v>
      </c>
      <c r="K100" t="str">
        <f>INDEX('رموز سريعة'!B:B,MATCH(A100,'رموز سريعة'!A:A,0),1)</f>
        <v>ESRS</v>
      </c>
      <c r="L100" t="b">
        <f t="shared" si="3"/>
        <v>0</v>
      </c>
    </row>
    <row r="101" spans="1:12">
      <c r="A101" s="19" t="s">
        <v>213</v>
      </c>
      <c r="B101" s="20">
        <v>95.5</v>
      </c>
      <c r="C101" s="21">
        <v>-8.0000000000000004E-4</v>
      </c>
      <c r="D101" s="20" t="s">
        <v>1047</v>
      </c>
      <c r="E101" s="23">
        <v>48385452</v>
      </c>
      <c r="F101" s="24">
        <v>510969</v>
      </c>
      <c r="G101" s="20">
        <v>95.49</v>
      </c>
      <c r="H101" s="20">
        <v>95.69</v>
      </c>
      <c r="I101" s="20">
        <v>93.61</v>
      </c>
      <c r="J101" s="25">
        <v>46163.391435185185</v>
      </c>
      <c r="K101" t="str">
        <f>INDEX('رموز سريعة'!B:B,MATCH(A101,'رموز سريعة'!A:A,0),1)</f>
        <v>ETEL</v>
      </c>
      <c r="L101" t="b">
        <f t="shared" si="3"/>
        <v>0</v>
      </c>
    </row>
    <row r="102" spans="1:12">
      <c r="A102" t="s">
        <v>407</v>
      </c>
      <c r="B102">
        <v>7.59</v>
      </c>
      <c r="C102">
        <v>9.2999999999999992E-3</v>
      </c>
      <c r="D102" t="s">
        <v>1224</v>
      </c>
      <c r="E102">
        <v>3600953.75</v>
      </c>
      <c r="F102">
        <v>477431</v>
      </c>
      <c r="G102">
        <v>7.51</v>
      </c>
      <c r="H102">
        <v>7.64</v>
      </c>
      <c r="I102">
        <v>7.5</v>
      </c>
      <c r="J102">
        <v>46163.391157407408</v>
      </c>
      <c r="K102" t="str">
        <f>INDEX('رموز سريعة'!B:B,MATCH(A102,'رموز سريعة'!A:A,0),1)</f>
        <v>ETRS</v>
      </c>
      <c r="L102" t="b">
        <f t="shared" si="3"/>
        <v>0</v>
      </c>
    </row>
    <row r="103" spans="1:12">
      <c r="A103" s="19" t="s">
        <v>383</v>
      </c>
      <c r="B103" s="20">
        <v>18.73</v>
      </c>
      <c r="C103" s="21">
        <v>9.1999999999999998E-3</v>
      </c>
      <c r="D103" s="20" t="s">
        <v>1196</v>
      </c>
      <c r="E103" s="23">
        <v>9242320</v>
      </c>
      <c r="F103" s="24">
        <v>494294</v>
      </c>
      <c r="G103" s="20">
        <v>18.55</v>
      </c>
      <c r="H103" s="20">
        <v>18.79</v>
      </c>
      <c r="I103" s="20">
        <v>18.579999999999998</v>
      </c>
      <c r="J103" s="25">
        <v>46163.391226851854</v>
      </c>
      <c r="K103" t="str">
        <f>INDEX('رموز سريعة'!B:B,MATCH(A103,'رموز سريعة'!A:A,0),1)</f>
        <v>EXPA</v>
      </c>
      <c r="L103" t="b">
        <f t="shared" si="3"/>
        <v>0</v>
      </c>
    </row>
    <row r="104" spans="1:12">
      <c r="A104" t="s">
        <v>381</v>
      </c>
      <c r="B104">
        <v>37.4</v>
      </c>
      <c r="C104">
        <v>-5.3E-3</v>
      </c>
      <c r="D104" t="s">
        <v>756</v>
      </c>
      <c r="E104">
        <v>1636677.75</v>
      </c>
      <c r="F104">
        <v>43907</v>
      </c>
      <c r="G104">
        <v>37.4</v>
      </c>
      <c r="H104">
        <v>37.5</v>
      </c>
      <c r="I104">
        <v>37.049999999999997</v>
      </c>
      <c r="J104">
        <v>46163.385763888888</v>
      </c>
      <c r="K104" t="str">
        <f>INDEX('رموز سريعة'!B:B,MATCH(A104,'رموز سريعة'!A:A,0),1)</f>
        <v>FAIT</v>
      </c>
      <c r="L104" t="e">
        <f>K104=#REF!</f>
        <v>#REF!</v>
      </c>
    </row>
    <row r="105" spans="1:12">
      <c r="A105" t="s">
        <v>580</v>
      </c>
      <c r="B105">
        <v>77.599999999999994</v>
      </c>
      <c r="C105">
        <v>-6.3E-3</v>
      </c>
      <c r="D105" t="s">
        <v>1265</v>
      </c>
      <c r="E105">
        <v>1446737.63</v>
      </c>
      <c r="F105">
        <v>18719</v>
      </c>
      <c r="G105">
        <v>77.680000000000007</v>
      </c>
      <c r="H105">
        <v>77.989999999999995</v>
      </c>
      <c r="I105">
        <v>77</v>
      </c>
      <c r="J105">
        <v>46163.390972222223</v>
      </c>
      <c r="K105" t="str">
        <f>INDEX('رموز سريعة'!B:B,MATCH(A105,'رموز سريعة'!A:A,0),1)</f>
        <v>FERC</v>
      </c>
      <c r="L105" t="b">
        <f t="shared" ref="L105:L118" si="4">K105=K104</f>
        <v>0</v>
      </c>
    </row>
    <row r="106" spans="1:12">
      <c r="A106" t="s">
        <v>214</v>
      </c>
      <c r="B106">
        <v>3.79</v>
      </c>
      <c r="C106">
        <v>4.1099999999999998E-2</v>
      </c>
      <c r="D106" t="s">
        <v>1226</v>
      </c>
      <c r="E106">
        <v>1638573.5</v>
      </c>
      <c r="F106">
        <v>441269</v>
      </c>
      <c r="G106">
        <v>3.65</v>
      </c>
      <c r="H106">
        <v>3.82</v>
      </c>
      <c r="I106">
        <v>3.47</v>
      </c>
      <c r="J106">
        <v>46163.391018518516</v>
      </c>
      <c r="K106" t="str">
        <f>INDEX('رموز سريعة'!B:B,MATCH(A106,'رموز سريعة'!A:A,0),1)</f>
        <v>FIRE</v>
      </c>
      <c r="L106" t="b">
        <f t="shared" si="4"/>
        <v>0</v>
      </c>
    </row>
    <row r="107" spans="1:12">
      <c r="A107" s="26" t="s">
        <v>454</v>
      </c>
      <c r="B107" s="27">
        <v>10.17</v>
      </c>
      <c r="C107" s="28">
        <v>9.9000000000000008E-3</v>
      </c>
      <c r="D107" s="27" t="s">
        <v>1176</v>
      </c>
      <c r="E107" s="30">
        <v>1620725.63</v>
      </c>
      <c r="F107" s="31">
        <v>160303</v>
      </c>
      <c r="G107" s="27">
        <v>10.07</v>
      </c>
      <c r="H107" s="27">
        <v>10.3</v>
      </c>
      <c r="I107" s="27">
        <v>10.06</v>
      </c>
      <c r="J107" s="32">
        <v>46163.39130787037</v>
      </c>
      <c r="K107" t="str">
        <f>INDEX('رموز سريعة'!B:B,MATCH(A107,'رموز سريعة'!A:A,0),1)</f>
        <v>FNAR</v>
      </c>
      <c r="L107" t="b">
        <f t="shared" si="4"/>
        <v>0</v>
      </c>
    </row>
    <row r="108" spans="1:12">
      <c r="A108" s="19" t="s">
        <v>333</v>
      </c>
      <c r="B108" s="20">
        <v>1.1499999999999999</v>
      </c>
      <c r="C108" s="21">
        <v>0</v>
      </c>
      <c r="D108" s="33" t="s">
        <v>330</v>
      </c>
      <c r="E108" s="23">
        <v>351085.59</v>
      </c>
      <c r="F108" s="24">
        <v>304918</v>
      </c>
      <c r="G108" s="20">
        <v>1.1499999999999999</v>
      </c>
      <c r="H108" s="20">
        <v>1.1599999999999999</v>
      </c>
      <c r="I108" s="20">
        <v>1.1399999999999999</v>
      </c>
      <c r="J108" s="25">
        <v>46163.388460648152</v>
      </c>
      <c r="K108" t="str">
        <f>INDEX('رموز سريعة'!B:B,MATCH(A108,'رموز سريعة'!A:A,0),1)</f>
        <v>FTNS</v>
      </c>
      <c r="L108" t="b">
        <f t="shared" si="4"/>
        <v>0</v>
      </c>
    </row>
    <row r="109" spans="1:12">
      <c r="A109" s="26" t="s">
        <v>216</v>
      </c>
      <c r="B109" s="27">
        <v>19.32</v>
      </c>
      <c r="C109" s="28">
        <v>3.5999999999999999E-3</v>
      </c>
      <c r="D109" s="29" t="s">
        <v>1224</v>
      </c>
      <c r="E109" s="30">
        <v>57113408</v>
      </c>
      <c r="F109" s="31">
        <v>2963909</v>
      </c>
      <c r="G109" s="27">
        <v>19.25</v>
      </c>
      <c r="H109" s="27">
        <v>19.45</v>
      </c>
      <c r="I109" s="27">
        <v>19.100000000000001</v>
      </c>
      <c r="J109" s="32">
        <v>46163.391331018516</v>
      </c>
      <c r="K109" t="str">
        <f>INDEX('رموز سريعة'!B:B,MATCH(A109,'رموز سريعة'!A:A,0),1)</f>
        <v>FWRY</v>
      </c>
      <c r="L109" t="b">
        <f t="shared" si="4"/>
        <v>0</v>
      </c>
    </row>
    <row r="110" spans="1:12">
      <c r="A110" t="s">
        <v>326</v>
      </c>
      <c r="B110">
        <v>25.67</v>
      </c>
      <c r="C110">
        <v>7.1000000000000004E-3</v>
      </c>
      <c r="D110" t="s">
        <v>1234</v>
      </c>
      <c r="E110">
        <v>15473672</v>
      </c>
      <c r="F110">
        <v>603724</v>
      </c>
      <c r="G110">
        <v>25.5</v>
      </c>
      <c r="H110">
        <v>25.85</v>
      </c>
      <c r="I110">
        <v>25.36</v>
      </c>
      <c r="J110">
        <v>46163.391261574077</v>
      </c>
      <c r="K110" t="str">
        <f>INDEX('رموز سريعة'!B:B,MATCH(A110,'رموز سريعة'!A:A,0),1)</f>
        <v>GBCO</v>
      </c>
      <c r="L110" t="b">
        <f t="shared" si="4"/>
        <v>0</v>
      </c>
    </row>
    <row r="111" spans="1:12">
      <c r="A111" s="26" t="s">
        <v>373</v>
      </c>
      <c r="B111" s="27">
        <v>0.78</v>
      </c>
      <c r="C111" s="28">
        <v>3.8999999999999998E-3</v>
      </c>
      <c r="D111" s="34" t="s">
        <v>330</v>
      </c>
      <c r="E111" s="30">
        <v>1347411.12</v>
      </c>
      <c r="F111" s="31">
        <v>1733084</v>
      </c>
      <c r="G111" s="30">
        <v>0.77</v>
      </c>
      <c r="H111" s="30">
        <v>0.78</v>
      </c>
      <c r="I111" s="30">
        <v>0.77</v>
      </c>
      <c r="J111" s="32">
        <v>46163.390868055554</v>
      </c>
      <c r="K111" t="str">
        <f>INDEX('رموز سريعة'!B:B,MATCH(A111,'رموز سريعة'!A:A,0),1)</f>
        <v>GDWA</v>
      </c>
      <c r="L111" t="b">
        <f t="shared" si="4"/>
        <v>0</v>
      </c>
    </row>
    <row r="112" spans="1:12">
      <c r="A112" s="26" t="s">
        <v>663</v>
      </c>
      <c r="B112" s="27">
        <v>15</v>
      </c>
      <c r="C112" s="28">
        <v>14</v>
      </c>
      <c r="D112" s="27" t="s">
        <v>757</v>
      </c>
      <c r="E112" s="30">
        <v>1254948.8799999999</v>
      </c>
      <c r="F112" s="31">
        <v>783073</v>
      </c>
      <c r="G112" s="27">
        <v>1</v>
      </c>
      <c r="H112" s="27">
        <v>16</v>
      </c>
      <c r="I112" s="27">
        <v>0.25</v>
      </c>
      <c r="J112" s="32">
        <v>45581.395798611113</v>
      </c>
      <c r="K112" t="str">
        <f>INDEX('رموز سريعة'!B:B,MATCH(A112,'رموز سريعة'!A:A,0),1)</f>
        <v>GETO</v>
      </c>
      <c r="L112" t="b">
        <f t="shared" si="4"/>
        <v>0</v>
      </c>
    </row>
    <row r="113" spans="1:12">
      <c r="A113" s="19" t="s">
        <v>368</v>
      </c>
      <c r="B113" s="20">
        <v>0.39</v>
      </c>
      <c r="C113" s="21">
        <v>-1.7500000000000002E-2</v>
      </c>
      <c r="D113" s="20" t="s">
        <v>753</v>
      </c>
      <c r="E113" s="23">
        <v>1824729.38</v>
      </c>
      <c r="F113" s="24">
        <v>4624319</v>
      </c>
      <c r="G113" s="20">
        <v>0.4</v>
      </c>
      <c r="H113" s="20">
        <v>0.4</v>
      </c>
      <c r="I113" s="20">
        <v>0.39</v>
      </c>
      <c r="J113" s="25">
        <v>46163.391215277778</v>
      </c>
      <c r="K113" t="str">
        <f>INDEX('رموز سريعة'!B:B,MATCH(A113,'رموز سريعة'!A:A,0),1)</f>
        <v>GGCC</v>
      </c>
      <c r="L113" t="b">
        <f t="shared" si="4"/>
        <v>0</v>
      </c>
    </row>
    <row r="114" spans="1:12">
      <c r="A114" s="19" t="s">
        <v>973</v>
      </c>
      <c r="B114" s="20">
        <v>1.42</v>
      </c>
      <c r="C114" s="21">
        <v>-2.7400000000000001E-2</v>
      </c>
      <c r="D114" s="22" t="s">
        <v>371</v>
      </c>
      <c r="E114" s="23">
        <v>27161408</v>
      </c>
      <c r="F114" s="24">
        <v>19472224</v>
      </c>
      <c r="G114" s="20">
        <v>1.46</v>
      </c>
      <c r="H114" s="20">
        <v>1.44</v>
      </c>
      <c r="I114" s="20">
        <v>1.35</v>
      </c>
      <c r="J114" s="25">
        <v>46163.391562500001</v>
      </c>
      <c r="K114" t="str">
        <f>INDEX('رموز سريعة'!B:B,MATCH(A114,'رموز سريعة'!A:A,0),1)</f>
        <v>GGRN</v>
      </c>
      <c r="L114" t="b">
        <f t="shared" si="4"/>
        <v>0</v>
      </c>
    </row>
    <row r="115" spans="1:12">
      <c r="A115" s="26" t="s">
        <v>428</v>
      </c>
      <c r="B115" s="27">
        <v>40.5</v>
      </c>
      <c r="C115" s="28">
        <v>-1.7100000000000001E-2</v>
      </c>
      <c r="D115" s="29" t="s">
        <v>1194</v>
      </c>
      <c r="E115" s="30">
        <v>1199511.3799999999</v>
      </c>
      <c r="F115" s="31">
        <v>29737</v>
      </c>
      <c r="G115" s="27">
        <v>40.86</v>
      </c>
      <c r="H115" s="27">
        <v>41.01</v>
      </c>
      <c r="I115" s="27">
        <v>39.799999999999997</v>
      </c>
      <c r="J115" s="32">
        <v>46163.374166666668</v>
      </c>
      <c r="K115" t="str">
        <f>INDEX('رموز سريعة'!B:B,MATCH(A115,'رموز سريعة'!A:A,0),1)</f>
        <v>GIHD</v>
      </c>
      <c r="L115" t="b">
        <f t="shared" si="4"/>
        <v>0</v>
      </c>
    </row>
    <row r="116" spans="1:12">
      <c r="A116" s="19" t="s">
        <v>440</v>
      </c>
      <c r="B116" s="20">
        <v>1.73</v>
      </c>
      <c r="C116" s="21">
        <v>5.7999999999999996E-3</v>
      </c>
      <c r="D116" s="20" t="s">
        <v>336</v>
      </c>
      <c r="E116" s="23">
        <v>105853.21</v>
      </c>
      <c r="F116" s="24">
        <v>62404</v>
      </c>
      <c r="G116" s="20">
        <v>1.72</v>
      </c>
      <c r="H116" s="20">
        <v>1.73</v>
      </c>
      <c r="I116" s="20">
        <v>1.68</v>
      </c>
      <c r="J116" s="25">
        <v>46163.380416666667</v>
      </c>
      <c r="K116" t="str">
        <f>INDEX('رموز سريعة'!B:B,MATCH(A116,'رموز سريعة'!A:A,0),1)</f>
        <v>GMCI</v>
      </c>
      <c r="L116" t="b">
        <f t="shared" si="4"/>
        <v>0</v>
      </c>
    </row>
    <row r="117" spans="1:12">
      <c r="A117" s="19" t="s">
        <v>438</v>
      </c>
      <c r="B117" s="20">
        <v>0.8</v>
      </c>
      <c r="C117" s="21">
        <v>-0.19189999999999999</v>
      </c>
      <c r="D117" s="20" t="s">
        <v>1157</v>
      </c>
      <c r="E117" s="23">
        <v>868736.62</v>
      </c>
      <c r="F117" s="24">
        <v>1051142</v>
      </c>
      <c r="G117" s="20">
        <v>0.99</v>
      </c>
      <c r="H117" s="20">
        <v>1</v>
      </c>
      <c r="I117" s="20">
        <v>0.75</v>
      </c>
      <c r="J117" s="25">
        <v>46043.437442129631</v>
      </c>
      <c r="K117" t="str">
        <f>INDEX('رموز سريعة'!B:B,MATCH(A117,'رموز سريعة'!A:A,0),1)</f>
        <v>GOCO</v>
      </c>
      <c r="L117" t="b">
        <f t="shared" si="4"/>
        <v>0</v>
      </c>
    </row>
    <row r="118" spans="1:12">
      <c r="A118" s="19" t="s">
        <v>614</v>
      </c>
      <c r="B118" s="20">
        <v>44</v>
      </c>
      <c r="C118" s="21">
        <v>5.3E-3</v>
      </c>
      <c r="D118" s="22" t="s">
        <v>644</v>
      </c>
      <c r="E118" s="23">
        <v>739924609.01999998</v>
      </c>
      <c r="F118" s="24">
        <v>933569</v>
      </c>
      <c r="G118" s="20">
        <v>43.77</v>
      </c>
      <c r="H118" s="20">
        <v>44.24</v>
      </c>
      <c r="I118" s="20">
        <v>44</v>
      </c>
      <c r="J118" s="25">
        <v>43373</v>
      </c>
      <c r="K118" t="str">
        <f>INDEX('رموز سريعة'!B:B,MATCH(A118,'رموز سريعة'!A:A,0),1)</f>
        <v>GPPL</v>
      </c>
      <c r="L118" t="b">
        <f t="shared" si="4"/>
        <v>0</v>
      </c>
    </row>
    <row r="119" spans="1:12">
      <c r="A119" t="s">
        <v>352</v>
      </c>
      <c r="B119">
        <v>57.01</v>
      </c>
      <c r="C119">
        <v>6.9999999999999999E-4</v>
      </c>
      <c r="D119" t="s">
        <v>1197</v>
      </c>
      <c r="E119">
        <v>1286013.6299999999</v>
      </c>
      <c r="F119">
        <v>22440</v>
      </c>
      <c r="G119">
        <v>57.03</v>
      </c>
      <c r="H119">
        <v>57.96</v>
      </c>
      <c r="I119">
        <v>56.73</v>
      </c>
      <c r="J119">
        <v>46163.379212962966</v>
      </c>
      <c r="K119" t="str">
        <f>INDEX('رموز سريعة'!B:B,MATCH(A119,'رموز سريعة'!A:A,0),1)</f>
        <v>GRCA</v>
      </c>
      <c r="L119" t="e">
        <f>K119=#REF!</f>
        <v>#REF!</v>
      </c>
    </row>
    <row r="120" spans="1:12">
      <c r="A120" s="26" t="s">
        <v>347</v>
      </c>
      <c r="B120" s="27">
        <v>260</v>
      </c>
      <c r="C120" s="28">
        <v>-1.0200000000000001E-2</v>
      </c>
      <c r="D120" s="27" t="s">
        <v>1269</v>
      </c>
      <c r="E120" s="30">
        <v>3951943.5</v>
      </c>
      <c r="F120" s="31">
        <v>15187</v>
      </c>
      <c r="G120" s="27">
        <v>262.67</v>
      </c>
      <c r="H120" s="27">
        <v>263.5</v>
      </c>
      <c r="I120" s="27">
        <v>256</v>
      </c>
      <c r="J120" s="32">
        <v>46163.388078703705</v>
      </c>
      <c r="K120" t="str">
        <f>INDEX('رموز سريعة'!B:B,MATCH(A120,'رموز سريعة'!A:A,0),1)</f>
        <v>GSSC</v>
      </c>
      <c r="L120" t="b">
        <f t="shared" ref="L120:L151" si="5">K120=K119</f>
        <v>0</v>
      </c>
    </row>
    <row r="121" spans="1:12">
      <c r="A121" s="19" t="s">
        <v>707</v>
      </c>
      <c r="B121" s="20">
        <v>0.03</v>
      </c>
      <c r="C121" s="21">
        <v>-2.86E-2</v>
      </c>
      <c r="D121" s="33" t="s">
        <v>754</v>
      </c>
      <c r="E121" s="23">
        <v>493.51</v>
      </c>
      <c r="F121" s="24">
        <v>14515</v>
      </c>
      <c r="G121" s="20">
        <v>0.04</v>
      </c>
      <c r="H121" s="20">
        <v>0.03</v>
      </c>
      <c r="I121" s="20">
        <v>0.03</v>
      </c>
      <c r="J121" s="25">
        <v>46163.334282407406</v>
      </c>
      <c r="K121" t="str">
        <f>INDEX('رموز سريعة'!B:B,MATCH(A121,'رموز سريعة'!A:A,0),1)</f>
        <v>GTEX</v>
      </c>
      <c r="L121" t="b">
        <f t="shared" si="5"/>
        <v>0</v>
      </c>
    </row>
    <row r="122" spans="1:12">
      <c r="A122" s="19" t="s">
        <v>375</v>
      </c>
      <c r="B122" s="20">
        <v>3.12</v>
      </c>
      <c r="C122" s="21">
        <v>-0.1211</v>
      </c>
      <c r="D122" s="20" t="s">
        <v>1215</v>
      </c>
      <c r="E122" s="23">
        <v>65991.19</v>
      </c>
      <c r="F122" s="24">
        <v>20548</v>
      </c>
      <c r="G122" s="20">
        <v>3.55</v>
      </c>
      <c r="H122" s="20">
        <v>3.65</v>
      </c>
      <c r="I122" s="20">
        <v>3.01</v>
      </c>
      <c r="J122" s="25">
        <v>46162.39576388889</v>
      </c>
      <c r="K122" t="str">
        <f>INDEX('رموز سريعة'!B:B,MATCH(A122,'رموز سريعة'!A:A,0),1)</f>
        <v>GTHE</v>
      </c>
      <c r="L122" t="b">
        <f t="shared" si="5"/>
        <v>0</v>
      </c>
    </row>
    <row r="123" spans="1:12">
      <c r="A123" s="26" t="s">
        <v>218</v>
      </c>
      <c r="B123" s="27">
        <v>52</v>
      </c>
      <c r="C123" s="28">
        <v>1.6500000000000001E-2</v>
      </c>
      <c r="D123" s="27" t="s">
        <v>1238</v>
      </c>
      <c r="E123" s="30">
        <v>890218.31</v>
      </c>
      <c r="F123" s="31">
        <v>17111</v>
      </c>
      <c r="G123" s="27">
        <v>51.4</v>
      </c>
      <c r="H123" s="27">
        <v>52.58</v>
      </c>
      <c r="I123" s="27">
        <v>51.51</v>
      </c>
      <c r="J123" s="32">
        <v>46163.372777777775</v>
      </c>
      <c r="K123" t="str">
        <f>INDEX('رموز سريعة'!B:B,MATCH(A123,'رموز سريعة'!A:A,0),1)</f>
        <v>GTWL</v>
      </c>
      <c r="L123" t="b">
        <f t="shared" si="5"/>
        <v>0</v>
      </c>
    </row>
    <row r="124" spans="1:12">
      <c r="A124" s="26" t="s">
        <v>1150</v>
      </c>
      <c r="B124" s="27">
        <v>7.92</v>
      </c>
      <c r="C124" s="28">
        <v>3.8E-3</v>
      </c>
      <c r="D124" s="34" t="s">
        <v>1203</v>
      </c>
      <c r="E124" s="30">
        <v>1097559.25</v>
      </c>
      <c r="F124" s="31">
        <v>139700</v>
      </c>
      <c r="G124" s="27">
        <v>7.86</v>
      </c>
      <c r="H124" s="27">
        <v>7.94</v>
      </c>
      <c r="I124" s="27">
        <v>7.8</v>
      </c>
      <c r="J124" s="32">
        <v>46163.38863425926</v>
      </c>
      <c r="K124" t="str">
        <f>INDEX('رموز سريعة'!B:B,MATCH(A124,'رموز سريعة'!A:A,0),1)</f>
        <v>HBCO</v>
      </c>
      <c r="L124" t="b">
        <f t="shared" si="5"/>
        <v>0</v>
      </c>
    </row>
    <row r="125" spans="1:12">
      <c r="A125" t="s">
        <v>311</v>
      </c>
      <c r="B125">
        <v>3.85</v>
      </c>
      <c r="C125">
        <v>0.1159</v>
      </c>
      <c r="D125" t="s">
        <v>1195</v>
      </c>
      <c r="E125">
        <v>3128381.5</v>
      </c>
      <c r="F125">
        <v>808634</v>
      </c>
      <c r="G125">
        <v>3.45</v>
      </c>
      <c r="H125">
        <v>3.95</v>
      </c>
      <c r="I125">
        <v>3.44</v>
      </c>
      <c r="J125">
        <v>46162.395543981482</v>
      </c>
      <c r="K125" t="str">
        <f>INDEX('رموز سريعة'!B:B,MATCH(A125,'رموز سريعة'!A:A,0),1)</f>
        <v>HCFI</v>
      </c>
      <c r="L125" t="b">
        <f t="shared" si="5"/>
        <v>0</v>
      </c>
    </row>
    <row r="126" spans="1:12">
      <c r="A126" s="19" t="s">
        <v>380</v>
      </c>
      <c r="B126" s="20">
        <v>143.44999999999999</v>
      </c>
      <c r="C126" s="21">
        <v>1.5900000000000001E-2</v>
      </c>
      <c r="D126" s="20" t="s">
        <v>1240</v>
      </c>
      <c r="E126" s="23">
        <v>3166973.75</v>
      </c>
      <c r="F126" s="24">
        <v>22190</v>
      </c>
      <c r="G126" s="20">
        <v>141.19999999999999</v>
      </c>
      <c r="H126" s="20">
        <v>143.5</v>
      </c>
      <c r="I126" s="20">
        <v>141.36000000000001</v>
      </c>
      <c r="J126" s="25">
        <v>46163.390104166669</v>
      </c>
      <c r="K126" t="str">
        <f>INDEX('رموز سريعة'!B:B,MATCH(A126,'رموز سريعة'!A:A,0),1)</f>
        <v>HDBK</v>
      </c>
      <c r="L126" t="b">
        <f t="shared" si="5"/>
        <v>0</v>
      </c>
    </row>
    <row r="127" spans="1:12">
      <c r="A127" s="26" t="s">
        <v>220</v>
      </c>
      <c r="B127" s="27">
        <v>6.43</v>
      </c>
      <c r="C127" s="28">
        <v>1.6000000000000001E-3</v>
      </c>
      <c r="D127" s="29" t="s">
        <v>336</v>
      </c>
      <c r="E127" s="30">
        <v>93906544</v>
      </c>
      <c r="F127" s="27">
        <v>14580213</v>
      </c>
      <c r="G127" s="27">
        <v>6.41</v>
      </c>
      <c r="H127" s="27">
        <v>6.51</v>
      </c>
      <c r="I127" s="27">
        <v>6.35</v>
      </c>
      <c r="J127" s="32">
        <v>46163.391250000001</v>
      </c>
      <c r="K127" t="str">
        <f>INDEX('رموز سريعة'!B:B,MATCH(A127,'رموز سريعة'!A:A,0),1)</f>
        <v>HELI</v>
      </c>
      <c r="L127" t="b">
        <f t="shared" si="5"/>
        <v>0</v>
      </c>
    </row>
    <row r="128" spans="1:12">
      <c r="A128" s="26" t="s">
        <v>222</v>
      </c>
      <c r="B128" s="27">
        <v>26.32</v>
      </c>
      <c r="C128" s="28">
        <v>8.0000000000000004E-4</v>
      </c>
      <c r="D128" s="29" t="s">
        <v>957</v>
      </c>
      <c r="E128" s="30">
        <v>54961632</v>
      </c>
      <c r="F128" s="31">
        <v>2088021</v>
      </c>
      <c r="G128" s="27">
        <v>26.2</v>
      </c>
      <c r="H128" s="27">
        <v>26.53</v>
      </c>
      <c r="I128" s="27">
        <v>26.16</v>
      </c>
      <c r="J128" s="32">
        <v>46163.391122685185</v>
      </c>
      <c r="K128" t="str">
        <f>INDEX('رموز سريعة'!B:B,MATCH(A128,'رموز سريعة'!A:A,0),1)</f>
        <v>HRHO</v>
      </c>
      <c r="L128" t="b">
        <f t="shared" si="5"/>
        <v>0</v>
      </c>
    </row>
    <row r="129" spans="1:12">
      <c r="A129" s="26" t="s">
        <v>593</v>
      </c>
      <c r="B129" s="30">
        <v>11.3</v>
      </c>
      <c r="C129" s="28">
        <v>2.8899999999999999E-2</v>
      </c>
      <c r="D129" s="34" t="s">
        <v>1229</v>
      </c>
      <c r="E129" s="30">
        <v>3540713</v>
      </c>
      <c r="F129" s="31">
        <v>308733</v>
      </c>
      <c r="G129" s="30">
        <v>11.09</v>
      </c>
      <c r="H129" s="30">
        <v>11.8</v>
      </c>
      <c r="I129" s="30">
        <v>10.85</v>
      </c>
      <c r="J129" s="32">
        <v>46163.389988425923</v>
      </c>
      <c r="K129" t="str">
        <f>INDEX('رموز سريعة'!B:B,MATCH(A129,'رموز سريعة'!A:A,0),1)</f>
        <v>IBCT</v>
      </c>
      <c r="L129" t="b">
        <f t="shared" si="5"/>
        <v>0</v>
      </c>
    </row>
    <row r="130" spans="1:12">
      <c r="A130" s="26" t="s">
        <v>224</v>
      </c>
      <c r="B130" s="27">
        <v>15.8</v>
      </c>
      <c r="C130" s="28">
        <v>-3.2000000000000002E-3</v>
      </c>
      <c r="D130" s="29" t="s">
        <v>1169</v>
      </c>
      <c r="E130" s="30">
        <v>4034682.5</v>
      </c>
      <c r="F130" s="31">
        <v>255618</v>
      </c>
      <c r="G130" s="27">
        <v>15.85</v>
      </c>
      <c r="H130" s="27">
        <v>15.9</v>
      </c>
      <c r="I130" s="27">
        <v>15.55</v>
      </c>
      <c r="J130" s="32">
        <v>46163.391250000001</v>
      </c>
      <c r="K130" t="str">
        <f>INDEX('رموز سريعة'!B:B,MATCH(A130,'رموز سريعة'!A:A,0),1)</f>
        <v>ICFC</v>
      </c>
      <c r="L130" t="b">
        <f t="shared" si="5"/>
        <v>0</v>
      </c>
    </row>
    <row r="131" spans="1:12">
      <c r="A131" s="19" t="s">
        <v>357</v>
      </c>
      <c r="B131" s="20">
        <v>4.54</v>
      </c>
      <c r="C131" s="21">
        <v>-8.8000000000000005E-3</v>
      </c>
      <c r="D131" s="22" t="s">
        <v>371</v>
      </c>
      <c r="E131" s="23">
        <v>994898.5</v>
      </c>
      <c r="F131" s="24">
        <v>217893</v>
      </c>
      <c r="G131" s="20">
        <v>4.5599999999999996</v>
      </c>
      <c r="H131" s="20">
        <v>4.63</v>
      </c>
      <c r="I131" s="20">
        <v>4.5</v>
      </c>
      <c r="J131" s="25">
        <v>46163.391585648147</v>
      </c>
      <c r="K131" t="str">
        <f>INDEX('رموز سريعة'!B:B,MATCH(A131,'رموز سريعة'!A:A,0),1)</f>
        <v>ICID</v>
      </c>
      <c r="L131" t="b">
        <f t="shared" si="5"/>
        <v>0</v>
      </c>
    </row>
    <row r="132" spans="1:12">
      <c r="A132" t="s">
        <v>345</v>
      </c>
      <c r="B132">
        <v>0</v>
      </c>
      <c r="C132">
        <v>-1</v>
      </c>
      <c r="D132" t="s">
        <v>1142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45938</v>
      </c>
      <c r="K132" t="str">
        <f>INDEX('رموز سريعة'!B:B,MATCH(A132,'رموز سريعة'!A:A,0),1)</f>
        <v>ICLe</v>
      </c>
      <c r="L132" t="b">
        <f t="shared" si="5"/>
        <v>0</v>
      </c>
    </row>
    <row r="133" spans="1:12">
      <c r="A133" s="26" t="s">
        <v>376</v>
      </c>
      <c r="B133" s="27">
        <v>44.4</v>
      </c>
      <c r="C133" s="28">
        <v>7.2700000000000001E-2</v>
      </c>
      <c r="D133" s="29" t="s">
        <v>1222</v>
      </c>
      <c r="E133" s="30">
        <v>42877340</v>
      </c>
      <c r="F133" s="31">
        <v>973187</v>
      </c>
      <c r="G133" s="27">
        <v>41.52</v>
      </c>
      <c r="H133" s="27">
        <v>45.9</v>
      </c>
      <c r="I133" s="27">
        <v>41.01</v>
      </c>
      <c r="J133" s="32">
        <v>46163.391597222224</v>
      </c>
      <c r="K133" t="str">
        <f>INDEX('رموز سريعة'!B:B,MATCH(A133,'رموز سريعة'!A:A,0),1)</f>
        <v>IDRE</v>
      </c>
      <c r="L133" t="b">
        <f t="shared" si="5"/>
        <v>0</v>
      </c>
    </row>
    <row r="134" spans="1:12">
      <c r="A134" s="19" t="s">
        <v>401</v>
      </c>
      <c r="B134" s="20">
        <v>0.43</v>
      </c>
      <c r="C134" s="21">
        <v>-2.0500000000000001E-2</v>
      </c>
      <c r="D134" s="33" t="s">
        <v>753</v>
      </c>
      <c r="E134" s="23">
        <v>3349560.75</v>
      </c>
      <c r="F134" s="24">
        <v>7719089</v>
      </c>
      <c r="G134" s="20">
        <v>0.44</v>
      </c>
      <c r="H134" s="20">
        <v>0.44</v>
      </c>
      <c r="I134" s="20">
        <v>0.43</v>
      </c>
      <c r="J134" s="25">
        <v>46163.389710648145</v>
      </c>
      <c r="K134" t="str">
        <f>INDEX('رموز سريعة'!B:B,MATCH(A134,'رموز سريعة'!A:A,0),1)</f>
        <v>IEEC</v>
      </c>
      <c r="L134" t="b">
        <f t="shared" si="5"/>
        <v>0</v>
      </c>
    </row>
    <row r="135" spans="1:12">
      <c r="A135" t="s">
        <v>332</v>
      </c>
      <c r="B135">
        <v>19.68</v>
      </c>
      <c r="C135">
        <v>5.1000000000000004E-3</v>
      </c>
      <c r="D135" t="s">
        <v>1176</v>
      </c>
      <c r="E135">
        <v>1784395</v>
      </c>
      <c r="F135">
        <v>90685</v>
      </c>
      <c r="G135">
        <v>19.54</v>
      </c>
      <c r="H135">
        <v>19.97</v>
      </c>
      <c r="I135">
        <v>19.57</v>
      </c>
      <c r="J135">
        <v>46163.391585648147</v>
      </c>
      <c r="K135" t="str">
        <f>INDEX('رموز سريعة'!B:B,MATCH(A135,'رموز سريعة'!A:A,0),1)</f>
        <v>IFAP</v>
      </c>
      <c r="L135" t="b">
        <f t="shared" si="5"/>
        <v>0</v>
      </c>
    </row>
    <row r="136" spans="1:12">
      <c r="A136" s="19" t="s">
        <v>408</v>
      </c>
      <c r="B136" s="20">
        <v>0.41</v>
      </c>
      <c r="C136" s="21">
        <v>-3.09E-2</v>
      </c>
      <c r="D136" s="22" t="s">
        <v>753</v>
      </c>
      <c r="E136" s="23">
        <v>3832845</v>
      </c>
      <c r="F136" s="24">
        <v>9303531</v>
      </c>
      <c r="G136" s="20">
        <v>0.42</v>
      </c>
      <c r="H136" s="20">
        <v>0.42</v>
      </c>
      <c r="I136" s="20">
        <v>0.4</v>
      </c>
      <c r="J136" s="25">
        <v>46163.390717592592</v>
      </c>
      <c r="K136" t="str">
        <f>INDEX('رموز سريعة'!B:B,MATCH(A136,'رموز سريعة'!A:A,0),1)</f>
        <v>INEG</v>
      </c>
      <c r="L136" t="b">
        <f t="shared" si="5"/>
        <v>0</v>
      </c>
    </row>
    <row r="137" spans="1:12">
      <c r="A137" s="19" t="s">
        <v>227</v>
      </c>
      <c r="B137" s="20">
        <v>104</v>
      </c>
      <c r="C137" s="21">
        <v>2.8500000000000001E-2</v>
      </c>
      <c r="D137" s="20" t="s">
        <v>1230</v>
      </c>
      <c r="E137" s="23">
        <v>25735212</v>
      </c>
      <c r="F137" s="24">
        <v>243715</v>
      </c>
      <c r="G137" s="20">
        <v>101.11</v>
      </c>
      <c r="H137" s="20">
        <v>109.99</v>
      </c>
      <c r="I137" s="20">
        <v>102</v>
      </c>
      <c r="J137" s="25">
        <v>46163.391597222224</v>
      </c>
      <c r="K137" t="str">
        <f>INDEX('رموز سريعة'!B:B,MATCH(A137,'رموز سريعة'!A:A,0),1)</f>
        <v>INFI</v>
      </c>
      <c r="L137" t="b">
        <f t="shared" si="5"/>
        <v>0</v>
      </c>
    </row>
    <row r="138" spans="1:12">
      <c r="A138" t="s">
        <v>360</v>
      </c>
      <c r="B138">
        <v>1250</v>
      </c>
      <c r="C138">
        <v>0</v>
      </c>
      <c r="D138" t="s">
        <v>330</v>
      </c>
      <c r="E138">
        <v>7500</v>
      </c>
      <c r="F138">
        <v>6</v>
      </c>
      <c r="G138">
        <v>1250</v>
      </c>
      <c r="H138">
        <v>1250</v>
      </c>
      <c r="I138">
        <v>1250</v>
      </c>
      <c r="J138">
        <v>46162.378506944442</v>
      </c>
      <c r="K138" t="str">
        <f>INDEX('رموز سريعة'!B:B,MATCH(A138,'رموز سريعة'!A:A,0),1)</f>
        <v>IRAX</v>
      </c>
      <c r="L138" t="b">
        <f t="shared" si="5"/>
        <v>0</v>
      </c>
    </row>
    <row r="139" spans="1:12">
      <c r="A139" t="s">
        <v>645</v>
      </c>
      <c r="B139">
        <v>32.5</v>
      </c>
      <c r="C139">
        <v>-1.8E-3</v>
      </c>
      <c r="D139" t="s">
        <v>1175</v>
      </c>
      <c r="E139">
        <v>1973961</v>
      </c>
      <c r="F139">
        <v>60665</v>
      </c>
      <c r="G139">
        <v>32.68</v>
      </c>
      <c r="H139">
        <v>33</v>
      </c>
      <c r="I139">
        <v>32.229999999999997</v>
      </c>
      <c r="J139">
        <v>46163.390543981484</v>
      </c>
      <c r="K139" t="str">
        <f>INDEX('رموز سريعة'!B:B,MATCH(A139,'رموز سريعة'!A:A,0),1)</f>
        <v>IRON</v>
      </c>
      <c r="L139" t="b">
        <f t="shared" si="5"/>
        <v>0</v>
      </c>
    </row>
    <row r="140" spans="1:12">
      <c r="A140" t="s">
        <v>370</v>
      </c>
      <c r="B140">
        <v>24.92</v>
      </c>
      <c r="C140">
        <v>1.9699999999999999E-2</v>
      </c>
      <c r="D140" t="s">
        <v>1235</v>
      </c>
      <c r="E140">
        <v>18094118</v>
      </c>
      <c r="F140">
        <v>732282</v>
      </c>
      <c r="G140">
        <v>24.4</v>
      </c>
      <c r="H140">
        <v>25.08</v>
      </c>
      <c r="I140">
        <v>24.05</v>
      </c>
      <c r="J140">
        <v>46163.391504629632</v>
      </c>
      <c r="K140" t="str">
        <f>INDEX('رموز سريعة'!B:B,MATCH(A140,'رموز سريعة'!A:A,0),1)</f>
        <v>ISMA</v>
      </c>
      <c r="L140" t="b">
        <f t="shared" si="5"/>
        <v>0</v>
      </c>
    </row>
    <row r="141" spans="1:12">
      <c r="A141" s="19" t="s">
        <v>427</v>
      </c>
      <c r="B141" s="20">
        <v>7.33</v>
      </c>
      <c r="C141" s="21">
        <v>5.4999999999999997E-3</v>
      </c>
      <c r="D141" s="22" t="s">
        <v>1197</v>
      </c>
      <c r="E141" s="23">
        <v>4821350.5</v>
      </c>
      <c r="F141" s="24">
        <v>658286</v>
      </c>
      <c r="G141" s="20">
        <v>7.28</v>
      </c>
      <c r="H141" s="20">
        <v>7.4</v>
      </c>
      <c r="I141" s="20">
        <v>7.29</v>
      </c>
      <c r="J141" s="25">
        <v>46163.390150462961</v>
      </c>
      <c r="K141" t="str">
        <f>INDEX('رموز سريعة'!B:B,MATCH(A141,'رموز سريعة'!A:A,0),1)</f>
        <v>ISMQ</v>
      </c>
      <c r="L141" t="b">
        <f t="shared" si="5"/>
        <v>0</v>
      </c>
    </row>
    <row r="142" spans="1:12">
      <c r="A142" s="26" t="s">
        <v>229</v>
      </c>
      <c r="B142" s="27">
        <v>11.27</v>
      </c>
      <c r="C142" s="28">
        <v>6.1999999999999998E-3</v>
      </c>
      <c r="D142" s="34" t="s">
        <v>1224</v>
      </c>
      <c r="E142" s="30">
        <v>21838876</v>
      </c>
      <c r="F142" s="31">
        <v>1944623</v>
      </c>
      <c r="G142" s="27">
        <v>11.21</v>
      </c>
      <c r="H142" s="27">
        <v>11.37</v>
      </c>
      <c r="I142" s="27">
        <v>11.12</v>
      </c>
      <c r="J142" s="32">
        <v>46163.391435185185</v>
      </c>
      <c r="K142" t="str">
        <f>INDEX('رموز سريعة'!B:B,MATCH(A142,'رموز سريعة'!A:A,0),1)</f>
        <v>ISPH</v>
      </c>
      <c r="L142" t="b">
        <f t="shared" si="5"/>
        <v>0</v>
      </c>
    </row>
    <row r="143" spans="1:12">
      <c r="A143" s="26" t="s">
        <v>230</v>
      </c>
      <c r="B143" s="27">
        <v>27</v>
      </c>
      <c r="C143" s="28">
        <v>-7.7000000000000002E-3</v>
      </c>
      <c r="D143" s="27" t="s">
        <v>1267</v>
      </c>
      <c r="E143" s="30">
        <v>10882438</v>
      </c>
      <c r="F143" s="31">
        <v>402590</v>
      </c>
      <c r="G143" s="27">
        <v>27.21</v>
      </c>
      <c r="H143" s="27">
        <v>27.4</v>
      </c>
      <c r="I143" s="27">
        <v>26.91</v>
      </c>
      <c r="J143" s="32">
        <v>46163.391423611109</v>
      </c>
      <c r="K143" t="str">
        <f>INDEX('رموز سريعة'!B:B,MATCH(A143,'رموز سريعة'!A:A,0),1)</f>
        <v>JUFO</v>
      </c>
      <c r="L143" t="b">
        <f t="shared" si="5"/>
        <v>0</v>
      </c>
    </row>
    <row r="144" spans="1:12">
      <c r="A144" t="s">
        <v>232</v>
      </c>
      <c r="B144">
        <v>6.11</v>
      </c>
      <c r="C144">
        <v>1.1599999999999999E-2</v>
      </c>
      <c r="D144" t="s">
        <v>1224</v>
      </c>
      <c r="E144">
        <v>6578940</v>
      </c>
      <c r="F144">
        <v>1072614</v>
      </c>
      <c r="G144">
        <v>6.05</v>
      </c>
      <c r="H144">
        <v>6.2</v>
      </c>
      <c r="I144">
        <v>6.07</v>
      </c>
      <c r="J144">
        <v>46163.391099537039</v>
      </c>
      <c r="K144" t="str">
        <f>INDEX('رموز سريعة'!B:B,MATCH(A144,'رموز سريعة'!A:A,0),1)</f>
        <v>KABO</v>
      </c>
      <c r="L144" t="b">
        <f t="shared" si="5"/>
        <v>0</v>
      </c>
    </row>
    <row r="145" spans="1:12">
      <c r="A145" s="26" t="s">
        <v>391</v>
      </c>
      <c r="B145" s="27">
        <v>0.34</v>
      </c>
      <c r="C145" s="28">
        <v>-5.8999999999999999E-3</v>
      </c>
      <c r="D145" s="27" t="s">
        <v>754</v>
      </c>
      <c r="E145" s="30">
        <v>4023208.5</v>
      </c>
      <c r="F145" s="31">
        <v>11930054</v>
      </c>
      <c r="G145" s="27">
        <v>0.34</v>
      </c>
      <c r="H145" s="27">
        <v>0.34</v>
      </c>
      <c r="I145" s="27">
        <v>0.34</v>
      </c>
      <c r="J145" s="32">
        <v>46163.389861111114</v>
      </c>
      <c r="K145" t="str">
        <f>INDEX('رموز سريعة'!B:B,MATCH(A145,'رموز سريعة'!A:A,0),1)</f>
        <v>KRDI</v>
      </c>
      <c r="L145" t="b">
        <f t="shared" si="5"/>
        <v>0</v>
      </c>
    </row>
    <row r="146" spans="1:12">
      <c r="A146" s="19" t="s">
        <v>318</v>
      </c>
      <c r="B146" s="20">
        <v>73.2</v>
      </c>
      <c r="C146" s="21">
        <v>1.6400000000000001E-2</v>
      </c>
      <c r="D146" s="22" t="s">
        <v>1239</v>
      </c>
      <c r="E146" s="23">
        <v>1484630.5</v>
      </c>
      <c r="F146" s="24">
        <v>20084</v>
      </c>
      <c r="G146" s="20">
        <v>72.489999999999995</v>
      </c>
      <c r="H146" s="20">
        <v>76</v>
      </c>
      <c r="I146" s="20">
        <v>71.5</v>
      </c>
      <c r="J146" s="25">
        <v>46163.389560185184</v>
      </c>
      <c r="K146" t="str">
        <f>INDEX('رموز سريعة'!B:B,MATCH(A146,'رموز سريعة'!A:A,0),1)</f>
        <v>KWIN</v>
      </c>
      <c r="L146" t="b">
        <f t="shared" si="5"/>
        <v>0</v>
      </c>
    </row>
    <row r="147" spans="1:12">
      <c r="A147" t="s">
        <v>419</v>
      </c>
      <c r="B147">
        <v>10.33</v>
      </c>
      <c r="C147">
        <v>-1.9E-3</v>
      </c>
      <c r="D147" t="s">
        <v>374</v>
      </c>
      <c r="E147">
        <v>2001529.88</v>
      </c>
      <c r="F147">
        <v>192259</v>
      </c>
      <c r="G147">
        <v>10.36</v>
      </c>
      <c r="H147">
        <v>10.5</v>
      </c>
      <c r="I147">
        <v>10.33</v>
      </c>
      <c r="J147">
        <v>46163.391145833331</v>
      </c>
      <c r="K147" t="str">
        <f>INDEX('رموز سريعة'!B:B,MATCH(A147,'رموز سريعة'!A:A,0),1)</f>
        <v>KZPC</v>
      </c>
      <c r="L147" t="b">
        <f t="shared" si="5"/>
        <v>0</v>
      </c>
    </row>
    <row r="148" spans="1:12">
      <c r="A148" s="19" t="s">
        <v>446</v>
      </c>
      <c r="B148" s="20">
        <v>26.64</v>
      </c>
      <c r="C148" s="21">
        <v>-1.12E-2</v>
      </c>
      <c r="D148" s="33" t="s">
        <v>1181</v>
      </c>
      <c r="E148" s="23">
        <v>1874613.5</v>
      </c>
      <c r="F148" s="24">
        <v>70752</v>
      </c>
      <c r="G148" s="20">
        <v>26.75</v>
      </c>
      <c r="H148" s="20">
        <v>26.9</v>
      </c>
      <c r="I148" s="20">
        <v>26.16</v>
      </c>
      <c r="J148" s="25">
        <v>46163.391527777778</v>
      </c>
      <c r="K148" t="str">
        <f>INDEX('رموز سريعة'!B:B,MATCH(A148,'رموز سريعة'!A:A,0),1)</f>
        <v>LCSW</v>
      </c>
      <c r="L148" t="b">
        <f t="shared" si="5"/>
        <v>0</v>
      </c>
    </row>
    <row r="149" spans="1:12">
      <c r="A149" s="26" t="s">
        <v>355</v>
      </c>
      <c r="B149" s="27">
        <v>0.56000000000000005</v>
      </c>
      <c r="C149" s="28">
        <v>-5.4000000000000003E-3</v>
      </c>
      <c r="D149" s="27" t="s">
        <v>754</v>
      </c>
      <c r="E149" s="30">
        <v>2907450.5</v>
      </c>
      <c r="F149" s="31">
        <v>5270820</v>
      </c>
      <c r="G149" s="27">
        <v>0.56000000000000005</v>
      </c>
      <c r="H149" s="27">
        <v>0.56000000000000005</v>
      </c>
      <c r="I149" s="27">
        <v>0.54</v>
      </c>
      <c r="J149" s="32">
        <v>46163.390960648147</v>
      </c>
      <c r="K149" t="str">
        <f>INDEX('رموز سريعة'!B:B,MATCH(A149,'رموز سريعة'!A:A,0),1)</f>
        <v>LUTS</v>
      </c>
      <c r="L149" t="b">
        <f t="shared" si="5"/>
        <v>0</v>
      </c>
    </row>
    <row r="150" spans="1:12">
      <c r="A150" s="19" t="s">
        <v>234</v>
      </c>
      <c r="B150" s="20">
        <v>4.58</v>
      </c>
      <c r="C150" s="21">
        <v>1.0999999999999999E-2</v>
      </c>
      <c r="D150" s="20" t="s">
        <v>319</v>
      </c>
      <c r="E150" s="23">
        <v>9691203</v>
      </c>
      <c r="F150" s="24">
        <v>2081400</v>
      </c>
      <c r="G150" s="20">
        <v>4.54</v>
      </c>
      <c r="H150" s="20">
        <v>4.72</v>
      </c>
      <c r="I150" s="20">
        <v>4.58</v>
      </c>
      <c r="J150" s="25">
        <v>46163.389768518522</v>
      </c>
      <c r="K150" t="str">
        <f>INDEX('رموز سريعة'!B:B,MATCH(A150,'رموز سريعة'!A:A,0),1)</f>
        <v>MAAL</v>
      </c>
      <c r="L150" t="b">
        <f t="shared" si="5"/>
        <v>0</v>
      </c>
    </row>
    <row r="151" spans="1:12">
      <c r="A151" s="19" t="s">
        <v>430</v>
      </c>
      <c r="B151" s="20">
        <v>6.79</v>
      </c>
      <c r="C151" s="21">
        <v>-2.8999999999999998E-3</v>
      </c>
      <c r="D151" s="33" t="s">
        <v>374</v>
      </c>
      <c r="E151" s="23">
        <v>10307254</v>
      </c>
      <c r="F151" s="24">
        <v>1512605</v>
      </c>
      <c r="G151" s="20">
        <v>6.82</v>
      </c>
      <c r="H151" s="20">
        <v>6.91</v>
      </c>
      <c r="I151" s="20">
        <v>6.7</v>
      </c>
      <c r="J151" s="25">
        <v>46163.391412037039</v>
      </c>
      <c r="K151" t="str">
        <f>INDEX('رموز سريعة'!B:B,MATCH(A151,'رموز سريعة'!A:A,0),1)</f>
        <v>MASR</v>
      </c>
      <c r="L151" t="b">
        <f t="shared" si="5"/>
        <v>0</v>
      </c>
    </row>
    <row r="152" spans="1:12">
      <c r="A152" s="26" t="s">
        <v>455</v>
      </c>
      <c r="B152" s="27">
        <v>3.9</v>
      </c>
      <c r="C152" s="28">
        <v>-5.1000000000000004E-3</v>
      </c>
      <c r="D152" s="27" t="s">
        <v>374</v>
      </c>
      <c r="E152" s="30">
        <v>4396049.5</v>
      </c>
      <c r="F152" s="31">
        <v>1131689</v>
      </c>
      <c r="G152" s="27">
        <v>3.9</v>
      </c>
      <c r="H152" s="27">
        <v>3.97</v>
      </c>
      <c r="I152" s="27">
        <v>3.82</v>
      </c>
      <c r="J152" s="32">
        <v>46163.390983796293</v>
      </c>
      <c r="K152" t="str">
        <f>INDEX('رموز سريعة'!B:B,MATCH(A152,'رموز سريعة'!A:A,0),1)</f>
        <v>MBEG</v>
      </c>
      <c r="L152" t="b">
        <f t="shared" ref="L152:L183" si="6">K152=K151</f>
        <v>0</v>
      </c>
    </row>
    <row r="153" spans="1:12">
      <c r="A153" s="26" t="s">
        <v>458</v>
      </c>
      <c r="B153" s="27">
        <v>290.7</v>
      </c>
      <c r="C153" s="28">
        <v>8.9999999999999998E-4</v>
      </c>
      <c r="D153" s="29" t="s">
        <v>1259</v>
      </c>
      <c r="E153" s="30">
        <v>26639478</v>
      </c>
      <c r="F153" s="31">
        <v>91324</v>
      </c>
      <c r="G153" s="27">
        <v>290.45</v>
      </c>
      <c r="H153" s="27">
        <v>295</v>
      </c>
      <c r="I153" s="27">
        <v>288.2</v>
      </c>
      <c r="J153" s="32">
        <v>46163.391423611109</v>
      </c>
      <c r="K153" t="str">
        <f>INDEX('رموز سريعة'!B:B,MATCH(A153,'رموز سريعة'!A:A,0),1)</f>
        <v>MBSC</v>
      </c>
      <c r="L153" t="b">
        <f t="shared" si="6"/>
        <v>0</v>
      </c>
    </row>
    <row r="154" spans="1:12">
      <c r="A154" s="19" t="s">
        <v>402</v>
      </c>
      <c r="B154" s="20">
        <v>195</v>
      </c>
      <c r="C154" s="21">
        <v>3.6200000000000003E-2</v>
      </c>
      <c r="D154" s="20" t="s">
        <v>1227</v>
      </c>
      <c r="E154" s="23">
        <v>39191636</v>
      </c>
      <c r="F154" s="24">
        <v>199265</v>
      </c>
      <c r="G154" s="20">
        <v>188.07</v>
      </c>
      <c r="H154" s="20">
        <v>201</v>
      </c>
      <c r="I154" s="20">
        <v>188.55</v>
      </c>
      <c r="J154" s="25">
        <v>46163.391087962962</v>
      </c>
      <c r="K154" t="str">
        <f>INDEX('رموز سريعة'!B:B,MATCH(A154,'رموز سريعة'!A:A,0),1)</f>
        <v>MCQE</v>
      </c>
      <c r="L154" t="b">
        <f t="shared" si="6"/>
        <v>0</v>
      </c>
    </row>
    <row r="155" spans="1:12">
      <c r="A155" s="26" t="s">
        <v>344</v>
      </c>
      <c r="B155" s="27">
        <v>1.23</v>
      </c>
      <c r="C155" s="28">
        <v>8.3000000000000001E-3</v>
      </c>
      <c r="D155" s="27" t="s">
        <v>336</v>
      </c>
      <c r="E155" s="30">
        <v>26358890</v>
      </c>
      <c r="F155" s="31">
        <v>21543102</v>
      </c>
      <c r="G155" s="27">
        <v>1.21</v>
      </c>
      <c r="H155" s="27">
        <v>1.23</v>
      </c>
      <c r="I155" s="27">
        <v>1.21</v>
      </c>
      <c r="J155" s="32">
        <v>46163.390810185185</v>
      </c>
      <c r="K155" t="str">
        <f>INDEX('رموز سريعة'!B:B,MATCH(A155,'رموز سريعة'!A:A,0),1)</f>
        <v>MCRO</v>
      </c>
      <c r="L155" t="b">
        <f t="shared" si="6"/>
        <v>0</v>
      </c>
    </row>
    <row r="156" spans="1:12">
      <c r="A156" t="s">
        <v>674</v>
      </c>
      <c r="B156">
        <v>12.54</v>
      </c>
      <c r="C156">
        <v>0</v>
      </c>
      <c r="D156" t="s">
        <v>330</v>
      </c>
      <c r="E156">
        <v>24849202</v>
      </c>
      <c r="F156">
        <v>1404559</v>
      </c>
      <c r="G156">
        <v>17.690000000000001</v>
      </c>
      <c r="H156">
        <v>17.690000000000001</v>
      </c>
      <c r="I156">
        <v>17.690000000000001</v>
      </c>
      <c r="J156">
        <v>44679.410405092596</v>
      </c>
      <c r="K156" t="str">
        <f>INDEX('رموز سريعة'!B:B,MATCH(A156,'رموز سريعة'!A:A,0),1)</f>
        <v>MEGM</v>
      </c>
      <c r="L156" t="b">
        <f t="shared" si="6"/>
        <v>0</v>
      </c>
    </row>
    <row r="157" spans="1:12">
      <c r="A157" s="19" t="s">
        <v>397</v>
      </c>
      <c r="B157" s="20">
        <v>6.24</v>
      </c>
      <c r="C157" s="21">
        <v>-2.5100000000000001E-2</v>
      </c>
      <c r="D157" s="22" t="s">
        <v>1182</v>
      </c>
      <c r="E157" s="23">
        <v>2420878.75</v>
      </c>
      <c r="F157" s="24">
        <v>384418</v>
      </c>
      <c r="G157" s="20">
        <v>6.37</v>
      </c>
      <c r="H157" s="20">
        <v>6.5</v>
      </c>
      <c r="I157" s="20">
        <v>6.15</v>
      </c>
      <c r="J157" s="25">
        <v>46163.390729166669</v>
      </c>
      <c r="K157" t="str">
        <f>INDEX('رموز سريعة'!B:B,MATCH(A157,'رموز سريعة'!A:A,0),1)</f>
        <v>MENA</v>
      </c>
      <c r="L157" t="b">
        <f t="shared" si="6"/>
        <v>0</v>
      </c>
    </row>
    <row r="158" spans="1:12">
      <c r="A158" s="19" t="s">
        <v>237</v>
      </c>
      <c r="B158" s="20">
        <v>1.66</v>
      </c>
      <c r="C158" s="21">
        <v>-6.0000000000000001E-3</v>
      </c>
      <c r="D158" s="33" t="s">
        <v>753</v>
      </c>
      <c r="E158" s="23">
        <v>5972910</v>
      </c>
      <c r="F158" s="24">
        <v>3588503</v>
      </c>
      <c r="G158" s="20">
        <v>1.67</v>
      </c>
      <c r="H158" s="20">
        <v>1.69</v>
      </c>
      <c r="I158" s="20">
        <v>1.65</v>
      </c>
      <c r="J158" s="25">
        <v>46163.391562500001</v>
      </c>
      <c r="K158" t="str">
        <f>INDEX('رموز سريعة'!B:B,MATCH(A158,'رموز سريعة'!A:A,0),1)</f>
        <v>MEPA</v>
      </c>
      <c r="L158" t="b">
        <f t="shared" si="6"/>
        <v>0</v>
      </c>
    </row>
    <row r="159" spans="1:12">
      <c r="A159" s="19" t="s">
        <v>238</v>
      </c>
      <c r="B159" s="20">
        <v>43.48</v>
      </c>
      <c r="C159" s="21">
        <v>-1.6000000000000001E-3</v>
      </c>
      <c r="D159" s="22" t="s">
        <v>935</v>
      </c>
      <c r="E159" s="23">
        <v>20246062</v>
      </c>
      <c r="F159" s="20">
        <v>465554</v>
      </c>
      <c r="G159" s="20">
        <v>43.5</v>
      </c>
      <c r="H159" s="20">
        <v>43.77</v>
      </c>
      <c r="I159" s="20">
        <v>43.1</v>
      </c>
      <c r="J159" s="25">
        <v>46163.391412037039</v>
      </c>
      <c r="K159" t="str">
        <f>INDEX('رموز سريعة'!B:B,MATCH(A159,'رموز سريعة'!A:A,0),1)</f>
        <v>MFPC</v>
      </c>
      <c r="L159" t="b">
        <f t="shared" si="6"/>
        <v>0</v>
      </c>
    </row>
    <row r="160" spans="1:12">
      <c r="A160" t="s">
        <v>378</v>
      </c>
      <c r="B160">
        <v>52.67</v>
      </c>
      <c r="C160">
        <v>1.6999999999999999E-3</v>
      </c>
      <c r="D160" t="s">
        <v>1258</v>
      </c>
      <c r="E160">
        <v>5057203.5</v>
      </c>
      <c r="F160">
        <v>96290</v>
      </c>
      <c r="G160">
        <v>52.53</v>
      </c>
      <c r="H160">
        <v>53.7</v>
      </c>
      <c r="I160">
        <v>51</v>
      </c>
      <c r="J160">
        <v>46163.391331018516</v>
      </c>
      <c r="K160" t="str">
        <f>INDEX('رموز سريعة'!B:B,MATCH(A160,'رموز سريعة'!A:A,0),1)</f>
        <v>MFSC</v>
      </c>
      <c r="L160" t="b">
        <f t="shared" si="6"/>
        <v>0</v>
      </c>
    </row>
    <row r="161" spans="1:12">
      <c r="A161" t="s">
        <v>239</v>
      </c>
      <c r="B161">
        <v>31.4</v>
      </c>
      <c r="C161">
        <v>-2.5700000000000001E-2</v>
      </c>
      <c r="D161" t="s">
        <v>1217</v>
      </c>
      <c r="E161">
        <v>47135312</v>
      </c>
      <c r="F161">
        <v>1448239</v>
      </c>
      <c r="G161">
        <v>32.24</v>
      </c>
      <c r="H161">
        <v>33.9</v>
      </c>
      <c r="I161">
        <v>31.16</v>
      </c>
      <c r="J161">
        <v>46163.390613425923</v>
      </c>
      <c r="K161" t="str">
        <f>INDEX('رموز سريعة'!B:B,MATCH(A161,'رموز سريعة'!A:A,0),1)</f>
        <v>MHOT</v>
      </c>
      <c r="L161" t="b">
        <f t="shared" si="6"/>
        <v>0</v>
      </c>
    </row>
    <row r="162" spans="1:12">
      <c r="A162" s="19" t="s">
        <v>400</v>
      </c>
      <c r="B162" s="20">
        <v>35.5</v>
      </c>
      <c r="C162" s="21">
        <v>4.0000000000000001E-3</v>
      </c>
      <c r="D162" s="22" t="s">
        <v>1204</v>
      </c>
      <c r="E162" s="23">
        <v>1503804.13</v>
      </c>
      <c r="F162" s="24">
        <v>42519</v>
      </c>
      <c r="G162" s="20">
        <v>35.26</v>
      </c>
      <c r="H162" s="20">
        <v>35.700000000000003</v>
      </c>
      <c r="I162" s="20">
        <v>35.130000000000003</v>
      </c>
      <c r="J162" s="25">
        <v>46163.3909375</v>
      </c>
      <c r="K162" t="str">
        <f>INDEX('رموز سريعة'!B:B,MATCH(A162,'رموز سريعة'!A:A,0),1)</f>
        <v>MICH</v>
      </c>
      <c r="L162" t="b">
        <f t="shared" si="6"/>
        <v>0</v>
      </c>
    </row>
    <row r="163" spans="1:12">
      <c r="A163" s="19" t="s">
        <v>240</v>
      </c>
      <c r="B163" s="20">
        <v>136.35</v>
      </c>
      <c r="C163" s="21">
        <v>-2.4299999999999999E-2</v>
      </c>
      <c r="D163" s="22" t="s">
        <v>1276</v>
      </c>
      <c r="E163" s="23">
        <v>5819697</v>
      </c>
      <c r="F163" s="24">
        <v>42617</v>
      </c>
      <c r="G163" s="20">
        <v>138.9</v>
      </c>
      <c r="H163" s="20">
        <v>141.49</v>
      </c>
      <c r="I163" s="20">
        <v>133</v>
      </c>
      <c r="J163" s="25">
        <v>46163.391550925924</v>
      </c>
      <c r="K163" t="str">
        <f>INDEX('رموز سريعة'!B:B,MATCH(A163,'رموز سريعة'!A:A,0),1)</f>
        <v>MILS</v>
      </c>
      <c r="L163" t="b">
        <f t="shared" si="6"/>
        <v>0</v>
      </c>
    </row>
    <row r="164" spans="1:12">
      <c r="A164" s="26" t="s">
        <v>242</v>
      </c>
      <c r="B164" s="27">
        <v>653.48</v>
      </c>
      <c r="C164" s="28">
        <v>8.6999999999999994E-3</v>
      </c>
      <c r="D164" s="29" t="s">
        <v>1247</v>
      </c>
      <c r="E164" s="30">
        <v>514091</v>
      </c>
      <c r="F164" s="31">
        <v>789</v>
      </c>
      <c r="G164" s="27">
        <v>648.32000000000005</v>
      </c>
      <c r="H164" s="27">
        <v>659</v>
      </c>
      <c r="I164" s="27">
        <v>647</v>
      </c>
      <c r="J164" s="32">
        <v>46163.38921296296</v>
      </c>
      <c r="K164" t="str">
        <f>INDEX('رموز سريعة'!B:B,MATCH(A164,'رموز سريعة'!A:A,0),1)</f>
        <v>MIPH</v>
      </c>
      <c r="L164" t="b">
        <f t="shared" si="6"/>
        <v>0</v>
      </c>
    </row>
    <row r="165" spans="1:12">
      <c r="A165" s="26" t="s">
        <v>532</v>
      </c>
      <c r="B165" s="27">
        <v>5.56</v>
      </c>
      <c r="C165" s="28">
        <v>9.1000000000000004E-3</v>
      </c>
      <c r="D165" s="27" t="s">
        <v>319</v>
      </c>
      <c r="E165" s="27">
        <v>33.36</v>
      </c>
      <c r="F165" s="31">
        <v>6</v>
      </c>
      <c r="G165" s="27">
        <v>5.51</v>
      </c>
      <c r="H165" s="27">
        <v>5.56</v>
      </c>
      <c r="I165" s="27">
        <v>5.56</v>
      </c>
      <c r="J165" s="32">
        <v>46162.463472222225</v>
      </c>
      <c r="K165" t="str">
        <f>INDEX('رموز سريعة'!B:B,MATCH(A165,'رموز سريعة'!A:A,0),1)</f>
        <v>MISR</v>
      </c>
      <c r="L165" t="b">
        <f t="shared" si="6"/>
        <v>0</v>
      </c>
    </row>
    <row r="166" spans="1:12">
      <c r="A166" s="19" t="s">
        <v>646</v>
      </c>
      <c r="B166" s="20">
        <v>2.8</v>
      </c>
      <c r="C166" s="21">
        <v>-2.1399999999999999E-2</v>
      </c>
      <c r="D166" s="22" t="s">
        <v>1175</v>
      </c>
      <c r="E166" s="23">
        <v>572712.88</v>
      </c>
      <c r="F166" s="24">
        <v>211070</v>
      </c>
      <c r="G166" s="20">
        <v>2.8</v>
      </c>
      <c r="H166" s="20">
        <v>2.8</v>
      </c>
      <c r="I166" s="20">
        <v>2.66</v>
      </c>
      <c r="J166" s="25">
        <v>46163.391006944446</v>
      </c>
      <c r="K166" t="str">
        <f>INDEX('رموز سريعة'!B:B,MATCH(A166,'رموز سريعة'!A:A,0),1)</f>
        <v>MKIT</v>
      </c>
      <c r="L166" t="b">
        <f t="shared" si="6"/>
        <v>0</v>
      </c>
    </row>
    <row r="167" spans="1:12">
      <c r="A167" s="26" t="s">
        <v>325</v>
      </c>
      <c r="B167" s="27">
        <v>3.53</v>
      </c>
      <c r="C167" s="28">
        <v>4.7500000000000001E-2</v>
      </c>
      <c r="D167" s="27" t="s">
        <v>1164</v>
      </c>
      <c r="E167" s="30">
        <v>42889.5</v>
      </c>
      <c r="F167" s="31">
        <v>12150</v>
      </c>
      <c r="G167" s="27">
        <v>3.37</v>
      </c>
      <c r="H167" s="27">
        <v>3.53</v>
      </c>
      <c r="I167" s="27">
        <v>3.53</v>
      </c>
      <c r="J167" s="32">
        <v>46156.32298611111</v>
      </c>
      <c r="K167" t="str">
        <f>INDEX('رموز سريعة'!B:B,MATCH(A167,'رموز سريعة'!A:A,0),1)</f>
        <v>MMAT</v>
      </c>
      <c r="L167" t="b">
        <f t="shared" si="6"/>
        <v>0</v>
      </c>
    </row>
    <row r="168" spans="1:12">
      <c r="A168" s="19" t="s">
        <v>390</v>
      </c>
      <c r="B168" s="20">
        <v>0.7</v>
      </c>
      <c r="C168" s="21">
        <v>-4.1999999999999997E-3</v>
      </c>
      <c r="D168" s="33" t="s">
        <v>754</v>
      </c>
      <c r="E168" s="23">
        <v>9261757</v>
      </c>
      <c r="F168" s="24">
        <v>13320697</v>
      </c>
      <c r="G168" s="20">
        <v>0.71</v>
      </c>
      <c r="H168" s="20">
        <v>0.71</v>
      </c>
      <c r="I168" s="20">
        <v>0.68</v>
      </c>
      <c r="J168" s="25">
        <v>46163.391539351855</v>
      </c>
      <c r="K168" t="str">
        <f>INDEX('رموز سريعة'!B:B,MATCH(A168,'رموز سريعة'!A:A,0),1)</f>
        <v>MOED</v>
      </c>
      <c r="L168" t="b">
        <f t="shared" si="6"/>
        <v>0</v>
      </c>
    </row>
    <row r="169" spans="1:12">
      <c r="A169" s="26" t="s">
        <v>339</v>
      </c>
      <c r="B169" s="27">
        <v>0.45</v>
      </c>
      <c r="C169" s="28">
        <v>-1.11E-2</v>
      </c>
      <c r="D169" s="29" t="s">
        <v>753</v>
      </c>
      <c r="E169" s="30">
        <v>105809.22</v>
      </c>
      <c r="F169" s="31">
        <v>238041</v>
      </c>
      <c r="G169" s="27">
        <v>0.45</v>
      </c>
      <c r="H169" s="27">
        <v>0.45</v>
      </c>
      <c r="I169" s="27">
        <v>0.44</v>
      </c>
      <c r="J169" s="32">
        <v>46163.380162037036</v>
      </c>
      <c r="K169" t="str">
        <f>INDEX('رموز سريعة'!B:B,MATCH(A169,'رموز سريعة'!A:A,0),1)</f>
        <v>MOIL</v>
      </c>
      <c r="L169" t="b">
        <f t="shared" si="6"/>
        <v>0</v>
      </c>
    </row>
    <row r="170" spans="1:12">
      <c r="A170" s="26" t="s">
        <v>346</v>
      </c>
      <c r="B170" s="27">
        <v>25</v>
      </c>
      <c r="C170" s="28">
        <v>0</v>
      </c>
      <c r="D170" s="29" t="s">
        <v>330</v>
      </c>
      <c r="E170" s="30">
        <v>2121751.5</v>
      </c>
      <c r="F170" s="31">
        <v>85830</v>
      </c>
      <c r="G170" s="27">
        <v>24.86</v>
      </c>
      <c r="H170" s="27">
        <v>25.29</v>
      </c>
      <c r="I170" s="27">
        <v>24.4</v>
      </c>
      <c r="J170" s="32">
        <v>46163.38658564815</v>
      </c>
      <c r="K170" t="str">
        <f>INDEX('رموز سريعة'!B:B,MATCH(A170,'رموز سريعة'!A:A,0),1)</f>
        <v>MOIN</v>
      </c>
      <c r="L170" t="b">
        <f t="shared" si="6"/>
        <v>0</v>
      </c>
    </row>
    <row r="171" spans="1:12">
      <c r="A171" s="19" t="s">
        <v>364</v>
      </c>
      <c r="B171" s="20">
        <v>278.01</v>
      </c>
      <c r="C171" s="21">
        <v>-9.5999999999999992E-3</v>
      </c>
      <c r="D171" s="22" t="s">
        <v>1268</v>
      </c>
      <c r="E171" s="23">
        <v>1771910.88</v>
      </c>
      <c r="F171" s="24">
        <v>6316</v>
      </c>
      <c r="G171" s="20">
        <v>280.33</v>
      </c>
      <c r="H171" s="20">
        <v>289.5</v>
      </c>
      <c r="I171" s="20">
        <v>275.10000000000002</v>
      </c>
      <c r="J171" s="25">
        <v>46163.391412037039</v>
      </c>
      <c r="K171" t="str">
        <f>INDEX('رموز سريعة'!B:B,MATCH(A171,'رموز سريعة'!A:A,0),1)</f>
        <v>MOSC</v>
      </c>
      <c r="L171" t="b">
        <f t="shared" si="6"/>
        <v>0</v>
      </c>
    </row>
    <row r="172" spans="1:12">
      <c r="A172" s="26" t="s">
        <v>246</v>
      </c>
      <c r="B172" s="27">
        <v>204</v>
      </c>
      <c r="C172" s="28">
        <v>-2.3599999999999999E-2</v>
      </c>
      <c r="D172" s="27" t="s">
        <v>1274</v>
      </c>
      <c r="E172" s="30">
        <v>19583200</v>
      </c>
      <c r="F172" s="31">
        <v>95435</v>
      </c>
      <c r="G172" s="27">
        <v>208.91</v>
      </c>
      <c r="H172" s="27">
        <v>211</v>
      </c>
      <c r="I172" s="27">
        <v>203.03</v>
      </c>
      <c r="J172" s="32">
        <v>46163.391388888886</v>
      </c>
      <c r="K172" t="str">
        <f>INDEX('رموز سريعة'!B:B,MATCH(A172,'رموز سريعة'!A:A,0),1)</f>
        <v>MPCI</v>
      </c>
      <c r="L172" t="b">
        <f t="shared" si="6"/>
        <v>0</v>
      </c>
    </row>
    <row r="173" spans="1:12">
      <c r="A173" s="19" t="s">
        <v>248</v>
      </c>
      <c r="B173" s="23">
        <v>1.57</v>
      </c>
      <c r="C173" s="21">
        <v>6.4000000000000003E-3</v>
      </c>
      <c r="D173" s="22" t="s">
        <v>336</v>
      </c>
      <c r="E173" s="23">
        <v>10035373</v>
      </c>
      <c r="F173" s="24">
        <v>6438458</v>
      </c>
      <c r="G173" s="23">
        <v>1.56</v>
      </c>
      <c r="H173" s="23">
        <v>1.57</v>
      </c>
      <c r="I173" s="23">
        <v>1.54</v>
      </c>
      <c r="J173" s="25">
        <v>46163.391423611109</v>
      </c>
      <c r="K173" t="str">
        <f>INDEX('رموز سريعة'!B:B,MATCH(A173,'رموز سريعة'!A:A,0),1)</f>
        <v>MPCO</v>
      </c>
      <c r="L173" t="b">
        <f t="shared" si="6"/>
        <v>0</v>
      </c>
    </row>
    <row r="174" spans="1:12">
      <c r="A174" t="s">
        <v>418</v>
      </c>
      <c r="B174">
        <v>31.55</v>
      </c>
      <c r="C174">
        <v>3.5000000000000001E-3</v>
      </c>
      <c r="D174" t="s">
        <v>1210</v>
      </c>
      <c r="E174">
        <v>2641405.75</v>
      </c>
      <c r="F174">
        <v>83694</v>
      </c>
      <c r="G174">
        <v>31.42</v>
      </c>
      <c r="H174">
        <v>31.9</v>
      </c>
      <c r="I174">
        <v>31.25</v>
      </c>
      <c r="J174">
        <v>46163.385520833333</v>
      </c>
      <c r="K174" t="str">
        <f>INDEX('رموز سريعة'!B:B,MATCH(A174,'رموز سريعة'!A:A,0),1)</f>
        <v>MPRC</v>
      </c>
      <c r="L174" t="b">
        <f t="shared" si="6"/>
        <v>0</v>
      </c>
    </row>
    <row r="175" spans="1:12">
      <c r="A175" s="26" t="s">
        <v>313</v>
      </c>
      <c r="B175" s="27">
        <v>8.7899999999999991</v>
      </c>
      <c r="C175" s="28">
        <v>-4.4999999999999997E-3</v>
      </c>
      <c r="D175" s="27" t="s">
        <v>371</v>
      </c>
      <c r="E175" s="30">
        <v>5313084</v>
      </c>
      <c r="F175" s="31">
        <v>600558</v>
      </c>
      <c r="G175" s="27">
        <v>8.83</v>
      </c>
      <c r="H175" s="27">
        <v>8.99</v>
      </c>
      <c r="I175" s="27">
        <v>8.7799999999999994</v>
      </c>
      <c r="J175" s="32">
        <v>46163.391412037039</v>
      </c>
      <c r="K175" t="str">
        <f>INDEX('رموز سريعة'!B:B,MATCH(A175,'رموز سريعة'!A:A,0),1)</f>
        <v>MTIE</v>
      </c>
      <c r="L175" t="b">
        <f t="shared" si="6"/>
        <v>0</v>
      </c>
    </row>
    <row r="176" spans="1:12">
      <c r="A176" s="19" t="s">
        <v>251</v>
      </c>
      <c r="B176" s="20">
        <v>0.1</v>
      </c>
      <c r="C176" s="21">
        <v>0</v>
      </c>
      <c r="D176" s="33" t="s">
        <v>330</v>
      </c>
      <c r="E176" s="23">
        <v>4008.9</v>
      </c>
      <c r="F176" s="24">
        <v>38180</v>
      </c>
      <c r="G176" s="20">
        <v>0.1</v>
      </c>
      <c r="H176" s="20">
        <v>0.1</v>
      </c>
      <c r="I176" s="20">
        <v>0.1</v>
      </c>
      <c r="J176" s="25">
        <v>46163.364872685182</v>
      </c>
      <c r="K176" t="str">
        <f>INDEX('رموز سريعة'!B:B,MATCH(A176,'رموز سريعة'!A:A,0),1)</f>
        <v>NAHO</v>
      </c>
      <c r="L176" t="b">
        <f t="shared" si="6"/>
        <v>0</v>
      </c>
    </row>
    <row r="177" spans="1:12">
      <c r="A177" t="s">
        <v>351</v>
      </c>
      <c r="B177">
        <v>33.43</v>
      </c>
      <c r="C177">
        <v>-3.1E-2</v>
      </c>
      <c r="D177" t="s">
        <v>1218</v>
      </c>
      <c r="E177">
        <v>36431.93</v>
      </c>
      <c r="F177">
        <v>1166</v>
      </c>
      <c r="G177">
        <v>34.5</v>
      </c>
      <c r="H177">
        <v>33.950000000000003</v>
      </c>
      <c r="I177">
        <v>30.3</v>
      </c>
      <c r="J177">
        <v>46162.395451388889</v>
      </c>
      <c r="K177" t="str">
        <f>INDEX('رموز سريعة'!B:B,MATCH(A177,'رموز سريعة'!A:A,0),1)</f>
        <v>NBKE</v>
      </c>
      <c r="L177" t="b">
        <f t="shared" si="6"/>
        <v>0</v>
      </c>
    </row>
    <row r="178" spans="1:12">
      <c r="A178" s="26" t="s">
        <v>406</v>
      </c>
      <c r="B178" s="27">
        <v>5.18</v>
      </c>
      <c r="C178" s="28">
        <v>-1.52E-2</v>
      </c>
      <c r="D178" s="27" t="s">
        <v>1047</v>
      </c>
      <c r="E178" s="30">
        <v>2034337.25</v>
      </c>
      <c r="F178" s="31">
        <v>392460</v>
      </c>
      <c r="G178" s="27">
        <v>5.25</v>
      </c>
      <c r="H178" s="27">
        <v>5.27</v>
      </c>
      <c r="I178" s="27">
        <v>5.13</v>
      </c>
      <c r="J178" s="32">
        <v>46163.388958333337</v>
      </c>
      <c r="K178" t="str">
        <f>INDEX('رموز سريعة'!B:B,MATCH(A178,'رموز سريعة'!A:A,0),1)</f>
        <v>NCCW</v>
      </c>
      <c r="L178" t="b">
        <f t="shared" si="6"/>
        <v>0</v>
      </c>
    </row>
    <row r="179" spans="1:12">
      <c r="A179" s="26" t="s">
        <v>429</v>
      </c>
      <c r="B179" s="27">
        <v>50</v>
      </c>
      <c r="C179" s="28">
        <v>-5.9999999999999995E-4</v>
      </c>
      <c r="D179" s="34" t="s">
        <v>389</v>
      </c>
      <c r="E179" s="30">
        <v>26013.11</v>
      </c>
      <c r="F179" s="31">
        <v>520</v>
      </c>
      <c r="G179" s="27">
        <v>50.03</v>
      </c>
      <c r="H179" s="27">
        <v>50.03</v>
      </c>
      <c r="I179" s="27">
        <v>50</v>
      </c>
      <c r="J179" s="32">
        <v>46162.394907407404</v>
      </c>
      <c r="K179" t="str">
        <f>INDEX('رموز سريعة'!B:B,MATCH(A179,'رموز سريعة'!A:A,0),1)</f>
        <v>NCGC</v>
      </c>
      <c r="L179" t="b">
        <f t="shared" si="6"/>
        <v>0</v>
      </c>
    </row>
    <row r="180" spans="1:12">
      <c r="A180" t="s">
        <v>527</v>
      </c>
      <c r="B180">
        <v>0</v>
      </c>
      <c r="C180">
        <v>-1</v>
      </c>
      <c r="D180" t="s">
        <v>1145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45938</v>
      </c>
      <c r="K180" t="str">
        <f>INDEX('رموز سريعة'!B:B,MATCH(A180,'رموز سريعة'!A:A,0),1)</f>
        <v>NDRL</v>
      </c>
      <c r="L180" t="b">
        <f t="shared" si="6"/>
        <v>0</v>
      </c>
    </row>
    <row r="181" spans="1:12">
      <c r="A181" s="26" t="s">
        <v>252</v>
      </c>
      <c r="B181" s="27">
        <v>2.73</v>
      </c>
      <c r="C181" s="28">
        <v>-7.3000000000000001E-3</v>
      </c>
      <c r="D181" s="27" t="s">
        <v>374</v>
      </c>
      <c r="E181" s="30">
        <v>142519.59</v>
      </c>
      <c r="F181" s="31">
        <v>52449</v>
      </c>
      <c r="G181" s="27">
        <v>2.75</v>
      </c>
      <c r="H181" s="27">
        <v>2.77</v>
      </c>
      <c r="I181" s="27">
        <v>2.68</v>
      </c>
      <c r="J181" s="32">
        <v>46163.388495370367</v>
      </c>
      <c r="K181" t="str">
        <f>INDEX('رموز سريعة'!B:B,MATCH(A181,'رموز سريعة'!A:A,0),1)</f>
        <v>NEDA</v>
      </c>
      <c r="L181" t="b">
        <f t="shared" si="6"/>
        <v>0</v>
      </c>
    </row>
    <row r="182" spans="1:12">
      <c r="A182" s="26" t="s">
        <v>363</v>
      </c>
      <c r="B182" s="27">
        <v>69.209999999999994</v>
      </c>
      <c r="C182" s="28">
        <v>3.8E-3</v>
      </c>
      <c r="D182" s="27" t="s">
        <v>1254</v>
      </c>
      <c r="E182" s="30">
        <v>1955847.13</v>
      </c>
      <c r="F182" s="31">
        <v>28383</v>
      </c>
      <c r="G182" s="27">
        <v>69.06</v>
      </c>
      <c r="H182" s="27">
        <v>69.930000000000007</v>
      </c>
      <c r="I182" s="27">
        <v>67.56</v>
      </c>
      <c r="J182" s="32">
        <v>46163.389432870368</v>
      </c>
      <c r="K182" t="str">
        <f>INDEX('رموز سريعة'!B:B,MATCH(A182,'رموز سريعة'!A:A,0),1)</f>
        <v>NHPS</v>
      </c>
      <c r="L182" t="b">
        <f t="shared" si="6"/>
        <v>0</v>
      </c>
    </row>
    <row r="183" spans="1:12">
      <c r="A183" s="19" t="s">
        <v>359</v>
      </c>
      <c r="B183" s="20">
        <v>18.18</v>
      </c>
      <c r="C183" s="21">
        <v>1.12E-2</v>
      </c>
      <c r="D183" s="33" t="s">
        <v>1190</v>
      </c>
      <c r="E183" s="23">
        <v>1804223.13</v>
      </c>
      <c r="F183" s="24">
        <v>98832</v>
      </c>
      <c r="G183" s="20">
        <v>17.920000000000002</v>
      </c>
      <c r="H183" s="20">
        <v>18.559999999999999</v>
      </c>
      <c r="I183" s="20">
        <v>17.920000000000002</v>
      </c>
      <c r="J183" s="25">
        <v>46163.391493055555</v>
      </c>
      <c r="K183" t="str">
        <f>INDEX('رموز سريعة'!B:B,MATCH(A183,'رموز سريعة'!A:A,0),1)</f>
        <v>NINH</v>
      </c>
      <c r="L183" t="b">
        <f t="shared" si="6"/>
        <v>0</v>
      </c>
    </row>
    <row r="184" spans="1:12">
      <c r="A184" s="26" t="s">
        <v>253</v>
      </c>
      <c r="B184" s="27">
        <v>156.04</v>
      </c>
      <c r="C184" s="28">
        <v>-7.6E-3</v>
      </c>
      <c r="D184" s="29" t="s">
        <v>1266</v>
      </c>
      <c r="E184" s="30">
        <v>17589814</v>
      </c>
      <c r="F184" s="31">
        <v>112206</v>
      </c>
      <c r="G184" s="27">
        <v>157.38999999999999</v>
      </c>
      <c r="H184" s="27">
        <v>159</v>
      </c>
      <c r="I184" s="27">
        <v>155.1</v>
      </c>
      <c r="J184" s="32">
        <v>46163.391458333332</v>
      </c>
      <c r="K184" t="str">
        <f>INDEX('رموز سريعة'!B:B,MATCH(A184,'رموز سريعة'!A:A,0),1)</f>
        <v>NIPH</v>
      </c>
      <c r="L184" t="b">
        <f t="shared" ref="L184:L188" si="7">K184=K183</f>
        <v>0</v>
      </c>
    </row>
    <row r="185" spans="1:12">
      <c r="A185" s="26" t="s">
        <v>415</v>
      </c>
      <c r="B185" s="27">
        <v>35.840000000000003</v>
      </c>
      <c r="C185" s="28">
        <v>1.2999999999999999E-2</v>
      </c>
      <c r="D185" s="34" t="s">
        <v>1242</v>
      </c>
      <c r="E185" s="30">
        <v>1216678.3799999999</v>
      </c>
      <c r="F185" s="27">
        <v>33856</v>
      </c>
      <c r="G185" s="27">
        <v>35.51</v>
      </c>
      <c r="H185" s="27">
        <v>36.229999999999997</v>
      </c>
      <c r="I185" s="27">
        <v>35.520000000000003</v>
      </c>
      <c r="J185" s="32">
        <v>46163.389953703707</v>
      </c>
      <c r="K185" t="str">
        <f>INDEX('رموز سريعة'!B:B,MATCH(A185,'رموز سريعة'!A:A,0),1)</f>
        <v>OBRI</v>
      </c>
      <c r="L185" t="b">
        <f t="shared" si="7"/>
        <v>0</v>
      </c>
    </row>
    <row r="186" spans="1:12">
      <c r="A186" s="19" t="s">
        <v>255</v>
      </c>
      <c r="B186" s="20">
        <v>20.7</v>
      </c>
      <c r="C186" s="21">
        <v>-5.0000000000000001E-4</v>
      </c>
      <c r="D186" s="33" t="s">
        <v>753</v>
      </c>
      <c r="E186" s="23">
        <v>7348716</v>
      </c>
      <c r="F186" s="24">
        <v>356134</v>
      </c>
      <c r="G186" s="20">
        <v>20.7</v>
      </c>
      <c r="H186" s="20">
        <v>20.99</v>
      </c>
      <c r="I186" s="20">
        <v>20.32</v>
      </c>
      <c r="J186" s="25">
        <v>46163.391458333332</v>
      </c>
      <c r="K186" t="str">
        <f>INDEX('رموز سريعة'!B:B,MATCH(A186,'رموز سريعة'!A:A,0),1)</f>
        <v>OCDI</v>
      </c>
      <c r="L186" t="b">
        <f t="shared" si="7"/>
        <v>0</v>
      </c>
    </row>
    <row r="187" spans="1:12">
      <c r="A187" s="26" t="s">
        <v>362</v>
      </c>
      <c r="B187" s="27">
        <v>353.5</v>
      </c>
      <c r="C187" s="28">
        <v>-1.34E-2</v>
      </c>
      <c r="D187" s="29" t="s">
        <v>1270</v>
      </c>
      <c r="E187" s="30">
        <v>2328740.5</v>
      </c>
      <c r="F187" s="31">
        <v>6545</v>
      </c>
      <c r="G187" s="27">
        <v>356.52</v>
      </c>
      <c r="H187" s="27">
        <v>366</v>
      </c>
      <c r="I187" s="27">
        <v>351.02</v>
      </c>
      <c r="J187" s="32">
        <v>46163.391111111108</v>
      </c>
      <c r="K187" t="str">
        <f>INDEX('رموز سريعة'!B:B,MATCH(A187,'رموز سريعة'!A:A,0),1)</f>
        <v>OCPH</v>
      </c>
      <c r="L187" t="b">
        <f t="shared" si="7"/>
        <v>0</v>
      </c>
    </row>
    <row r="188" spans="1:12">
      <c r="A188" t="s">
        <v>411</v>
      </c>
      <c r="B188">
        <v>1.92</v>
      </c>
      <c r="C188">
        <v>1.0500000000000001E-2</v>
      </c>
      <c r="D188" t="s">
        <v>957</v>
      </c>
      <c r="E188">
        <v>1026730.75</v>
      </c>
      <c r="F188">
        <v>537571</v>
      </c>
      <c r="G188">
        <v>1.91</v>
      </c>
      <c r="H188">
        <v>1.93</v>
      </c>
      <c r="I188">
        <v>1.89</v>
      </c>
      <c r="J188">
        <v>46163.367997685185</v>
      </c>
      <c r="K188" t="str">
        <f>INDEX('رموز سريعة'!B:B,MATCH(A188,'رموز سريعة'!A:A,0),1)</f>
        <v>ODIN</v>
      </c>
      <c r="L188" t="b">
        <f t="shared" si="7"/>
        <v>0</v>
      </c>
    </row>
    <row r="189" spans="1:12">
      <c r="A189" t="s">
        <v>1135</v>
      </c>
      <c r="B189">
        <v>0.61</v>
      </c>
      <c r="C189">
        <v>0</v>
      </c>
      <c r="D189" t="s">
        <v>330</v>
      </c>
      <c r="E189">
        <v>3624054</v>
      </c>
      <c r="F189">
        <v>5945682</v>
      </c>
      <c r="G189">
        <v>0.61</v>
      </c>
      <c r="H189">
        <v>0.62</v>
      </c>
      <c r="I189">
        <v>0.6</v>
      </c>
      <c r="J189">
        <v>46163.390231481484</v>
      </c>
      <c r="K189" t="str">
        <f>INDEX('رموز سريعة'!B:B,MATCH(A189,'رموز سريعة'!A:A,0),1)</f>
        <v>OFH</v>
      </c>
      <c r="L189" t="e">
        <f>K189=#REF!</f>
        <v>#REF!</v>
      </c>
    </row>
    <row r="190" spans="1:12">
      <c r="A190" s="26" t="s">
        <v>433</v>
      </c>
      <c r="B190" s="27">
        <v>1.46</v>
      </c>
      <c r="C190" s="28">
        <v>-1.3599999999999999E-2</v>
      </c>
      <c r="D190" s="29" t="s">
        <v>374</v>
      </c>
      <c r="E190" s="30">
        <v>23581740</v>
      </c>
      <c r="F190" s="31">
        <v>16183877</v>
      </c>
      <c r="G190" s="27">
        <v>1.47</v>
      </c>
      <c r="H190" s="27">
        <v>1.48</v>
      </c>
      <c r="I190" s="27">
        <v>1.44</v>
      </c>
      <c r="J190" s="32">
        <v>46163.391446759262</v>
      </c>
      <c r="K190" t="str">
        <f>INDEX('رموز سريعة'!B:B,MATCH(A190,'رموز سريعة'!A:A,0),1)</f>
        <v>OIH</v>
      </c>
      <c r="L190" t="b">
        <f t="shared" ref="L190:L223" si="8">K190=K189</f>
        <v>0</v>
      </c>
    </row>
    <row r="191" spans="1:12">
      <c r="A191" s="19" t="s">
        <v>328</v>
      </c>
      <c r="B191" s="20">
        <v>21.15</v>
      </c>
      <c r="C191" s="21">
        <v>3.8E-3</v>
      </c>
      <c r="D191" s="22" t="s">
        <v>1177</v>
      </c>
      <c r="E191" s="23">
        <v>4925214</v>
      </c>
      <c r="F191" s="24">
        <v>233507</v>
      </c>
      <c r="G191" s="20">
        <v>21.02</v>
      </c>
      <c r="H191" s="20">
        <v>21.3</v>
      </c>
      <c r="I191" s="20">
        <v>21</v>
      </c>
      <c r="J191" s="25">
        <v>46163.391446759262</v>
      </c>
      <c r="K191" t="str">
        <f>INDEX('رموز سريعة'!B:B,MATCH(A191,'رموز سريعة'!A:A,0),1)</f>
        <v>OLFI</v>
      </c>
      <c r="L191" t="b">
        <f t="shared" si="8"/>
        <v>0</v>
      </c>
    </row>
    <row r="192" spans="1:12">
      <c r="A192" s="19" t="s">
        <v>442</v>
      </c>
      <c r="B192" s="20">
        <v>708.01</v>
      </c>
      <c r="C192" s="21">
        <v>5.7999999999999996E-3</v>
      </c>
      <c r="D192" s="20" t="s">
        <v>1251</v>
      </c>
      <c r="E192" s="23">
        <v>58656612</v>
      </c>
      <c r="F192" s="24">
        <v>83003</v>
      </c>
      <c r="G192" s="20">
        <v>704</v>
      </c>
      <c r="H192" s="20">
        <v>710.98</v>
      </c>
      <c r="I192" s="20">
        <v>700.05</v>
      </c>
      <c r="J192" s="25">
        <v>46163.391458333332</v>
      </c>
      <c r="K192" t="str">
        <f>INDEX('رموز سريعة'!B:B,MATCH(A192,'رموز سريعة'!A:A,0),1)</f>
        <v>ORAS</v>
      </c>
      <c r="L192" t="b">
        <f t="shared" si="8"/>
        <v>0</v>
      </c>
    </row>
    <row r="193" spans="1:12">
      <c r="A193" s="26" t="s">
        <v>260</v>
      </c>
      <c r="B193" s="27">
        <v>34.549999999999997</v>
      </c>
      <c r="C193" s="28">
        <v>2.46E-2</v>
      </c>
      <c r="D193" s="29" t="s">
        <v>1232</v>
      </c>
      <c r="E193" s="30">
        <v>43926472</v>
      </c>
      <c r="F193" s="31">
        <v>1280234</v>
      </c>
      <c r="G193" s="27">
        <v>33.72</v>
      </c>
      <c r="H193" s="27">
        <v>34.67</v>
      </c>
      <c r="I193" s="27">
        <v>33.81</v>
      </c>
      <c r="J193" s="32">
        <v>46163.391412037039</v>
      </c>
      <c r="K193" t="str">
        <f>INDEX('رموز سريعة'!B:B,MATCH(A193,'رموز سريعة'!A:A,0),1)</f>
        <v>ORHD</v>
      </c>
      <c r="L193" t="b">
        <f t="shared" si="8"/>
        <v>0</v>
      </c>
    </row>
    <row r="194" spans="1:12">
      <c r="A194" s="19" t="s">
        <v>261</v>
      </c>
      <c r="B194" s="20">
        <v>21.84</v>
      </c>
      <c r="C194" s="21">
        <v>1.0200000000000001E-2</v>
      </c>
      <c r="D194" s="33" t="s">
        <v>1237</v>
      </c>
      <c r="E194" s="23">
        <v>9852983</v>
      </c>
      <c r="F194" s="24">
        <v>452162</v>
      </c>
      <c r="G194" s="20">
        <v>21.62</v>
      </c>
      <c r="H194" s="20">
        <v>21.86</v>
      </c>
      <c r="I194" s="20">
        <v>21.7</v>
      </c>
      <c r="J194" s="25">
        <v>46163.391435185185</v>
      </c>
      <c r="K194" t="str">
        <f>INDEX('رموز سريعة'!B:B,MATCH(A194,'رموز سريعة'!A:A,0),1)</f>
        <v>ORWE</v>
      </c>
      <c r="L194" t="b">
        <f t="shared" si="8"/>
        <v>0</v>
      </c>
    </row>
    <row r="195" spans="1:12">
      <c r="A195" s="26" t="s">
        <v>643</v>
      </c>
      <c r="B195" s="27">
        <v>85</v>
      </c>
      <c r="C195" s="28">
        <v>6.25E-2</v>
      </c>
      <c r="D195" s="29" t="s">
        <v>1202</v>
      </c>
      <c r="E195" s="30">
        <v>40145</v>
      </c>
      <c r="F195" s="31">
        <v>484</v>
      </c>
      <c r="G195" s="27">
        <v>80</v>
      </c>
      <c r="H195" s="27">
        <v>85</v>
      </c>
      <c r="I195" s="27">
        <v>80</v>
      </c>
      <c r="J195" s="32">
        <v>46162.389560185184</v>
      </c>
      <c r="K195" t="str">
        <f>INDEX('رموز سريعة'!B:B,MATCH(A195,'رموز سريعة'!A:A,0),1)</f>
        <v>PACH</v>
      </c>
      <c r="L195" t="b">
        <f t="shared" si="8"/>
        <v>0</v>
      </c>
    </row>
    <row r="196" spans="1:12">
      <c r="A196" s="19" t="s">
        <v>387</v>
      </c>
      <c r="B196" s="20">
        <v>84.5</v>
      </c>
      <c r="C196" s="21">
        <v>-2.8E-3</v>
      </c>
      <c r="D196" s="22" t="s">
        <v>1260</v>
      </c>
      <c r="E196" s="23">
        <v>4956556.5</v>
      </c>
      <c r="F196" s="24">
        <v>58749</v>
      </c>
      <c r="G196" s="20">
        <v>84.7</v>
      </c>
      <c r="H196" s="20">
        <v>85.9</v>
      </c>
      <c r="I196" s="20">
        <v>84</v>
      </c>
      <c r="J196" s="25">
        <v>46163.391111111108</v>
      </c>
      <c r="K196" t="str">
        <f>INDEX('رموز سريعة'!B:B,MATCH(A196,'رموز سريعة'!A:A,0),1)</f>
        <v>PHAR</v>
      </c>
      <c r="L196" t="b">
        <f t="shared" si="8"/>
        <v>0</v>
      </c>
    </row>
    <row r="197" spans="1:12">
      <c r="A197" s="26" t="s">
        <v>262</v>
      </c>
      <c r="B197" s="30">
        <v>13.61</v>
      </c>
      <c r="C197" s="28">
        <v>1.49E-2</v>
      </c>
      <c r="D197" s="29" t="s">
        <v>1190</v>
      </c>
      <c r="E197" s="30">
        <v>41719580</v>
      </c>
      <c r="F197" s="31">
        <v>3081279</v>
      </c>
      <c r="G197" s="30">
        <v>13.4</v>
      </c>
      <c r="H197" s="30">
        <v>13.68</v>
      </c>
      <c r="I197" s="30">
        <v>13.4</v>
      </c>
      <c r="J197" s="32">
        <v>46163.391585648147</v>
      </c>
      <c r="K197" t="str">
        <f>INDEX('رموز سريعة'!B:B,MATCH(A197,'رموز سريعة'!A:A,0),1)</f>
        <v>PHDC</v>
      </c>
      <c r="L197" t="b">
        <f t="shared" si="8"/>
        <v>0</v>
      </c>
    </row>
    <row r="198" spans="1:12">
      <c r="A198" t="s">
        <v>843</v>
      </c>
      <c r="B198">
        <v>0.09</v>
      </c>
      <c r="C198">
        <v>0</v>
      </c>
      <c r="D198" t="s">
        <v>330</v>
      </c>
      <c r="E198">
        <v>3859595</v>
      </c>
      <c r="F198">
        <v>43423108</v>
      </c>
      <c r="G198">
        <v>0.09</v>
      </c>
      <c r="H198">
        <v>0.09</v>
      </c>
      <c r="I198">
        <v>0.09</v>
      </c>
      <c r="J198">
        <v>46163.390057870369</v>
      </c>
      <c r="K198" t="str">
        <f>INDEX('رموز سريعة'!B:B,MATCH(A198,'رموز سريعة'!A:A,0),1)</f>
        <v>PHGC</v>
      </c>
      <c r="L198" t="b">
        <f t="shared" si="8"/>
        <v>0</v>
      </c>
    </row>
    <row r="199" spans="1:12">
      <c r="A199" t="s">
        <v>312</v>
      </c>
      <c r="B199">
        <v>212.05</v>
      </c>
      <c r="C199">
        <v>-2.3599999999999999E-2</v>
      </c>
      <c r="D199" t="s">
        <v>1275</v>
      </c>
      <c r="E199">
        <v>10406466</v>
      </c>
      <c r="F199">
        <v>48567</v>
      </c>
      <c r="G199">
        <v>217.2</v>
      </c>
      <c r="H199">
        <v>220</v>
      </c>
      <c r="I199">
        <v>212</v>
      </c>
      <c r="J199">
        <v>46163.389456018522</v>
      </c>
      <c r="K199" t="str">
        <f>INDEX('رموز سريعة'!B:B,MATCH(A199,'رموز سريعة'!A:A,0),1)</f>
        <v>PHTV</v>
      </c>
      <c r="L199" t="b">
        <f t="shared" si="8"/>
        <v>0</v>
      </c>
    </row>
    <row r="200" spans="1:12">
      <c r="A200" t="s">
        <v>666</v>
      </c>
      <c r="B200">
        <v>0</v>
      </c>
      <c r="C200">
        <v>-1</v>
      </c>
      <c r="D200" t="s">
        <v>1143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45938</v>
      </c>
      <c r="K200" t="str">
        <f>INDEX('رموز سريعة'!B:B,MATCH(A200,'رموز سريعة'!A:A,0),1)</f>
        <v>POCO</v>
      </c>
      <c r="L200" t="b">
        <f t="shared" si="8"/>
        <v>0</v>
      </c>
    </row>
    <row r="201" spans="1:12">
      <c r="A201" s="26" t="s">
        <v>263</v>
      </c>
      <c r="B201" s="27">
        <v>35.6</v>
      </c>
      <c r="C201" s="28">
        <v>9.1000000000000004E-3</v>
      </c>
      <c r="D201" s="27" t="s">
        <v>1229</v>
      </c>
      <c r="E201" s="30">
        <v>20440254</v>
      </c>
      <c r="F201" s="31">
        <v>577910</v>
      </c>
      <c r="G201" s="27">
        <v>35.18</v>
      </c>
      <c r="H201" s="27">
        <v>35.869999999999997</v>
      </c>
      <c r="I201" s="27">
        <v>35</v>
      </c>
      <c r="J201" s="32">
        <v>46163.391435185185</v>
      </c>
      <c r="K201" t="str">
        <f>INDEX('رموز سريعة'!B:B,MATCH(A201,'رموز سريعة'!A:A,0),1)</f>
        <v>POUL</v>
      </c>
      <c r="L201" t="b">
        <f t="shared" si="8"/>
        <v>0</v>
      </c>
    </row>
    <row r="202" spans="1:12">
      <c r="A202" s="19" t="s">
        <v>264</v>
      </c>
      <c r="B202" s="20">
        <v>22.1</v>
      </c>
      <c r="C202" s="21">
        <v>2.3099999999999999E-2</v>
      </c>
      <c r="D202" s="20" t="s">
        <v>1233</v>
      </c>
      <c r="E202" s="23">
        <v>11807971</v>
      </c>
      <c r="F202" s="24">
        <v>534108</v>
      </c>
      <c r="G202" s="20">
        <v>21.6</v>
      </c>
      <c r="H202" s="20">
        <v>22.7</v>
      </c>
      <c r="I202" s="20">
        <v>21.01</v>
      </c>
      <c r="J202" s="25">
        <v>46163.391446759262</v>
      </c>
      <c r="K202" t="str">
        <f>INDEX('رموز سريعة'!B:B,MATCH(A202,'رموز سريعة'!A:A,0),1)</f>
        <v>PRCL</v>
      </c>
      <c r="L202" t="b">
        <f t="shared" si="8"/>
        <v>0</v>
      </c>
    </row>
    <row r="203" spans="1:12">
      <c r="A203" s="19" t="s">
        <v>425</v>
      </c>
      <c r="B203" s="20">
        <v>5.45</v>
      </c>
      <c r="C203" s="21">
        <v>-2.5100000000000001E-2</v>
      </c>
      <c r="D203" s="20" t="s">
        <v>1213</v>
      </c>
      <c r="E203" s="23">
        <v>6392402.5</v>
      </c>
      <c r="F203" s="24">
        <v>1175271</v>
      </c>
      <c r="G203" s="20">
        <v>5.57</v>
      </c>
      <c r="H203" s="20">
        <v>5.65</v>
      </c>
      <c r="I203" s="20">
        <v>5.4</v>
      </c>
      <c r="J203" s="25">
        <v>46163.390775462962</v>
      </c>
      <c r="K203" t="str">
        <f>INDEX('رموز سريعة'!B:B,MATCH(A203,'رموز سريعة'!A:A,0),1)</f>
        <v>PRDC</v>
      </c>
      <c r="L203" t="b">
        <f t="shared" si="8"/>
        <v>0</v>
      </c>
    </row>
    <row r="204" spans="1:12">
      <c r="A204" s="26" t="s">
        <v>266</v>
      </c>
      <c r="B204" s="27">
        <v>2.25</v>
      </c>
      <c r="C204" s="28">
        <v>0</v>
      </c>
      <c r="D204" s="27" t="s">
        <v>330</v>
      </c>
      <c r="E204" s="30">
        <v>2883881</v>
      </c>
      <c r="F204" s="31">
        <v>1281773</v>
      </c>
      <c r="G204" s="27">
        <v>2.25</v>
      </c>
      <c r="H204" s="27">
        <v>2.2799999999999998</v>
      </c>
      <c r="I204" s="27">
        <v>2.21</v>
      </c>
      <c r="J204" s="32">
        <v>46163.390787037039</v>
      </c>
      <c r="K204" t="str">
        <f>INDEX('رموز سريعة'!B:B,MATCH(A204,'رموز سريعة'!A:A,0),1)</f>
        <v>PRMH</v>
      </c>
      <c r="L204" t="b">
        <f t="shared" si="8"/>
        <v>0</v>
      </c>
    </row>
    <row r="205" spans="1:12">
      <c r="A205" t="s">
        <v>631</v>
      </c>
      <c r="B205">
        <v>19</v>
      </c>
      <c r="C205">
        <v>17.4466</v>
      </c>
      <c r="D205" t="s">
        <v>657</v>
      </c>
      <c r="E205">
        <v>56872.18</v>
      </c>
      <c r="F205">
        <v>25567</v>
      </c>
      <c r="G205">
        <v>1.03</v>
      </c>
      <c r="H205">
        <v>24.99</v>
      </c>
      <c r="I205">
        <v>1.04</v>
      </c>
      <c r="J205">
        <v>45231.436967592592</v>
      </c>
      <c r="K205" t="str">
        <f>INDEX('رموز سريعة'!B:B,MATCH(A205,'رموز سريعة'!A:A,0),1)</f>
        <v>PTCC</v>
      </c>
      <c r="L205" t="b">
        <f t="shared" si="8"/>
        <v>0</v>
      </c>
    </row>
    <row r="206" spans="1:12">
      <c r="A206" s="19" t="s">
        <v>711</v>
      </c>
      <c r="B206" s="20">
        <v>53.39</v>
      </c>
      <c r="C206" s="21">
        <v>5.1000000000000004E-3</v>
      </c>
      <c r="D206" s="20" t="s">
        <v>1253</v>
      </c>
      <c r="E206" s="23">
        <v>4498068</v>
      </c>
      <c r="F206" s="24">
        <v>84237</v>
      </c>
      <c r="G206" s="20">
        <v>52.8</v>
      </c>
      <c r="H206" s="20">
        <v>54</v>
      </c>
      <c r="I206" s="20">
        <v>52.87</v>
      </c>
      <c r="J206" s="25">
        <v>46163.391539351855</v>
      </c>
      <c r="K206" t="str">
        <f>INDEX('رموز سريعة'!B:B,MATCH(A206,'رموز سريعة'!A:A,0),1)</f>
        <v>QNBE</v>
      </c>
      <c r="L206" t="b">
        <f t="shared" si="8"/>
        <v>0</v>
      </c>
    </row>
    <row r="207" spans="1:12">
      <c r="A207" s="26" t="s">
        <v>448</v>
      </c>
      <c r="B207" s="27">
        <v>9.6999999999999993</v>
      </c>
      <c r="C207" s="28">
        <v>1E-3</v>
      </c>
      <c r="D207" s="34" t="s">
        <v>336</v>
      </c>
      <c r="E207" s="30">
        <v>1875111.88</v>
      </c>
      <c r="F207" s="31">
        <v>192731</v>
      </c>
      <c r="G207" s="27">
        <v>9.7100000000000009</v>
      </c>
      <c r="H207" s="27">
        <v>9.83</v>
      </c>
      <c r="I207" s="27">
        <v>9.66</v>
      </c>
      <c r="J207" s="32">
        <v>46163.388379629629</v>
      </c>
      <c r="K207" t="str">
        <f>INDEX('رموز سريعة'!B:B,MATCH(A207,'رموز سريعة'!A:A,0),1)</f>
        <v>RACC</v>
      </c>
      <c r="L207" t="b">
        <f t="shared" si="8"/>
        <v>0</v>
      </c>
    </row>
    <row r="208" spans="1:12">
      <c r="A208" s="19" t="s">
        <v>267</v>
      </c>
      <c r="B208" s="20">
        <v>24.4</v>
      </c>
      <c r="C208" s="21">
        <v>2.87E-2</v>
      </c>
      <c r="D208" s="33" t="s">
        <v>1105</v>
      </c>
      <c r="E208" s="23">
        <v>301785.25</v>
      </c>
      <c r="F208" s="24">
        <v>12561</v>
      </c>
      <c r="G208" s="20">
        <v>23.36</v>
      </c>
      <c r="H208" s="20">
        <v>24.48</v>
      </c>
      <c r="I208" s="20">
        <v>23.36</v>
      </c>
      <c r="J208" s="25">
        <v>46163.390474537038</v>
      </c>
      <c r="K208" t="str">
        <f>INDEX('رموز سريعة'!B:B,MATCH(A208,'رموز سريعة'!A:A,0),1)</f>
        <v>RAKT</v>
      </c>
      <c r="L208" t="b">
        <f t="shared" si="8"/>
        <v>0</v>
      </c>
    </row>
    <row r="209" spans="1:12">
      <c r="A209" s="26" t="s">
        <v>268</v>
      </c>
      <c r="B209" s="27">
        <v>7.15</v>
      </c>
      <c r="C209" s="28">
        <v>7.0000000000000001E-3</v>
      </c>
      <c r="D209" s="29" t="s">
        <v>319</v>
      </c>
      <c r="E209" s="30">
        <v>24976682</v>
      </c>
      <c r="F209" s="31">
        <v>3484067</v>
      </c>
      <c r="G209" s="27">
        <v>7.11</v>
      </c>
      <c r="H209" s="27">
        <v>7.27</v>
      </c>
      <c r="I209" s="27">
        <v>7.02</v>
      </c>
      <c r="J209" s="32">
        <v>46163.391412037039</v>
      </c>
      <c r="K209" t="str">
        <f>INDEX('رموز سريعة'!B:B,MATCH(A209,'رموز سريعة'!A:A,0),1)</f>
        <v>RAYA</v>
      </c>
      <c r="L209" t="b">
        <f t="shared" si="8"/>
        <v>0</v>
      </c>
    </row>
    <row r="210" spans="1:12">
      <c r="A210" s="26" t="s">
        <v>453</v>
      </c>
      <c r="B210" s="27">
        <v>4.0199999999999996</v>
      </c>
      <c r="C210" s="28">
        <v>9.8400000000000001E-2</v>
      </c>
      <c r="D210" s="29" t="s">
        <v>1221</v>
      </c>
      <c r="E210" s="30">
        <v>1838094.38</v>
      </c>
      <c r="F210" s="31">
        <v>459649</v>
      </c>
      <c r="G210" s="27">
        <v>3.66</v>
      </c>
      <c r="H210" s="27">
        <v>4.0199999999999996</v>
      </c>
      <c r="I210" s="27">
        <v>3.66</v>
      </c>
      <c r="J210" s="32">
        <v>46163.388287037036</v>
      </c>
      <c r="K210" t="str">
        <f>INDEX('رموز سريعة'!B:B,MATCH(A210,'رموز سريعة'!A:A,0),1)</f>
        <v>RKAZ</v>
      </c>
      <c r="L210" t="b">
        <f t="shared" si="8"/>
        <v>0</v>
      </c>
    </row>
    <row r="211" spans="1:12">
      <c r="A211" t="s">
        <v>388</v>
      </c>
      <c r="B211">
        <v>5.0599999999999996</v>
      </c>
      <c r="C211">
        <v>-3.8999999999999998E-3</v>
      </c>
      <c r="D211" t="s">
        <v>374</v>
      </c>
      <c r="E211">
        <v>13904850</v>
      </c>
      <c r="F211">
        <v>2767271</v>
      </c>
      <c r="G211">
        <v>5.08</v>
      </c>
      <c r="H211">
        <v>5.0999999999999996</v>
      </c>
      <c r="I211">
        <v>4.99</v>
      </c>
      <c r="J211">
        <v>46163.390659722223</v>
      </c>
      <c r="K211" t="str">
        <f>INDEX('رموز سريعة'!B:B,MATCH(A211,'رموز سريعة'!A:A,0),1)</f>
        <v>RMDA</v>
      </c>
      <c r="L211" t="b">
        <f t="shared" si="8"/>
        <v>0</v>
      </c>
    </row>
    <row r="212" spans="1:12">
      <c r="A212" s="19" t="s">
        <v>660</v>
      </c>
      <c r="B212" s="23">
        <v>480.75</v>
      </c>
      <c r="C212" s="21">
        <v>0</v>
      </c>
      <c r="D212" s="22" t="s">
        <v>330</v>
      </c>
      <c r="E212" s="23">
        <v>28845</v>
      </c>
      <c r="F212" s="24">
        <v>60</v>
      </c>
      <c r="G212" s="23">
        <v>480.75</v>
      </c>
      <c r="H212" s="23">
        <v>480.75</v>
      </c>
      <c r="I212" s="23">
        <v>480.75</v>
      </c>
      <c r="J212" s="25">
        <v>44546.508101851854</v>
      </c>
      <c r="K212" t="str">
        <f>INDEX('رموز سريعة'!B:B,MATCH(A212,'رموز سريعة'!A:A,0),1)</f>
        <v>RMTV</v>
      </c>
      <c r="L212" t="b">
        <f t="shared" si="8"/>
        <v>0</v>
      </c>
    </row>
    <row r="213" spans="1:12">
      <c r="A213" t="s">
        <v>271</v>
      </c>
      <c r="B213">
        <v>33.380000000000003</v>
      </c>
      <c r="C213">
        <v>-5.1000000000000004E-3</v>
      </c>
      <c r="D213" t="s">
        <v>1264</v>
      </c>
      <c r="E213">
        <v>3483896.75</v>
      </c>
      <c r="F213">
        <v>104150</v>
      </c>
      <c r="G213">
        <v>33.619999999999997</v>
      </c>
      <c r="H213">
        <v>34.15</v>
      </c>
      <c r="I213">
        <v>33.21</v>
      </c>
      <c r="J213">
        <v>46163.390393518515</v>
      </c>
      <c r="K213" t="str">
        <f>INDEX('رموز سريعة'!B:B,MATCH(A213,'رموز سريعة'!A:A,0),1)</f>
        <v>ROTO</v>
      </c>
      <c r="L213" t="b">
        <f t="shared" si="8"/>
        <v>0</v>
      </c>
    </row>
    <row r="214" spans="1:12">
      <c r="A214" s="19" t="s">
        <v>273</v>
      </c>
      <c r="B214" s="20">
        <v>3.38</v>
      </c>
      <c r="C214" s="21">
        <v>-5.8999999999999999E-3</v>
      </c>
      <c r="D214" s="22" t="s">
        <v>374</v>
      </c>
      <c r="E214" s="23">
        <v>13764344</v>
      </c>
      <c r="F214" s="24">
        <v>4080884</v>
      </c>
      <c r="G214" s="20">
        <v>3.4</v>
      </c>
      <c r="H214" s="20">
        <v>3.46</v>
      </c>
      <c r="I214" s="20">
        <v>3.32</v>
      </c>
      <c r="J214" s="25">
        <v>46163.391562500001</v>
      </c>
      <c r="K214" t="str">
        <f>INDEX('رموز سريعة'!B:B,MATCH(A214,'رموز سريعة'!A:A,0),1)</f>
        <v>RREI</v>
      </c>
      <c r="L214" t="b">
        <f t="shared" si="8"/>
        <v>0</v>
      </c>
    </row>
    <row r="215" spans="1:12">
      <c r="A215" t="s">
        <v>275</v>
      </c>
      <c r="B215">
        <v>3.89</v>
      </c>
      <c r="C215">
        <v>2.5999999999999999E-3</v>
      </c>
      <c r="D215" t="s">
        <v>336</v>
      </c>
      <c r="E215">
        <v>858685.19</v>
      </c>
      <c r="F215">
        <v>221987</v>
      </c>
      <c r="G215">
        <v>3.85</v>
      </c>
      <c r="H215">
        <v>3.92</v>
      </c>
      <c r="I215">
        <v>3.82</v>
      </c>
      <c r="J215">
        <v>46163.390289351853</v>
      </c>
      <c r="K215" t="str">
        <f>INDEX('رموز سريعة'!B:B,MATCH(A215,'رموز سريعة'!A:A,0),1)</f>
        <v>RTVC</v>
      </c>
      <c r="L215" t="b">
        <f t="shared" si="8"/>
        <v>0</v>
      </c>
    </row>
    <row r="216" spans="1:12">
      <c r="A216" s="19" t="s">
        <v>437</v>
      </c>
      <c r="B216" s="20">
        <v>10.43</v>
      </c>
      <c r="C216" s="21">
        <v>1.7399999999999999E-2</v>
      </c>
      <c r="D216" s="20" t="s">
        <v>1234</v>
      </c>
      <c r="E216" s="23">
        <v>4275836.5</v>
      </c>
      <c r="F216" s="24">
        <v>412039</v>
      </c>
      <c r="G216" s="20">
        <v>10.32</v>
      </c>
      <c r="H216" s="20">
        <v>10.6</v>
      </c>
      <c r="I216" s="20">
        <v>10.11</v>
      </c>
      <c r="J216" s="25">
        <v>46163.390983796293</v>
      </c>
      <c r="K216" t="str">
        <f>INDEX('رموز سريعة'!B:B,MATCH(A216,'رموز سريعة'!A:A,0),1)</f>
        <v>RUBX</v>
      </c>
      <c r="L216" t="b">
        <f t="shared" si="8"/>
        <v>0</v>
      </c>
    </row>
    <row r="217" spans="1:12">
      <c r="A217" s="26" t="s">
        <v>667</v>
      </c>
      <c r="B217" s="27">
        <v>2.5299999999999998</v>
      </c>
      <c r="C217" s="28">
        <v>0.1991</v>
      </c>
      <c r="D217" s="27" t="s">
        <v>1158</v>
      </c>
      <c r="E217" s="30">
        <v>139.15</v>
      </c>
      <c r="F217" s="31">
        <v>55</v>
      </c>
      <c r="G217" s="27">
        <v>2.11</v>
      </c>
      <c r="H217" s="27">
        <v>2.5299999999999998</v>
      </c>
      <c r="I217" s="27">
        <v>2.5299999999999998</v>
      </c>
      <c r="J217" s="32">
        <v>46139.465868055559</v>
      </c>
      <c r="K217" t="str">
        <f>INDEX('رموز سريعة'!B:B,MATCH(A217,'رموز سريعة'!A:A,0),1)</f>
        <v>SAIB</v>
      </c>
      <c r="L217" t="b">
        <f t="shared" si="8"/>
        <v>0</v>
      </c>
    </row>
    <row r="218" spans="1:12">
      <c r="A218" s="26" t="s">
        <v>277</v>
      </c>
      <c r="B218" s="27">
        <v>22.19</v>
      </c>
      <c r="C218" s="28">
        <v>0</v>
      </c>
      <c r="D218" s="34" t="s">
        <v>330</v>
      </c>
      <c r="E218" s="30">
        <v>5527827.5</v>
      </c>
      <c r="F218" s="31">
        <v>250388</v>
      </c>
      <c r="G218" s="27">
        <v>22.2</v>
      </c>
      <c r="H218" s="27">
        <v>22.45</v>
      </c>
      <c r="I218" s="27">
        <v>21.8</v>
      </c>
      <c r="J218" s="32">
        <v>46163.389351851853</v>
      </c>
      <c r="K218" t="str">
        <f>INDEX('رموز سريعة'!B:B,MATCH(A218,'رموز سريعة'!A:A,0),1)</f>
        <v>SAUD</v>
      </c>
      <c r="L218" t="b">
        <f t="shared" si="8"/>
        <v>0</v>
      </c>
    </row>
    <row r="219" spans="1:12">
      <c r="A219" s="19" t="s">
        <v>278</v>
      </c>
      <c r="B219" s="20">
        <v>64.3</v>
      </c>
      <c r="C219" s="21">
        <v>-4.4999999999999997E-3</v>
      </c>
      <c r="D219" s="22" t="s">
        <v>1212</v>
      </c>
      <c r="E219" s="23">
        <v>6833608</v>
      </c>
      <c r="F219" s="20">
        <v>105325</v>
      </c>
      <c r="G219" s="20">
        <v>64.599999999999994</v>
      </c>
      <c r="H219" s="20">
        <v>65.59</v>
      </c>
      <c r="I219" s="20">
        <v>64.3</v>
      </c>
      <c r="J219" s="25">
        <v>46163.391342592593</v>
      </c>
      <c r="K219" t="str">
        <f>INDEX('رموز سريعة'!B:B,MATCH(A219,'رموز سريعة'!A:A,0),1)</f>
        <v>SCEM</v>
      </c>
      <c r="L219" t="b">
        <f t="shared" si="8"/>
        <v>0</v>
      </c>
    </row>
    <row r="220" spans="1:12">
      <c r="A220" s="19" t="s">
        <v>409</v>
      </c>
      <c r="B220" s="20">
        <v>268.85000000000002</v>
      </c>
      <c r="C220" s="21">
        <v>-2.7099999999999999E-2</v>
      </c>
      <c r="D220" s="22" t="s">
        <v>1277</v>
      </c>
      <c r="E220" s="23">
        <v>5257936.5</v>
      </c>
      <c r="F220" s="24">
        <v>19538</v>
      </c>
      <c r="G220" s="20">
        <v>275.39</v>
      </c>
      <c r="H220" s="20">
        <v>276.3</v>
      </c>
      <c r="I220" s="20">
        <v>265</v>
      </c>
      <c r="J220" s="25">
        <v>46163.391168981485</v>
      </c>
      <c r="K220" t="str">
        <f>INDEX('رموز سريعة'!B:B,MATCH(A220,'رموز سريعة'!A:A,0),1)</f>
        <v>SCFM</v>
      </c>
      <c r="L220" t="b">
        <f t="shared" si="8"/>
        <v>0</v>
      </c>
    </row>
    <row r="221" spans="1:12">
      <c r="A221" s="26" t="s">
        <v>394</v>
      </c>
      <c r="B221" s="27">
        <v>648.03</v>
      </c>
      <c r="C221" s="28">
        <v>9.1000000000000004E-3</v>
      </c>
      <c r="D221" s="27" t="s">
        <v>1246</v>
      </c>
      <c r="E221" s="30">
        <v>1101726.5</v>
      </c>
      <c r="F221" s="31">
        <v>1694</v>
      </c>
      <c r="G221" s="27">
        <v>643.95000000000005</v>
      </c>
      <c r="H221" s="27">
        <v>660</v>
      </c>
      <c r="I221" s="27">
        <v>646.33000000000004</v>
      </c>
      <c r="J221" s="32">
        <v>46163.385983796295</v>
      </c>
      <c r="K221" t="str">
        <f>INDEX('رموز سريعة'!B:B,MATCH(A221,'رموز سريعة'!A:A,0),1)</f>
        <v>SCTS</v>
      </c>
      <c r="L221" t="b">
        <f t="shared" si="8"/>
        <v>0</v>
      </c>
    </row>
    <row r="222" spans="1:12">
      <c r="A222" s="19" t="s">
        <v>281</v>
      </c>
      <c r="B222" s="20">
        <v>43.88</v>
      </c>
      <c r="C222" s="21">
        <v>-6.3E-3</v>
      </c>
      <c r="D222" s="22" t="s">
        <v>864</v>
      </c>
      <c r="E222" s="23">
        <v>1887033.13</v>
      </c>
      <c r="F222" s="24">
        <v>42716</v>
      </c>
      <c r="G222" s="20">
        <v>44.35</v>
      </c>
      <c r="H222" s="20">
        <v>44.9</v>
      </c>
      <c r="I222" s="20">
        <v>43.81</v>
      </c>
      <c r="J222" s="25">
        <v>46163.390104166669</v>
      </c>
      <c r="K222" t="str">
        <f>INDEX('رموز سريعة'!B:B,MATCH(A222,'رموز سريعة'!A:A,0),1)</f>
        <v>SDTI</v>
      </c>
      <c r="L222" t="b">
        <f t="shared" si="8"/>
        <v>0</v>
      </c>
    </row>
    <row r="223" spans="1:12">
      <c r="A223" s="19" t="s">
        <v>450</v>
      </c>
      <c r="B223" s="20">
        <v>177.02</v>
      </c>
      <c r="C223" s="21">
        <v>1.06E-2</v>
      </c>
      <c r="D223" s="33" t="s">
        <v>1245</v>
      </c>
      <c r="E223" s="23">
        <v>904182.5</v>
      </c>
      <c r="F223" s="24">
        <v>5102</v>
      </c>
      <c r="G223" s="20">
        <v>175</v>
      </c>
      <c r="H223" s="20">
        <v>179.8</v>
      </c>
      <c r="I223" s="20">
        <v>174</v>
      </c>
      <c r="J223" s="25">
        <v>46163.386458333334</v>
      </c>
      <c r="K223" t="str">
        <f>INDEX('رموز سريعة'!B:B,MATCH(A223,'رموز سريعة'!A:A,0),1)</f>
        <v>SEIG</v>
      </c>
      <c r="L223" t="b">
        <f t="shared" si="8"/>
        <v>0</v>
      </c>
    </row>
    <row r="224" spans="1:12">
      <c r="A224" s="26" t="s">
        <v>658</v>
      </c>
      <c r="B224" s="27">
        <v>9.11</v>
      </c>
      <c r="C224" s="28">
        <v>-2.1299999999999999E-2</v>
      </c>
      <c r="D224" s="29" t="s">
        <v>756</v>
      </c>
      <c r="E224" s="30">
        <v>23293.7</v>
      </c>
      <c r="F224" s="31">
        <v>2529</v>
      </c>
      <c r="G224" s="27">
        <v>9.41</v>
      </c>
      <c r="H224" s="27">
        <v>9.32</v>
      </c>
      <c r="I224" s="27">
        <v>9.02</v>
      </c>
      <c r="J224" s="32">
        <v>41701.519479166665</v>
      </c>
      <c r="K224" t="str">
        <f>INDEX('رموز سريعة'!B:B,MATCH(A224,'رموز سريعة'!A:A,0),1)</f>
        <v>SIMO</v>
      </c>
      <c r="L224" t="e">
        <f>K224=#REF!</f>
        <v>#REF!</v>
      </c>
    </row>
    <row r="225" spans="1:12">
      <c r="A225" s="26" t="s">
        <v>343</v>
      </c>
      <c r="B225" s="27">
        <v>3.43</v>
      </c>
      <c r="C225" s="28">
        <v>-5.7999999999999996E-3</v>
      </c>
      <c r="D225" s="34" t="s">
        <v>374</v>
      </c>
      <c r="E225" s="30">
        <v>3272921.5</v>
      </c>
      <c r="F225" s="31">
        <v>949515</v>
      </c>
      <c r="G225" s="27">
        <v>3.46</v>
      </c>
      <c r="H225" s="27">
        <v>3.5</v>
      </c>
      <c r="I225" s="27">
        <v>3.4</v>
      </c>
      <c r="J225" s="32">
        <v>46163.391064814816</v>
      </c>
      <c r="K225" t="str">
        <f>INDEX('رموز سريعة'!B:B,MATCH(A225,'رموز سريعة'!A:A,0),1)</f>
        <v>SIPC</v>
      </c>
      <c r="L225" t="b">
        <f t="shared" ref="L225:L254" si="9">K225=K224</f>
        <v>0</v>
      </c>
    </row>
    <row r="226" spans="1:12">
      <c r="A226" s="19" t="s">
        <v>410</v>
      </c>
      <c r="B226" s="20">
        <v>17.010000000000002</v>
      </c>
      <c r="C226" s="21">
        <v>-1.7299999999999999E-2</v>
      </c>
      <c r="D226" s="20" t="s">
        <v>1181</v>
      </c>
      <c r="E226" s="23">
        <v>28042474</v>
      </c>
      <c r="F226" s="24">
        <v>1642634</v>
      </c>
      <c r="G226" s="20">
        <v>17.329999999999998</v>
      </c>
      <c r="H226" s="20">
        <v>17.3</v>
      </c>
      <c r="I226" s="20">
        <v>16.95</v>
      </c>
      <c r="J226" s="25">
        <v>46163.390347222223</v>
      </c>
      <c r="K226" t="str">
        <f>INDEX('رموز سريعة'!B:B,MATCH(A226,'رموز سريعة'!A:A,0),1)</f>
        <v>SKPC</v>
      </c>
      <c r="L226" t="b">
        <f t="shared" si="9"/>
        <v>0</v>
      </c>
    </row>
    <row r="227" spans="1:12">
      <c r="A227" t="s">
        <v>283</v>
      </c>
      <c r="B227">
        <v>205.73</v>
      </c>
      <c r="C227">
        <v>-2E-3</v>
      </c>
      <c r="D227" t="s">
        <v>1200</v>
      </c>
      <c r="E227">
        <v>931350.75</v>
      </c>
      <c r="F227">
        <v>4532</v>
      </c>
      <c r="G227">
        <v>205.52</v>
      </c>
      <c r="H227">
        <v>209.5</v>
      </c>
      <c r="I227">
        <v>204</v>
      </c>
      <c r="J227">
        <v>46163.390081018515</v>
      </c>
      <c r="K227" t="str">
        <f>INDEX('رموز سريعة'!B:B,MATCH(A227,'رموز سريعة'!A:A,0),1)</f>
        <v>SMFR</v>
      </c>
      <c r="L227" t="b">
        <f t="shared" si="9"/>
        <v>0</v>
      </c>
    </row>
    <row r="228" spans="1:12">
      <c r="A228" t="s">
        <v>673</v>
      </c>
      <c r="B228">
        <v>110.01</v>
      </c>
      <c r="C228">
        <v>-1.78E-2</v>
      </c>
      <c r="D228" t="s">
        <v>1214</v>
      </c>
      <c r="E228">
        <v>2200.1999999999998</v>
      </c>
      <c r="F228">
        <v>20</v>
      </c>
      <c r="G228">
        <v>112</v>
      </c>
      <c r="H228">
        <v>110.01</v>
      </c>
      <c r="I228">
        <v>110.01</v>
      </c>
      <c r="J228">
        <v>46162.39403935185</v>
      </c>
      <c r="K228" t="str">
        <f>INDEX('رموز سريعة'!B:B,MATCH(A228,'رموز سريعة'!A:A,0),1)</f>
        <v>SMPP</v>
      </c>
      <c r="L228" t="b">
        <f t="shared" si="9"/>
        <v>0</v>
      </c>
    </row>
    <row r="229" spans="1:12">
      <c r="A229" t="s">
        <v>335</v>
      </c>
      <c r="B229">
        <v>12.29</v>
      </c>
      <c r="C229">
        <v>-1.29E-2</v>
      </c>
      <c r="D229" t="s">
        <v>1182</v>
      </c>
      <c r="E229">
        <v>9370064</v>
      </c>
      <c r="F229">
        <v>762337</v>
      </c>
      <c r="G229">
        <v>12.43</v>
      </c>
      <c r="H229">
        <v>12.44</v>
      </c>
      <c r="I229">
        <v>12.16</v>
      </c>
      <c r="J229">
        <v>46163.389224537037</v>
      </c>
      <c r="K229" t="str">
        <f>INDEX('رموز سريعة'!B:B,MATCH(A229,'رموز سريعة'!A:A,0),1)</f>
        <v>SNFC</v>
      </c>
      <c r="L229" t="b">
        <f t="shared" si="9"/>
        <v>0</v>
      </c>
    </row>
    <row r="230" spans="1:12">
      <c r="A230" s="26" t="s">
        <v>320</v>
      </c>
      <c r="B230" s="27">
        <v>12</v>
      </c>
      <c r="C230" s="28">
        <v>0</v>
      </c>
      <c r="D230" s="29" t="s">
        <v>330</v>
      </c>
      <c r="E230" s="30">
        <v>84913.16</v>
      </c>
      <c r="F230" s="31">
        <v>7122</v>
      </c>
      <c r="G230" s="27">
        <v>12</v>
      </c>
      <c r="H230" s="27">
        <v>12.01</v>
      </c>
      <c r="I230" s="27">
        <v>11.8</v>
      </c>
      <c r="J230" s="32">
        <v>46162.39565972222</v>
      </c>
      <c r="K230" t="str">
        <f>INDEX('رموز سريعة'!B:B,MATCH(A230,'رموز سريعة'!A:A,0),1)</f>
        <v>SNFI</v>
      </c>
      <c r="L230" t="b">
        <f t="shared" si="9"/>
        <v>0</v>
      </c>
    </row>
    <row r="231" spans="1:12">
      <c r="A231" t="s">
        <v>547</v>
      </c>
      <c r="B231">
        <v>0</v>
      </c>
      <c r="C231">
        <v>-1</v>
      </c>
      <c r="D231" t="s">
        <v>1144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45938</v>
      </c>
      <c r="K231" t="str">
        <f>INDEX('رموز سريعة'!B:B,MATCH(A231,'رموز سريعة'!A:A,0),1)</f>
        <v>SPHT</v>
      </c>
      <c r="L231" t="b">
        <f t="shared" si="9"/>
        <v>0</v>
      </c>
    </row>
    <row r="232" spans="1:12">
      <c r="A232" t="s">
        <v>284</v>
      </c>
      <c r="B232">
        <v>14.35</v>
      </c>
      <c r="C232">
        <v>9.7999999999999997E-3</v>
      </c>
      <c r="D232" t="s">
        <v>1204</v>
      </c>
      <c r="E232">
        <v>3520333</v>
      </c>
      <c r="F232">
        <v>242861</v>
      </c>
      <c r="G232">
        <v>14.35</v>
      </c>
      <c r="H232">
        <v>14.8</v>
      </c>
      <c r="I232">
        <v>14.23</v>
      </c>
      <c r="J232">
        <v>46163.390127314815</v>
      </c>
      <c r="K232" t="str">
        <f>INDEX('رموز سريعة'!B:B,MATCH(A232,'رموز سريعة'!A:A,0),1)</f>
        <v>SPIN</v>
      </c>
      <c r="L232" t="b">
        <f t="shared" si="9"/>
        <v>0</v>
      </c>
    </row>
    <row r="233" spans="1:12">
      <c r="A233" s="19" t="s">
        <v>286</v>
      </c>
      <c r="B233" s="20">
        <v>0.39</v>
      </c>
      <c r="C233" s="21">
        <v>2.5999999999999999E-3</v>
      </c>
      <c r="D233" s="33" t="s">
        <v>330</v>
      </c>
      <c r="E233" s="23">
        <v>2141125.25</v>
      </c>
      <c r="F233" s="24">
        <v>5466518</v>
      </c>
      <c r="G233" s="20">
        <v>0.39</v>
      </c>
      <c r="H233" s="20">
        <v>0.4</v>
      </c>
      <c r="I233" s="20">
        <v>0.39</v>
      </c>
      <c r="J233" s="25">
        <v>46163.390381944446</v>
      </c>
      <c r="K233" t="str">
        <f>INDEX('رموز سريعة'!B:B,MATCH(A233,'رموز سريعة'!A:A,0),1)</f>
        <v>SPMD</v>
      </c>
      <c r="L233" t="b">
        <f t="shared" si="9"/>
        <v>0</v>
      </c>
    </row>
    <row r="234" spans="1:12">
      <c r="A234" s="19" t="s">
        <v>288</v>
      </c>
      <c r="B234" s="20">
        <v>48.78</v>
      </c>
      <c r="C234" s="21">
        <v>-0.01</v>
      </c>
      <c r="D234" s="20" t="s">
        <v>1265</v>
      </c>
      <c r="E234" s="23">
        <v>6155573.5</v>
      </c>
      <c r="F234" s="24">
        <v>126457</v>
      </c>
      <c r="G234" s="20">
        <v>49</v>
      </c>
      <c r="H234" s="20">
        <v>49.69</v>
      </c>
      <c r="I234" s="20">
        <v>48.01</v>
      </c>
      <c r="J234" s="25">
        <v>46163.390868055554</v>
      </c>
      <c r="K234" t="str">
        <f>INDEX('رموز سريعة'!B:B,MATCH(A234,'رموز سريعة'!A:A,0),1)</f>
        <v>SUGR</v>
      </c>
      <c r="L234" t="b">
        <f t="shared" si="9"/>
        <v>0</v>
      </c>
    </row>
    <row r="235" spans="1:12">
      <c r="A235" s="26" t="s">
        <v>443</v>
      </c>
      <c r="B235" s="27">
        <v>9.3000000000000007</v>
      </c>
      <c r="C235" s="28">
        <v>1.7500000000000002E-2</v>
      </c>
      <c r="D235" s="29" t="s">
        <v>1164</v>
      </c>
      <c r="E235" s="30">
        <v>63701720</v>
      </c>
      <c r="F235" s="31">
        <v>6821508</v>
      </c>
      <c r="G235" s="27">
        <v>9.15</v>
      </c>
      <c r="H235" s="27">
        <v>9.44</v>
      </c>
      <c r="I235" s="27">
        <v>9.2100000000000009</v>
      </c>
      <c r="J235" s="32">
        <v>46163.391192129631</v>
      </c>
      <c r="K235" t="str">
        <f>INDEX('رموز سريعة'!B:B,MATCH(A235,'رموز سريعة'!A:A,0),1)</f>
        <v>SVCE</v>
      </c>
      <c r="L235" t="b">
        <f t="shared" si="9"/>
        <v>0</v>
      </c>
    </row>
    <row r="236" spans="1:12">
      <c r="A236" s="26" t="s">
        <v>447</v>
      </c>
      <c r="B236" s="27">
        <v>87.9</v>
      </c>
      <c r="C236" s="28">
        <v>-2.8E-3</v>
      </c>
      <c r="D236" s="29" t="s">
        <v>1206</v>
      </c>
      <c r="E236" s="30">
        <v>7226123</v>
      </c>
      <c r="F236" s="31">
        <v>82249</v>
      </c>
      <c r="G236" s="27">
        <v>88.28</v>
      </c>
      <c r="H236" s="27">
        <v>88.99</v>
      </c>
      <c r="I236" s="27">
        <v>87.02</v>
      </c>
      <c r="J236" s="32">
        <v>46163.391111111108</v>
      </c>
      <c r="K236" t="str">
        <f>INDEX('رموز سريعة'!B:B,MATCH(A236,'رموز سريعة'!A:A,0),1)</f>
        <v>SWDY</v>
      </c>
      <c r="L236" t="b">
        <f t="shared" si="9"/>
        <v>0</v>
      </c>
    </row>
    <row r="237" spans="1:12">
      <c r="A237" s="19" t="s">
        <v>291</v>
      </c>
      <c r="B237" s="20">
        <v>15.64</v>
      </c>
      <c r="C237" s="21">
        <v>8.3999999999999995E-3</v>
      </c>
      <c r="D237" s="33" t="s">
        <v>651</v>
      </c>
      <c r="E237" s="23">
        <v>5654464.5</v>
      </c>
      <c r="F237" s="24">
        <v>361445</v>
      </c>
      <c r="G237" s="20">
        <v>15.52</v>
      </c>
      <c r="H237" s="20">
        <v>15.81</v>
      </c>
      <c r="I237" s="20">
        <v>15.51</v>
      </c>
      <c r="J237" s="25">
        <v>46163.391446759262</v>
      </c>
      <c r="K237" t="str">
        <f>INDEX('رموز سريعة'!B:B,MATCH(A237,'رموز سريعة'!A:A,0),1)</f>
        <v>TALM</v>
      </c>
      <c r="L237" t="b">
        <f t="shared" si="9"/>
        <v>0</v>
      </c>
    </row>
    <row r="238" spans="1:12">
      <c r="A238" s="19" t="s">
        <v>426</v>
      </c>
      <c r="B238" s="20">
        <v>4.7300000000000004</v>
      </c>
      <c r="C238" s="21">
        <v>1.2800000000000001E-2</v>
      </c>
      <c r="D238" s="22" t="s">
        <v>1163</v>
      </c>
      <c r="E238" s="23">
        <v>3554151.25</v>
      </c>
      <c r="F238" s="24">
        <v>752349</v>
      </c>
      <c r="G238" s="20">
        <v>4.7</v>
      </c>
      <c r="H238" s="20">
        <v>4.79</v>
      </c>
      <c r="I238" s="20">
        <v>4.6399999999999997</v>
      </c>
      <c r="J238" s="25">
        <v>46163.3903125</v>
      </c>
      <c r="K238" t="str">
        <f>INDEX('رموز سريعة'!B:B,MATCH(A238,'رموز سريعة'!A:A,0),1)</f>
        <v>TANM</v>
      </c>
      <c r="L238" t="b">
        <f t="shared" si="9"/>
        <v>0</v>
      </c>
    </row>
    <row r="239" spans="1:12">
      <c r="A239" s="26" t="s">
        <v>293</v>
      </c>
      <c r="B239" s="27">
        <v>13.19</v>
      </c>
      <c r="C239" s="28">
        <v>0</v>
      </c>
      <c r="D239" s="34" t="s">
        <v>330</v>
      </c>
      <c r="E239" s="30">
        <v>3868296.5</v>
      </c>
      <c r="F239" s="31">
        <v>293457</v>
      </c>
      <c r="G239" s="27">
        <v>13.22</v>
      </c>
      <c r="H239" s="27">
        <v>13.28</v>
      </c>
      <c r="I239" s="27">
        <v>13.07</v>
      </c>
      <c r="J239" s="32">
        <v>46163.390960648147</v>
      </c>
      <c r="K239" t="str">
        <f>INDEX('رموز سريعة'!B:B,MATCH(A239,'رموز سريعة'!A:A,0),1)</f>
        <v>TAQA</v>
      </c>
      <c r="L239" t="b">
        <f t="shared" si="9"/>
        <v>0</v>
      </c>
    </row>
    <row r="240" spans="1:12">
      <c r="A240" s="19" t="s">
        <v>294</v>
      </c>
      <c r="B240" s="20">
        <v>99.48</v>
      </c>
      <c r="C240" s="21">
        <v>1.43E-2</v>
      </c>
      <c r="D240" s="20" t="s">
        <v>1241</v>
      </c>
      <c r="E240" s="23">
        <v>265643936</v>
      </c>
      <c r="F240" s="24">
        <v>2685488</v>
      </c>
      <c r="G240" s="20">
        <v>98.1</v>
      </c>
      <c r="H240" s="20">
        <v>99.5</v>
      </c>
      <c r="I240" s="20">
        <v>98.23</v>
      </c>
      <c r="J240" s="25">
        <v>46163.391597222224</v>
      </c>
      <c r="K240" t="str">
        <f>INDEX('رموز سريعة'!B:B,MATCH(A240,'رموز سريعة'!A:A,0),1)</f>
        <v>TMGH</v>
      </c>
      <c r="L240" t="b">
        <f t="shared" si="9"/>
        <v>0</v>
      </c>
    </row>
    <row r="241" spans="1:12">
      <c r="A241" s="19" t="s">
        <v>316</v>
      </c>
      <c r="B241" s="23">
        <v>78.75</v>
      </c>
      <c r="C241" s="21">
        <v>-2.9999999999999997E-4</v>
      </c>
      <c r="D241" s="33" t="s">
        <v>374</v>
      </c>
      <c r="E241" s="23">
        <v>675004.44</v>
      </c>
      <c r="F241" s="24">
        <v>8868</v>
      </c>
      <c r="G241" s="23">
        <v>78.77</v>
      </c>
      <c r="H241" s="23">
        <v>78.75</v>
      </c>
      <c r="I241" s="23">
        <v>75.12</v>
      </c>
      <c r="J241" s="25">
        <v>46162.395810185182</v>
      </c>
      <c r="K241" t="str">
        <f>INDEX('رموز سريعة'!B:B,MATCH(A241,'رموز سريعة'!A:A,0),1)</f>
        <v>TORA</v>
      </c>
      <c r="L241" t="b">
        <f t="shared" si="9"/>
        <v>0</v>
      </c>
    </row>
    <row r="242" spans="1:12">
      <c r="A242" t="s">
        <v>664</v>
      </c>
      <c r="B242">
        <v>0.06</v>
      </c>
      <c r="C242">
        <v>-0.4</v>
      </c>
      <c r="D242" t="s">
        <v>371</v>
      </c>
      <c r="E242">
        <v>17653.580000000002</v>
      </c>
      <c r="F242">
        <v>251993</v>
      </c>
      <c r="G242">
        <v>0.1</v>
      </c>
      <c r="H242">
        <v>0.08</v>
      </c>
      <c r="I242">
        <v>0.06</v>
      </c>
      <c r="J242">
        <v>45525.395740740743</v>
      </c>
      <c r="K242" t="str">
        <f>INDEX('رموز سريعة'!B:B,MATCH(A242,'رموز سريعة'!A:A,0),1)</f>
        <v>TRST</v>
      </c>
      <c r="L242" t="b">
        <f t="shared" si="9"/>
        <v>0</v>
      </c>
    </row>
    <row r="243" spans="1:12">
      <c r="A243" t="s">
        <v>329</v>
      </c>
      <c r="B243">
        <v>0.03</v>
      </c>
      <c r="C243">
        <v>-2.9399999999999999E-2</v>
      </c>
      <c r="D243" t="s">
        <v>754</v>
      </c>
      <c r="E243">
        <v>389.45</v>
      </c>
      <c r="F243">
        <v>11655</v>
      </c>
      <c r="G243">
        <v>0.03</v>
      </c>
      <c r="H243">
        <v>0.04</v>
      </c>
      <c r="I243">
        <v>0.03</v>
      </c>
      <c r="J243">
        <v>46162.441006944442</v>
      </c>
      <c r="K243" t="str">
        <f>INDEX('رموز سريعة'!B:B,MATCH(A243,'رموز سريعة'!A:A,0),1)</f>
        <v>TRTO</v>
      </c>
      <c r="L243" t="b">
        <f t="shared" si="9"/>
        <v>0</v>
      </c>
    </row>
    <row r="244" spans="1:12">
      <c r="A244" s="26" t="s">
        <v>1147</v>
      </c>
      <c r="B244" s="27">
        <v>4.55</v>
      </c>
      <c r="C244" s="28">
        <v>0</v>
      </c>
      <c r="D244" s="29" t="s">
        <v>330</v>
      </c>
      <c r="E244" s="30">
        <v>694532.94</v>
      </c>
      <c r="F244" s="31">
        <v>151772</v>
      </c>
      <c r="G244" s="27">
        <v>4.5199999999999996</v>
      </c>
      <c r="H244" s="27">
        <v>4.7</v>
      </c>
      <c r="I244" s="27">
        <v>4.4000000000000004</v>
      </c>
      <c r="J244" s="32">
        <v>46163.382013888891</v>
      </c>
      <c r="K244" t="str">
        <f>INDEX('رموز سريعة'!B:B,MATCH(A244,'رموز سريعة'!A:A,0),1)</f>
        <v>TWSA</v>
      </c>
      <c r="L244" t="b">
        <f t="shared" si="9"/>
        <v>0</v>
      </c>
    </row>
    <row r="245" spans="1:12">
      <c r="A245" s="19" t="s">
        <v>361</v>
      </c>
      <c r="B245" s="20">
        <v>0.42</v>
      </c>
      <c r="C245" s="21">
        <v>-2.3300000000000001E-2</v>
      </c>
      <c r="D245" s="22" t="s">
        <v>753</v>
      </c>
      <c r="E245" s="23">
        <v>278013.03000000003</v>
      </c>
      <c r="F245" s="24">
        <v>642190</v>
      </c>
      <c r="G245" s="20">
        <v>0.43</v>
      </c>
      <c r="H245" s="20">
        <v>0.44</v>
      </c>
      <c r="I245" s="20">
        <v>0.42</v>
      </c>
      <c r="J245" s="25">
        <v>46162.395358796297</v>
      </c>
      <c r="K245" t="str">
        <f>INDEX('رموز سريعة'!B:B,MATCH(A245,'رموز سريعة'!A:A,0),1)</f>
        <v>UASG</v>
      </c>
      <c r="L245" t="b">
        <f t="shared" si="9"/>
        <v>0</v>
      </c>
    </row>
    <row r="246" spans="1:12">
      <c r="A246" s="26" t="s">
        <v>898</v>
      </c>
      <c r="B246" s="27">
        <v>13.63</v>
      </c>
      <c r="C246" s="28">
        <v>-7.3000000000000001E-3</v>
      </c>
      <c r="D246" s="34" t="s">
        <v>1211</v>
      </c>
      <c r="E246" s="30">
        <v>1412036.38</v>
      </c>
      <c r="F246" s="31">
        <v>103354</v>
      </c>
      <c r="G246" s="27">
        <v>13.75</v>
      </c>
      <c r="H246" s="27">
        <v>13.81</v>
      </c>
      <c r="I246" s="27">
        <v>13.63</v>
      </c>
      <c r="J246" s="32">
        <v>46163.389363425929</v>
      </c>
      <c r="K246" t="str">
        <f>INDEX('رموز سريعة'!B:B,MATCH(A246,'رموز سريعة'!A:A,0),1)</f>
        <v>UBEE</v>
      </c>
      <c r="L246" t="b">
        <f t="shared" si="9"/>
        <v>0</v>
      </c>
    </row>
    <row r="247" spans="1:12">
      <c r="A247" s="19" t="s">
        <v>365</v>
      </c>
      <c r="B247" s="20">
        <v>483</v>
      </c>
      <c r="C247" s="21">
        <v>-3.2000000000000002E-3</v>
      </c>
      <c r="D247" s="22" t="s">
        <v>1261</v>
      </c>
      <c r="E247" s="20">
        <v>178109.5</v>
      </c>
      <c r="F247" s="20">
        <v>368</v>
      </c>
      <c r="G247" s="20">
        <v>484.54</v>
      </c>
      <c r="H247" s="20">
        <v>488.9</v>
      </c>
      <c r="I247" s="20">
        <v>483</v>
      </c>
      <c r="J247" s="25">
        <v>46163.383333333331</v>
      </c>
      <c r="K247" t="str">
        <f>INDEX('رموز سريعة'!B:B,MATCH(A247,'رموز سريعة'!A:A,0),1)</f>
        <v>UEFM</v>
      </c>
      <c r="L247" t="b">
        <f t="shared" si="9"/>
        <v>0</v>
      </c>
    </row>
    <row r="248" spans="1:12">
      <c r="A248" s="19" t="s">
        <v>399</v>
      </c>
      <c r="B248" s="20">
        <v>1.31</v>
      </c>
      <c r="C248" s="21">
        <v>7.6E-3</v>
      </c>
      <c r="D248" s="33" t="s">
        <v>336</v>
      </c>
      <c r="E248" s="23">
        <v>1301890</v>
      </c>
      <c r="F248" s="24">
        <v>987137</v>
      </c>
      <c r="G248" s="20">
        <v>1.31</v>
      </c>
      <c r="H248" s="20">
        <v>1.33</v>
      </c>
      <c r="I248" s="20">
        <v>1.31</v>
      </c>
      <c r="J248" s="25">
        <v>46163.390844907408</v>
      </c>
      <c r="K248" t="str">
        <f>INDEX('رموز سريعة'!B:B,MATCH(A248,'رموز سريعة'!A:A,0),1)</f>
        <v>UEGC</v>
      </c>
      <c r="L248" t="b">
        <f t="shared" si="9"/>
        <v>0</v>
      </c>
    </row>
    <row r="249" spans="1:12">
      <c r="A249" s="26" t="s">
        <v>396</v>
      </c>
      <c r="B249" s="27">
        <v>0.28000000000000003</v>
      </c>
      <c r="C249" s="28">
        <v>3.5000000000000001E-3</v>
      </c>
      <c r="D249" s="27" t="s">
        <v>330</v>
      </c>
      <c r="E249" s="30">
        <v>2238306.25</v>
      </c>
      <c r="F249" s="27">
        <v>7888527</v>
      </c>
      <c r="G249" s="27">
        <v>0.28000000000000003</v>
      </c>
      <c r="H249" s="27">
        <v>0.28999999999999998</v>
      </c>
      <c r="I249" s="27">
        <v>0.28000000000000003</v>
      </c>
      <c r="J249" s="32">
        <v>46163.388912037037</v>
      </c>
      <c r="K249" t="str">
        <f>INDEX('رموز سريعة'!B:B,MATCH(A249,'رموز سريعة'!A:A,0),1)</f>
        <v>UNIP</v>
      </c>
      <c r="L249" t="b">
        <f t="shared" si="9"/>
        <v>0</v>
      </c>
    </row>
    <row r="250" spans="1:12">
      <c r="A250" s="26" t="s">
        <v>296</v>
      </c>
      <c r="B250" s="27">
        <v>13.14</v>
      </c>
      <c r="C250" s="28">
        <v>4.8599999999999997E-2</v>
      </c>
      <c r="D250" s="29" t="s">
        <v>1225</v>
      </c>
      <c r="E250" s="30">
        <v>4627621.5</v>
      </c>
      <c r="F250" s="31">
        <v>345933</v>
      </c>
      <c r="G250" s="27">
        <v>12.54</v>
      </c>
      <c r="H250" s="27">
        <v>13.99</v>
      </c>
      <c r="I250" s="27">
        <v>12.5</v>
      </c>
      <c r="J250" s="32">
        <v>46163.391261574077</v>
      </c>
      <c r="K250" t="str">
        <f>INDEX('رموز سريعة'!B:B,MATCH(A250,'رموز سريعة'!A:A,0),1)</f>
        <v>UNIT</v>
      </c>
      <c r="L250" t="b">
        <f t="shared" si="9"/>
        <v>0</v>
      </c>
    </row>
    <row r="251" spans="1:12">
      <c r="A251" s="19" t="s">
        <v>498</v>
      </c>
      <c r="B251" s="20">
        <v>9.4</v>
      </c>
      <c r="C251" s="21">
        <v>5.1999999999999998E-3</v>
      </c>
      <c r="D251" s="22" t="s">
        <v>319</v>
      </c>
      <c r="E251" s="23">
        <v>1116407.8799999999</v>
      </c>
      <c r="F251" s="24">
        <v>115658</v>
      </c>
      <c r="G251" s="20">
        <v>9.64</v>
      </c>
      <c r="H251" s="20">
        <v>9.75</v>
      </c>
      <c r="I251" s="20">
        <v>9.33</v>
      </c>
      <c r="J251" s="25">
        <v>46163.391504629632</v>
      </c>
      <c r="K251" t="str">
        <f>INDEX('رموز سريعة'!B:B,MATCH(A251,'رموز سريعة'!A:A,0),1)</f>
        <v>UPMS</v>
      </c>
      <c r="L251" t="b">
        <f t="shared" si="9"/>
        <v>0</v>
      </c>
    </row>
    <row r="252" spans="1:12">
      <c r="A252" s="19" t="s">
        <v>495</v>
      </c>
      <c r="B252" s="20">
        <v>86</v>
      </c>
      <c r="C252" s="21">
        <v>-1.38E-2</v>
      </c>
      <c r="D252" s="22" t="s">
        <v>1271</v>
      </c>
      <c r="E252" s="23">
        <v>207266.08</v>
      </c>
      <c r="F252" s="24">
        <v>2396</v>
      </c>
      <c r="G252" s="20">
        <v>87.58</v>
      </c>
      <c r="H252" s="20">
        <v>87.98</v>
      </c>
      <c r="I252" s="20">
        <v>86</v>
      </c>
      <c r="J252" s="25">
        <v>46163.372928240744</v>
      </c>
      <c r="K252" t="str">
        <f>INDEX('رموز سريعة'!B:B,MATCH(A252,'رموز سريعة'!A:A,0),1)</f>
        <v>UTOP</v>
      </c>
      <c r="L252" t="b">
        <f t="shared" si="9"/>
        <v>0</v>
      </c>
    </row>
    <row r="253" spans="1:12">
      <c r="A253" s="26" t="s">
        <v>1118</v>
      </c>
      <c r="B253" s="27">
        <v>11.31</v>
      </c>
      <c r="C253" s="28">
        <v>7.1000000000000004E-3</v>
      </c>
      <c r="D253" s="27" t="s">
        <v>1177</v>
      </c>
      <c r="E253" s="30">
        <v>7687248</v>
      </c>
      <c r="F253" s="31">
        <v>680638</v>
      </c>
      <c r="G253" s="27">
        <v>11.23</v>
      </c>
      <c r="H253" s="27">
        <v>11.37</v>
      </c>
      <c r="I253" s="27">
        <v>11.15</v>
      </c>
      <c r="J253" s="32">
        <v>46163.3908912037</v>
      </c>
      <c r="K253" t="str">
        <f>INDEX('رموز سريعة'!B:B,MATCH(A253,'رموز سريعة'!A:A,0),1)</f>
        <v>VALU</v>
      </c>
      <c r="L253" t="b">
        <f t="shared" si="9"/>
        <v>0</v>
      </c>
    </row>
    <row r="254" spans="1:12">
      <c r="A254" s="26" t="s">
        <v>497</v>
      </c>
      <c r="B254" s="27">
        <v>6.21</v>
      </c>
      <c r="C254" s="28">
        <v>-6.4000000000000003E-3</v>
      </c>
      <c r="D254" s="34" t="s">
        <v>371</v>
      </c>
      <c r="E254" s="30">
        <v>54824.99</v>
      </c>
      <c r="F254" s="31">
        <v>8778</v>
      </c>
      <c r="G254" s="27">
        <v>6.25</v>
      </c>
      <c r="H254" s="27">
        <v>6.3</v>
      </c>
      <c r="I254" s="27">
        <v>6.2</v>
      </c>
      <c r="J254" s="32">
        <v>46163.387824074074</v>
      </c>
      <c r="K254" t="str">
        <f>INDEX('رموز سريعة'!B:B,MATCH(A254,'رموز سريعة'!A:A,0),1)</f>
        <v>VERT</v>
      </c>
      <c r="L254" t="b">
        <f t="shared" si="9"/>
        <v>0</v>
      </c>
    </row>
    <row r="255" spans="1:12">
      <c r="A255" s="19" t="s">
        <v>1152</v>
      </c>
      <c r="B255" s="20">
        <v>30.4</v>
      </c>
      <c r="C255" s="21">
        <v>-5.5999999999999999E-3</v>
      </c>
      <c r="D255" s="22" t="s">
        <v>1264</v>
      </c>
      <c r="E255" s="23">
        <v>11044281</v>
      </c>
      <c r="F255" s="24">
        <v>363706</v>
      </c>
      <c r="G255" s="20">
        <v>30.61</v>
      </c>
      <c r="H255" s="20">
        <v>30.61</v>
      </c>
      <c r="I255" s="20">
        <v>30.01</v>
      </c>
      <c r="J255" s="25">
        <v>46163.391597222224</v>
      </c>
      <c r="K255" t="str">
        <f>INDEX('رموز سريعة'!B:B,MATCH(A255,'رموز سريعة'!A:A,0),1)</f>
        <v>VLMRA</v>
      </c>
      <c r="L255" t="e">
        <f>K255=#REF!</f>
        <v>#REF!</v>
      </c>
    </row>
    <row r="256" spans="1:12">
      <c r="A256" t="s">
        <v>323</v>
      </c>
      <c r="B256">
        <v>547.9</v>
      </c>
      <c r="C256">
        <v>1.1599999999999999E-2</v>
      </c>
      <c r="D256" t="s">
        <v>1244</v>
      </c>
      <c r="E256">
        <v>74682.8</v>
      </c>
      <c r="F256">
        <v>138</v>
      </c>
      <c r="G256">
        <v>541.61</v>
      </c>
      <c r="H256">
        <v>549.95000000000005</v>
      </c>
      <c r="I256">
        <v>538</v>
      </c>
      <c r="J256">
        <v>46163.353495370371</v>
      </c>
      <c r="K256" t="str">
        <f>INDEX('رموز سريعة'!B:B,MATCH(A256,'رموز سريعة'!A:A,0),1)</f>
        <v>WCDF</v>
      </c>
      <c r="L256" t="b">
        <f t="shared" ref="L256:L287" si="10">K256=K255</f>
        <v>0</v>
      </c>
    </row>
    <row r="257" spans="1:12">
      <c r="A257" s="26" t="s">
        <v>327</v>
      </c>
      <c r="B257" s="27">
        <v>293</v>
      </c>
      <c r="C257" s="28">
        <v>8.0000000000000004E-4</v>
      </c>
      <c r="D257" s="29" t="s">
        <v>1201</v>
      </c>
      <c r="E257" s="30">
        <v>1758159.13</v>
      </c>
      <c r="F257" s="31">
        <v>5962</v>
      </c>
      <c r="G257" s="27">
        <v>292.76</v>
      </c>
      <c r="H257" s="27">
        <v>299.89999999999998</v>
      </c>
      <c r="I257" s="27">
        <v>292.06</v>
      </c>
      <c r="J257" s="32">
        <v>46163.38989583333</v>
      </c>
      <c r="K257" t="str">
        <f>INDEX('رموز سريعة'!B:B,MATCH(A257,'رموز سريعة'!A:A,0),1)</f>
        <v>WKOL</v>
      </c>
      <c r="L257" t="b">
        <f t="shared" si="10"/>
        <v>0</v>
      </c>
    </row>
    <row r="258" spans="1:12">
      <c r="A258" s="49" t="s">
        <v>298</v>
      </c>
      <c r="B258" s="27">
        <v>8.6999999999999993</v>
      </c>
      <c r="C258" s="28">
        <v>6.8999999999999999E-3</v>
      </c>
      <c r="D258" s="29" t="s">
        <v>1163</v>
      </c>
      <c r="E258" s="30">
        <v>1065728</v>
      </c>
      <c r="F258" s="31">
        <v>122593</v>
      </c>
      <c r="G258" s="27">
        <v>8.65</v>
      </c>
      <c r="H258" s="27">
        <v>8.76</v>
      </c>
      <c r="I258" s="27">
        <v>8.65</v>
      </c>
      <c r="J258" s="32">
        <v>46163.389872685184</v>
      </c>
      <c r="K258" t="str">
        <f>INDEX('رموز سريعة'!B:B,MATCH(A258,'رموز سريعة'!A:A,0),1)</f>
        <v>ZEOT</v>
      </c>
      <c r="L258" t="b">
        <f t="shared" si="10"/>
        <v>0</v>
      </c>
    </row>
    <row r="259" spans="1:12">
      <c r="A259" t="s">
        <v>300</v>
      </c>
      <c r="B259">
        <v>5.86</v>
      </c>
      <c r="C259">
        <v>1.6999999999999999E-3</v>
      </c>
      <c r="D259" t="s">
        <v>336</v>
      </c>
      <c r="E259">
        <v>34670100</v>
      </c>
      <c r="F259">
        <v>5896103</v>
      </c>
      <c r="G259">
        <v>5.85</v>
      </c>
      <c r="H259">
        <v>5.94</v>
      </c>
      <c r="I259">
        <v>5.83</v>
      </c>
      <c r="J259">
        <v>46163.390335648146</v>
      </c>
      <c r="K259" t="str">
        <f>INDEX('رموز سريعة'!B:B,MATCH(A259,'رموز سريعة'!A:A,0),1)</f>
        <v>ZMID</v>
      </c>
      <c r="L259" t="b">
        <f t="shared" si="10"/>
        <v>0</v>
      </c>
    </row>
    <row r="260" spans="1:12">
      <c r="A260" s="19" t="s">
        <v>1172</v>
      </c>
      <c r="B260" s="20">
        <v>24.25</v>
      </c>
      <c r="C260" s="21">
        <v>0.1542</v>
      </c>
      <c r="D260" s="20" t="s">
        <v>1173</v>
      </c>
      <c r="E260" s="23">
        <v>19595.599999999999</v>
      </c>
      <c r="F260" s="24">
        <v>919</v>
      </c>
      <c r="G260" s="20">
        <v>12.75</v>
      </c>
      <c r="H260" s="20">
        <v>24.25</v>
      </c>
      <c r="I260" s="20">
        <v>12.75</v>
      </c>
      <c r="J260" s="25">
        <v>40192</v>
      </c>
      <c r="K260" t="e">
        <f>INDEX('رموز سريعة'!B:B,MATCH(A260,'رموز سريعة'!A:A,0),1)</f>
        <v>#N/A</v>
      </c>
      <c r="L260" t="e">
        <f t="shared" si="10"/>
        <v>#N/A</v>
      </c>
    </row>
    <row r="261" spans="1:12">
      <c r="A261" s="26" t="s">
        <v>679</v>
      </c>
      <c r="B261" s="27">
        <v>1068.92</v>
      </c>
      <c r="C261" s="28">
        <v>6.8900000000000003E-2</v>
      </c>
      <c r="D261" s="34" t="s">
        <v>680</v>
      </c>
      <c r="E261" s="30">
        <v>281412416</v>
      </c>
      <c r="F261" s="31">
        <v>263268</v>
      </c>
      <c r="G261" s="27">
        <v>1000</v>
      </c>
      <c r="H261" s="27">
        <v>1068.92</v>
      </c>
      <c r="I261" s="27">
        <v>1068.92</v>
      </c>
      <c r="J261" s="32">
        <v>45139.293900462966</v>
      </c>
      <c r="K261" t="e">
        <f>INDEX('رموز سريعة'!B:B,MATCH(A261,'رموز سريعة'!A:A,0),1)</f>
        <v>#N/A</v>
      </c>
      <c r="L261" t="e">
        <f t="shared" si="10"/>
        <v>#N/A</v>
      </c>
    </row>
    <row r="262" spans="1:12">
      <c r="A262" s="19" t="s">
        <v>679</v>
      </c>
      <c r="B262" s="20">
        <v>1068.08</v>
      </c>
      <c r="C262" s="21">
        <v>6.8099999999999994E-2</v>
      </c>
      <c r="D262" s="20" t="s">
        <v>681</v>
      </c>
      <c r="E262" s="23">
        <v>326736352</v>
      </c>
      <c r="F262" s="24">
        <v>305910</v>
      </c>
      <c r="G262" s="20">
        <v>1000</v>
      </c>
      <c r="H262" s="20">
        <v>1068.08</v>
      </c>
      <c r="I262" s="20">
        <v>1068.08</v>
      </c>
      <c r="J262" s="25">
        <v>45139.293900462966</v>
      </c>
      <c r="K262" t="e">
        <f>INDEX('رموز سريعة'!B:B,MATCH(A262,'رموز سريعة'!A:A,0),1)</f>
        <v>#N/A</v>
      </c>
      <c r="L262" t="e">
        <f t="shared" si="10"/>
        <v>#N/A</v>
      </c>
    </row>
    <row r="263" spans="1:12">
      <c r="A263" s="19" t="s">
        <v>679</v>
      </c>
      <c r="B263" s="20">
        <v>1067.3499999999999</v>
      </c>
      <c r="C263" s="21">
        <v>6.7400000000000002E-2</v>
      </c>
      <c r="D263" s="33" t="s">
        <v>682</v>
      </c>
      <c r="E263" s="23">
        <v>188981792</v>
      </c>
      <c r="F263" s="24">
        <v>177057</v>
      </c>
      <c r="G263" s="20">
        <v>1000</v>
      </c>
      <c r="H263" s="20">
        <v>1067.3499999999999</v>
      </c>
      <c r="I263" s="20">
        <v>1067.3499999999999</v>
      </c>
      <c r="J263" s="25">
        <v>45139.293900462966</v>
      </c>
      <c r="K263" t="e">
        <f>INDEX('رموز سريعة'!B:B,MATCH(A263,'رموز سريعة'!A:A,0),1)</f>
        <v>#N/A</v>
      </c>
      <c r="L263" t="e">
        <f t="shared" si="10"/>
        <v>#N/A</v>
      </c>
    </row>
    <row r="264" spans="1:12">
      <c r="A264" s="19" t="s">
        <v>679</v>
      </c>
      <c r="B264" s="20">
        <v>1066.5</v>
      </c>
      <c r="C264" s="21">
        <v>6.6500000000000004E-2</v>
      </c>
      <c r="D264" s="22" t="s">
        <v>683</v>
      </c>
      <c r="E264" s="23">
        <v>142364960</v>
      </c>
      <c r="F264" s="20">
        <v>133488</v>
      </c>
      <c r="G264" s="20">
        <v>1000</v>
      </c>
      <c r="H264" s="20">
        <v>1066.5</v>
      </c>
      <c r="I264" s="20">
        <v>1066.5</v>
      </c>
      <c r="J264" s="25">
        <v>45139.293900462966</v>
      </c>
      <c r="K264" t="e">
        <f>INDEX('رموز سريعة'!B:B,MATCH(A264,'رموز سريعة'!A:A,0),1)</f>
        <v>#N/A</v>
      </c>
      <c r="L264" t="e">
        <f t="shared" si="10"/>
        <v>#N/A</v>
      </c>
    </row>
    <row r="265" spans="1:12">
      <c r="A265" s="26" t="s">
        <v>1174</v>
      </c>
      <c r="B265" s="27">
        <v>14.28</v>
      </c>
      <c r="C265" s="28">
        <v>3.1800000000000002E-2</v>
      </c>
      <c r="D265" s="27" t="s">
        <v>650</v>
      </c>
      <c r="E265" s="30">
        <v>22327810</v>
      </c>
      <c r="F265" s="31">
        <v>1539286</v>
      </c>
      <c r="G265" s="27">
        <v>13.85</v>
      </c>
      <c r="H265" s="27">
        <v>15</v>
      </c>
      <c r="I265" s="27">
        <v>13.73</v>
      </c>
      <c r="J265" s="32">
        <v>46163.391238425924</v>
      </c>
      <c r="K265" t="e">
        <f>INDEX('رموز سريعة'!B:B,MATCH(A265,'رموز سريعة'!A:A,0),1)</f>
        <v>#N/A</v>
      </c>
      <c r="L265" t="e">
        <f t="shared" si="10"/>
        <v>#N/A</v>
      </c>
    </row>
    <row r="266" spans="1:12">
      <c r="A266" s="26" t="s">
        <v>722</v>
      </c>
      <c r="B266" s="27">
        <v>1247.17</v>
      </c>
      <c r="C266" s="28">
        <v>2.81E-2</v>
      </c>
      <c r="D266" s="29" t="s">
        <v>1025</v>
      </c>
      <c r="E266" s="30">
        <v>124717170688</v>
      </c>
      <c r="F266" s="31">
        <v>100000000</v>
      </c>
      <c r="G266" s="27">
        <v>973.28</v>
      </c>
      <c r="H266" s="27">
        <v>1247.17</v>
      </c>
      <c r="I266" s="27">
        <v>973.28</v>
      </c>
      <c r="J266" s="32">
        <v>45404.381307870368</v>
      </c>
      <c r="K266" t="e">
        <f>INDEX('رموز سريعة'!B:B,MATCH(A266,'رموز سريعة'!A:A,0),1)</f>
        <v>#N/A</v>
      </c>
      <c r="L266" t="e">
        <f t="shared" si="10"/>
        <v>#N/A</v>
      </c>
    </row>
    <row r="267" spans="1:12">
      <c r="A267" s="19" t="s">
        <v>665</v>
      </c>
      <c r="B267" s="20">
        <v>61.32</v>
      </c>
      <c r="C267" s="21">
        <v>2.6100000000000002E-2</v>
      </c>
      <c r="D267" s="22" t="s">
        <v>1034</v>
      </c>
      <c r="E267" s="20">
        <v>3372600</v>
      </c>
      <c r="F267" s="20">
        <v>55000</v>
      </c>
      <c r="G267" s="20">
        <v>59.76</v>
      </c>
      <c r="H267" s="20">
        <v>61.32</v>
      </c>
      <c r="I267" s="20">
        <v>61.32</v>
      </c>
      <c r="J267" s="25">
        <v>45712.491805555554</v>
      </c>
      <c r="K267" t="e">
        <f>INDEX('رموز سريعة'!B:B,MATCH(A267,'رموز سريعة'!A:A,0),1)</f>
        <v>#N/A</v>
      </c>
      <c r="L267" t="e">
        <f t="shared" si="10"/>
        <v>#N/A</v>
      </c>
    </row>
    <row r="268" spans="1:12">
      <c r="A268" s="26" t="s">
        <v>722</v>
      </c>
      <c r="B268" s="27">
        <v>1033.67</v>
      </c>
      <c r="C268" s="28">
        <v>2.5999999999999999E-2</v>
      </c>
      <c r="D268" s="34" t="s">
        <v>1026</v>
      </c>
      <c r="E268" s="30">
        <v>900708119347.19995</v>
      </c>
      <c r="F268" s="31">
        <v>871380000</v>
      </c>
      <c r="G268" s="27">
        <v>820.22</v>
      </c>
      <c r="H268" s="27">
        <v>1033.67</v>
      </c>
      <c r="I268" s="27">
        <v>1033.6400000000001</v>
      </c>
      <c r="J268" s="32">
        <v>45166</v>
      </c>
      <c r="K268" t="e">
        <f>INDEX('رموز سريعة'!B:B,MATCH(A268,'رموز سريعة'!A:A,0),1)</f>
        <v>#N/A</v>
      </c>
      <c r="L268" t="e">
        <f t="shared" si="10"/>
        <v>#N/A</v>
      </c>
    </row>
    <row r="269" spans="1:12">
      <c r="A269" s="26" t="s">
        <v>1130</v>
      </c>
      <c r="B269" s="27">
        <v>0.63</v>
      </c>
      <c r="C269" s="28">
        <v>2.29E-2</v>
      </c>
      <c r="D269" s="29" t="s">
        <v>336</v>
      </c>
      <c r="E269" s="30">
        <v>13191737</v>
      </c>
      <c r="F269" s="31">
        <v>20969188</v>
      </c>
      <c r="G269" s="27">
        <v>0.61</v>
      </c>
      <c r="H269" s="27">
        <v>0.64</v>
      </c>
      <c r="I269" s="27">
        <v>0.61</v>
      </c>
      <c r="J269" s="32">
        <v>46163.3903125</v>
      </c>
      <c r="K269" t="e">
        <f>INDEX('رموز سريعة'!B:B,MATCH(A269,'رموز سريعة'!A:A,0),1)</f>
        <v>#N/A</v>
      </c>
      <c r="L269" t="e">
        <f t="shared" si="10"/>
        <v>#N/A</v>
      </c>
    </row>
    <row r="270" spans="1:12">
      <c r="A270" s="19" t="s">
        <v>1035</v>
      </c>
      <c r="B270" s="20">
        <v>102</v>
      </c>
      <c r="C270" s="21">
        <v>0.02</v>
      </c>
      <c r="D270" s="22" t="s">
        <v>1027</v>
      </c>
      <c r="E270" s="23">
        <v>5100000</v>
      </c>
      <c r="F270" s="24">
        <v>50000</v>
      </c>
      <c r="G270" s="20">
        <v>100</v>
      </c>
      <c r="H270" s="20">
        <v>102</v>
      </c>
      <c r="I270" s="20">
        <v>102</v>
      </c>
      <c r="J270" s="25">
        <v>45712.491608796299</v>
      </c>
      <c r="K270" t="e">
        <f>INDEX('رموز سريعة'!B:B,MATCH(A270,'رموز سريعة'!A:A,0),1)</f>
        <v>#N/A</v>
      </c>
      <c r="L270" t="e">
        <f t="shared" si="10"/>
        <v>#N/A</v>
      </c>
    </row>
    <row r="271" spans="1:12">
      <c r="B271">
        <v>101.95</v>
      </c>
      <c r="C271">
        <v>1.95E-2</v>
      </c>
      <c r="D271" t="s">
        <v>1036</v>
      </c>
      <c r="E271">
        <v>5505300</v>
      </c>
      <c r="F271">
        <v>54000</v>
      </c>
      <c r="G271">
        <v>100</v>
      </c>
      <c r="H271">
        <v>101.95</v>
      </c>
      <c r="I271">
        <v>101.95</v>
      </c>
      <c r="J271">
        <v>45712.491493055553</v>
      </c>
      <c r="K271" t="e">
        <f>INDEX('رموز سريعة'!B:B,MATCH(A271,'رموز سريعة'!A:A,0),1)</f>
        <v>#N/A</v>
      </c>
      <c r="L271" t="e">
        <f t="shared" si="10"/>
        <v>#N/A</v>
      </c>
    </row>
    <row r="272" spans="1:12">
      <c r="A272" s="26" t="s">
        <v>1097</v>
      </c>
      <c r="B272" s="27">
        <v>101.01</v>
      </c>
      <c r="C272" s="28">
        <v>1.01E-2</v>
      </c>
      <c r="D272" s="29" t="s">
        <v>1038</v>
      </c>
      <c r="E272" s="30">
        <v>2121210</v>
      </c>
      <c r="F272" s="31">
        <v>21000</v>
      </c>
      <c r="G272" s="27">
        <v>100</v>
      </c>
      <c r="H272" s="27">
        <v>101.01</v>
      </c>
      <c r="I272" s="27">
        <v>101.01</v>
      </c>
      <c r="J272" s="32">
        <v>45712.491747685184</v>
      </c>
      <c r="K272" t="e">
        <f>INDEX('رموز سريعة'!B:B,MATCH(A272,'رموز سريعة'!A:A,0),1)</f>
        <v>#N/A</v>
      </c>
      <c r="L272" t="e">
        <f t="shared" si="10"/>
        <v>#N/A</v>
      </c>
    </row>
    <row r="273" spans="1:12">
      <c r="A273" s="26" t="s">
        <v>722</v>
      </c>
      <c r="B273" s="27">
        <v>1005.45</v>
      </c>
      <c r="C273" s="28">
        <v>7.4000000000000003E-3</v>
      </c>
      <c r="D273" s="29" t="s">
        <v>1028</v>
      </c>
      <c r="E273" s="30">
        <v>50110609408</v>
      </c>
      <c r="F273" s="31">
        <v>50000000</v>
      </c>
      <c r="G273" s="27">
        <v>998.03</v>
      </c>
      <c r="H273" s="27">
        <v>1005.45</v>
      </c>
      <c r="I273" s="27">
        <v>998.98</v>
      </c>
      <c r="J273" s="32">
        <v>45630.42732638889</v>
      </c>
      <c r="K273" t="e">
        <f>INDEX('رموز سريعة'!B:B,MATCH(A273,'رموز سريعة'!A:A,0),1)</f>
        <v>#N/A</v>
      </c>
      <c r="L273" t="e">
        <f t="shared" si="10"/>
        <v>#N/A</v>
      </c>
    </row>
    <row r="274" spans="1:12">
      <c r="A274" t="s">
        <v>665</v>
      </c>
      <c r="B274">
        <v>23.08</v>
      </c>
      <c r="C274">
        <v>5.7000000000000002E-3</v>
      </c>
      <c r="D274" t="s">
        <v>651</v>
      </c>
      <c r="E274">
        <v>6924000</v>
      </c>
      <c r="F274">
        <v>300000</v>
      </c>
      <c r="G274">
        <v>22.95</v>
      </c>
      <c r="H274">
        <v>23.08</v>
      </c>
      <c r="I274">
        <v>23.08</v>
      </c>
      <c r="J274">
        <v>45179.451956018522</v>
      </c>
      <c r="K274" t="e">
        <f>INDEX('رموز سريعة'!B:B,MATCH(A274,'رموز سريعة'!A:A,0),1)</f>
        <v>#N/A</v>
      </c>
      <c r="L274" t="e">
        <f t="shared" si="10"/>
        <v>#N/A</v>
      </c>
    </row>
    <row r="275" spans="1:12">
      <c r="A275" s="26" t="s">
        <v>722</v>
      </c>
      <c r="B275" s="27">
        <v>998.33</v>
      </c>
      <c r="C275" s="28">
        <v>5.1999999999999998E-3</v>
      </c>
      <c r="D275" s="34" t="s">
        <v>1084</v>
      </c>
      <c r="E275" s="30">
        <v>3494165708.8000002</v>
      </c>
      <c r="F275" s="31">
        <v>3500000</v>
      </c>
      <c r="G275" s="27">
        <v>949.44</v>
      </c>
      <c r="H275" s="27">
        <v>998.33</v>
      </c>
      <c r="I275" s="27">
        <v>949.44</v>
      </c>
      <c r="J275" s="32">
        <v>45757.503055555557</v>
      </c>
      <c r="K275" t="e">
        <f>INDEX('رموز سريعة'!B:B,MATCH(A275,'رموز سريعة'!A:A,0),1)</f>
        <v>#N/A</v>
      </c>
      <c r="L275" t="e">
        <f t="shared" si="10"/>
        <v>#N/A</v>
      </c>
    </row>
    <row r="276" spans="1:12">
      <c r="A276" s="19" t="s">
        <v>758</v>
      </c>
      <c r="B276" s="20">
        <v>68.180000000000007</v>
      </c>
      <c r="C276" s="21">
        <v>5.0000000000000001E-3</v>
      </c>
      <c r="D276" s="22" t="s">
        <v>1045</v>
      </c>
      <c r="E276" s="23">
        <v>2301893.25</v>
      </c>
      <c r="F276" s="24">
        <v>33762</v>
      </c>
      <c r="G276" s="20">
        <v>67.84</v>
      </c>
      <c r="H276" s="20">
        <v>68.180000000000007</v>
      </c>
      <c r="I276" s="20">
        <v>68.180000000000007</v>
      </c>
      <c r="J276" s="25">
        <v>45712.491423611114</v>
      </c>
      <c r="K276" t="e">
        <f>INDEX('رموز سريعة'!B:B,MATCH(A276,'رموز سريعة'!A:A,0),1)</f>
        <v>#N/A</v>
      </c>
      <c r="L276" t="e">
        <f t="shared" si="10"/>
        <v>#N/A</v>
      </c>
    </row>
    <row r="277" spans="1:12">
      <c r="A277" s="26" t="s">
        <v>722</v>
      </c>
      <c r="B277" s="27">
        <v>1039.0999999999999</v>
      </c>
      <c r="C277" s="28">
        <v>2.8E-3</v>
      </c>
      <c r="D277" s="29" t="s">
        <v>1085</v>
      </c>
      <c r="E277" s="30">
        <v>195141769625.60001</v>
      </c>
      <c r="F277" s="31">
        <v>191725000</v>
      </c>
      <c r="G277" s="27">
        <v>1010.94</v>
      </c>
      <c r="H277" s="27">
        <v>1039.0999999999999</v>
      </c>
      <c r="I277" s="27">
        <v>1010.43</v>
      </c>
      <c r="J277" s="32">
        <v>45763.502314814818</v>
      </c>
      <c r="K277" t="e">
        <f>INDEX('رموز سريعة'!B:B,MATCH(A277,'رموز سريعة'!A:A,0),1)</f>
        <v>#N/A</v>
      </c>
      <c r="L277" t="e">
        <f t="shared" si="10"/>
        <v>#N/A</v>
      </c>
    </row>
    <row r="278" spans="1:12">
      <c r="A278" s="26" t="s">
        <v>722</v>
      </c>
      <c r="B278" s="27">
        <v>0.88</v>
      </c>
      <c r="C278" s="28">
        <v>1.9E-3</v>
      </c>
      <c r="D278" s="34" t="s">
        <v>957</v>
      </c>
      <c r="E278" s="30">
        <v>1014251724.8</v>
      </c>
      <c r="F278" s="31">
        <v>1147350000</v>
      </c>
      <c r="G278" s="27">
        <v>0.87</v>
      </c>
      <c r="H278" s="27">
        <v>0.88</v>
      </c>
      <c r="I278" s="27">
        <v>0.87</v>
      </c>
      <c r="J278" s="32">
        <v>45798.443923611114</v>
      </c>
      <c r="K278" t="e">
        <f>INDEX('رموز سريعة'!B:B,MATCH(A278,'رموز سريعة'!A:A,0),1)</f>
        <v>#N/A</v>
      </c>
      <c r="L278" t="e">
        <f t="shared" si="10"/>
        <v>#N/A</v>
      </c>
    </row>
    <row r="279" spans="1:12">
      <c r="A279" s="19" t="s">
        <v>722</v>
      </c>
      <c r="B279" s="20">
        <v>0.85</v>
      </c>
      <c r="C279" s="21">
        <v>1.8E-3</v>
      </c>
      <c r="D279" s="20" t="s">
        <v>336</v>
      </c>
      <c r="E279" s="23">
        <v>849470</v>
      </c>
      <c r="F279" s="24">
        <v>1000000</v>
      </c>
      <c r="G279" s="20">
        <v>0.83</v>
      </c>
      <c r="H279" s="20">
        <v>0.85</v>
      </c>
      <c r="I279" s="20">
        <v>0.83</v>
      </c>
      <c r="J279" s="25">
        <v>45790.329548611109</v>
      </c>
      <c r="K279" t="e">
        <f>INDEX('رموز سريعة'!B:B,MATCH(A279,'رموز سريعة'!A:A,0),1)</f>
        <v>#N/A</v>
      </c>
      <c r="L279" t="e">
        <f t="shared" si="10"/>
        <v>#N/A</v>
      </c>
    </row>
    <row r="280" spans="1:12">
      <c r="A280" s="26" t="s">
        <v>722</v>
      </c>
      <c r="B280" s="27">
        <v>0.97</v>
      </c>
      <c r="C280" s="28">
        <v>1.6999999999999999E-3</v>
      </c>
      <c r="D280" s="29" t="s">
        <v>957</v>
      </c>
      <c r="E280" s="30">
        <v>3241578496</v>
      </c>
      <c r="F280" s="31">
        <v>3337000000</v>
      </c>
      <c r="G280" s="27">
        <v>0.95</v>
      </c>
      <c r="H280" s="27">
        <v>0.97</v>
      </c>
      <c r="I280" s="27">
        <v>0.95</v>
      </c>
      <c r="J280" s="32">
        <v>45798.441064814811</v>
      </c>
      <c r="K280" t="e">
        <f>INDEX('رموز سريعة'!B:B,MATCH(A280,'رموز سريعة'!A:A,0),1)</f>
        <v>#N/A</v>
      </c>
      <c r="L280" t="e">
        <f t="shared" si="10"/>
        <v>#N/A</v>
      </c>
    </row>
    <row r="281" spans="1:12">
      <c r="A281" s="26" t="s">
        <v>722</v>
      </c>
      <c r="B281" s="27">
        <v>0.8</v>
      </c>
      <c r="C281" s="28">
        <v>1.6999999999999999E-3</v>
      </c>
      <c r="D281" s="29" t="s">
        <v>336</v>
      </c>
      <c r="E281" s="30">
        <v>19888.75</v>
      </c>
      <c r="F281" s="31">
        <v>25000</v>
      </c>
      <c r="G281" s="27">
        <v>0.78</v>
      </c>
      <c r="H281" s="27">
        <v>0.8</v>
      </c>
      <c r="I281" s="27">
        <v>0.78</v>
      </c>
      <c r="J281" s="32">
        <v>45742.341226851851</v>
      </c>
      <c r="K281" t="e">
        <f>INDEX('رموز سريعة'!B:B,MATCH(A281,'رموز سريعة'!A:A,0),1)</f>
        <v>#N/A</v>
      </c>
      <c r="L281" t="e">
        <f t="shared" si="10"/>
        <v>#N/A</v>
      </c>
    </row>
    <row r="282" spans="1:12">
      <c r="A282" s="19" t="s">
        <v>722</v>
      </c>
      <c r="B282" s="20">
        <v>1025.68</v>
      </c>
      <c r="C282" s="21">
        <v>1.6000000000000001E-3</v>
      </c>
      <c r="D282" s="20" t="s">
        <v>1098</v>
      </c>
      <c r="E282" s="20">
        <v>80036017203.199997</v>
      </c>
      <c r="F282" s="24">
        <v>78032000</v>
      </c>
      <c r="G282" s="20">
        <v>1009.97</v>
      </c>
      <c r="H282" s="20">
        <v>1025.68</v>
      </c>
      <c r="I282" s="20">
        <v>1009.97</v>
      </c>
      <c r="J282" s="25">
        <v>45792.391932870371</v>
      </c>
      <c r="K282" t="e">
        <f>INDEX('رموز سريعة'!B:B,MATCH(A282,'رموز سريعة'!A:A,0),1)</f>
        <v>#N/A</v>
      </c>
      <c r="L282" t="e">
        <f t="shared" si="10"/>
        <v>#N/A</v>
      </c>
    </row>
    <row r="283" spans="1:12">
      <c r="A283" s="26" t="s">
        <v>722</v>
      </c>
      <c r="B283" s="27">
        <v>0.97</v>
      </c>
      <c r="C283" s="28">
        <v>1.5E-3</v>
      </c>
      <c r="D283" s="29" t="s">
        <v>336</v>
      </c>
      <c r="E283" s="30">
        <v>3906904372.4000001</v>
      </c>
      <c r="F283" s="31">
        <v>4006000000</v>
      </c>
      <c r="G283" s="27">
        <v>0.96</v>
      </c>
      <c r="H283" s="27">
        <v>0.97</v>
      </c>
      <c r="I283" s="27">
        <v>0.96</v>
      </c>
      <c r="J283" s="32">
        <v>45798.440706018519</v>
      </c>
      <c r="K283" t="e">
        <f>INDEX('رموز سريعة'!B:B,MATCH(A283,'رموز سريعة'!A:A,0),1)</f>
        <v>#N/A</v>
      </c>
      <c r="L283" t="e">
        <f t="shared" si="10"/>
        <v>#N/A</v>
      </c>
    </row>
    <row r="284" spans="1:12">
      <c r="A284" s="26" t="s">
        <v>722</v>
      </c>
      <c r="B284" s="27">
        <v>0.94</v>
      </c>
      <c r="C284" s="28">
        <v>1.2999999999999999E-3</v>
      </c>
      <c r="D284" s="27" t="s">
        <v>336</v>
      </c>
      <c r="E284" s="30">
        <v>2694868.92</v>
      </c>
      <c r="F284" s="31">
        <v>2875000</v>
      </c>
      <c r="G284" s="27">
        <v>0.93</v>
      </c>
      <c r="H284" s="27">
        <v>0.94</v>
      </c>
      <c r="I284" s="27">
        <v>0.93</v>
      </c>
      <c r="J284" s="32">
        <v>45798.393055555556</v>
      </c>
      <c r="K284" t="e">
        <f>INDEX('رموز سريعة'!B:B,MATCH(A284,'رموز سريعة'!A:A,0),1)</f>
        <v>#N/A</v>
      </c>
      <c r="L284" t="e">
        <f t="shared" si="10"/>
        <v>#N/A</v>
      </c>
    </row>
    <row r="285" spans="1:12">
      <c r="A285" t="s">
        <v>722</v>
      </c>
      <c r="B285">
        <v>0.83</v>
      </c>
      <c r="C285">
        <v>1.2999999999999999E-3</v>
      </c>
      <c r="D285" t="s">
        <v>336</v>
      </c>
      <c r="E285">
        <v>268970</v>
      </c>
      <c r="F285">
        <v>325000</v>
      </c>
      <c r="G285">
        <v>0.82</v>
      </c>
      <c r="H285">
        <v>0.83</v>
      </c>
      <c r="I285">
        <v>0.82</v>
      </c>
      <c r="J285">
        <v>45789.332476851851</v>
      </c>
      <c r="K285" t="e">
        <f>INDEX('رموز سريعة'!B:B,MATCH(A285,'رموز سريعة'!A:A,0),1)</f>
        <v>#N/A</v>
      </c>
      <c r="L285" t="e">
        <f t="shared" si="10"/>
        <v>#N/A</v>
      </c>
    </row>
    <row r="286" spans="1:12">
      <c r="A286" s="26" t="s">
        <v>722</v>
      </c>
      <c r="B286" s="27">
        <v>1171.6400000000001</v>
      </c>
      <c r="C286" s="28">
        <v>1.2999999999999999E-3</v>
      </c>
      <c r="D286" s="34" t="s">
        <v>1104</v>
      </c>
      <c r="E286" s="30">
        <v>5295831040</v>
      </c>
      <c r="F286" s="31">
        <v>4520000</v>
      </c>
      <c r="G286" s="27">
        <v>1157.0899999999999</v>
      </c>
      <c r="H286" s="27">
        <v>1171.6400000000001</v>
      </c>
      <c r="I286" s="27">
        <v>1157.0899999999999</v>
      </c>
      <c r="J286" s="32">
        <v>45796.404849537037</v>
      </c>
      <c r="K286" t="e">
        <f>INDEX('رموز سريعة'!B:B,MATCH(A286,'رموز سريعة'!A:A,0),1)</f>
        <v>#N/A</v>
      </c>
      <c r="L286" t="e">
        <f t="shared" si="10"/>
        <v>#N/A</v>
      </c>
    </row>
    <row r="287" spans="1:12">
      <c r="A287" s="26"/>
      <c r="B287" s="27">
        <v>40.33</v>
      </c>
      <c r="C287" s="28">
        <v>1.1999999999999999E-3</v>
      </c>
      <c r="D287" s="29" t="s">
        <v>319</v>
      </c>
      <c r="E287" s="30">
        <v>4033</v>
      </c>
      <c r="F287" s="31">
        <v>100</v>
      </c>
      <c r="G287" s="27">
        <v>40.28</v>
      </c>
      <c r="H287" s="27">
        <v>40.33</v>
      </c>
      <c r="I287" s="27">
        <v>40.33</v>
      </c>
      <c r="J287" s="32">
        <v>44717.461273148147</v>
      </c>
      <c r="K287" t="e">
        <f>INDEX('رموز سريعة'!B:B,MATCH(A287,'رموز سريعة'!A:A,0),1)</f>
        <v>#N/A</v>
      </c>
      <c r="L287" t="e">
        <f t="shared" si="10"/>
        <v>#N/A</v>
      </c>
    </row>
    <row r="288" spans="1:12">
      <c r="A288" t="s">
        <v>722</v>
      </c>
      <c r="B288">
        <v>0.85</v>
      </c>
      <c r="C288">
        <v>1.1000000000000001E-3</v>
      </c>
      <c r="D288" t="s">
        <v>336</v>
      </c>
      <c r="E288">
        <v>13482246.4</v>
      </c>
      <c r="F288">
        <v>15900000</v>
      </c>
      <c r="G288">
        <v>0.84</v>
      </c>
      <c r="H288">
        <v>0.85</v>
      </c>
      <c r="I288">
        <v>0.84</v>
      </c>
      <c r="J288">
        <v>45781.464965277781</v>
      </c>
      <c r="K288" t="e">
        <f>INDEX('رموز سريعة'!B:B,MATCH(A288,'رموز سريعة'!A:A,0),1)</f>
        <v>#N/A</v>
      </c>
      <c r="L288" t="e">
        <f t="shared" ref="L288:L319" si="11">K288=K287</f>
        <v>#N/A</v>
      </c>
    </row>
    <row r="289" spans="1:12">
      <c r="A289" s="26" t="s">
        <v>722</v>
      </c>
      <c r="B289" s="27">
        <v>0.93</v>
      </c>
      <c r="C289" s="28">
        <v>1.1000000000000001E-3</v>
      </c>
      <c r="D289" s="27" t="s">
        <v>336</v>
      </c>
      <c r="E289" s="30">
        <v>3712940032</v>
      </c>
      <c r="F289" s="31">
        <v>4000000000</v>
      </c>
      <c r="G289" s="27">
        <v>0.92</v>
      </c>
      <c r="H289" s="27">
        <v>0.93</v>
      </c>
      <c r="I289" s="27">
        <v>0.92</v>
      </c>
      <c r="J289" s="32">
        <v>45798.441377314812</v>
      </c>
      <c r="K289" t="e">
        <f>INDEX('رموز سريعة'!B:B,MATCH(A289,'رموز سريعة'!A:A,0),1)</f>
        <v>#N/A</v>
      </c>
      <c r="L289" t="e">
        <f t="shared" si="11"/>
        <v>#N/A</v>
      </c>
    </row>
    <row r="290" spans="1:12">
      <c r="A290" s="26" t="s">
        <v>722</v>
      </c>
      <c r="B290" s="27">
        <v>0.92</v>
      </c>
      <c r="C290" s="28">
        <v>1E-3</v>
      </c>
      <c r="D290" s="29" t="s">
        <v>336</v>
      </c>
      <c r="E290" s="30">
        <v>351962458</v>
      </c>
      <c r="F290" s="31">
        <v>382350000</v>
      </c>
      <c r="G290" s="27">
        <v>0.91</v>
      </c>
      <c r="H290" s="27">
        <v>0.92</v>
      </c>
      <c r="I290" s="27">
        <v>0.91</v>
      </c>
      <c r="J290" s="32">
        <v>45797.36209490741</v>
      </c>
      <c r="K290" t="e">
        <f>INDEX('رموز سريعة'!B:B,MATCH(A290,'رموز سريعة'!A:A,0),1)</f>
        <v>#N/A</v>
      </c>
      <c r="L290" t="e">
        <f t="shared" si="11"/>
        <v>#N/A</v>
      </c>
    </row>
    <row r="291" spans="1:12">
      <c r="A291" s="19" t="s">
        <v>722</v>
      </c>
      <c r="B291" s="20">
        <v>0.91</v>
      </c>
      <c r="C291" s="21">
        <v>8.9999999999999998E-4</v>
      </c>
      <c r="D291" s="33" t="s">
        <v>336</v>
      </c>
      <c r="E291" s="23">
        <v>6956280832</v>
      </c>
      <c r="F291" s="24">
        <v>7617125000</v>
      </c>
      <c r="G291" s="20">
        <v>0.9</v>
      </c>
      <c r="H291" s="20">
        <v>0.92</v>
      </c>
      <c r="I291" s="20">
        <v>0.9</v>
      </c>
      <c r="J291" s="25">
        <v>45798.443645833337</v>
      </c>
      <c r="K291" t="e">
        <f>INDEX('رموز سريعة'!B:B,MATCH(A291,'رموز سريعة'!A:A,0),1)</f>
        <v>#N/A</v>
      </c>
      <c r="L291" t="e">
        <f t="shared" si="11"/>
        <v>#N/A</v>
      </c>
    </row>
    <row r="292" spans="1:12">
      <c r="A292" s="19" t="s">
        <v>722</v>
      </c>
      <c r="B292" s="20">
        <v>0.88</v>
      </c>
      <c r="C292" s="21">
        <v>8.0000000000000004E-4</v>
      </c>
      <c r="D292" s="33" t="s">
        <v>336</v>
      </c>
      <c r="E292" s="23">
        <v>29578717.93</v>
      </c>
      <c r="F292" s="24">
        <v>33800000</v>
      </c>
      <c r="G292" s="20">
        <v>0.87</v>
      </c>
      <c r="H292" s="20">
        <v>0.88</v>
      </c>
      <c r="I292" s="20">
        <v>0.87</v>
      </c>
      <c r="J292" s="25">
        <v>45792.406805555554</v>
      </c>
      <c r="K292" t="e">
        <f>INDEX('رموز سريعة'!B:B,MATCH(A292,'رموز سريعة'!A:A,0),1)</f>
        <v>#N/A</v>
      </c>
      <c r="L292" t="e">
        <f t="shared" si="11"/>
        <v>#N/A</v>
      </c>
    </row>
    <row r="293" spans="1:12">
      <c r="A293" s="26" t="s">
        <v>722</v>
      </c>
      <c r="B293" s="27">
        <v>0.83</v>
      </c>
      <c r="C293" s="28">
        <v>8.0000000000000004E-4</v>
      </c>
      <c r="D293" s="34" t="s">
        <v>336</v>
      </c>
      <c r="E293" s="30">
        <v>12844138.949999999</v>
      </c>
      <c r="F293" s="31">
        <v>15625000</v>
      </c>
      <c r="G293" s="27">
        <v>0.82</v>
      </c>
      <c r="H293" s="27">
        <v>0.83</v>
      </c>
      <c r="I293" s="27">
        <v>0.82</v>
      </c>
      <c r="J293" s="32">
        <v>45798.450162037036</v>
      </c>
      <c r="K293" t="e">
        <f>INDEX('رموز سريعة'!B:B,MATCH(A293,'رموز سريعة'!A:A,0),1)</f>
        <v>#N/A</v>
      </c>
      <c r="L293" t="e">
        <f t="shared" si="11"/>
        <v>#N/A</v>
      </c>
    </row>
    <row r="294" spans="1:12">
      <c r="A294" s="19" t="s">
        <v>722</v>
      </c>
      <c r="B294" s="20">
        <v>1012.33</v>
      </c>
      <c r="C294" s="21">
        <v>8.0000000000000004E-4</v>
      </c>
      <c r="D294" s="22" t="s">
        <v>1029</v>
      </c>
      <c r="E294" s="23">
        <v>254093636403.20001</v>
      </c>
      <c r="F294" s="24">
        <v>251000000</v>
      </c>
      <c r="G294" s="20">
        <v>1004.37</v>
      </c>
      <c r="H294" s="20">
        <v>1012.33</v>
      </c>
      <c r="I294" s="20">
        <v>1012.33</v>
      </c>
      <c r="J294" s="25">
        <v>45673.500254629631</v>
      </c>
      <c r="K294" t="e">
        <f>INDEX('رموز سريعة'!B:B,MATCH(A294,'رموز سريعة'!A:A,0),1)</f>
        <v>#N/A</v>
      </c>
      <c r="L294" t="e">
        <f t="shared" si="11"/>
        <v>#N/A</v>
      </c>
    </row>
    <row r="295" spans="1:12">
      <c r="A295" s="26" t="s">
        <v>722</v>
      </c>
      <c r="B295" s="30">
        <v>0.86</v>
      </c>
      <c r="C295" s="28">
        <v>6.9999999999999999E-4</v>
      </c>
      <c r="D295" s="34" t="s">
        <v>336</v>
      </c>
      <c r="E295" s="30">
        <v>266947176.09999999</v>
      </c>
      <c r="F295" s="31">
        <v>311525000</v>
      </c>
      <c r="G295" s="30">
        <v>0.86</v>
      </c>
      <c r="H295" s="30">
        <v>0.86</v>
      </c>
      <c r="I295" s="30">
        <v>0.85</v>
      </c>
      <c r="J295" s="32">
        <v>45798.44431712963</v>
      </c>
      <c r="K295" t="e">
        <f>INDEX('رموز سريعة'!B:B,MATCH(A295,'رموز سريعة'!A:A,0),1)</f>
        <v>#N/A</v>
      </c>
      <c r="L295" t="e">
        <f t="shared" si="11"/>
        <v>#N/A</v>
      </c>
    </row>
    <row r="296" spans="1:12">
      <c r="A296" s="26" t="s">
        <v>722</v>
      </c>
      <c r="B296" s="27">
        <v>0.93</v>
      </c>
      <c r="C296" s="28">
        <v>5.9999999999999995E-4</v>
      </c>
      <c r="D296" s="29" t="s">
        <v>336</v>
      </c>
      <c r="E296" s="30">
        <v>51837084</v>
      </c>
      <c r="F296" s="31">
        <v>56050000</v>
      </c>
      <c r="G296" s="27">
        <v>0.92</v>
      </c>
      <c r="H296" s="27">
        <v>0.93</v>
      </c>
      <c r="I296" s="27">
        <v>0.92</v>
      </c>
      <c r="J296" s="32">
        <v>45798.421168981484</v>
      </c>
      <c r="K296" t="e">
        <f>INDEX('رموز سريعة'!B:B,MATCH(A296,'رموز سريعة'!A:A,0),1)</f>
        <v>#N/A</v>
      </c>
      <c r="L296" t="e">
        <f t="shared" si="11"/>
        <v>#N/A</v>
      </c>
    </row>
    <row r="297" spans="1:12">
      <c r="A297" s="19" t="s">
        <v>722</v>
      </c>
      <c r="B297" s="20">
        <v>0.81</v>
      </c>
      <c r="C297" s="21">
        <v>5.9999999999999995E-4</v>
      </c>
      <c r="D297" s="22" t="s">
        <v>336</v>
      </c>
      <c r="E297" s="23">
        <v>202122496</v>
      </c>
      <c r="F297" s="24">
        <v>250000000</v>
      </c>
      <c r="G297" s="20">
        <v>0.8</v>
      </c>
      <c r="H297" s="20">
        <v>0.81</v>
      </c>
      <c r="I297" s="20">
        <v>0.8</v>
      </c>
      <c r="J297" s="25">
        <v>45789.355949074074</v>
      </c>
      <c r="K297" t="e">
        <f>INDEX('رموز سريعة'!B:B,MATCH(A297,'رموز سريعة'!A:A,0),1)</f>
        <v>#N/A</v>
      </c>
      <c r="L297" t="e">
        <f t="shared" si="11"/>
        <v>#N/A</v>
      </c>
    </row>
    <row r="298" spans="1:12">
      <c r="A298" s="26" t="s">
        <v>722</v>
      </c>
      <c r="B298" s="27">
        <v>1</v>
      </c>
      <c r="C298" s="28">
        <v>5.0000000000000001E-4</v>
      </c>
      <c r="D298" s="27" t="s">
        <v>336</v>
      </c>
      <c r="E298" s="30">
        <v>323928854.89999998</v>
      </c>
      <c r="F298" s="31">
        <v>325050000</v>
      </c>
      <c r="G298" s="27">
        <v>0.99</v>
      </c>
      <c r="H298" s="27">
        <v>1</v>
      </c>
      <c r="I298" s="27">
        <v>0.99</v>
      </c>
      <c r="J298" s="32">
        <v>45750.504548611112</v>
      </c>
      <c r="K298" t="e">
        <f>INDEX('رموز سريعة'!B:B,MATCH(A298,'رموز سريعة'!A:A,0),1)</f>
        <v>#N/A</v>
      </c>
      <c r="L298" t="e">
        <f t="shared" si="11"/>
        <v>#N/A</v>
      </c>
    </row>
    <row r="299" spans="1:12">
      <c r="B299">
        <v>98.2</v>
      </c>
      <c r="C299">
        <v>5.0000000000000001E-4</v>
      </c>
      <c r="D299" t="s">
        <v>319</v>
      </c>
      <c r="E299">
        <v>9820</v>
      </c>
      <c r="F299">
        <v>100</v>
      </c>
      <c r="G299">
        <v>98.15</v>
      </c>
      <c r="H299">
        <v>98.2</v>
      </c>
      <c r="I299">
        <v>98.2</v>
      </c>
      <c r="J299">
        <v>44717.461273148147</v>
      </c>
      <c r="K299" t="e">
        <f>INDEX('رموز سريعة'!B:B,MATCH(A299,'رموز سريعة'!A:A,0),1)</f>
        <v>#N/A</v>
      </c>
      <c r="L299" t="e">
        <f t="shared" si="11"/>
        <v>#N/A</v>
      </c>
    </row>
    <row r="300" spans="1:12">
      <c r="A300" s="26" t="s">
        <v>722</v>
      </c>
      <c r="B300" s="27">
        <v>1031.1199999999999</v>
      </c>
      <c r="C300" s="28">
        <v>5.0000000000000001E-4</v>
      </c>
      <c r="D300" s="34" t="s">
        <v>1099</v>
      </c>
      <c r="E300" s="30">
        <v>10723665510.4</v>
      </c>
      <c r="F300" s="31">
        <v>10400000</v>
      </c>
      <c r="G300" s="27">
        <v>1025.99</v>
      </c>
      <c r="H300" s="27">
        <v>1031.1199999999999</v>
      </c>
      <c r="I300" s="27">
        <v>1025.99</v>
      </c>
      <c r="J300" s="32">
        <v>45791.389236111114</v>
      </c>
      <c r="K300" t="e">
        <f>INDEX('رموز سريعة'!B:B,MATCH(A300,'رموز سريعة'!A:A,0),1)</f>
        <v>#N/A</v>
      </c>
      <c r="L300" t="e">
        <f t="shared" si="11"/>
        <v>#N/A</v>
      </c>
    </row>
    <row r="301" spans="1:12">
      <c r="A301" s="19" t="s">
        <v>722</v>
      </c>
      <c r="B301" s="20">
        <v>996.33</v>
      </c>
      <c r="C301" s="21">
        <v>5.0000000000000001E-4</v>
      </c>
      <c r="D301" s="33" t="s">
        <v>1100</v>
      </c>
      <c r="E301" s="20">
        <v>75025399628.800003</v>
      </c>
      <c r="F301" s="20">
        <v>75302000</v>
      </c>
      <c r="G301" s="20">
        <v>991.35</v>
      </c>
      <c r="H301" s="20">
        <v>996.33</v>
      </c>
      <c r="I301" s="20">
        <v>991.35</v>
      </c>
      <c r="J301" s="25">
        <v>45792.371041666665</v>
      </c>
      <c r="K301" t="e">
        <f>INDEX('رموز سريعة'!B:B,MATCH(A301,'رموز سريعة'!A:A,0),1)</f>
        <v>#N/A</v>
      </c>
      <c r="L301" t="e">
        <f t="shared" si="11"/>
        <v>#N/A</v>
      </c>
    </row>
    <row r="302" spans="1:12">
      <c r="A302" t="s">
        <v>722</v>
      </c>
      <c r="B302">
        <v>0.96</v>
      </c>
      <c r="C302">
        <v>5.0000000000000001E-4</v>
      </c>
      <c r="D302" t="s">
        <v>336</v>
      </c>
      <c r="E302">
        <v>3697739.45</v>
      </c>
      <c r="F302">
        <v>3875000</v>
      </c>
      <c r="G302">
        <v>0.95</v>
      </c>
      <c r="H302">
        <v>0.96</v>
      </c>
      <c r="I302">
        <v>0.95</v>
      </c>
      <c r="J302">
        <v>45798.406851851854</v>
      </c>
      <c r="K302" t="e">
        <f>INDEX('رموز سريعة'!B:B,MATCH(A302,'رموز سريعة'!A:A,0),1)</f>
        <v>#N/A</v>
      </c>
      <c r="L302" t="e">
        <f t="shared" si="11"/>
        <v>#N/A</v>
      </c>
    </row>
    <row r="303" spans="1:12">
      <c r="A303" s="49" t="s">
        <v>722</v>
      </c>
      <c r="B303" s="27">
        <v>0.85</v>
      </c>
      <c r="C303" s="28">
        <v>4.0000000000000002E-4</v>
      </c>
      <c r="D303" s="29" t="s">
        <v>330</v>
      </c>
      <c r="E303" s="30">
        <v>261257568</v>
      </c>
      <c r="F303" s="27">
        <v>307000000</v>
      </c>
      <c r="G303" s="27">
        <v>0.85</v>
      </c>
      <c r="H303" s="27">
        <v>0.85</v>
      </c>
      <c r="I303" s="27">
        <v>0.85</v>
      </c>
      <c r="J303" s="32">
        <v>45797.410011574073</v>
      </c>
      <c r="K303" t="e">
        <f>INDEX('رموز سريعة'!B:B,MATCH(A303,'رموز سريعة'!A:A,0),1)</f>
        <v>#N/A</v>
      </c>
      <c r="L303" t="e">
        <f t="shared" si="11"/>
        <v>#N/A</v>
      </c>
    </row>
    <row r="304" spans="1:12">
      <c r="A304" s="19" t="s">
        <v>722</v>
      </c>
      <c r="B304" s="20">
        <v>0.86</v>
      </c>
      <c r="C304" s="21">
        <v>4.0000000000000002E-4</v>
      </c>
      <c r="D304" s="22" t="s">
        <v>330</v>
      </c>
      <c r="E304" s="23">
        <v>4438630.4000000004</v>
      </c>
      <c r="F304" s="24">
        <v>5150000</v>
      </c>
      <c r="G304" s="20">
        <v>0.86</v>
      </c>
      <c r="H304" s="20">
        <v>0.86</v>
      </c>
      <c r="I304" s="20">
        <v>0.86</v>
      </c>
      <c r="J304" s="25">
        <v>45796.401562500003</v>
      </c>
      <c r="K304" t="e">
        <f>INDEX('رموز سريعة'!B:B,MATCH(A304,'رموز سريعة'!A:A,0),1)</f>
        <v>#N/A</v>
      </c>
      <c r="L304" t="e">
        <f t="shared" si="11"/>
        <v>#N/A</v>
      </c>
    </row>
    <row r="305" spans="1:12">
      <c r="A305" s="19" t="s">
        <v>722</v>
      </c>
      <c r="B305" s="20">
        <v>1</v>
      </c>
      <c r="C305" s="21">
        <v>2.9999999999999997E-4</v>
      </c>
      <c r="D305" s="22" t="s">
        <v>330</v>
      </c>
      <c r="E305" s="23">
        <v>199836006.40000001</v>
      </c>
      <c r="F305" s="24">
        <v>200000000</v>
      </c>
      <c r="G305" s="20">
        <v>1</v>
      </c>
      <c r="H305" s="20">
        <v>1</v>
      </c>
      <c r="I305" s="20">
        <v>1</v>
      </c>
      <c r="J305" s="25">
        <v>45648.434849537036</v>
      </c>
      <c r="K305" t="e">
        <f>INDEX('رموز سريعة'!B:B,MATCH(A305,'رموز سريعة'!A:A,0),1)</f>
        <v>#N/A</v>
      </c>
      <c r="L305" t="e">
        <f t="shared" si="11"/>
        <v>#N/A</v>
      </c>
    </row>
    <row r="306" spans="1:12">
      <c r="A306" s="19" t="s">
        <v>722</v>
      </c>
      <c r="B306" s="20">
        <v>1</v>
      </c>
      <c r="C306" s="21">
        <v>2.9999999999999997E-4</v>
      </c>
      <c r="D306" s="33" t="s">
        <v>330</v>
      </c>
      <c r="E306" s="23">
        <v>14987700.800000001</v>
      </c>
      <c r="F306" s="24">
        <v>15000000</v>
      </c>
      <c r="G306" s="20">
        <v>1</v>
      </c>
      <c r="H306" s="20">
        <v>1</v>
      </c>
      <c r="I306" s="20">
        <v>1</v>
      </c>
      <c r="J306" s="25">
        <v>45705.445810185185</v>
      </c>
      <c r="K306" t="e">
        <f>INDEX('رموز سريعة'!B:B,MATCH(A306,'رموز سريعة'!A:A,0),1)</f>
        <v>#N/A</v>
      </c>
      <c r="L306" t="e">
        <f t="shared" si="11"/>
        <v>#N/A</v>
      </c>
    </row>
    <row r="307" spans="1:12">
      <c r="A307" s="26" t="s">
        <v>722</v>
      </c>
      <c r="B307" s="27">
        <v>1</v>
      </c>
      <c r="C307" s="28">
        <v>2.9999999999999997E-4</v>
      </c>
      <c r="D307" s="29" t="s">
        <v>330</v>
      </c>
      <c r="E307" s="30">
        <v>399431987.19999999</v>
      </c>
      <c r="F307" s="31">
        <v>400000000</v>
      </c>
      <c r="G307" s="27">
        <v>1</v>
      </c>
      <c r="H307" s="27">
        <v>1</v>
      </c>
      <c r="I307" s="27">
        <v>1</v>
      </c>
      <c r="J307" s="32">
        <v>45774.459386574075</v>
      </c>
      <c r="K307" t="e">
        <f>INDEX('رموز سريعة'!B:B,MATCH(A307,'رموز سريعة'!A:A,0),1)</f>
        <v>#N/A</v>
      </c>
      <c r="L307" t="e">
        <f t="shared" si="11"/>
        <v>#N/A</v>
      </c>
    </row>
    <row r="308" spans="1:12">
      <c r="A308" s="19" t="s">
        <v>722</v>
      </c>
      <c r="B308" s="20">
        <v>1</v>
      </c>
      <c r="C308" s="21">
        <v>2.9999999999999997E-4</v>
      </c>
      <c r="D308" s="33" t="s">
        <v>330</v>
      </c>
      <c r="E308" s="23">
        <v>1972558054.4000001</v>
      </c>
      <c r="F308" s="24">
        <v>1974832704</v>
      </c>
      <c r="G308" s="20">
        <v>1</v>
      </c>
      <c r="H308" s="20">
        <v>1</v>
      </c>
      <c r="I308" s="20">
        <v>1</v>
      </c>
      <c r="J308" s="25">
        <v>45634.495208333334</v>
      </c>
      <c r="K308" t="e">
        <f>INDEX('رموز سريعة'!B:B,MATCH(A308,'رموز سريعة'!A:A,0),1)</f>
        <v>#N/A</v>
      </c>
      <c r="L308" t="e">
        <f t="shared" si="11"/>
        <v>#N/A</v>
      </c>
    </row>
    <row r="309" spans="1:12">
      <c r="A309" s="19" t="s">
        <v>722</v>
      </c>
      <c r="B309" s="20">
        <v>1</v>
      </c>
      <c r="C309" s="21">
        <v>2.9999999999999997E-4</v>
      </c>
      <c r="D309" s="33" t="s">
        <v>330</v>
      </c>
      <c r="E309" s="23">
        <v>94929702.400000006</v>
      </c>
      <c r="F309" s="24">
        <v>95000000</v>
      </c>
      <c r="G309" s="20">
        <v>1</v>
      </c>
      <c r="H309" s="20">
        <v>1</v>
      </c>
      <c r="I309" s="20">
        <v>1</v>
      </c>
      <c r="J309" s="25">
        <v>45684.497812499998</v>
      </c>
      <c r="K309" t="e">
        <f>INDEX('رموز سريعة'!B:B,MATCH(A309,'رموز سريعة'!A:A,0),1)</f>
        <v>#N/A</v>
      </c>
      <c r="L309" t="e">
        <f t="shared" si="11"/>
        <v>#N/A</v>
      </c>
    </row>
    <row r="310" spans="1:12">
      <c r="A310" s="26" t="s">
        <v>722</v>
      </c>
      <c r="B310" s="27">
        <v>0.8</v>
      </c>
      <c r="C310" s="28">
        <v>2.9999999999999997E-4</v>
      </c>
      <c r="D310" s="27" t="s">
        <v>330</v>
      </c>
      <c r="E310" s="30">
        <v>162778002</v>
      </c>
      <c r="F310" s="31">
        <v>202600000</v>
      </c>
      <c r="G310" s="27">
        <v>0.8</v>
      </c>
      <c r="H310" s="27">
        <v>0.81</v>
      </c>
      <c r="I310" s="27">
        <v>0.8</v>
      </c>
      <c r="J310" s="32">
        <v>45798.441712962966</v>
      </c>
      <c r="K310" t="e">
        <f>INDEX('رموز سريعة'!B:B,MATCH(A310,'رموز سريعة'!A:A,0),1)</f>
        <v>#N/A</v>
      </c>
      <c r="L310" t="e">
        <f t="shared" si="11"/>
        <v>#N/A</v>
      </c>
    </row>
    <row r="311" spans="1:12">
      <c r="A311" s="26" t="s">
        <v>722</v>
      </c>
      <c r="B311" s="27">
        <v>1</v>
      </c>
      <c r="C311" s="28">
        <v>2.9999999999999997E-4</v>
      </c>
      <c r="D311" s="29" t="s">
        <v>330</v>
      </c>
      <c r="E311" s="30">
        <v>2520521779.1999998</v>
      </c>
      <c r="F311" s="31">
        <v>2522300000</v>
      </c>
      <c r="G311" s="27">
        <v>1</v>
      </c>
      <c r="H311" s="27">
        <v>1</v>
      </c>
      <c r="I311" s="27">
        <v>1</v>
      </c>
      <c r="J311" s="32">
        <v>45796.410937499997</v>
      </c>
      <c r="K311" t="e">
        <f>INDEX('رموز سريعة'!B:B,MATCH(A311,'رموز سريعة'!A:A,0),1)</f>
        <v>#N/A</v>
      </c>
      <c r="L311" t="e">
        <f t="shared" si="11"/>
        <v>#N/A</v>
      </c>
    </row>
    <row r="312" spans="1:12">
      <c r="A312" t="s">
        <v>722</v>
      </c>
      <c r="B312">
        <v>0.85</v>
      </c>
      <c r="C312">
        <v>2.9999999999999997E-4</v>
      </c>
      <c r="D312" t="s">
        <v>330</v>
      </c>
      <c r="E312">
        <v>1711727.5</v>
      </c>
      <c r="F312">
        <v>2025000</v>
      </c>
      <c r="G312">
        <v>0.84</v>
      </c>
      <c r="H312">
        <v>0.85</v>
      </c>
      <c r="I312">
        <v>0.84</v>
      </c>
      <c r="J312">
        <v>45798.467638888891</v>
      </c>
      <c r="K312" t="e">
        <f>INDEX('رموز سريعة'!B:B,MATCH(A312,'رموز سريعة'!A:A,0),1)</f>
        <v>#N/A</v>
      </c>
      <c r="L312" t="e">
        <f t="shared" si="11"/>
        <v>#N/A</v>
      </c>
    </row>
    <row r="313" spans="1:12">
      <c r="A313" t="s">
        <v>722</v>
      </c>
      <c r="B313">
        <v>1</v>
      </c>
      <c r="C313">
        <v>2.0000000000000001E-4</v>
      </c>
      <c r="D313" t="s">
        <v>330</v>
      </c>
      <c r="E313">
        <v>349643167.19999999</v>
      </c>
      <c r="F313">
        <v>350200000</v>
      </c>
      <c r="G313">
        <v>1</v>
      </c>
      <c r="H313">
        <v>1</v>
      </c>
      <c r="I313">
        <v>1</v>
      </c>
      <c r="J313">
        <v>45711.496817129628</v>
      </c>
      <c r="K313" t="e">
        <f>INDEX('رموز سريعة'!B:B,MATCH(A313,'رموز سريعة'!A:A,0),1)</f>
        <v>#N/A</v>
      </c>
      <c r="L313" t="e">
        <f t="shared" si="11"/>
        <v>#N/A</v>
      </c>
    </row>
    <row r="314" spans="1:12">
      <c r="A314" s="26" t="s">
        <v>722</v>
      </c>
      <c r="B314" s="27">
        <v>0.82</v>
      </c>
      <c r="C314" s="28">
        <v>2.0000000000000001E-4</v>
      </c>
      <c r="D314" s="29" t="s">
        <v>330</v>
      </c>
      <c r="E314" s="30">
        <v>29753657.699999999</v>
      </c>
      <c r="F314" s="31">
        <v>36375000</v>
      </c>
      <c r="G314" s="27">
        <v>0.82</v>
      </c>
      <c r="H314" s="27">
        <v>0.82</v>
      </c>
      <c r="I314" s="27">
        <v>0.82</v>
      </c>
      <c r="J314" s="32">
        <v>45798.426377314812</v>
      </c>
      <c r="K314" t="e">
        <f>INDEX('رموز سريعة'!B:B,MATCH(A314,'رموز سريعة'!A:A,0),1)</f>
        <v>#N/A</v>
      </c>
      <c r="L314" t="e">
        <f t="shared" si="11"/>
        <v>#N/A</v>
      </c>
    </row>
    <row r="315" spans="1:12">
      <c r="A315" s="26" t="s">
        <v>722</v>
      </c>
      <c r="B315" s="27">
        <v>1</v>
      </c>
      <c r="C315" s="28">
        <v>2.0000000000000001E-4</v>
      </c>
      <c r="D315" s="34" t="s">
        <v>330</v>
      </c>
      <c r="E315" s="30">
        <v>57458754</v>
      </c>
      <c r="F315" s="31">
        <v>57550000</v>
      </c>
      <c r="G315" s="27">
        <v>1</v>
      </c>
      <c r="H315" s="27">
        <v>1</v>
      </c>
      <c r="I315" s="27">
        <v>1</v>
      </c>
      <c r="J315" s="32">
        <v>45669.488657407404</v>
      </c>
      <c r="K315" t="e">
        <f>INDEX('رموز سريعة'!B:B,MATCH(A315,'رموز سريعة'!A:A,0),1)</f>
        <v>#N/A</v>
      </c>
      <c r="L315" t="e">
        <f t="shared" si="11"/>
        <v>#N/A</v>
      </c>
    </row>
    <row r="316" spans="1:12">
      <c r="A316" s="26" t="s">
        <v>722</v>
      </c>
      <c r="B316" s="27">
        <v>1</v>
      </c>
      <c r="C316" s="28">
        <v>2.0000000000000001E-4</v>
      </c>
      <c r="D316" s="29" t="s">
        <v>330</v>
      </c>
      <c r="E316" s="30">
        <v>9985200</v>
      </c>
      <c r="F316" s="31">
        <v>10000000</v>
      </c>
      <c r="G316" s="27">
        <v>1</v>
      </c>
      <c r="H316" s="27">
        <v>1</v>
      </c>
      <c r="I316" s="27">
        <v>1</v>
      </c>
      <c r="J316" s="32">
        <v>45697.500474537039</v>
      </c>
      <c r="K316" t="e">
        <f>INDEX('رموز سريعة'!B:B,MATCH(A316,'رموز سريعة'!A:A,0),1)</f>
        <v>#N/A</v>
      </c>
      <c r="L316" t="e">
        <f t="shared" si="11"/>
        <v>#N/A</v>
      </c>
    </row>
    <row r="317" spans="1:12">
      <c r="A317" s="19" t="s">
        <v>722</v>
      </c>
      <c r="B317" s="20">
        <v>1</v>
      </c>
      <c r="C317" s="21">
        <v>2.0000000000000001E-4</v>
      </c>
      <c r="D317" s="22" t="s">
        <v>330</v>
      </c>
      <c r="E317" s="23">
        <v>9084985.5999999996</v>
      </c>
      <c r="F317" s="24">
        <v>9100000</v>
      </c>
      <c r="G317" s="20">
        <v>1</v>
      </c>
      <c r="H317" s="20">
        <v>1</v>
      </c>
      <c r="I317" s="20">
        <v>1</v>
      </c>
      <c r="J317" s="25">
        <v>45725.39806712963</v>
      </c>
      <c r="K317" t="e">
        <f>INDEX('رموز سريعة'!B:B,MATCH(A317,'رموز سريعة'!A:A,0),1)</f>
        <v>#N/A</v>
      </c>
      <c r="L317" t="e">
        <f t="shared" si="11"/>
        <v>#N/A</v>
      </c>
    </row>
    <row r="318" spans="1:12">
      <c r="A318" s="26" t="s">
        <v>722</v>
      </c>
      <c r="B318" s="27">
        <v>0.99</v>
      </c>
      <c r="C318" s="28">
        <v>2.0000000000000001E-4</v>
      </c>
      <c r="D318" s="27" t="s">
        <v>330</v>
      </c>
      <c r="E318" s="30">
        <v>1284868175</v>
      </c>
      <c r="F318" s="31">
        <v>1305275000</v>
      </c>
      <c r="G318" s="27">
        <v>0.98</v>
      </c>
      <c r="H318" s="27">
        <v>0.99</v>
      </c>
      <c r="I318" s="27">
        <v>0.98</v>
      </c>
      <c r="J318" s="32">
        <v>45798.421909722223</v>
      </c>
      <c r="K318" t="e">
        <f>INDEX('رموز سريعة'!B:B,MATCH(A318,'رموز سريعة'!A:A,0),1)</f>
        <v>#N/A</v>
      </c>
      <c r="L318" t="e">
        <f t="shared" si="11"/>
        <v>#N/A</v>
      </c>
    </row>
    <row r="319" spans="1:12">
      <c r="A319" s="19" t="s">
        <v>722</v>
      </c>
      <c r="B319" s="20">
        <v>0.94</v>
      </c>
      <c r="C319" s="21">
        <v>1E-4</v>
      </c>
      <c r="D319" s="22" t="s">
        <v>330</v>
      </c>
      <c r="E319" s="23">
        <v>642224646.39999998</v>
      </c>
      <c r="F319" s="24">
        <v>686350000</v>
      </c>
      <c r="G319" s="20">
        <v>0.93</v>
      </c>
      <c r="H319" s="20">
        <v>0.94</v>
      </c>
      <c r="I319" s="20">
        <v>0.93</v>
      </c>
      <c r="J319" s="25">
        <v>45798.414756944447</v>
      </c>
      <c r="K319" t="e">
        <f>INDEX('رموز سريعة'!B:B,MATCH(A319,'رموز سريعة'!A:A,0),1)</f>
        <v>#N/A</v>
      </c>
      <c r="L319" t="e">
        <f t="shared" si="11"/>
        <v>#N/A</v>
      </c>
    </row>
    <row r="320" spans="1:12">
      <c r="A320" s="26" t="s">
        <v>722</v>
      </c>
      <c r="B320" s="27">
        <v>1</v>
      </c>
      <c r="C320" s="28">
        <v>1E-4</v>
      </c>
      <c r="D320" s="27" t="s">
        <v>330</v>
      </c>
      <c r="E320" s="30">
        <v>213962428.40000001</v>
      </c>
      <c r="F320" s="31">
        <v>214700000</v>
      </c>
      <c r="G320" s="27">
        <v>0.99</v>
      </c>
      <c r="H320" s="27">
        <v>1</v>
      </c>
      <c r="I320" s="27">
        <v>0.99</v>
      </c>
      <c r="J320" s="32">
        <v>45659.450833333336</v>
      </c>
      <c r="K320" t="e">
        <f>INDEX('رموز سريعة'!B:B,MATCH(A320,'رموز سريعة'!A:A,0),1)</f>
        <v>#N/A</v>
      </c>
      <c r="L320" t="e">
        <f t="shared" ref="L320:L351" si="12">K320=K319</f>
        <v>#N/A</v>
      </c>
    </row>
    <row r="321" spans="1:12">
      <c r="A321" s="19" t="s">
        <v>722</v>
      </c>
      <c r="B321" s="20">
        <v>0.88</v>
      </c>
      <c r="C321" s="21">
        <v>1E-4</v>
      </c>
      <c r="D321" s="20" t="s">
        <v>330</v>
      </c>
      <c r="E321" s="23">
        <v>569620953.01999998</v>
      </c>
      <c r="F321" s="24">
        <v>645875000</v>
      </c>
      <c r="G321" s="20">
        <v>0.88</v>
      </c>
      <c r="H321" s="20">
        <v>0.9</v>
      </c>
      <c r="I321" s="20">
        <v>0.88</v>
      </c>
      <c r="J321" s="25">
        <v>45798.466979166667</v>
      </c>
      <c r="K321" t="e">
        <f>INDEX('رموز سريعة'!B:B,MATCH(A321,'رموز سريعة'!A:A,0),1)</f>
        <v>#N/A</v>
      </c>
      <c r="L321" t="e">
        <f t="shared" si="12"/>
        <v>#N/A</v>
      </c>
    </row>
    <row r="322" spans="1:12">
      <c r="A322" t="s">
        <v>722</v>
      </c>
      <c r="B322">
        <v>1012.21</v>
      </c>
      <c r="C322">
        <v>1E-4</v>
      </c>
      <c r="D322" t="s">
        <v>1076</v>
      </c>
      <c r="E322">
        <v>29556565606.400002</v>
      </c>
      <c r="F322">
        <v>29200000</v>
      </c>
      <c r="G322">
        <v>1011</v>
      </c>
      <c r="H322">
        <v>1012.21</v>
      </c>
      <c r="I322">
        <v>1011</v>
      </c>
      <c r="J322">
        <v>45743.34983796296</v>
      </c>
      <c r="K322" t="e">
        <f>INDEX('رموز سريعة'!B:B,MATCH(A322,'رموز سريعة'!A:A,0),1)</f>
        <v>#N/A</v>
      </c>
      <c r="L322" t="e">
        <f t="shared" si="12"/>
        <v>#N/A</v>
      </c>
    </row>
    <row r="323" spans="1:12">
      <c r="A323" s="19" t="s">
        <v>722</v>
      </c>
      <c r="B323" s="20">
        <v>0.95</v>
      </c>
      <c r="C323" s="21">
        <v>1E-4</v>
      </c>
      <c r="D323" s="33" t="s">
        <v>330</v>
      </c>
      <c r="E323" s="23">
        <v>4271809093.3699999</v>
      </c>
      <c r="F323" s="24">
        <v>4514950000</v>
      </c>
      <c r="G323" s="20">
        <v>0.94</v>
      </c>
      <c r="H323" s="20">
        <v>0.95</v>
      </c>
      <c r="I323" s="20">
        <v>0.94</v>
      </c>
      <c r="J323" s="25">
        <v>45798.455590277779</v>
      </c>
      <c r="K323" t="e">
        <f>INDEX('رموز سريعة'!B:B,MATCH(A323,'رموز سريعة'!A:A,0),1)</f>
        <v>#N/A</v>
      </c>
      <c r="L323" t="e">
        <f t="shared" si="12"/>
        <v>#N/A</v>
      </c>
    </row>
    <row r="324" spans="1:12">
      <c r="A324" s="19" t="s">
        <v>722</v>
      </c>
      <c r="B324" s="20">
        <v>0.95</v>
      </c>
      <c r="C324" s="21">
        <v>1E-4</v>
      </c>
      <c r="D324" s="22" t="s">
        <v>330</v>
      </c>
      <c r="E324" s="23">
        <v>357874511.39999998</v>
      </c>
      <c r="F324" s="24">
        <v>376775000</v>
      </c>
      <c r="G324" s="20">
        <v>0.95</v>
      </c>
      <c r="H324" s="20">
        <v>0.95</v>
      </c>
      <c r="I324" s="20">
        <v>0.95</v>
      </c>
      <c r="J324" s="25">
        <v>45798.46130787037</v>
      </c>
      <c r="K324" t="e">
        <f>INDEX('رموز سريعة'!B:B,MATCH(A324,'رموز سريعة'!A:A,0),1)</f>
        <v>#N/A</v>
      </c>
      <c r="L324" t="e">
        <f t="shared" si="12"/>
        <v>#N/A</v>
      </c>
    </row>
    <row r="325" spans="1:12">
      <c r="A325" s="26" t="s">
        <v>722</v>
      </c>
      <c r="B325" s="27">
        <v>1044.5899999999999</v>
      </c>
      <c r="C325" s="28">
        <v>1E-4</v>
      </c>
      <c r="D325" s="34" t="s">
        <v>1030</v>
      </c>
      <c r="E325" s="30">
        <v>3363585024</v>
      </c>
      <c r="F325" s="31">
        <v>3220000</v>
      </c>
      <c r="G325" s="27">
        <v>1043.6400000000001</v>
      </c>
      <c r="H325" s="27">
        <v>1044.5899999999999</v>
      </c>
      <c r="I325" s="27">
        <v>1043.6400000000001</v>
      </c>
      <c r="J325" s="32">
        <v>45680.471446759257</v>
      </c>
      <c r="K325" t="e">
        <f>INDEX('رموز سريعة'!B:B,MATCH(A325,'رموز سريعة'!A:A,0),1)</f>
        <v>#N/A</v>
      </c>
      <c r="L325" t="e">
        <f t="shared" si="12"/>
        <v>#N/A</v>
      </c>
    </row>
    <row r="326" spans="1:12">
      <c r="A326" t="s">
        <v>722</v>
      </c>
      <c r="B326">
        <v>1115.3399999999999</v>
      </c>
      <c r="C326">
        <v>1E-4</v>
      </c>
      <c r="D326" t="s">
        <v>1086</v>
      </c>
      <c r="E326">
        <v>31787289804.799999</v>
      </c>
      <c r="F326">
        <v>28500000</v>
      </c>
      <c r="G326">
        <v>1114.31</v>
      </c>
      <c r="H326">
        <v>1115.3399999999999</v>
      </c>
      <c r="I326">
        <v>1114.31</v>
      </c>
      <c r="J326">
        <v>45775.465601851851</v>
      </c>
      <c r="K326" t="e">
        <f>INDEX('رموز سريعة'!B:B,MATCH(A326,'رموز سريعة'!A:A,0),1)</f>
        <v>#N/A</v>
      </c>
      <c r="L326" t="e">
        <f t="shared" si="12"/>
        <v>#N/A</v>
      </c>
    </row>
    <row r="327" spans="1:12">
      <c r="A327" s="19" t="s">
        <v>722</v>
      </c>
      <c r="B327" s="20">
        <v>1020.66</v>
      </c>
      <c r="C327" s="21">
        <v>1E-4</v>
      </c>
      <c r="D327" s="22" t="s">
        <v>1083</v>
      </c>
      <c r="E327" s="23">
        <v>336819178700.79999</v>
      </c>
      <c r="F327" s="24">
        <v>330000000</v>
      </c>
      <c r="G327" s="20">
        <v>1019.74</v>
      </c>
      <c r="H327" s="20">
        <v>1020.66</v>
      </c>
      <c r="I327" s="20">
        <v>1019.74</v>
      </c>
      <c r="J327" s="25">
        <v>45797.421898148146</v>
      </c>
      <c r="K327" t="e">
        <f>INDEX('رموز سريعة'!B:B,MATCH(A327,'رموز سريعة'!A:A,0),1)</f>
        <v>#N/A</v>
      </c>
      <c r="L327" t="e">
        <f t="shared" si="12"/>
        <v>#N/A</v>
      </c>
    </row>
    <row r="328" spans="1:12">
      <c r="A328" s="19" t="s">
        <v>722</v>
      </c>
      <c r="B328" s="20">
        <v>1</v>
      </c>
      <c r="C328" s="21">
        <v>1E-4</v>
      </c>
      <c r="D328" s="20" t="s">
        <v>330</v>
      </c>
      <c r="E328" s="23">
        <v>2148218470.4000001</v>
      </c>
      <c r="F328" s="24">
        <v>2150000000</v>
      </c>
      <c r="G328" s="20">
        <v>1</v>
      </c>
      <c r="H328" s="20">
        <v>1</v>
      </c>
      <c r="I328" s="20">
        <v>1</v>
      </c>
      <c r="J328" s="25">
        <v>45642.448807870373</v>
      </c>
      <c r="K328" t="e">
        <f>INDEX('رموز سريعة'!B:B,MATCH(A328,'رموز سريعة'!A:A,0),1)</f>
        <v>#N/A</v>
      </c>
      <c r="L328" t="e">
        <f t="shared" si="12"/>
        <v>#N/A</v>
      </c>
    </row>
    <row r="329" spans="1:12">
      <c r="A329" s="19" t="s">
        <v>722</v>
      </c>
      <c r="B329" s="20">
        <v>1</v>
      </c>
      <c r="C329" s="21">
        <v>1E-4</v>
      </c>
      <c r="D329" s="22" t="s">
        <v>330</v>
      </c>
      <c r="E329" s="23">
        <v>9992100</v>
      </c>
      <c r="F329" s="24">
        <v>10000000</v>
      </c>
      <c r="G329" s="20">
        <v>1</v>
      </c>
      <c r="H329" s="20">
        <v>1</v>
      </c>
      <c r="I329" s="20">
        <v>1</v>
      </c>
      <c r="J329" s="25">
        <v>45656.463472222225</v>
      </c>
      <c r="K329" t="e">
        <f>INDEX('رموز سريعة'!B:B,MATCH(A329,'رموز سريعة'!A:A,0),1)</f>
        <v>#N/A</v>
      </c>
      <c r="L329" t="e">
        <f t="shared" si="12"/>
        <v>#N/A</v>
      </c>
    </row>
    <row r="330" spans="1:12">
      <c r="A330" s="19" t="s">
        <v>722</v>
      </c>
      <c r="B330" s="20">
        <v>1</v>
      </c>
      <c r="C330" s="21">
        <v>1E-4</v>
      </c>
      <c r="D330" s="33" t="s">
        <v>330</v>
      </c>
      <c r="E330" s="23">
        <v>1207076300.8</v>
      </c>
      <c r="F330" s="24">
        <v>1208100000</v>
      </c>
      <c r="G330" s="20">
        <v>1</v>
      </c>
      <c r="H330" s="20">
        <v>1</v>
      </c>
      <c r="I330" s="20">
        <v>1</v>
      </c>
      <c r="J330" s="25">
        <v>45733.452291666668</v>
      </c>
      <c r="K330" t="e">
        <f>INDEX('رموز سريعة'!B:B,MATCH(A330,'رموز سريعة'!A:A,0),1)</f>
        <v>#N/A</v>
      </c>
      <c r="L330" t="e">
        <f t="shared" si="12"/>
        <v>#N/A</v>
      </c>
    </row>
    <row r="331" spans="1:12">
      <c r="A331" t="s">
        <v>722</v>
      </c>
      <c r="B331">
        <v>1</v>
      </c>
      <c r="C331">
        <v>1E-4</v>
      </c>
      <c r="D331" t="s">
        <v>330</v>
      </c>
      <c r="E331">
        <v>84927028</v>
      </c>
      <c r="F331">
        <v>85225000</v>
      </c>
      <c r="G331">
        <v>1</v>
      </c>
      <c r="H331">
        <v>1</v>
      </c>
      <c r="I331">
        <v>1</v>
      </c>
      <c r="J331">
        <v>45764.500069444446</v>
      </c>
      <c r="K331" t="e">
        <f>INDEX('رموز سريعة'!B:B,MATCH(A331,'رموز سريعة'!A:A,0),1)</f>
        <v>#N/A</v>
      </c>
      <c r="L331" t="e">
        <f t="shared" si="12"/>
        <v>#N/A</v>
      </c>
    </row>
    <row r="332" spans="1:12">
      <c r="A332" s="26" t="s">
        <v>722</v>
      </c>
      <c r="B332" s="27">
        <v>1</v>
      </c>
      <c r="C332" s="28">
        <v>1E-4</v>
      </c>
      <c r="D332" s="29" t="s">
        <v>330</v>
      </c>
      <c r="E332" s="27">
        <v>2036375385.7</v>
      </c>
      <c r="F332" s="27">
        <v>2043825000</v>
      </c>
      <c r="G332" s="27">
        <v>1</v>
      </c>
      <c r="H332" s="27">
        <v>1</v>
      </c>
      <c r="I332" s="27">
        <v>1</v>
      </c>
      <c r="J332" s="32">
        <v>45743.457997685182</v>
      </c>
      <c r="K332" t="e">
        <f>INDEX('رموز سريعة'!B:B,MATCH(A332,'رموز سريعة'!A:A,0),1)</f>
        <v>#N/A</v>
      </c>
      <c r="L332" t="e">
        <f t="shared" si="12"/>
        <v>#N/A</v>
      </c>
    </row>
    <row r="333" spans="1:12">
      <c r="A333" t="s">
        <v>722</v>
      </c>
      <c r="B333">
        <v>1024.8800000000001</v>
      </c>
      <c r="C333">
        <v>1E-4</v>
      </c>
      <c r="D333" t="s">
        <v>1105</v>
      </c>
      <c r="E333">
        <v>40995019161.599998</v>
      </c>
      <c r="F333">
        <v>40000000</v>
      </c>
      <c r="G333">
        <v>1024.2</v>
      </c>
      <c r="H333">
        <v>1024.8800000000001</v>
      </c>
      <c r="I333">
        <v>1024.2</v>
      </c>
      <c r="J333">
        <v>45797.450567129628</v>
      </c>
      <c r="K333" t="e">
        <f>INDEX('رموز سريعة'!B:B,MATCH(A333,'رموز سريعة'!A:A,0),1)</f>
        <v>#N/A</v>
      </c>
      <c r="L333" t="e">
        <f t="shared" si="12"/>
        <v>#N/A</v>
      </c>
    </row>
    <row r="334" spans="1:12">
      <c r="A334" t="s">
        <v>722</v>
      </c>
      <c r="B334">
        <v>0.91</v>
      </c>
      <c r="C334">
        <v>1E-4</v>
      </c>
      <c r="D334" t="s">
        <v>330</v>
      </c>
      <c r="E334">
        <v>4833427251.1999998</v>
      </c>
      <c r="F334">
        <v>5325700000</v>
      </c>
      <c r="G334">
        <v>0.91</v>
      </c>
      <c r="H334">
        <v>0.92</v>
      </c>
      <c r="I334">
        <v>0.87</v>
      </c>
      <c r="J334">
        <v>45798.443344907406</v>
      </c>
      <c r="K334" t="e">
        <f>INDEX('رموز سريعة'!B:B,MATCH(A334,'رموز سريعة'!A:A,0),1)</f>
        <v>#N/A</v>
      </c>
      <c r="L334" t="e">
        <f t="shared" si="12"/>
        <v>#N/A</v>
      </c>
    </row>
    <row r="335" spans="1:12">
      <c r="A335" s="26" t="s">
        <v>722</v>
      </c>
      <c r="B335" s="27">
        <v>1</v>
      </c>
      <c r="C335" s="28">
        <v>1E-4</v>
      </c>
      <c r="D335" s="29" t="s">
        <v>330</v>
      </c>
      <c r="E335" s="30">
        <v>5010859456</v>
      </c>
      <c r="F335" s="31">
        <v>5015000000</v>
      </c>
      <c r="G335" s="27">
        <v>1</v>
      </c>
      <c r="H335" s="27">
        <v>1</v>
      </c>
      <c r="I335" s="27">
        <v>1</v>
      </c>
      <c r="J335" s="32">
        <v>45740.463935185187</v>
      </c>
      <c r="K335" t="e">
        <f>INDEX('رموز سريعة'!B:B,MATCH(A335,'رموز سريعة'!A:A,0),1)</f>
        <v>#N/A</v>
      </c>
      <c r="L335" t="e">
        <f t="shared" si="12"/>
        <v>#N/A</v>
      </c>
    </row>
    <row r="336" spans="1:12">
      <c r="A336" t="s">
        <v>722</v>
      </c>
      <c r="B336">
        <v>1</v>
      </c>
      <c r="C336">
        <v>1E-4</v>
      </c>
      <c r="D336" t="s">
        <v>330</v>
      </c>
      <c r="E336">
        <v>568012608</v>
      </c>
      <c r="F336">
        <v>568500000</v>
      </c>
      <c r="G336">
        <v>1</v>
      </c>
      <c r="H336">
        <v>1</v>
      </c>
      <c r="I336">
        <v>1</v>
      </c>
      <c r="J336">
        <v>45761.404872685183</v>
      </c>
      <c r="K336" t="e">
        <f>INDEX('رموز سريعة'!B:B,MATCH(A336,'رموز سريعة'!A:A,0),1)</f>
        <v>#N/A</v>
      </c>
      <c r="L336" t="e">
        <f t="shared" si="12"/>
        <v>#N/A</v>
      </c>
    </row>
    <row r="337" spans="1:12">
      <c r="A337" t="s">
        <v>722</v>
      </c>
      <c r="B337">
        <v>0.87</v>
      </c>
      <c r="C337">
        <v>1E-4</v>
      </c>
      <c r="D337" t="s">
        <v>330</v>
      </c>
      <c r="E337">
        <v>45702355.020000003</v>
      </c>
      <c r="F337">
        <v>52300000</v>
      </c>
      <c r="G337">
        <v>0.87</v>
      </c>
      <c r="H337">
        <v>0.88</v>
      </c>
      <c r="I337">
        <v>0.87</v>
      </c>
      <c r="J337">
        <v>45798.466041666667</v>
      </c>
      <c r="K337" t="e">
        <f>INDEX('رموز سريعة'!B:B,MATCH(A337,'رموز سريعة'!A:A,0),1)</f>
        <v>#N/A</v>
      </c>
      <c r="L337" t="e">
        <f t="shared" si="12"/>
        <v>#N/A</v>
      </c>
    </row>
    <row r="338" spans="1:12">
      <c r="A338" s="26" t="s">
        <v>722</v>
      </c>
      <c r="B338" s="27">
        <v>1</v>
      </c>
      <c r="C338" s="28">
        <v>1E-4</v>
      </c>
      <c r="D338" s="29" t="s">
        <v>330</v>
      </c>
      <c r="E338" s="30">
        <v>94517401.799999997</v>
      </c>
      <c r="F338" s="31">
        <v>94925000</v>
      </c>
      <c r="G338" s="27">
        <v>0.99</v>
      </c>
      <c r="H338" s="27">
        <v>1</v>
      </c>
      <c r="I338" s="27">
        <v>0.99</v>
      </c>
      <c r="J338" s="32">
        <v>45798.444687499999</v>
      </c>
      <c r="K338" t="e">
        <f>INDEX('رموز سريعة'!B:B,MATCH(A338,'رموز سريعة'!A:A,0),1)</f>
        <v>#N/A</v>
      </c>
      <c r="L338" t="e">
        <f t="shared" si="12"/>
        <v>#N/A</v>
      </c>
    </row>
    <row r="339" spans="1:12">
      <c r="A339" t="s">
        <v>1140</v>
      </c>
      <c r="B339">
        <v>0</v>
      </c>
      <c r="C339">
        <v>0</v>
      </c>
      <c r="D339" t="s">
        <v>330</v>
      </c>
      <c r="E339">
        <v>0</v>
      </c>
      <c r="F339">
        <v>0</v>
      </c>
      <c r="G339">
        <v>5</v>
      </c>
      <c r="H339">
        <v>0</v>
      </c>
      <c r="I339">
        <v>0</v>
      </c>
      <c r="J339">
        <v>45931.451631944445</v>
      </c>
      <c r="K339" t="e">
        <f>INDEX('رموز سريعة'!B:B,MATCH(A339,'رموز سريعة'!A:A,0),1)</f>
        <v>#N/A</v>
      </c>
      <c r="L339" t="e">
        <f t="shared" si="12"/>
        <v>#N/A</v>
      </c>
    </row>
    <row r="340" spans="1:12">
      <c r="A340" s="26" t="s">
        <v>879</v>
      </c>
      <c r="B340" s="27">
        <v>17</v>
      </c>
      <c r="C340" s="28">
        <v>0</v>
      </c>
      <c r="D340" s="34" t="s">
        <v>330</v>
      </c>
      <c r="E340" s="30">
        <v>1617650.38</v>
      </c>
      <c r="F340" s="31">
        <v>95745</v>
      </c>
      <c r="G340" s="27">
        <v>17</v>
      </c>
      <c r="H340" s="27">
        <v>17.21</v>
      </c>
      <c r="I340" s="27">
        <v>16.5</v>
      </c>
      <c r="J340" s="32">
        <v>46162.395752314813</v>
      </c>
      <c r="K340" t="e">
        <f>INDEX('رموز سريعة'!B:B,MATCH(A340,'رموز سريعة'!A:A,0),1)</f>
        <v>#N/A</v>
      </c>
      <c r="L340" t="e">
        <f t="shared" si="12"/>
        <v>#N/A</v>
      </c>
    </row>
    <row r="341" spans="1:12">
      <c r="A341" t="s">
        <v>995</v>
      </c>
      <c r="B341">
        <v>27.6</v>
      </c>
      <c r="C341">
        <v>0</v>
      </c>
      <c r="D341" t="s">
        <v>330</v>
      </c>
      <c r="E341">
        <v>2014.8</v>
      </c>
      <c r="F341">
        <v>73</v>
      </c>
      <c r="G341">
        <v>27.6</v>
      </c>
      <c r="H341">
        <v>27.6</v>
      </c>
      <c r="I341">
        <v>27.6</v>
      </c>
      <c r="J341">
        <v>46162.375023148146</v>
      </c>
      <c r="K341" t="e">
        <f>INDEX('رموز سريعة'!B:B,MATCH(A341,'رموز سريعة'!A:A,0),1)</f>
        <v>#N/A</v>
      </c>
      <c r="L341" t="e">
        <f t="shared" si="12"/>
        <v>#N/A</v>
      </c>
    </row>
    <row r="342" spans="1:12">
      <c r="A342" s="19" t="s">
        <v>722</v>
      </c>
      <c r="B342" s="20">
        <v>997.7</v>
      </c>
      <c r="C342" s="21">
        <v>0</v>
      </c>
      <c r="D342" s="22" t="s">
        <v>389</v>
      </c>
      <c r="E342" s="23">
        <v>997700403.20000005</v>
      </c>
      <c r="F342" s="24">
        <v>1000000</v>
      </c>
      <c r="G342" s="20">
        <v>997.73</v>
      </c>
      <c r="H342" s="20">
        <v>997.73</v>
      </c>
      <c r="I342" s="20">
        <v>997.7</v>
      </c>
      <c r="J342" s="25">
        <v>45742.449421296296</v>
      </c>
      <c r="K342" t="e">
        <f>INDEX('رموز سريعة'!B:B,MATCH(A342,'رموز سريعة'!A:A,0),1)</f>
        <v>#N/A</v>
      </c>
      <c r="L342" t="e">
        <f t="shared" si="12"/>
        <v>#N/A</v>
      </c>
    </row>
    <row r="343" spans="1:12">
      <c r="A343" s="19" t="s">
        <v>1141</v>
      </c>
      <c r="B343" s="20">
        <v>0</v>
      </c>
      <c r="C343" s="21">
        <v>0</v>
      </c>
      <c r="D343" s="22" t="s">
        <v>330</v>
      </c>
      <c r="E343" s="23">
        <v>0</v>
      </c>
      <c r="F343" s="24">
        <v>0</v>
      </c>
      <c r="G343" s="20">
        <v>0</v>
      </c>
      <c r="H343" s="20">
        <v>0</v>
      </c>
      <c r="I343" s="20">
        <v>0</v>
      </c>
      <c r="J343" s="25">
        <v>45931.451631944445</v>
      </c>
      <c r="K343" t="e">
        <f>INDEX('رموز سريعة'!B:B,MATCH(A343,'رموز سريعة'!A:A,0),1)</f>
        <v>#N/A</v>
      </c>
      <c r="L343" t="e">
        <f t="shared" si="12"/>
        <v>#N/A</v>
      </c>
    </row>
    <row r="344" spans="1:12">
      <c r="A344" t="s">
        <v>722</v>
      </c>
      <c r="B344">
        <v>926.61</v>
      </c>
      <c r="C344">
        <v>0</v>
      </c>
      <c r="D344" t="s">
        <v>330</v>
      </c>
      <c r="E344">
        <v>92660998.400000006</v>
      </c>
      <c r="F344">
        <v>100000</v>
      </c>
      <c r="G344">
        <v>926.61</v>
      </c>
      <c r="H344">
        <v>926.61</v>
      </c>
      <c r="I344">
        <v>926.61</v>
      </c>
      <c r="J344">
        <v>45048</v>
      </c>
      <c r="K344" t="e">
        <f>INDEX('رموز سريعة'!B:B,MATCH(A344,'رموز سريعة'!A:A,0),1)</f>
        <v>#N/A</v>
      </c>
      <c r="L344" t="e">
        <f t="shared" si="12"/>
        <v>#N/A</v>
      </c>
    </row>
    <row r="345" spans="1:12">
      <c r="A345" s="26" t="s">
        <v>722</v>
      </c>
      <c r="B345" s="30">
        <v>880.34</v>
      </c>
      <c r="C345" s="28">
        <v>0</v>
      </c>
      <c r="D345" s="29" t="s">
        <v>330</v>
      </c>
      <c r="E345" s="30">
        <v>5282054144</v>
      </c>
      <c r="F345" s="31">
        <v>6000000</v>
      </c>
      <c r="G345" s="27">
        <v>880.34</v>
      </c>
      <c r="H345" s="30">
        <v>880.34</v>
      </c>
      <c r="I345" s="27">
        <v>880.34</v>
      </c>
      <c r="J345" s="32">
        <v>45090</v>
      </c>
      <c r="K345" t="e">
        <f>INDEX('رموز سريعة'!B:B,MATCH(A345,'رموز سريعة'!A:A,0),1)</f>
        <v>#N/A</v>
      </c>
      <c r="L345" t="e">
        <f t="shared" si="12"/>
        <v>#N/A</v>
      </c>
    </row>
    <row r="346" spans="1:12">
      <c r="A346" s="19" t="s">
        <v>722</v>
      </c>
      <c r="B346" s="20">
        <v>1</v>
      </c>
      <c r="C346" s="21">
        <v>0</v>
      </c>
      <c r="D346" s="33" t="s">
        <v>330</v>
      </c>
      <c r="E346" s="23">
        <v>84622778</v>
      </c>
      <c r="F346" s="24">
        <v>85000000</v>
      </c>
      <c r="G346" s="20">
        <v>0.99</v>
      </c>
      <c r="H346" s="20">
        <v>1</v>
      </c>
      <c r="I346" s="20">
        <v>1</v>
      </c>
      <c r="J346" s="25">
        <v>45602.440972222219</v>
      </c>
      <c r="K346" t="e">
        <f>INDEX('رموز سريعة'!B:B,MATCH(A346,'رموز سريعة'!A:A,0),1)</f>
        <v>#N/A</v>
      </c>
      <c r="L346" t="e">
        <f t="shared" si="12"/>
        <v>#N/A</v>
      </c>
    </row>
    <row r="347" spans="1:12">
      <c r="A347" s="19" t="s">
        <v>722</v>
      </c>
      <c r="B347" s="20">
        <v>1</v>
      </c>
      <c r="C347" s="21">
        <v>0</v>
      </c>
      <c r="D347" s="33" t="s">
        <v>330</v>
      </c>
      <c r="E347" s="23">
        <v>160084732.19999999</v>
      </c>
      <c r="F347" s="24">
        <v>160725000</v>
      </c>
      <c r="G347" s="20">
        <v>1</v>
      </c>
      <c r="H347" s="20">
        <v>1</v>
      </c>
      <c r="I347" s="20">
        <v>1</v>
      </c>
      <c r="J347" s="25">
        <v>45785.460127314815</v>
      </c>
      <c r="K347" t="e">
        <f>INDEX('رموز سريعة'!B:B,MATCH(A347,'رموز سريعة'!A:A,0),1)</f>
        <v>#N/A</v>
      </c>
      <c r="L347" t="e">
        <f t="shared" si="12"/>
        <v>#N/A</v>
      </c>
    </row>
    <row r="348" spans="1:12">
      <c r="A348" s="26" t="s">
        <v>722</v>
      </c>
      <c r="B348" s="30">
        <v>0.99</v>
      </c>
      <c r="C348" s="28">
        <v>0</v>
      </c>
      <c r="D348" s="29" t="s">
        <v>330</v>
      </c>
      <c r="E348" s="30">
        <v>457772845.86000001</v>
      </c>
      <c r="F348" s="31">
        <v>462175000</v>
      </c>
      <c r="G348" s="30">
        <v>0.99</v>
      </c>
      <c r="H348" s="30">
        <v>0.99</v>
      </c>
      <c r="I348" s="30">
        <v>0.99</v>
      </c>
      <c r="J348" s="32">
        <v>45798.463090277779</v>
      </c>
      <c r="K348" t="e">
        <f>INDEX('رموز سريعة'!B:B,MATCH(A348,'رموز سريعة'!A:A,0),1)</f>
        <v>#N/A</v>
      </c>
      <c r="L348" t="e">
        <f t="shared" si="12"/>
        <v>#N/A</v>
      </c>
    </row>
    <row r="349" spans="1:12">
      <c r="A349" s="26" t="s">
        <v>722</v>
      </c>
      <c r="B349" s="27">
        <v>0.98</v>
      </c>
      <c r="C349" s="28">
        <v>0</v>
      </c>
      <c r="D349" s="29" t="s">
        <v>330</v>
      </c>
      <c r="E349" s="30">
        <v>342456968.39999998</v>
      </c>
      <c r="F349" s="31">
        <v>349575000</v>
      </c>
      <c r="G349" s="27">
        <v>0.98</v>
      </c>
      <c r="H349" s="27">
        <v>0.99</v>
      </c>
      <c r="I349" s="27">
        <v>0.98</v>
      </c>
      <c r="J349" s="32">
        <v>45798.454212962963</v>
      </c>
      <c r="K349" t="e">
        <f>INDEX('رموز سريعة'!B:B,MATCH(A349,'رموز سريعة'!A:A,0),1)</f>
        <v>#N/A</v>
      </c>
      <c r="L349" t="e">
        <f t="shared" si="12"/>
        <v>#N/A</v>
      </c>
    </row>
    <row r="350" spans="1:12">
      <c r="A350" t="s">
        <v>722</v>
      </c>
      <c r="B350">
        <v>1026.29</v>
      </c>
      <c r="C350">
        <v>0</v>
      </c>
      <c r="D350" t="s">
        <v>330</v>
      </c>
      <c r="E350">
        <v>41051530854.400002</v>
      </c>
      <c r="F350">
        <v>40000000</v>
      </c>
      <c r="G350">
        <v>1026.29</v>
      </c>
      <c r="H350">
        <v>1026.29</v>
      </c>
      <c r="I350">
        <v>1026.29</v>
      </c>
      <c r="J350">
        <v>45699.486539351848</v>
      </c>
      <c r="K350" t="e">
        <f>INDEX('رموز سريعة'!B:B,MATCH(A350,'رموز سريعة'!A:A,0),1)</f>
        <v>#N/A</v>
      </c>
      <c r="L350" t="e">
        <f t="shared" si="12"/>
        <v>#N/A</v>
      </c>
    </row>
    <row r="351" spans="1:12">
      <c r="A351" t="s">
        <v>722</v>
      </c>
      <c r="B351">
        <v>0.83</v>
      </c>
      <c r="C351">
        <v>0</v>
      </c>
      <c r="D351" t="s">
        <v>330</v>
      </c>
      <c r="E351">
        <v>125224499.2</v>
      </c>
      <c r="F351">
        <v>150000000</v>
      </c>
      <c r="G351">
        <v>0.83</v>
      </c>
      <c r="H351">
        <v>0.83</v>
      </c>
      <c r="I351">
        <v>0.83</v>
      </c>
      <c r="J351">
        <v>45798.379050925927</v>
      </c>
      <c r="K351" t="e">
        <f>INDEX('رموز سريعة'!B:B,MATCH(A351,'رموز سريعة'!A:A,0),1)</f>
        <v>#N/A</v>
      </c>
      <c r="L351" t="e">
        <f t="shared" si="12"/>
        <v>#N/A</v>
      </c>
    </row>
    <row r="352" spans="1:12">
      <c r="A352" s="26" t="s">
        <v>722</v>
      </c>
      <c r="B352" s="27">
        <v>0.82</v>
      </c>
      <c r="C352" s="28">
        <v>0</v>
      </c>
      <c r="D352" s="29" t="s">
        <v>330</v>
      </c>
      <c r="E352" s="30">
        <v>798285721.60000002</v>
      </c>
      <c r="F352" s="31">
        <v>970000000</v>
      </c>
      <c r="G352" s="27">
        <v>0.82</v>
      </c>
      <c r="H352" s="27">
        <v>0.82</v>
      </c>
      <c r="I352" s="27">
        <v>0.82</v>
      </c>
      <c r="J352" s="32">
        <v>45792.464016203703</v>
      </c>
      <c r="K352" t="e">
        <f>INDEX('رموز سريعة'!B:B,MATCH(A352,'رموز سريعة'!A:A,0),1)</f>
        <v>#N/A</v>
      </c>
      <c r="L352" t="e">
        <f t="shared" ref="L352:L383" si="13">K352=K351</f>
        <v>#N/A</v>
      </c>
    </row>
    <row r="353" spans="1:12">
      <c r="A353" t="s">
        <v>722</v>
      </c>
      <c r="B353">
        <v>0.82</v>
      </c>
      <c r="C353">
        <v>0</v>
      </c>
      <c r="D353" t="s">
        <v>330</v>
      </c>
      <c r="E353">
        <v>215922683.19999999</v>
      </c>
      <c r="F353">
        <v>264475000</v>
      </c>
      <c r="G353">
        <v>0.82</v>
      </c>
      <c r="H353">
        <v>0.82</v>
      </c>
      <c r="I353">
        <v>0.82</v>
      </c>
      <c r="J353">
        <v>45798.42696759259</v>
      </c>
      <c r="K353" t="e">
        <f>INDEX('رموز سريعة'!B:B,MATCH(A353,'رموز سريعة'!A:A,0),1)</f>
        <v>#N/A</v>
      </c>
      <c r="L353" t="e">
        <f t="shared" si="13"/>
        <v>#N/A</v>
      </c>
    </row>
    <row r="354" spans="1:12">
      <c r="A354" t="s">
        <v>722</v>
      </c>
      <c r="B354">
        <v>1053.5</v>
      </c>
      <c r="C354">
        <v>0</v>
      </c>
      <c r="D354" t="s">
        <v>935</v>
      </c>
      <c r="E354">
        <v>7374513766.3999996</v>
      </c>
      <c r="F354">
        <v>7000000</v>
      </c>
      <c r="G354">
        <v>1053.57</v>
      </c>
      <c r="H354">
        <v>1053.57</v>
      </c>
      <c r="I354">
        <v>1053.5</v>
      </c>
      <c r="J354">
        <v>45712.507349537038</v>
      </c>
      <c r="K354" t="e">
        <f>INDEX('رموز سريعة'!B:B,MATCH(A354,'رموز سريعة'!A:A,0),1)</f>
        <v>#N/A</v>
      </c>
      <c r="L354" t="e">
        <f t="shared" si="13"/>
        <v>#N/A</v>
      </c>
    </row>
    <row r="355" spans="1:12">
      <c r="A355" s="19" t="s">
        <v>722</v>
      </c>
      <c r="B355" s="20">
        <v>996.12</v>
      </c>
      <c r="C355" s="21">
        <v>0</v>
      </c>
      <c r="D355" s="22" t="s">
        <v>1047</v>
      </c>
      <c r="E355" s="23">
        <v>80394056499.199997</v>
      </c>
      <c r="F355" s="24">
        <v>80800000</v>
      </c>
      <c r="G355" s="20">
        <v>996.2</v>
      </c>
      <c r="H355" s="20">
        <v>996.73</v>
      </c>
      <c r="I355" s="20">
        <v>993.78</v>
      </c>
      <c r="J355" s="25">
        <v>45797.462962962964</v>
      </c>
      <c r="K355" t="e">
        <f>INDEX('رموز سريعة'!B:B,MATCH(A355,'رموز سريعة'!A:A,0),1)</f>
        <v>#N/A</v>
      </c>
      <c r="L355" t="e">
        <f t="shared" si="13"/>
        <v>#N/A</v>
      </c>
    </row>
    <row r="356" spans="1:12">
      <c r="A356" s="19" t="s">
        <v>722</v>
      </c>
      <c r="B356" s="20">
        <v>0.89</v>
      </c>
      <c r="C356" s="21">
        <v>-1E-4</v>
      </c>
      <c r="D356" s="22" t="s">
        <v>754</v>
      </c>
      <c r="E356" s="23">
        <v>278455255.60000002</v>
      </c>
      <c r="F356" s="24">
        <v>311625000</v>
      </c>
      <c r="G356" s="20">
        <v>0.89</v>
      </c>
      <c r="H356" s="20">
        <v>0.9</v>
      </c>
      <c r="I356" s="20">
        <v>0.89</v>
      </c>
      <c r="J356" s="25">
        <v>45797.429189814815</v>
      </c>
      <c r="K356" t="e">
        <f>INDEX('رموز سريعة'!B:B,MATCH(A356,'رموز سريعة'!A:A,0),1)</f>
        <v>#N/A</v>
      </c>
      <c r="L356" t="e">
        <f t="shared" si="13"/>
        <v>#N/A</v>
      </c>
    </row>
    <row r="357" spans="1:12">
      <c r="A357" t="s">
        <v>722</v>
      </c>
      <c r="B357">
        <v>0.8</v>
      </c>
      <c r="C357">
        <v>-1E-4</v>
      </c>
      <c r="D357" t="s">
        <v>754</v>
      </c>
      <c r="E357">
        <v>76574425.599999994</v>
      </c>
      <c r="F357">
        <v>95275000</v>
      </c>
      <c r="G357">
        <v>0.8</v>
      </c>
      <c r="H357">
        <v>0.8</v>
      </c>
      <c r="I357">
        <v>0.8</v>
      </c>
      <c r="J357">
        <v>45796.409907407404</v>
      </c>
      <c r="K357" t="e">
        <f>INDEX('رموز سريعة'!B:B,MATCH(A357,'رموز سريعة'!A:A,0),1)</f>
        <v>#N/A</v>
      </c>
      <c r="L357" t="e">
        <f t="shared" si="13"/>
        <v>#N/A</v>
      </c>
    </row>
    <row r="358" spans="1:12">
      <c r="A358" t="s">
        <v>722</v>
      </c>
      <c r="B358">
        <v>997.95</v>
      </c>
      <c r="C358">
        <v>-1E-4</v>
      </c>
      <c r="D358" t="s">
        <v>1087</v>
      </c>
      <c r="E358">
        <v>1796307763.2</v>
      </c>
      <c r="F358">
        <v>1800000</v>
      </c>
      <c r="G358">
        <v>998.71</v>
      </c>
      <c r="H358">
        <v>998.71</v>
      </c>
      <c r="I358">
        <v>997.95</v>
      </c>
      <c r="J358">
        <v>45776.414560185185</v>
      </c>
      <c r="K358" t="e">
        <f>INDEX('رموز سريعة'!B:B,MATCH(A358,'رموز سريعة'!A:A,0),1)</f>
        <v>#N/A</v>
      </c>
      <c r="L358" t="e">
        <f t="shared" si="13"/>
        <v>#N/A</v>
      </c>
    </row>
    <row r="359" spans="1:12">
      <c r="A359" s="26" t="s">
        <v>722</v>
      </c>
      <c r="B359" s="27">
        <v>0.89</v>
      </c>
      <c r="C359" s="28">
        <v>-1E-4</v>
      </c>
      <c r="D359" s="34" t="s">
        <v>754</v>
      </c>
      <c r="E359" s="30">
        <v>88632000</v>
      </c>
      <c r="F359" s="31">
        <v>100000000</v>
      </c>
      <c r="G359" s="27">
        <v>0.89</v>
      </c>
      <c r="H359" s="27">
        <v>0.89</v>
      </c>
      <c r="I359" s="27">
        <v>0.89</v>
      </c>
      <c r="J359" s="32">
        <v>45796.359803240739</v>
      </c>
      <c r="K359" t="e">
        <f>INDEX('رموز سريعة'!B:B,MATCH(A359,'رموز سريعة'!A:A,0),1)</f>
        <v>#N/A</v>
      </c>
      <c r="L359" t="e">
        <f t="shared" si="13"/>
        <v>#N/A</v>
      </c>
    </row>
    <row r="360" spans="1:12">
      <c r="A360" s="19" t="s">
        <v>722</v>
      </c>
      <c r="B360" s="23">
        <v>0.9</v>
      </c>
      <c r="C360" s="21">
        <v>-1E-4</v>
      </c>
      <c r="D360" s="20" t="s">
        <v>754</v>
      </c>
      <c r="E360" s="23">
        <v>101230272</v>
      </c>
      <c r="F360" s="20">
        <v>112025000</v>
      </c>
      <c r="G360" s="23">
        <v>0.91</v>
      </c>
      <c r="H360" s="23">
        <v>0.91</v>
      </c>
      <c r="I360" s="23">
        <v>0.9</v>
      </c>
      <c r="J360" s="25">
        <v>45798.415833333333</v>
      </c>
      <c r="K360" t="e">
        <f>INDEX('رموز سريعة'!B:B,MATCH(A360,'رموز سريعة'!A:A,0),1)</f>
        <v>#N/A</v>
      </c>
      <c r="L360" t="e">
        <f t="shared" si="13"/>
        <v>#N/A</v>
      </c>
    </row>
    <row r="361" spans="1:12">
      <c r="A361" s="26" t="s">
        <v>722</v>
      </c>
      <c r="B361" s="27">
        <v>1</v>
      </c>
      <c r="C361" s="28">
        <v>-1E-4</v>
      </c>
      <c r="D361" s="29" t="s">
        <v>754</v>
      </c>
      <c r="E361" s="30">
        <v>881667336.79999995</v>
      </c>
      <c r="F361" s="31">
        <v>885100000</v>
      </c>
      <c r="G361" s="27">
        <v>1</v>
      </c>
      <c r="H361" s="27">
        <v>1</v>
      </c>
      <c r="I361" s="27">
        <v>1</v>
      </c>
      <c r="J361" s="32">
        <v>45715.477847222224</v>
      </c>
      <c r="K361" t="e">
        <f>INDEX('رموز سريعة'!B:B,MATCH(A361,'رموز سريعة'!A:A,0),1)</f>
        <v>#N/A</v>
      </c>
      <c r="L361" t="e">
        <f t="shared" si="13"/>
        <v>#N/A</v>
      </c>
    </row>
    <row r="362" spans="1:12">
      <c r="A362" s="19" t="s">
        <v>722</v>
      </c>
      <c r="B362" s="20">
        <v>0.89</v>
      </c>
      <c r="C362" s="21">
        <v>-2.0000000000000001E-4</v>
      </c>
      <c r="D362" s="22" t="s">
        <v>754</v>
      </c>
      <c r="E362" s="23">
        <v>200580</v>
      </c>
      <c r="F362" s="24">
        <v>225000</v>
      </c>
      <c r="G362" s="20">
        <v>0.89</v>
      </c>
      <c r="H362" s="20">
        <v>0.89</v>
      </c>
      <c r="I362" s="20">
        <v>0.89</v>
      </c>
      <c r="J362" s="25">
        <v>45796.403819444444</v>
      </c>
      <c r="K362" t="e">
        <f>INDEX('رموز سريعة'!B:B,MATCH(A362,'رموز سريعة'!A:A,0),1)</f>
        <v>#N/A</v>
      </c>
      <c r="L362" t="e">
        <f t="shared" si="13"/>
        <v>#N/A</v>
      </c>
    </row>
    <row r="363" spans="1:12">
      <c r="A363" s="19" t="s">
        <v>722</v>
      </c>
      <c r="B363" s="20">
        <v>990.91</v>
      </c>
      <c r="C363" s="21">
        <v>-2.0000000000000001E-4</v>
      </c>
      <c r="D363" s="33" t="s">
        <v>1106</v>
      </c>
      <c r="E363" s="23">
        <v>340333544857.59998</v>
      </c>
      <c r="F363" s="24">
        <v>343000000</v>
      </c>
      <c r="G363" s="20">
        <v>992.73</v>
      </c>
      <c r="H363" s="20">
        <v>994.06</v>
      </c>
      <c r="I363" s="20">
        <v>990.91</v>
      </c>
      <c r="J363" s="25">
        <v>45797.416770833333</v>
      </c>
      <c r="K363" t="e">
        <f>INDEX('رموز سريعة'!B:B,MATCH(A363,'رموز سريعة'!A:A,0),1)</f>
        <v>#N/A</v>
      </c>
      <c r="L363" t="e">
        <f t="shared" si="13"/>
        <v>#N/A</v>
      </c>
    </row>
    <row r="364" spans="1:12">
      <c r="A364" t="s">
        <v>722</v>
      </c>
      <c r="B364">
        <v>0.81</v>
      </c>
      <c r="C364">
        <v>-2.9999999999999997E-4</v>
      </c>
      <c r="D364" t="s">
        <v>754</v>
      </c>
      <c r="E364">
        <v>264033.25</v>
      </c>
      <c r="F364">
        <v>325000</v>
      </c>
      <c r="G364">
        <v>0.81</v>
      </c>
      <c r="H364">
        <v>0.81</v>
      </c>
      <c r="I364">
        <v>0.81</v>
      </c>
      <c r="J364">
        <v>45790.339097222219</v>
      </c>
      <c r="K364" t="e">
        <f>INDEX('رموز سريعة'!B:B,MATCH(A364,'رموز سريعة'!A:A,0),1)</f>
        <v>#N/A</v>
      </c>
      <c r="L364" t="e">
        <f t="shared" si="13"/>
        <v>#N/A</v>
      </c>
    </row>
    <row r="365" spans="1:12">
      <c r="A365" s="26" t="s">
        <v>722</v>
      </c>
      <c r="B365" s="27">
        <v>0.83</v>
      </c>
      <c r="C365" s="28">
        <v>-2.9999999999999997E-4</v>
      </c>
      <c r="D365" s="34" t="s">
        <v>754</v>
      </c>
      <c r="E365" s="30">
        <v>367131526.55000001</v>
      </c>
      <c r="F365" s="31">
        <v>440825000</v>
      </c>
      <c r="G365" s="27">
        <v>0.84</v>
      </c>
      <c r="H365" s="27">
        <v>0.84</v>
      </c>
      <c r="I365" s="27">
        <v>0.83</v>
      </c>
      <c r="J365" s="32">
        <v>45797.454328703701</v>
      </c>
      <c r="K365" t="e">
        <f>INDEX('رموز سريعة'!B:B,MATCH(A365,'رموز سريعة'!A:A,0),1)</f>
        <v>#N/A</v>
      </c>
      <c r="L365" t="e">
        <f t="shared" si="13"/>
        <v>#N/A</v>
      </c>
    </row>
    <row r="366" spans="1:12">
      <c r="A366" s="26" t="s">
        <v>722</v>
      </c>
      <c r="B366" s="27">
        <v>1023</v>
      </c>
      <c r="C366" s="28">
        <v>-2.9999999999999997E-4</v>
      </c>
      <c r="D366" s="34" t="s">
        <v>1088</v>
      </c>
      <c r="E366" s="30">
        <v>198427790540.79999</v>
      </c>
      <c r="F366" s="31">
        <v>194000000</v>
      </c>
      <c r="G366" s="27">
        <v>1026.5</v>
      </c>
      <c r="H366" s="27">
        <v>1026.5</v>
      </c>
      <c r="I366" s="27">
        <v>1022.64</v>
      </c>
      <c r="J366" s="32">
        <v>45764.439837962964</v>
      </c>
      <c r="K366" t="e">
        <f>INDEX('رموز سريعة'!B:B,MATCH(A366,'رموز سريعة'!A:A,0),1)</f>
        <v>#N/A</v>
      </c>
      <c r="L366" t="e">
        <f t="shared" si="13"/>
        <v>#N/A</v>
      </c>
    </row>
    <row r="367" spans="1:12">
      <c r="A367" s="19" t="s">
        <v>722</v>
      </c>
      <c r="B367" s="20">
        <v>992.76</v>
      </c>
      <c r="C367" s="21">
        <v>-4.0000000000000002E-4</v>
      </c>
      <c r="D367" s="22" t="s">
        <v>1046</v>
      </c>
      <c r="E367" s="23">
        <v>1096160411852.8</v>
      </c>
      <c r="F367" s="24">
        <v>1104900000</v>
      </c>
      <c r="G367" s="20">
        <v>996.27</v>
      </c>
      <c r="H367" s="20">
        <v>992.8</v>
      </c>
      <c r="I367" s="20">
        <v>991.27</v>
      </c>
      <c r="J367" s="25">
        <v>45713.406076388892</v>
      </c>
      <c r="K367" t="e">
        <f>INDEX('رموز سريعة'!B:B,MATCH(A367,'رموز سريعة'!A:A,0),1)</f>
        <v>#N/A</v>
      </c>
      <c r="L367" t="e">
        <f t="shared" si="13"/>
        <v>#N/A</v>
      </c>
    </row>
    <row r="368" spans="1:12">
      <c r="A368" s="19" t="s">
        <v>722</v>
      </c>
      <c r="B368" s="23">
        <v>1001.97</v>
      </c>
      <c r="C368" s="21">
        <v>-8.9999999999999998E-4</v>
      </c>
      <c r="D368" s="22" t="s">
        <v>1031</v>
      </c>
      <c r="E368" s="23">
        <v>148291387392</v>
      </c>
      <c r="F368" s="24">
        <v>148000000</v>
      </c>
      <c r="G368" s="20">
        <v>1011.06</v>
      </c>
      <c r="H368" s="23">
        <v>1001.97</v>
      </c>
      <c r="I368" s="20">
        <v>1001.97</v>
      </c>
      <c r="J368" s="25">
        <v>45686.453310185185</v>
      </c>
      <c r="K368" t="e">
        <f>INDEX('رموز سريعة'!B:B,MATCH(A368,'رموز سريعة'!A:A,0),1)</f>
        <v>#N/A</v>
      </c>
      <c r="L368" t="e">
        <f t="shared" si="13"/>
        <v>#N/A</v>
      </c>
    </row>
    <row r="369" spans="1:12">
      <c r="A369" t="s">
        <v>722</v>
      </c>
      <c r="B369">
        <v>0.87</v>
      </c>
      <c r="C369">
        <v>-1.2999999999999999E-3</v>
      </c>
      <c r="D369" t="s">
        <v>753</v>
      </c>
      <c r="E369">
        <v>281967923.19999999</v>
      </c>
      <c r="F369">
        <v>324075000</v>
      </c>
      <c r="G369">
        <v>0.88</v>
      </c>
      <c r="H369">
        <v>0.88</v>
      </c>
      <c r="I369">
        <v>0.87</v>
      </c>
      <c r="J369">
        <v>45797.442314814813</v>
      </c>
      <c r="K369" t="e">
        <f>INDEX('رموز سريعة'!B:B,MATCH(A369,'رموز سريعة'!A:A,0),1)</f>
        <v>#N/A</v>
      </c>
      <c r="L369" t="e">
        <f t="shared" si="13"/>
        <v>#N/A</v>
      </c>
    </row>
    <row r="370" spans="1:12">
      <c r="A370" s="19" t="s">
        <v>722</v>
      </c>
      <c r="B370" s="20">
        <v>0.87</v>
      </c>
      <c r="C370" s="21">
        <v>-1.6000000000000001E-3</v>
      </c>
      <c r="D370" s="20" t="s">
        <v>753</v>
      </c>
      <c r="E370" s="23">
        <v>36251494.399999999</v>
      </c>
      <c r="F370" s="24">
        <v>41500000</v>
      </c>
      <c r="G370" s="20">
        <v>0.89</v>
      </c>
      <c r="H370" s="20">
        <v>0.89</v>
      </c>
      <c r="I370" s="20">
        <v>0.87</v>
      </c>
      <c r="J370" s="25">
        <v>45798.416689814818</v>
      </c>
      <c r="K370" t="e">
        <f>INDEX('رموز سريعة'!B:B,MATCH(A370,'رموز سريعة'!A:A,0),1)</f>
        <v>#N/A</v>
      </c>
      <c r="L370" t="e">
        <f t="shared" si="13"/>
        <v>#N/A</v>
      </c>
    </row>
    <row r="371" spans="1:12">
      <c r="A371" s="19" t="s">
        <v>722</v>
      </c>
      <c r="B371" s="20">
        <v>0.82</v>
      </c>
      <c r="C371" s="21">
        <v>-1.8E-3</v>
      </c>
      <c r="D371" s="22" t="s">
        <v>753</v>
      </c>
      <c r="E371" s="23">
        <v>157669732.80000001</v>
      </c>
      <c r="F371" s="24">
        <v>192625000</v>
      </c>
      <c r="G371" s="20">
        <v>0.83</v>
      </c>
      <c r="H371" s="20">
        <v>0.83</v>
      </c>
      <c r="I371" s="20">
        <v>0.82</v>
      </c>
      <c r="J371" s="25">
        <v>45790.462280092594</v>
      </c>
      <c r="K371" t="e">
        <f>INDEX('رموز سريعة'!B:B,MATCH(A371,'رموز سريعة'!A:A,0),1)</f>
        <v>#N/A</v>
      </c>
      <c r="L371" t="e">
        <f t="shared" si="13"/>
        <v>#N/A</v>
      </c>
    </row>
    <row r="372" spans="1:12">
      <c r="A372" s="26" t="s">
        <v>722</v>
      </c>
      <c r="B372" s="27">
        <v>1024.29</v>
      </c>
      <c r="C372" s="28">
        <v>-2E-3</v>
      </c>
      <c r="D372" s="27" t="s">
        <v>1071</v>
      </c>
      <c r="E372" s="30">
        <v>23254396108.799999</v>
      </c>
      <c r="F372" s="31">
        <v>22600000</v>
      </c>
      <c r="G372" s="27">
        <v>1045.76</v>
      </c>
      <c r="H372" s="27">
        <v>1045.76</v>
      </c>
      <c r="I372" s="27">
        <v>1024.29</v>
      </c>
      <c r="J372" s="32">
        <v>45741.466921296298</v>
      </c>
      <c r="K372" t="e">
        <f>INDEX('رموز سريعة'!B:B,MATCH(A372,'رموز سريعة'!A:A,0),1)</f>
        <v>#N/A</v>
      </c>
      <c r="L372" t="e">
        <f t="shared" si="13"/>
        <v>#N/A</v>
      </c>
    </row>
    <row r="373" spans="1:12">
      <c r="A373" s="26" t="s">
        <v>722</v>
      </c>
      <c r="B373" s="27">
        <v>999.05</v>
      </c>
      <c r="C373" s="28">
        <v>-2.3999999999999998E-3</v>
      </c>
      <c r="D373" s="29" t="s">
        <v>1107</v>
      </c>
      <c r="E373" s="30">
        <v>21190275891.200001</v>
      </c>
      <c r="F373" s="31">
        <v>21200000</v>
      </c>
      <c r="G373" s="27">
        <v>1024.03</v>
      </c>
      <c r="H373" s="27">
        <v>1024.03</v>
      </c>
      <c r="I373" s="27">
        <v>999.05</v>
      </c>
      <c r="J373" s="32">
        <v>45797.467499999999</v>
      </c>
      <c r="K373" t="e">
        <f>INDEX('رموز سريعة'!B:B,MATCH(A373,'رموز سريعة'!A:A,0),1)</f>
        <v>#N/A</v>
      </c>
      <c r="L373" t="e">
        <f t="shared" si="13"/>
        <v>#N/A</v>
      </c>
    </row>
    <row r="374" spans="1:12">
      <c r="A374" s="26" t="s">
        <v>722</v>
      </c>
      <c r="B374" s="27">
        <v>0.82</v>
      </c>
      <c r="C374" s="28">
        <v>-2.7000000000000001E-3</v>
      </c>
      <c r="D374" s="27" t="s">
        <v>374</v>
      </c>
      <c r="E374" s="30">
        <v>552642.75</v>
      </c>
      <c r="F374" s="31">
        <v>675000</v>
      </c>
      <c r="G374" s="27">
        <v>0.84</v>
      </c>
      <c r="H374" s="27">
        <v>0.84</v>
      </c>
      <c r="I374" s="27">
        <v>0.82</v>
      </c>
      <c r="J374" s="32">
        <v>45791.404999999999</v>
      </c>
      <c r="K374" t="e">
        <f>INDEX('رموز سريعة'!B:B,MATCH(A374,'رموز سريعة'!A:A,0),1)</f>
        <v>#N/A</v>
      </c>
      <c r="L374" t="e">
        <f t="shared" si="13"/>
        <v>#N/A</v>
      </c>
    </row>
    <row r="375" spans="1:12">
      <c r="A375" t="s">
        <v>1178</v>
      </c>
      <c r="B375">
        <v>10.73</v>
      </c>
      <c r="C375">
        <v>-2.8E-3</v>
      </c>
      <c r="D375" t="s">
        <v>389</v>
      </c>
      <c r="E375">
        <v>212749.3</v>
      </c>
      <c r="F375">
        <v>19904</v>
      </c>
      <c r="G375">
        <v>10.71</v>
      </c>
      <c r="H375">
        <v>10.8</v>
      </c>
      <c r="I375">
        <v>10.64</v>
      </c>
      <c r="J375">
        <v>46163.391134259262</v>
      </c>
      <c r="K375" t="e">
        <f>INDEX('رموز سريعة'!B:B,MATCH(A375,'رموز سريعة'!A:A,0),1)</f>
        <v>#N/A</v>
      </c>
      <c r="L375" t="e">
        <f t="shared" si="13"/>
        <v>#N/A</v>
      </c>
    </row>
    <row r="376" spans="1:12">
      <c r="A376" s="19" t="s">
        <v>722</v>
      </c>
      <c r="B376" s="20">
        <v>1035.54</v>
      </c>
      <c r="C376" s="21">
        <v>-2.8999999999999998E-3</v>
      </c>
      <c r="D376" s="22" t="s">
        <v>1089</v>
      </c>
      <c r="E376" s="23">
        <v>14394038681.6</v>
      </c>
      <c r="F376" s="24">
        <v>13900000</v>
      </c>
      <c r="G376" s="20">
        <v>1066.6500000000001</v>
      </c>
      <c r="H376" s="20">
        <v>1066.6500000000001</v>
      </c>
      <c r="I376" s="20">
        <v>1035.54</v>
      </c>
      <c r="J376" s="25">
        <v>45770.453530092593</v>
      </c>
      <c r="K376" t="e">
        <f>INDEX('رموز سريعة'!B:B,MATCH(A376,'رموز سريعة'!A:A,0),1)</f>
        <v>#N/A</v>
      </c>
      <c r="L376" t="e">
        <f t="shared" si="13"/>
        <v>#N/A</v>
      </c>
    </row>
    <row r="377" spans="1:12">
      <c r="A377" t="s">
        <v>722</v>
      </c>
      <c r="B377">
        <v>933.38</v>
      </c>
      <c r="C377">
        <v>-6.4000000000000003E-3</v>
      </c>
      <c r="D377" t="s">
        <v>1032</v>
      </c>
      <c r="E377">
        <v>933379072</v>
      </c>
      <c r="F377">
        <v>1000000</v>
      </c>
      <c r="G377">
        <v>997.16</v>
      </c>
      <c r="H377">
        <v>933.38</v>
      </c>
      <c r="I377">
        <v>933.38</v>
      </c>
      <c r="J377">
        <v>44776.432268518518</v>
      </c>
      <c r="K377" t="e">
        <f>INDEX('رموز سريعة'!B:B,MATCH(A377,'رموز سريعة'!A:A,0),1)</f>
        <v>#N/A</v>
      </c>
      <c r="L377" t="e">
        <f t="shared" si="13"/>
        <v>#N/A</v>
      </c>
    </row>
    <row r="378" spans="1:12">
      <c r="A378" s="19" t="s">
        <v>722</v>
      </c>
      <c r="B378" s="23">
        <v>1097.3</v>
      </c>
      <c r="C378" s="21">
        <v>-0.01</v>
      </c>
      <c r="D378" s="22" t="s">
        <v>1108</v>
      </c>
      <c r="E378" s="23">
        <v>4187002214.4000001</v>
      </c>
      <c r="F378" s="24">
        <v>3855000</v>
      </c>
      <c r="G378" s="23">
        <v>1219.72</v>
      </c>
      <c r="H378" s="23">
        <v>1219.72</v>
      </c>
      <c r="I378" s="23">
        <v>1004.67</v>
      </c>
      <c r="J378" s="25">
        <v>45796.401342592595</v>
      </c>
      <c r="K378" t="e">
        <f>INDEX('رموز سريعة'!B:B,MATCH(A378,'رموز سريعة'!A:A,0),1)</f>
        <v>#N/A</v>
      </c>
      <c r="L378" t="e">
        <f t="shared" si="13"/>
        <v>#N/A</v>
      </c>
    </row>
    <row r="379" spans="1:12">
      <c r="A379" s="26" t="s">
        <v>317</v>
      </c>
      <c r="B379" s="27">
        <v>60.5</v>
      </c>
      <c r="C379" s="28">
        <v>-1.01E-2</v>
      </c>
      <c r="D379" s="29" t="s">
        <v>1199</v>
      </c>
      <c r="E379" s="30">
        <v>1192253.75</v>
      </c>
      <c r="F379" s="31">
        <v>19855</v>
      </c>
      <c r="G379" s="27">
        <v>59.79</v>
      </c>
      <c r="H379" s="27">
        <v>60.75</v>
      </c>
      <c r="I379" s="27">
        <v>59.51</v>
      </c>
      <c r="J379" s="32">
        <v>46163.391504629632</v>
      </c>
      <c r="K379" t="e">
        <f>INDEX('رموز سريعة'!B:B,MATCH(A379,'رموز سريعة'!A:A,0),1)</f>
        <v>#N/A</v>
      </c>
      <c r="L379" t="e">
        <f t="shared" si="13"/>
        <v>#N/A</v>
      </c>
    </row>
    <row r="380" spans="1:12">
      <c r="A380" s="26" t="s">
        <v>1161</v>
      </c>
      <c r="B380" s="30">
        <v>0.85</v>
      </c>
      <c r="C380" s="28">
        <v>-1.0500000000000001E-2</v>
      </c>
      <c r="D380" s="29" t="s">
        <v>753</v>
      </c>
      <c r="E380" s="30">
        <v>1108164.75</v>
      </c>
      <c r="F380" s="31">
        <v>1301420</v>
      </c>
      <c r="G380" s="30">
        <v>0.86</v>
      </c>
      <c r="H380" s="30">
        <v>0.86</v>
      </c>
      <c r="I380" s="30">
        <v>0.85</v>
      </c>
      <c r="J380" s="32">
        <v>46163.388506944444</v>
      </c>
      <c r="K380" t="e">
        <f>INDEX('رموز سريعة'!B:B,MATCH(A380,'رموز سريعة'!A:A,0),1)</f>
        <v>#N/A</v>
      </c>
      <c r="L380" t="e">
        <f t="shared" si="13"/>
        <v>#N/A</v>
      </c>
    </row>
    <row r="381" spans="1:12">
      <c r="A381" s="26" t="s">
        <v>665</v>
      </c>
      <c r="B381" s="27">
        <v>39.799999999999997</v>
      </c>
      <c r="C381" s="28">
        <v>-1.17E-2</v>
      </c>
      <c r="D381" s="29" t="s">
        <v>755</v>
      </c>
      <c r="E381" s="27">
        <v>49750000</v>
      </c>
      <c r="F381" s="27">
        <v>1250000</v>
      </c>
      <c r="G381" s="27">
        <v>40.270000000000003</v>
      </c>
      <c r="H381" s="27">
        <v>39.799999999999997</v>
      </c>
      <c r="I381" s="27">
        <v>39.799999999999997</v>
      </c>
      <c r="J381" s="32">
        <v>45552.448993055557</v>
      </c>
      <c r="K381" t="e">
        <f>INDEX('رموز سريعة'!B:B,MATCH(A381,'رموز سريعة'!A:A,0),1)</f>
        <v>#N/A</v>
      </c>
      <c r="L381" t="e">
        <f t="shared" si="13"/>
        <v>#N/A</v>
      </c>
    </row>
    <row r="382" spans="1:12">
      <c r="A382" s="19" t="s">
        <v>1128</v>
      </c>
      <c r="B382" s="20">
        <v>9.66</v>
      </c>
      <c r="C382" s="21">
        <v>-1.24E-2</v>
      </c>
      <c r="D382" s="22" t="s">
        <v>1198</v>
      </c>
      <c r="E382" s="23">
        <v>898834.31</v>
      </c>
      <c r="F382" s="24">
        <v>93631</v>
      </c>
      <c r="G382" s="20">
        <v>9.6999999999999993</v>
      </c>
      <c r="H382" s="20">
        <v>9.85</v>
      </c>
      <c r="I382" s="20">
        <v>9.5</v>
      </c>
      <c r="J382" s="25">
        <v>46163.383680555555</v>
      </c>
      <c r="K382" t="e">
        <f>INDEX('رموز سريعة'!B:B,MATCH(A382,'رموز سريعة'!A:A,0),1)</f>
        <v>#N/A</v>
      </c>
      <c r="L382" t="e">
        <f t="shared" si="13"/>
        <v>#N/A</v>
      </c>
    </row>
    <row r="383" spans="1:12">
      <c r="A383" t="s">
        <v>1132</v>
      </c>
      <c r="B383">
        <v>25.26</v>
      </c>
      <c r="C383">
        <v>-1.5100000000000001E-2</v>
      </c>
      <c r="D383" t="s">
        <v>1219</v>
      </c>
      <c r="E383">
        <v>906441.31</v>
      </c>
      <c r="F383">
        <v>35483</v>
      </c>
      <c r="G383">
        <v>25.89</v>
      </c>
      <c r="H383">
        <v>26.79</v>
      </c>
      <c r="I383">
        <v>25.14</v>
      </c>
      <c r="J383">
        <v>46163.388379629629</v>
      </c>
      <c r="K383" t="e">
        <f>INDEX('رموز سريعة'!B:B,MATCH(A383,'رموز سريعة'!A:A,0),1)</f>
        <v>#N/A</v>
      </c>
      <c r="L383" t="e">
        <f t="shared" si="13"/>
        <v>#N/A</v>
      </c>
    </row>
    <row r="384" spans="1:12">
      <c r="A384" s="19" t="s">
        <v>1133</v>
      </c>
      <c r="B384" s="20">
        <v>2.5099999999999998</v>
      </c>
      <c r="C384" s="21">
        <v>-1.9900000000000001E-2</v>
      </c>
      <c r="D384" s="22" t="s">
        <v>1169</v>
      </c>
      <c r="E384" s="23">
        <v>521286.75</v>
      </c>
      <c r="F384" s="24">
        <v>211484</v>
      </c>
      <c r="G384" s="20">
        <v>2.5099999999999998</v>
      </c>
      <c r="H384" s="20">
        <v>2.54</v>
      </c>
      <c r="I384" s="20">
        <v>2.4500000000000002</v>
      </c>
      <c r="J384" s="25">
        <v>46163.386145833334</v>
      </c>
      <c r="K384" t="e">
        <f>INDEX('رموز سريعة'!B:B,MATCH(A384,'رموز سريعة'!A:A,0),1)</f>
        <v>#N/A</v>
      </c>
      <c r="L384" t="e">
        <f t="shared" ref="L384:L415" si="14">K384=K383</f>
        <v>#N/A</v>
      </c>
    </row>
    <row r="385" spans="1:12">
      <c r="A385" t="s">
        <v>722</v>
      </c>
      <c r="B385">
        <v>0.1</v>
      </c>
      <c r="C385">
        <v>-0.09</v>
      </c>
      <c r="D385" t="s">
        <v>828</v>
      </c>
      <c r="E385">
        <v>48079011.200000003</v>
      </c>
      <c r="F385">
        <v>482600000</v>
      </c>
      <c r="G385">
        <v>1</v>
      </c>
      <c r="H385">
        <v>1</v>
      </c>
      <c r="I385">
        <v>0.1</v>
      </c>
      <c r="J385">
        <v>45610.48</v>
      </c>
      <c r="K385" t="e">
        <f>INDEX('رموز سريعة'!B:B,MATCH(A385,'رموز سريعة'!A:A,0),1)</f>
        <v>#N/A</v>
      </c>
      <c r="L385" t="e">
        <f t="shared" si="14"/>
        <v>#N/A</v>
      </c>
    </row>
    <row r="386" spans="1:12">
      <c r="A386" s="19" t="s">
        <v>722</v>
      </c>
      <c r="B386" s="20">
        <v>100.28</v>
      </c>
      <c r="C386" s="21">
        <v>-0.09</v>
      </c>
      <c r="D386" s="22" t="s">
        <v>1033</v>
      </c>
      <c r="E386" s="23">
        <v>37532865728</v>
      </c>
      <c r="F386" s="24">
        <v>373100000</v>
      </c>
      <c r="G386" s="20">
        <v>1002.42</v>
      </c>
      <c r="H386" s="20">
        <v>1100.68</v>
      </c>
      <c r="I386" s="20">
        <v>1001.45</v>
      </c>
      <c r="J386" s="25">
        <v>45552.378784722219</v>
      </c>
      <c r="K386" t="e">
        <f>INDEX('رموز سريعة'!B:B,MATCH(A386,'رموز سريعة'!A:A,0),1)</f>
        <v>#N/A</v>
      </c>
      <c r="L386" t="e">
        <f t="shared" si="14"/>
        <v>#N/A</v>
      </c>
    </row>
    <row r="387" spans="1:12">
      <c r="A387" s="19" t="s">
        <v>1129</v>
      </c>
      <c r="B387" s="20">
        <v>18</v>
      </c>
      <c r="C387" s="21">
        <v>-9.8599999999999993E-2</v>
      </c>
      <c r="D387" s="20" t="s">
        <v>1279</v>
      </c>
      <c r="E387" s="23">
        <v>46702.57</v>
      </c>
      <c r="F387" s="24">
        <v>2598</v>
      </c>
      <c r="G387" s="20">
        <v>19.97</v>
      </c>
      <c r="H387" s="20">
        <v>19</v>
      </c>
      <c r="I387" s="20">
        <v>17</v>
      </c>
      <c r="J387" s="25">
        <v>46163.389872685184</v>
      </c>
      <c r="K387" t="e">
        <f>INDEX('رموز سريعة'!B:B,MATCH(A387,'رموز سريعة'!A:A,0),1)</f>
        <v>#N/A</v>
      </c>
      <c r="L387" t="e">
        <f t="shared" si="14"/>
        <v>#N/A</v>
      </c>
    </row>
    <row r="388" spans="1:12">
      <c r="K388" t="e">
        <f>INDEX('رموز سريعة'!B:B,MATCH(A388,'رموز سريعة'!A:A,0),1)</f>
        <v>#N/A</v>
      </c>
      <c r="L388" t="e">
        <f t="shared" si="14"/>
        <v>#N/A</v>
      </c>
    </row>
    <row r="389" spans="1:12">
      <c r="K389" t="e">
        <f>INDEX('رموز سريعة'!B:B,MATCH(A389,'رموز سريعة'!A:A,0),1)</f>
        <v>#N/A</v>
      </c>
      <c r="L389" t="e">
        <f t="shared" si="14"/>
        <v>#N/A</v>
      </c>
    </row>
    <row r="390" spans="1:12">
      <c r="K390" t="e">
        <f>INDEX('رموز سريعة'!B:B,MATCH(A390,'رموز سريعة'!A:A,0),1)</f>
        <v>#N/A</v>
      </c>
      <c r="L390" t="e">
        <f t="shared" si="14"/>
        <v>#N/A</v>
      </c>
    </row>
    <row r="391" spans="1:12">
      <c r="K391" t="e">
        <f>INDEX('رموز سريعة'!B:B,MATCH(A391,'رموز سريعة'!A:A,0),1)</f>
        <v>#N/A</v>
      </c>
      <c r="L391" t="e">
        <f t="shared" si="14"/>
        <v>#N/A</v>
      </c>
    </row>
    <row r="392" spans="1:12">
      <c r="K392" t="e">
        <f>INDEX('رموز سريعة'!B:B,MATCH(A392,'رموز سريعة'!A:A,0),1)</f>
        <v>#N/A</v>
      </c>
      <c r="L392" t="e">
        <f t="shared" si="14"/>
        <v>#N/A</v>
      </c>
    </row>
    <row r="393" spans="1:12">
      <c r="K393" t="e">
        <f>INDEX('رموز سريعة'!B:B,MATCH(A393,'رموز سريعة'!A:A,0),1)</f>
        <v>#N/A</v>
      </c>
      <c r="L393" t="e">
        <f t="shared" si="14"/>
        <v>#N/A</v>
      </c>
    </row>
    <row r="394" spans="1:12">
      <c r="K394" t="e">
        <f>INDEX('رموز سريعة'!B:B,MATCH(A394,'رموز سريعة'!A:A,0),1)</f>
        <v>#N/A</v>
      </c>
      <c r="L394" t="e">
        <f t="shared" si="14"/>
        <v>#N/A</v>
      </c>
    </row>
    <row r="395" spans="1:12">
      <c r="K395" t="e">
        <f>INDEX('رموز سريعة'!B:B,MATCH(A395,'رموز سريعة'!A:A,0),1)</f>
        <v>#N/A</v>
      </c>
      <c r="L395" t="e">
        <f t="shared" si="14"/>
        <v>#N/A</v>
      </c>
    </row>
    <row r="396" spans="1:12">
      <c r="K396" t="e">
        <f>INDEX('رموز سريعة'!B:B,MATCH(A396,'رموز سريعة'!A:A,0),1)</f>
        <v>#N/A</v>
      </c>
      <c r="L396" t="e">
        <f t="shared" si="14"/>
        <v>#N/A</v>
      </c>
    </row>
    <row r="397" spans="1:12">
      <c r="K397" t="e">
        <f>INDEX('رموز سريعة'!B:B,MATCH(A397,'رموز سريعة'!A:A,0),1)</f>
        <v>#N/A</v>
      </c>
      <c r="L397" t="e">
        <f t="shared" si="14"/>
        <v>#N/A</v>
      </c>
    </row>
    <row r="398" spans="1:12">
      <c r="K398" t="e">
        <f>INDEX('رموز سريعة'!B:B,MATCH(A398,'رموز سريعة'!A:A,0),1)</f>
        <v>#N/A</v>
      </c>
      <c r="L398" t="e">
        <f t="shared" si="14"/>
        <v>#N/A</v>
      </c>
    </row>
    <row r="399" spans="1:12">
      <c r="K399" t="e">
        <f>INDEX('رموز سريعة'!B:B,MATCH(A399,'رموز سريعة'!A:A,0),1)</f>
        <v>#N/A</v>
      </c>
      <c r="L399" t="e">
        <f t="shared" si="14"/>
        <v>#N/A</v>
      </c>
    </row>
    <row r="400" spans="1:12">
      <c r="K400" t="e">
        <f>INDEX('رموز سريعة'!B:B,MATCH(A400,'رموز سريعة'!A:A,0),1)</f>
        <v>#N/A</v>
      </c>
      <c r="L400" t="e">
        <f t="shared" si="14"/>
        <v>#N/A</v>
      </c>
    </row>
    <row r="401" spans="11:12">
      <c r="K401" t="e">
        <f>INDEX('رموز سريعة'!B:B,MATCH(A401,'رموز سريعة'!A:A,0),1)</f>
        <v>#N/A</v>
      </c>
      <c r="L401" t="e">
        <f t="shared" si="14"/>
        <v>#N/A</v>
      </c>
    </row>
    <row r="402" spans="11:12">
      <c r="K402" t="e">
        <f>INDEX('رموز سريعة'!B:B,MATCH(A402,'رموز سريعة'!A:A,0),1)</f>
        <v>#N/A</v>
      </c>
      <c r="L402" t="e">
        <f t="shared" si="14"/>
        <v>#N/A</v>
      </c>
    </row>
    <row r="403" spans="11:12">
      <c r="K403" t="e">
        <f>INDEX('رموز سريعة'!B:B,MATCH(A403,'رموز سريعة'!A:A,0),1)</f>
        <v>#N/A</v>
      </c>
      <c r="L403" t="e">
        <f t="shared" si="14"/>
        <v>#N/A</v>
      </c>
    </row>
    <row r="404" spans="11:12">
      <c r="K404" t="e">
        <f>INDEX('رموز سريعة'!B:B,MATCH(A404,'رموز سريعة'!A:A,0),1)</f>
        <v>#N/A</v>
      </c>
      <c r="L404" t="e">
        <f t="shared" si="14"/>
        <v>#N/A</v>
      </c>
    </row>
    <row r="405" spans="11:12">
      <c r="K405" t="e">
        <f>INDEX('رموز سريعة'!B:B,MATCH(A405,'رموز سريعة'!A:A,0),1)</f>
        <v>#N/A</v>
      </c>
      <c r="L405" t="e">
        <f t="shared" si="14"/>
        <v>#N/A</v>
      </c>
    </row>
    <row r="406" spans="11:12">
      <c r="K406" t="e">
        <f>INDEX('رموز سريعة'!B:B,MATCH(A406,'رموز سريعة'!A:A,0),1)</f>
        <v>#N/A</v>
      </c>
      <c r="L406" t="e">
        <f t="shared" si="14"/>
        <v>#N/A</v>
      </c>
    </row>
    <row r="407" spans="11:12">
      <c r="K407" t="e">
        <f>INDEX('رموز سريعة'!B:B,MATCH(A407,'رموز سريعة'!A:A,0),1)</f>
        <v>#N/A</v>
      </c>
      <c r="L407" t="e">
        <f t="shared" si="14"/>
        <v>#N/A</v>
      </c>
    </row>
    <row r="408" spans="11:12">
      <c r="K408" t="e">
        <f>INDEX('رموز سريعة'!B:B,MATCH(A408,'رموز سريعة'!A:A,0),1)</f>
        <v>#N/A</v>
      </c>
      <c r="L408" t="e">
        <f t="shared" si="14"/>
        <v>#N/A</v>
      </c>
    </row>
    <row r="409" spans="11:12">
      <c r="K409" t="e">
        <f>INDEX('رموز سريعة'!B:B,MATCH(A409,'رموز سريعة'!A:A,0),1)</f>
        <v>#N/A</v>
      </c>
      <c r="L409" t="e">
        <f t="shared" si="14"/>
        <v>#N/A</v>
      </c>
    </row>
    <row r="410" spans="11:12">
      <c r="K410" t="e">
        <f>INDEX('رموز سريعة'!B:B,MATCH(A410,'رموز سريعة'!A:A,0),1)</f>
        <v>#N/A</v>
      </c>
      <c r="L410" t="e">
        <f t="shared" si="14"/>
        <v>#N/A</v>
      </c>
    </row>
    <row r="411" spans="11:12">
      <c r="K411" t="e">
        <f>INDEX('رموز سريعة'!B:B,MATCH(A411,'رموز سريعة'!A:A,0),1)</f>
        <v>#N/A</v>
      </c>
      <c r="L411" t="e">
        <f t="shared" si="14"/>
        <v>#N/A</v>
      </c>
    </row>
    <row r="412" spans="11:12">
      <c r="K412" t="e">
        <f>INDEX('رموز سريعة'!B:B,MATCH(A412,'رموز سريعة'!A:A,0),1)</f>
        <v>#N/A</v>
      </c>
      <c r="L412" t="e">
        <f t="shared" si="14"/>
        <v>#N/A</v>
      </c>
    </row>
    <row r="413" spans="11:12">
      <c r="K413" t="e">
        <f>INDEX('رموز سريعة'!B:B,MATCH(A413,'رموز سريعة'!A:A,0),1)</f>
        <v>#N/A</v>
      </c>
      <c r="L413" t="e">
        <f t="shared" si="14"/>
        <v>#N/A</v>
      </c>
    </row>
    <row r="414" spans="11:12">
      <c r="K414" t="e">
        <f>INDEX('رموز سريعة'!B:B,MATCH(A414,'رموز سريعة'!A:A,0),1)</f>
        <v>#N/A</v>
      </c>
      <c r="L414" t="e">
        <f t="shared" si="14"/>
        <v>#N/A</v>
      </c>
    </row>
    <row r="415" spans="11:12">
      <c r="K415" t="e">
        <f>INDEX('رموز سريعة'!B:B,MATCH(A415,'رموز سريعة'!A:A,0),1)</f>
        <v>#N/A</v>
      </c>
      <c r="L415" t="e">
        <f t="shared" si="14"/>
        <v>#N/A</v>
      </c>
    </row>
    <row r="416" spans="11:12">
      <c r="K416" t="e">
        <f>INDEX('رموز سريعة'!B:B,MATCH(A416,'رموز سريعة'!A:A,0),1)</f>
        <v>#N/A</v>
      </c>
      <c r="L416" t="e">
        <f t="shared" ref="L416" si="15">K416=K415</f>
        <v>#N/A</v>
      </c>
    </row>
  </sheetData>
  <sortState xmlns:xlrd2="http://schemas.microsoft.com/office/spreadsheetml/2017/richdata2" ref="A2:L416">
    <sortCondition ref="K2:K416"/>
  </sortState>
  <hyperlinks>
    <hyperlink ref="O1" r:id="rId1" xr:uid="{C4675A1B-E015-B14D-AD01-2603E520FE7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085D-6ED5-D14D-8480-59533A8A3ED1}">
  <dimension ref="A1:J437"/>
  <sheetViews>
    <sheetView topLeftCell="A369" zoomScaleNormal="60" zoomScaleSheetLayoutView="100" workbookViewId="0">
      <selection activeCell="A6" sqref="A6:J396"/>
    </sheetView>
  </sheetViews>
  <sheetFormatPr defaultRowHeight="14.4"/>
  <cols>
    <col min="1" max="1" width="34.44140625" customWidth="1"/>
    <col min="3" max="3" width="9.109375" bestFit="1" customWidth="1"/>
    <col min="5" max="5" width="19.33203125" bestFit="1" customWidth="1"/>
    <col min="6" max="6" width="13" bestFit="1" customWidth="1"/>
    <col min="10" max="10" width="16.21875" bestFit="1" customWidth="1"/>
  </cols>
  <sheetData>
    <row r="1" spans="1:10">
      <c r="A1" s="14"/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15" t="s">
        <v>861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30">
      <c r="A3" s="16" t="s">
        <v>862</v>
      </c>
      <c r="B3" s="14"/>
      <c r="C3" s="14"/>
      <c r="D3" s="14"/>
      <c r="E3" s="14"/>
      <c r="F3" s="14"/>
      <c r="G3" s="14"/>
      <c r="H3" s="14"/>
      <c r="I3" s="14"/>
      <c r="J3" s="14"/>
    </row>
    <row r="4" spans="1:10">
      <c r="A4" s="37" t="s">
        <v>863</v>
      </c>
      <c r="B4" s="14"/>
      <c r="C4" s="14"/>
      <c r="D4" s="14"/>
      <c r="E4" s="14"/>
      <c r="F4" s="14"/>
      <c r="G4" s="14"/>
      <c r="H4" s="14"/>
      <c r="I4" s="14"/>
      <c r="J4" s="14"/>
    </row>
    <row r="5" spans="1:10">
      <c r="A5" s="35" t="s">
        <v>302</v>
      </c>
      <c r="B5" s="36" t="s">
        <v>303</v>
      </c>
      <c r="C5" s="36" t="s">
        <v>304</v>
      </c>
      <c r="D5" s="36" t="s">
        <v>305</v>
      </c>
      <c r="E5" s="36" t="s">
        <v>306</v>
      </c>
      <c r="F5" s="36" t="s">
        <v>307</v>
      </c>
      <c r="G5" s="17" t="s">
        <v>308</v>
      </c>
      <c r="H5" s="17" t="s">
        <v>309</v>
      </c>
      <c r="I5" s="17" t="s">
        <v>310</v>
      </c>
      <c r="J5" s="18" t="s">
        <v>713</v>
      </c>
    </row>
    <row r="6" spans="1:10">
      <c r="A6" s="19" t="s">
        <v>631</v>
      </c>
      <c r="B6" s="20">
        <v>19</v>
      </c>
      <c r="C6" s="21">
        <v>17.4466</v>
      </c>
      <c r="D6" s="22" t="s">
        <v>657</v>
      </c>
      <c r="E6" s="23">
        <v>56872.18</v>
      </c>
      <c r="F6" s="24">
        <v>25567</v>
      </c>
      <c r="G6" s="20">
        <v>1.03</v>
      </c>
      <c r="H6" s="20">
        <v>24.99</v>
      </c>
      <c r="I6" s="20">
        <v>1.04</v>
      </c>
      <c r="J6" s="25">
        <v>45231.436967592592</v>
      </c>
    </row>
    <row r="7" spans="1:10">
      <c r="A7" s="26" t="s">
        <v>663</v>
      </c>
      <c r="B7" s="27">
        <v>15</v>
      </c>
      <c r="C7" s="28">
        <v>14</v>
      </c>
      <c r="D7" s="29" t="s">
        <v>757</v>
      </c>
      <c r="E7" s="30">
        <v>1254948.8799999999</v>
      </c>
      <c r="F7" s="31">
        <v>783073</v>
      </c>
      <c r="G7" s="27">
        <v>1</v>
      </c>
      <c r="H7" s="27">
        <v>16</v>
      </c>
      <c r="I7" s="27">
        <v>0.25</v>
      </c>
      <c r="J7" s="32">
        <v>45581.395798611113</v>
      </c>
    </row>
    <row r="8" spans="1:10">
      <c r="A8" s="19" t="s">
        <v>677</v>
      </c>
      <c r="B8" s="20">
        <v>13.65</v>
      </c>
      <c r="C8" s="21">
        <v>0.19950000000000001</v>
      </c>
      <c r="D8" s="22" t="s">
        <v>1154</v>
      </c>
      <c r="E8" s="20">
        <v>546</v>
      </c>
      <c r="F8" s="20">
        <v>40</v>
      </c>
      <c r="G8" s="20">
        <v>11.38</v>
      </c>
      <c r="H8" s="20">
        <v>13.65</v>
      </c>
      <c r="I8" s="20">
        <v>13.65</v>
      </c>
      <c r="J8" s="25">
        <v>46141.395185185182</v>
      </c>
    </row>
    <row r="9" spans="1:10">
      <c r="A9" s="26" t="s">
        <v>667</v>
      </c>
      <c r="B9" s="27">
        <v>2.5299999999999998</v>
      </c>
      <c r="C9" s="28">
        <v>0.1991</v>
      </c>
      <c r="D9" s="29" t="s">
        <v>1158</v>
      </c>
      <c r="E9" s="27">
        <v>139.15</v>
      </c>
      <c r="F9" s="27">
        <v>55</v>
      </c>
      <c r="G9" s="27">
        <v>2.11</v>
      </c>
      <c r="H9" s="27">
        <v>2.5299999999999998</v>
      </c>
      <c r="I9" s="27">
        <v>2.5299999999999998</v>
      </c>
      <c r="J9" s="32">
        <v>46139.465868055559</v>
      </c>
    </row>
    <row r="10" spans="1:10">
      <c r="A10" s="19" t="s">
        <v>1172</v>
      </c>
      <c r="B10" s="20">
        <v>24.25</v>
      </c>
      <c r="C10" s="21">
        <v>0.1542</v>
      </c>
      <c r="D10" s="22" t="s">
        <v>1173</v>
      </c>
      <c r="E10" s="23">
        <v>19595.599999999999</v>
      </c>
      <c r="F10" s="20">
        <v>919</v>
      </c>
      <c r="G10" s="20">
        <v>12.75</v>
      </c>
      <c r="H10" s="20">
        <v>24.25</v>
      </c>
      <c r="I10" s="20">
        <v>12.75</v>
      </c>
      <c r="J10" s="25">
        <v>40192</v>
      </c>
    </row>
    <row r="11" spans="1:10">
      <c r="A11" s="26" t="s">
        <v>311</v>
      </c>
      <c r="B11" s="27">
        <v>3.85</v>
      </c>
      <c r="C11" s="28">
        <v>0.1159</v>
      </c>
      <c r="D11" s="29" t="s">
        <v>1195</v>
      </c>
      <c r="E11" s="30">
        <v>3128381.5</v>
      </c>
      <c r="F11" s="31">
        <v>808634</v>
      </c>
      <c r="G11" s="27">
        <v>3.45</v>
      </c>
      <c r="H11" s="27">
        <v>3.95</v>
      </c>
      <c r="I11" s="27">
        <v>3.44</v>
      </c>
      <c r="J11" s="32">
        <v>46162.395543981482</v>
      </c>
    </row>
    <row r="12" spans="1:10">
      <c r="A12" s="19" t="s">
        <v>670</v>
      </c>
      <c r="B12" s="20">
        <v>9.94</v>
      </c>
      <c r="C12" s="21">
        <v>0.10199999999999999</v>
      </c>
      <c r="D12" s="22" t="s">
        <v>1207</v>
      </c>
      <c r="E12" s="23">
        <v>61113.91</v>
      </c>
      <c r="F12" s="24">
        <v>6415</v>
      </c>
      <c r="G12" s="20">
        <v>9.02</v>
      </c>
      <c r="H12" s="20">
        <v>9.94</v>
      </c>
      <c r="I12" s="20">
        <v>9.2100000000000009</v>
      </c>
      <c r="J12" s="25">
        <v>46162.394606481481</v>
      </c>
    </row>
    <row r="13" spans="1:10">
      <c r="A13" s="26" t="s">
        <v>453</v>
      </c>
      <c r="B13" s="27">
        <v>4.0199999999999996</v>
      </c>
      <c r="C13" s="28">
        <v>9.8400000000000001E-2</v>
      </c>
      <c r="D13" s="29" t="s">
        <v>1221</v>
      </c>
      <c r="E13" s="30">
        <v>1838094.38</v>
      </c>
      <c r="F13" s="31">
        <v>459649</v>
      </c>
      <c r="G13" s="27">
        <v>3.66</v>
      </c>
      <c r="H13" s="27">
        <v>4.0199999999999996</v>
      </c>
      <c r="I13" s="27">
        <v>3.66</v>
      </c>
      <c r="J13" s="32">
        <v>46163.388287037036</v>
      </c>
    </row>
    <row r="14" spans="1:10">
      <c r="A14" s="19" t="s">
        <v>367</v>
      </c>
      <c r="B14" s="20">
        <v>0.12</v>
      </c>
      <c r="C14" s="21">
        <v>9.0899999999999995E-2</v>
      </c>
      <c r="D14" s="22" t="s">
        <v>336</v>
      </c>
      <c r="E14" s="23">
        <v>16065.68</v>
      </c>
      <c r="F14" s="24">
        <v>133757</v>
      </c>
      <c r="G14" s="20">
        <v>0.11</v>
      </c>
      <c r="H14" s="20">
        <v>0.13</v>
      </c>
      <c r="I14" s="20">
        <v>0.11</v>
      </c>
      <c r="J14" s="25">
        <v>46162.395787037036</v>
      </c>
    </row>
    <row r="15" spans="1:10">
      <c r="A15" s="26" t="s">
        <v>376</v>
      </c>
      <c r="B15" s="27">
        <v>44.4</v>
      </c>
      <c r="C15" s="28">
        <v>7.2700000000000001E-2</v>
      </c>
      <c r="D15" s="29" t="s">
        <v>1222</v>
      </c>
      <c r="E15" s="30">
        <v>42877340</v>
      </c>
      <c r="F15" s="31">
        <v>973187</v>
      </c>
      <c r="G15" s="27">
        <v>41.52</v>
      </c>
      <c r="H15" s="27">
        <v>45.9</v>
      </c>
      <c r="I15" s="27">
        <v>41.01</v>
      </c>
      <c r="J15" s="32">
        <v>46163.391597222224</v>
      </c>
    </row>
    <row r="16" spans="1:10">
      <c r="A16" s="19" t="s">
        <v>679</v>
      </c>
      <c r="B16" s="23">
        <v>1068.92</v>
      </c>
      <c r="C16" s="21">
        <v>6.8900000000000003E-2</v>
      </c>
      <c r="D16" s="22" t="s">
        <v>680</v>
      </c>
      <c r="E16" s="23">
        <v>281412416</v>
      </c>
      <c r="F16" s="24">
        <v>263268</v>
      </c>
      <c r="G16" s="23">
        <v>1000</v>
      </c>
      <c r="H16" s="23">
        <v>1068.92</v>
      </c>
      <c r="I16" s="23">
        <v>1068.92</v>
      </c>
      <c r="J16" s="25">
        <v>45139.293900462966</v>
      </c>
    </row>
    <row r="17" spans="1:10">
      <c r="A17" s="26" t="s">
        <v>679</v>
      </c>
      <c r="B17" s="30">
        <v>1068.08</v>
      </c>
      <c r="C17" s="28">
        <v>6.8099999999999994E-2</v>
      </c>
      <c r="D17" s="29" t="s">
        <v>681</v>
      </c>
      <c r="E17" s="30">
        <v>326736352</v>
      </c>
      <c r="F17" s="31">
        <v>305910</v>
      </c>
      <c r="G17" s="30">
        <v>1000</v>
      </c>
      <c r="H17" s="30">
        <v>1068.08</v>
      </c>
      <c r="I17" s="30">
        <v>1068.08</v>
      </c>
      <c r="J17" s="32">
        <v>45139.293900462966</v>
      </c>
    </row>
    <row r="18" spans="1:10">
      <c r="A18" s="19" t="s">
        <v>679</v>
      </c>
      <c r="B18" s="23">
        <v>1067.3499999999999</v>
      </c>
      <c r="C18" s="21">
        <v>6.7400000000000002E-2</v>
      </c>
      <c r="D18" s="22" t="s">
        <v>682</v>
      </c>
      <c r="E18" s="23">
        <v>188981792</v>
      </c>
      <c r="F18" s="24">
        <v>177057</v>
      </c>
      <c r="G18" s="23">
        <v>1000</v>
      </c>
      <c r="H18" s="23">
        <v>1067.3499999999999</v>
      </c>
      <c r="I18" s="23">
        <v>1067.3499999999999</v>
      </c>
      <c r="J18" s="25">
        <v>45139.293900462966</v>
      </c>
    </row>
    <row r="19" spans="1:10">
      <c r="A19" s="26" t="s">
        <v>679</v>
      </c>
      <c r="B19" s="30">
        <v>1066.5</v>
      </c>
      <c r="C19" s="28">
        <v>6.6500000000000004E-2</v>
      </c>
      <c r="D19" s="29" t="s">
        <v>683</v>
      </c>
      <c r="E19" s="30">
        <v>142364960</v>
      </c>
      <c r="F19" s="31">
        <v>133488</v>
      </c>
      <c r="G19" s="30">
        <v>1000</v>
      </c>
      <c r="H19" s="30">
        <v>1066.5</v>
      </c>
      <c r="I19" s="30">
        <v>1066.5</v>
      </c>
      <c r="J19" s="32">
        <v>45139.293900462966</v>
      </c>
    </row>
    <row r="20" spans="1:10">
      <c r="A20" s="19" t="s">
        <v>643</v>
      </c>
      <c r="B20" s="20">
        <v>85</v>
      </c>
      <c r="C20" s="21">
        <v>6.25E-2</v>
      </c>
      <c r="D20" s="22" t="s">
        <v>1202</v>
      </c>
      <c r="E20" s="23">
        <v>40145</v>
      </c>
      <c r="F20" s="20">
        <v>484</v>
      </c>
      <c r="G20" s="20">
        <v>80</v>
      </c>
      <c r="H20" s="20">
        <v>85</v>
      </c>
      <c r="I20" s="20">
        <v>80</v>
      </c>
      <c r="J20" s="25">
        <v>46162.389560185184</v>
      </c>
    </row>
    <row r="21" spans="1:10">
      <c r="A21" s="26" t="s">
        <v>439</v>
      </c>
      <c r="B21" s="27">
        <v>2.38</v>
      </c>
      <c r="C21" s="28">
        <v>5.2900000000000003E-2</v>
      </c>
      <c r="D21" s="29" t="s">
        <v>1223</v>
      </c>
      <c r="E21" s="30">
        <v>10855159</v>
      </c>
      <c r="F21" s="31">
        <v>4548390</v>
      </c>
      <c r="G21" s="27">
        <v>2.27</v>
      </c>
      <c r="H21" s="27">
        <v>2.4300000000000002</v>
      </c>
      <c r="I21" s="27">
        <v>2.3199999999999998</v>
      </c>
      <c r="J21" s="32">
        <v>46163.391192129631</v>
      </c>
    </row>
    <row r="22" spans="1:10">
      <c r="A22" s="19" t="s">
        <v>649</v>
      </c>
      <c r="B22" s="20">
        <v>1.48</v>
      </c>
      <c r="C22" s="21">
        <v>4.9599999999999998E-2</v>
      </c>
      <c r="D22" s="22" t="s">
        <v>1224</v>
      </c>
      <c r="E22" s="23">
        <v>23824.46</v>
      </c>
      <c r="F22" s="24">
        <v>16223</v>
      </c>
      <c r="G22" s="20">
        <v>1.41</v>
      </c>
      <c r="H22" s="20">
        <v>1.48</v>
      </c>
      <c r="I22" s="20">
        <v>1.42</v>
      </c>
      <c r="J22" s="25">
        <v>46163.390543981484</v>
      </c>
    </row>
    <row r="23" spans="1:10">
      <c r="A23" s="26" t="s">
        <v>662</v>
      </c>
      <c r="B23" s="27">
        <v>9.35</v>
      </c>
      <c r="C23" s="28">
        <v>4.9399999999999999E-2</v>
      </c>
      <c r="D23" s="29" t="s">
        <v>650</v>
      </c>
      <c r="E23" s="27">
        <v>916.3</v>
      </c>
      <c r="F23" s="27">
        <v>98</v>
      </c>
      <c r="G23" s="27">
        <v>9.35</v>
      </c>
      <c r="H23" s="27">
        <v>9.35</v>
      </c>
      <c r="I23" s="27">
        <v>9.35</v>
      </c>
      <c r="J23" s="32">
        <v>39545</v>
      </c>
    </row>
    <row r="24" spans="1:10">
      <c r="A24" s="19" t="s">
        <v>296</v>
      </c>
      <c r="B24" s="20">
        <v>13.14</v>
      </c>
      <c r="C24" s="21">
        <v>4.8599999999999997E-2</v>
      </c>
      <c r="D24" s="22" t="s">
        <v>1225</v>
      </c>
      <c r="E24" s="23">
        <v>4627621.5</v>
      </c>
      <c r="F24" s="24">
        <v>345933</v>
      </c>
      <c r="G24" s="20">
        <v>12.54</v>
      </c>
      <c r="H24" s="20">
        <v>13.99</v>
      </c>
      <c r="I24" s="20">
        <v>12.5</v>
      </c>
      <c r="J24" s="25">
        <v>46163.391261574077</v>
      </c>
    </row>
    <row r="25" spans="1:10">
      <c r="A25" s="26" t="s">
        <v>325</v>
      </c>
      <c r="B25" s="27">
        <v>3.53</v>
      </c>
      <c r="C25" s="28">
        <v>4.7500000000000001E-2</v>
      </c>
      <c r="D25" s="29" t="s">
        <v>1164</v>
      </c>
      <c r="E25" s="30">
        <v>42889.5</v>
      </c>
      <c r="F25" s="31">
        <v>12150</v>
      </c>
      <c r="G25" s="27">
        <v>3.37</v>
      </c>
      <c r="H25" s="27">
        <v>3.53</v>
      </c>
      <c r="I25" s="27">
        <v>3.53</v>
      </c>
      <c r="J25" s="32">
        <v>46156.32298611111</v>
      </c>
    </row>
    <row r="26" spans="1:10">
      <c r="A26" s="19" t="s">
        <v>432</v>
      </c>
      <c r="B26" s="20">
        <v>9.0299999999999994</v>
      </c>
      <c r="C26" s="21">
        <v>4.7199999999999999E-2</v>
      </c>
      <c r="D26" s="22" t="s">
        <v>1205</v>
      </c>
      <c r="E26" s="23">
        <v>39803.620000000003</v>
      </c>
      <c r="F26" s="24">
        <v>4429</v>
      </c>
      <c r="G26" s="20">
        <v>8.69</v>
      </c>
      <c r="H26" s="20">
        <v>9.19</v>
      </c>
      <c r="I26" s="20">
        <v>8.6999999999999993</v>
      </c>
      <c r="J26" s="25">
        <v>46163.384479166663</v>
      </c>
    </row>
    <row r="27" spans="1:10">
      <c r="A27" s="26" t="s">
        <v>356</v>
      </c>
      <c r="B27" s="27">
        <v>1.39</v>
      </c>
      <c r="C27" s="28">
        <v>4.5100000000000001E-2</v>
      </c>
      <c r="D27" s="29" t="s">
        <v>1163</v>
      </c>
      <c r="E27" s="30">
        <v>1009095.06</v>
      </c>
      <c r="F27" s="31">
        <v>726257</v>
      </c>
      <c r="G27" s="27">
        <v>1.33</v>
      </c>
      <c r="H27" s="27">
        <v>1.39</v>
      </c>
      <c r="I27" s="27">
        <v>1.33</v>
      </c>
      <c r="J27" s="32">
        <v>46163.383993055555</v>
      </c>
    </row>
    <row r="28" spans="1:10">
      <c r="A28" s="19" t="s">
        <v>214</v>
      </c>
      <c r="B28" s="20">
        <v>3.79</v>
      </c>
      <c r="C28" s="21">
        <v>4.1099999999999998E-2</v>
      </c>
      <c r="D28" s="22" t="s">
        <v>1226</v>
      </c>
      <c r="E28" s="23">
        <v>1638573.5</v>
      </c>
      <c r="F28" s="24">
        <v>441269</v>
      </c>
      <c r="G28" s="20">
        <v>3.65</v>
      </c>
      <c r="H28" s="20">
        <v>3.82</v>
      </c>
      <c r="I28" s="20">
        <v>3.47</v>
      </c>
      <c r="J28" s="25">
        <v>46163.391018518516</v>
      </c>
    </row>
    <row r="29" spans="1:10">
      <c r="A29" s="26" t="s">
        <v>402</v>
      </c>
      <c r="B29" s="27">
        <v>195</v>
      </c>
      <c r="C29" s="28">
        <v>3.6200000000000003E-2</v>
      </c>
      <c r="D29" s="29" t="s">
        <v>1227</v>
      </c>
      <c r="E29" s="30">
        <v>39191636</v>
      </c>
      <c r="F29" s="31">
        <v>199265</v>
      </c>
      <c r="G29" s="27">
        <v>188.07</v>
      </c>
      <c r="H29" s="27">
        <v>201</v>
      </c>
      <c r="I29" s="27">
        <v>188.55</v>
      </c>
      <c r="J29" s="32">
        <v>46163.391087962962</v>
      </c>
    </row>
    <row r="30" spans="1:10">
      <c r="A30" s="19" t="s">
        <v>1174</v>
      </c>
      <c r="B30" s="20">
        <v>14.28</v>
      </c>
      <c r="C30" s="21">
        <v>3.1800000000000002E-2</v>
      </c>
      <c r="D30" s="22" t="s">
        <v>650</v>
      </c>
      <c r="E30" s="23">
        <v>22327810</v>
      </c>
      <c r="F30" s="24">
        <v>1539286</v>
      </c>
      <c r="G30" s="20">
        <v>13.85</v>
      </c>
      <c r="H30" s="20">
        <v>15</v>
      </c>
      <c r="I30" s="20">
        <v>13.73</v>
      </c>
      <c r="J30" s="25">
        <v>46163.391238425924</v>
      </c>
    </row>
    <row r="31" spans="1:10">
      <c r="A31" s="26" t="s">
        <v>457</v>
      </c>
      <c r="B31" s="27">
        <v>75.099999999999994</v>
      </c>
      <c r="C31" s="28">
        <v>2.9000000000000001E-2</v>
      </c>
      <c r="D31" s="29" t="s">
        <v>1228</v>
      </c>
      <c r="E31" s="30">
        <v>17037628</v>
      </c>
      <c r="F31" s="31">
        <v>222641</v>
      </c>
      <c r="G31" s="27">
        <v>73.02</v>
      </c>
      <c r="H31" s="27">
        <v>79.87</v>
      </c>
      <c r="I31" s="27">
        <v>70.41</v>
      </c>
      <c r="J31" s="32">
        <v>46163.390439814815</v>
      </c>
    </row>
    <row r="32" spans="1:10">
      <c r="A32" s="19" t="s">
        <v>593</v>
      </c>
      <c r="B32" s="20">
        <v>11.3</v>
      </c>
      <c r="C32" s="21">
        <v>2.8899999999999999E-2</v>
      </c>
      <c r="D32" s="22" t="s">
        <v>1229</v>
      </c>
      <c r="E32" s="23">
        <v>3540713</v>
      </c>
      <c r="F32" s="24">
        <v>308733</v>
      </c>
      <c r="G32" s="20">
        <v>11.09</v>
      </c>
      <c r="H32" s="20">
        <v>11.8</v>
      </c>
      <c r="I32" s="20">
        <v>10.85</v>
      </c>
      <c r="J32" s="25">
        <v>46163.389988425923</v>
      </c>
    </row>
    <row r="33" spans="1:10">
      <c r="A33" s="26" t="s">
        <v>267</v>
      </c>
      <c r="B33" s="27">
        <v>24.4</v>
      </c>
      <c r="C33" s="28">
        <v>2.87E-2</v>
      </c>
      <c r="D33" s="29" t="s">
        <v>1105</v>
      </c>
      <c r="E33" s="30">
        <v>301785.25</v>
      </c>
      <c r="F33" s="31">
        <v>12561</v>
      </c>
      <c r="G33" s="27">
        <v>23.36</v>
      </c>
      <c r="H33" s="27">
        <v>24.48</v>
      </c>
      <c r="I33" s="27">
        <v>23.36</v>
      </c>
      <c r="J33" s="32">
        <v>46163.390474537038</v>
      </c>
    </row>
    <row r="34" spans="1:10">
      <c r="A34" s="19" t="s">
        <v>227</v>
      </c>
      <c r="B34" s="20">
        <v>104</v>
      </c>
      <c r="C34" s="21">
        <v>2.8500000000000001E-2</v>
      </c>
      <c r="D34" s="22" t="s">
        <v>1230</v>
      </c>
      <c r="E34" s="23">
        <v>25735212</v>
      </c>
      <c r="F34" s="24">
        <v>243715</v>
      </c>
      <c r="G34" s="20">
        <v>101.11</v>
      </c>
      <c r="H34" s="20">
        <v>109.99</v>
      </c>
      <c r="I34" s="20">
        <v>102</v>
      </c>
      <c r="J34" s="25">
        <v>46163.391597222224</v>
      </c>
    </row>
    <row r="35" spans="1:10">
      <c r="A35" s="26" t="s">
        <v>722</v>
      </c>
      <c r="B35" s="30">
        <v>1247.17</v>
      </c>
      <c r="C35" s="28">
        <v>2.81E-2</v>
      </c>
      <c r="D35" s="29" t="s">
        <v>1025</v>
      </c>
      <c r="E35" s="30">
        <v>124717170688</v>
      </c>
      <c r="F35" s="31">
        <v>100000000</v>
      </c>
      <c r="G35" s="27">
        <v>973.28</v>
      </c>
      <c r="H35" s="30">
        <v>1247.17</v>
      </c>
      <c r="I35" s="27">
        <v>973.28</v>
      </c>
      <c r="J35" s="32">
        <v>45404.381307870368</v>
      </c>
    </row>
    <row r="36" spans="1:10">
      <c r="A36" s="19" t="s">
        <v>1131</v>
      </c>
      <c r="B36" s="20">
        <v>4.88</v>
      </c>
      <c r="C36" s="21">
        <v>2.7400000000000001E-2</v>
      </c>
      <c r="D36" s="22" t="s">
        <v>651</v>
      </c>
      <c r="E36" s="23">
        <v>6939847.5</v>
      </c>
      <c r="F36" s="24">
        <v>1440243</v>
      </c>
      <c r="G36" s="20">
        <v>4.75</v>
      </c>
      <c r="H36" s="20">
        <v>4.8899999999999997</v>
      </c>
      <c r="I36" s="20">
        <v>4.72</v>
      </c>
      <c r="J36" s="25">
        <v>46163.391435185185</v>
      </c>
    </row>
    <row r="37" spans="1:10">
      <c r="A37" s="26" t="s">
        <v>194</v>
      </c>
      <c r="B37" s="27">
        <v>331.99</v>
      </c>
      <c r="C37" s="28">
        <v>2.6200000000000001E-2</v>
      </c>
      <c r="D37" s="29" t="s">
        <v>1231</v>
      </c>
      <c r="E37" s="30">
        <v>48553908</v>
      </c>
      <c r="F37" s="31">
        <v>147884</v>
      </c>
      <c r="G37" s="27">
        <v>323.51</v>
      </c>
      <c r="H37" s="27">
        <v>332</v>
      </c>
      <c r="I37" s="27">
        <v>324</v>
      </c>
      <c r="J37" s="32">
        <v>46163.391550925924</v>
      </c>
    </row>
    <row r="38" spans="1:10">
      <c r="A38" s="19" t="s">
        <v>665</v>
      </c>
      <c r="B38" s="20">
        <v>61.32</v>
      </c>
      <c r="C38" s="21">
        <v>2.6100000000000002E-2</v>
      </c>
      <c r="D38" s="22" t="s">
        <v>1034</v>
      </c>
      <c r="E38" s="23">
        <v>3372600</v>
      </c>
      <c r="F38" s="24">
        <v>55000</v>
      </c>
      <c r="G38" s="20">
        <v>59.76</v>
      </c>
      <c r="H38" s="20">
        <v>61.32</v>
      </c>
      <c r="I38" s="20">
        <v>61.32</v>
      </c>
      <c r="J38" s="25">
        <v>45712.491805555554</v>
      </c>
    </row>
    <row r="39" spans="1:10">
      <c r="A39" s="26" t="s">
        <v>722</v>
      </c>
      <c r="B39" s="30">
        <v>1033.67</v>
      </c>
      <c r="C39" s="28">
        <v>2.5999999999999999E-2</v>
      </c>
      <c r="D39" s="29" t="s">
        <v>1026</v>
      </c>
      <c r="E39" s="30">
        <v>900708119347.19995</v>
      </c>
      <c r="F39" s="31">
        <v>871380000</v>
      </c>
      <c r="G39" s="27">
        <v>820.22</v>
      </c>
      <c r="H39" s="30">
        <v>1033.67</v>
      </c>
      <c r="I39" s="30">
        <v>1033.6400000000001</v>
      </c>
      <c r="J39" s="32">
        <v>45166</v>
      </c>
    </row>
    <row r="40" spans="1:10">
      <c r="A40" s="19" t="s">
        <v>260</v>
      </c>
      <c r="B40" s="20">
        <v>34.549999999999997</v>
      </c>
      <c r="C40" s="21">
        <v>2.46E-2</v>
      </c>
      <c r="D40" s="22" t="s">
        <v>1232</v>
      </c>
      <c r="E40" s="23">
        <v>43926472</v>
      </c>
      <c r="F40" s="24">
        <v>1280234</v>
      </c>
      <c r="G40" s="20">
        <v>33.72</v>
      </c>
      <c r="H40" s="20">
        <v>34.67</v>
      </c>
      <c r="I40" s="20">
        <v>33.81</v>
      </c>
      <c r="J40" s="25">
        <v>46163.391412037039</v>
      </c>
    </row>
    <row r="41" spans="1:10">
      <c r="A41" s="26" t="s">
        <v>264</v>
      </c>
      <c r="B41" s="27">
        <v>22.1</v>
      </c>
      <c r="C41" s="28">
        <v>2.3099999999999999E-2</v>
      </c>
      <c r="D41" s="29" t="s">
        <v>1233</v>
      </c>
      <c r="E41" s="30">
        <v>11807971</v>
      </c>
      <c r="F41" s="31">
        <v>534108</v>
      </c>
      <c r="G41" s="27">
        <v>21.6</v>
      </c>
      <c r="H41" s="27">
        <v>22.7</v>
      </c>
      <c r="I41" s="27">
        <v>21.01</v>
      </c>
      <c r="J41" s="32">
        <v>46163.391446759262</v>
      </c>
    </row>
    <row r="42" spans="1:10">
      <c r="A42" s="19" t="s">
        <v>1130</v>
      </c>
      <c r="B42" s="20">
        <v>0.63</v>
      </c>
      <c r="C42" s="21">
        <v>2.29E-2</v>
      </c>
      <c r="D42" s="22" t="s">
        <v>336</v>
      </c>
      <c r="E42" s="23">
        <v>13191737</v>
      </c>
      <c r="F42" s="24">
        <v>20969188</v>
      </c>
      <c r="G42" s="20">
        <v>0.61</v>
      </c>
      <c r="H42" s="20">
        <v>0.64</v>
      </c>
      <c r="I42" s="20">
        <v>0.61</v>
      </c>
      <c r="J42" s="25">
        <v>46163.3903125</v>
      </c>
    </row>
    <row r="43" spans="1:10">
      <c r="A43" s="26" t="s">
        <v>204</v>
      </c>
      <c r="B43" s="27">
        <v>8.3800000000000008</v>
      </c>
      <c r="C43" s="28">
        <v>2.1999999999999999E-2</v>
      </c>
      <c r="D43" s="29" t="s">
        <v>1234</v>
      </c>
      <c r="E43" s="30">
        <v>15656420</v>
      </c>
      <c r="F43" s="31">
        <v>1869625</v>
      </c>
      <c r="G43" s="27">
        <v>8.1999999999999993</v>
      </c>
      <c r="H43" s="27">
        <v>8.49</v>
      </c>
      <c r="I43" s="27">
        <v>8.23</v>
      </c>
      <c r="J43" s="32">
        <v>46163.390243055554</v>
      </c>
    </row>
    <row r="44" spans="1:10">
      <c r="A44" s="19" t="s">
        <v>420</v>
      </c>
      <c r="B44" s="20">
        <v>2.33</v>
      </c>
      <c r="C44" s="21">
        <v>2.18E-2</v>
      </c>
      <c r="D44" s="22" t="s">
        <v>319</v>
      </c>
      <c r="E44" s="23">
        <v>4917548.5</v>
      </c>
      <c r="F44" s="24">
        <v>2113783</v>
      </c>
      <c r="G44" s="20">
        <v>2.29</v>
      </c>
      <c r="H44" s="20">
        <v>2.35</v>
      </c>
      <c r="I44" s="20">
        <v>2.31</v>
      </c>
      <c r="J44" s="25">
        <v>46163.389930555553</v>
      </c>
    </row>
    <row r="45" spans="1:10">
      <c r="A45" s="26" t="s">
        <v>386</v>
      </c>
      <c r="B45" s="27">
        <v>50</v>
      </c>
      <c r="C45" s="28">
        <v>2.0400000000000001E-2</v>
      </c>
      <c r="D45" s="29" t="s">
        <v>1208</v>
      </c>
      <c r="E45" s="30">
        <v>639850</v>
      </c>
      <c r="F45" s="31">
        <v>12797</v>
      </c>
      <c r="G45" s="27">
        <v>49</v>
      </c>
      <c r="H45" s="27">
        <v>50</v>
      </c>
      <c r="I45" s="27">
        <v>50</v>
      </c>
      <c r="J45" s="32">
        <v>46162.388449074075</v>
      </c>
    </row>
    <row r="46" spans="1:10">
      <c r="A46" s="19" t="s">
        <v>152</v>
      </c>
      <c r="B46" s="20">
        <v>24.7</v>
      </c>
      <c r="C46" s="21">
        <v>2.0199999999999999E-2</v>
      </c>
      <c r="D46" s="22" t="s">
        <v>1209</v>
      </c>
      <c r="E46" s="23">
        <v>2375030</v>
      </c>
      <c r="F46" s="24">
        <v>96425</v>
      </c>
      <c r="G46" s="20">
        <v>24.31</v>
      </c>
      <c r="H46" s="20">
        <v>24.81</v>
      </c>
      <c r="I46" s="20">
        <v>24.26</v>
      </c>
      <c r="J46" s="25">
        <v>46163.39</v>
      </c>
    </row>
    <row r="47" spans="1:10">
      <c r="A47" s="26" t="s">
        <v>1035</v>
      </c>
      <c r="B47" s="27">
        <v>102</v>
      </c>
      <c r="C47" s="28">
        <v>0.02</v>
      </c>
      <c r="D47" s="29" t="s">
        <v>1027</v>
      </c>
      <c r="E47" s="30">
        <v>5100000</v>
      </c>
      <c r="F47" s="31">
        <v>50000</v>
      </c>
      <c r="G47" s="27">
        <v>100</v>
      </c>
      <c r="H47" s="27">
        <v>102</v>
      </c>
      <c r="I47" s="27">
        <v>102</v>
      </c>
      <c r="J47" s="32">
        <v>45712.491608796299</v>
      </c>
    </row>
    <row r="48" spans="1:10">
      <c r="A48" s="19" t="s">
        <v>370</v>
      </c>
      <c r="B48" s="20">
        <v>24.92</v>
      </c>
      <c r="C48" s="21">
        <v>1.9699999999999999E-2</v>
      </c>
      <c r="D48" s="22" t="s">
        <v>1235</v>
      </c>
      <c r="E48" s="23">
        <v>18094118</v>
      </c>
      <c r="F48" s="24">
        <v>732282</v>
      </c>
      <c r="G48" s="20">
        <v>24.4</v>
      </c>
      <c r="H48" s="20">
        <v>25.08</v>
      </c>
      <c r="I48" s="20">
        <v>24.05</v>
      </c>
      <c r="J48" s="25">
        <v>46163.391504629632</v>
      </c>
    </row>
    <row r="49" spans="1:10">
      <c r="A49" s="49"/>
      <c r="B49" s="27">
        <v>101.95</v>
      </c>
      <c r="C49" s="28">
        <v>1.95E-2</v>
      </c>
      <c r="D49" s="29" t="s">
        <v>1036</v>
      </c>
      <c r="E49" s="30">
        <v>5505300</v>
      </c>
      <c r="F49" s="31">
        <v>54000</v>
      </c>
      <c r="G49" s="27">
        <v>100</v>
      </c>
      <c r="H49" s="27">
        <v>101.95</v>
      </c>
      <c r="I49" s="27">
        <v>101.95</v>
      </c>
      <c r="J49" s="32">
        <v>45712.491493055553</v>
      </c>
    </row>
    <row r="50" spans="1:10">
      <c r="A50" s="19" t="s">
        <v>354</v>
      </c>
      <c r="B50" s="20">
        <v>41.67</v>
      </c>
      <c r="C50" s="21">
        <v>1.9099999999999999E-2</v>
      </c>
      <c r="D50" s="22" t="s">
        <v>1236</v>
      </c>
      <c r="E50" s="23">
        <v>5440218</v>
      </c>
      <c r="F50" s="24">
        <v>132458</v>
      </c>
      <c r="G50" s="20">
        <v>40.81</v>
      </c>
      <c r="H50" s="20">
        <v>41.67</v>
      </c>
      <c r="I50" s="20">
        <v>40.61</v>
      </c>
      <c r="J50" s="25">
        <v>46163.391574074078</v>
      </c>
    </row>
    <row r="51" spans="1:10">
      <c r="A51" s="26" t="s">
        <v>369</v>
      </c>
      <c r="B51" s="27">
        <v>8.94</v>
      </c>
      <c r="C51" s="28">
        <v>1.8499999999999999E-2</v>
      </c>
      <c r="D51" s="29" t="s">
        <v>1164</v>
      </c>
      <c r="E51" s="30">
        <v>7023657</v>
      </c>
      <c r="F51" s="31">
        <v>799178</v>
      </c>
      <c r="G51" s="27">
        <v>8.67</v>
      </c>
      <c r="H51" s="27">
        <v>9</v>
      </c>
      <c r="I51" s="27">
        <v>8.6300000000000008</v>
      </c>
      <c r="J51" s="32">
        <v>46163.391377314816</v>
      </c>
    </row>
    <row r="52" spans="1:10">
      <c r="A52" s="19" t="s">
        <v>366</v>
      </c>
      <c r="B52" s="20">
        <v>12.63</v>
      </c>
      <c r="C52" s="21">
        <v>1.77E-2</v>
      </c>
      <c r="D52" s="22" t="s">
        <v>1237</v>
      </c>
      <c r="E52" s="23">
        <v>58223.360000000001</v>
      </c>
      <c r="F52" s="24">
        <v>4713</v>
      </c>
      <c r="G52" s="20">
        <v>12.41</v>
      </c>
      <c r="H52" s="20">
        <v>12.67</v>
      </c>
      <c r="I52" s="20">
        <v>12.32</v>
      </c>
      <c r="J52" s="25">
        <v>46163.37777777778</v>
      </c>
    </row>
    <row r="53" spans="1:10">
      <c r="A53" s="26" t="s">
        <v>443</v>
      </c>
      <c r="B53" s="27">
        <v>9.3000000000000007</v>
      </c>
      <c r="C53" s="28">
        <v>1.7500000000000002E-2</v>
      </c>
      <c r="D53" s="29" t="s">
        <v>1164</v>
      </c>
      <c r="E53" s="30">
        <v>63701720</v>
      </c>
      <c r="F53" s="31">
        <v>6821508</v>
      </c>
      <c r="G53" s="27">
        <v>9.15</v>
      </c>
      <c r="H53" s="27">
        <v>9.44</v>
      </c>
      <c r="I53" s="27">
        <v>9.2100000000000009</v>
      </c>
      <c r="J53" s="32">
        <v>46163.391192129631</v>
      </c>
    </row>
    <row r="54" spans="1:10">
      <c r="A54" s="19" t="s">
        <v>437</v>
      </c>
      <c r="B54" s="20">
        <v>10.43</v>
      </c>
      <c r="C54" s="21">
        <v>1.7399999999999999E-2</v>
      </c>
      <c r="D54" s="22" t="s">
        <v>1234</v>
      </c>
      <c r="E54" s="23">
        <v>4275836.5</v>
      </c>
      <c r="F54" s="24">
        <v>412039</v>
      </c>
      <c r="G54" s="20">
        <v>10.32</v>
      </c>
      <c r="H54" s="20">
        <v>10.6</v>
      </c>
      <c r="I54" s="20">
        <v>10.11</v>
      </c>
      <c r="J54" s="25">
        <v>46163.390983796293</v>
      </c>
    </row>
    <row r="55" spans="1:10">
      <c r="A55" s="26" t="s">
        <v>197</v>
      </c>
      <c r="B55" s="27">
        <v>14.13</v>
      </c>
      <c r="C55" s="28">
        <v>1.7299999999999999E-2</v>
      </c>
      <c r="D55" s="29" t="s">
        <v>1201</v>
      </c>
      <c r="E55" s="30">
        <v>48067224</v>
      </c>
      <c r="F55" s="31">
        <v>3427246</v>
      </c>
      <c r="G55" s="27">
        <v>13.9</v>
      </c>
      <c r="H55" s="27">
        <v>14.17</v>
      </c>
      <c r="I55" s="27">
        <v>13.83</v>
      </c>
      <c r="J55" s="32">
        <v>46163.390983796293</v>
      </c>
    </row>
    <row r="56" spans="1:10">
      <c r="A56" s="19" t="s">
        <v>382</v>
      </c>
      <c r="B56" s="20">
        <v>0.18</v>
      </c>
      <c r="C56" s="21">
        <v>1.6899999999999998E-2</v>
      </c>
      <c r="D56" s="20" t="s">
        <v>330</v>
      </c>
      <c r="E56" s="23">
        <v>115643.59</v>
      </c>
      <c r="F56" s="24">
        <v>648477</v>
      </c>
      <c r="G56" s="20">
        <v>0.18</v>
      </c>
      <c r="H56" s="20">
        <v>0.18</v>
      </c>
      <c r="I56" s="20">
        <v>0.18</v>
      </c>
      <c r="J56" s="25">
        <v>46163.387708333335</v>
      </c>
    </row>
    <row r="57" spans="1:10">
      <c r="A57" s="26" t="s">
        <v>188</v>
      </c>
      <c r="B57" s="27">
        <v>29.32</v>
      </c>
      <c r="C57" s="28">
        <v>1.6500000000000001E-2</v>
      </c>
      <c r="D57" s="29" t="s">
        <v>1235</v>
      </c>
      <c r="E57" s="30">
        <v>950285</v>
      </c>
      <c r="F57" s="31">
        <v>32427</v>
      </c>
      <c r="G57" s="27">
        <v>29.02</v>
      </c>
      <c r="H57" s="27">
        <v>29.68</v>
      </c>
      <c r="I57" s="27">
        <v>29.02</v>
      </c>
      <c r="J57" s="32">
        <v>46163.388240740744</v>
      </c>
    </row>
    <row r="58" spans="1:10">
      <c r="A58" s="19" t="s">
        <v>218</v>
      </c>
      <c r="B58" s="20">
        <v>52</v>
      </c>
      <c r="C58" s="21">
        <v>1.6500000000000001E-2</v>
      </c>
      <c r="D58" s="22" t="s">
        <v>1238</v>
      </c>
      <c r="E58" s="23">
        <v>890218.31</v>
      </c>
      <c r="F58" s="24">
        <v>17111</v>
      </c>
      <c r="G58" s="20">
        <v>51.4</v>
      </c>
      <c r="H58" s="20">
        <v>52.58</v>
      </c>
      <c r="I58" s="20">
        <v>51.51</v>
      </c>
      <c r="J58" s="25">
        <v>46163.372777777775</v>
      </c>
    </row>
    <row r="59" spans="1:10">
      <c r="A59" s="26" t="s">
        <v>318</v>
      </c>
      <c r="B59" s="27">
        <v>73.2</v>
      </c>
      <c r="C59" s="28">
        <v>1.6400000000000001E-2</v>
      </c>
      <c r="D59" s="29" t="s">
        <v>1239</v>
      </c>
      <c r="E59" s="30">
        <v>1484630.5</v>
      </c>
      <c r="F59" s="31">
        <v>20084</v>
      </c>
      <c r="G59" s="27">
        <v>72.489999999999995</v>
      </c>
      <c r="H59" s="27">
        <v>76</v>
      </c>
      <c r="I59" s="27">
        <v>71.5</v>
      </c>
      <c r="J59" s="32">
        <v>46163.389560185184</v>
      </c>
    </row>
    <row r="60" spans="1:10">
      <c r="A60" s="19" t="s">
        <v>380</v>
      </c>
      <c r="B60" s="20">
        <v>143.44999999999999</v>
      </c>
      <c r="C60" s="21">
        <v>1.5900000000000001E-2</v>
      </c>
      <c r="D60" s="22" t="s">
        <v>1240</v>
      </c>
      <c r="E60" s="23">
        <v>3166973.75</v>
      </c>
      <c r="F60" s="24">
        <v>22190</v>
      </c>
      <c r="G60" s="20">
        <v>141.19999999999999</v>
      </c>
      <c r="H60" s="20">
        <v>143.5</v>
      </c>
      <c r="I60" s="20">
        <v>141.36000000000001</v>
      </c>
      <c r="J60" s="25">
        <v>46163.390104166669</v>
      </c>
    </row>
    <row r="61" spans="1:10">
      <c r="A61" s="26" t="s">
        <v>262</v>
      </c>
      <c r="B61" s="27">
        <v>13.61</v>
      </c>
      <c r="C61" s="28">
        <v>1.49E-2</v>
      </c>
      <c r="D61" s="29" t="s">
        <v>1190</v>
      </c>
      <c r="E61" s="30">
        <v>41719580</v>
      </c>
      <c r="F61" s="31">
        <v>3081279</v>
      </c>
      <c r="G61" s="27">
        <v>13.4</v>
      </c>
      <c r="H61" s="27">
        <v>13.68</v>
      </c>
      <c r="I61" s="27">
        <v>13.4</v>
      </c>
      <c r="J61" s="32">
        <v>46163.391585648147</v>
      </c>
    </row>
    <row r="62" spans="1:10">
      <c r="A62" s="19" t="s">
        <v>759</v>
      </c>
      <c r="B62" s="20">
        <v>27.63</v>
      </c>
      <c r="C62" s="21">
        <v>1.47E-2</v>
      </c>
      <c r="D62" s="22" t="s">
        <v>1195</v>
      </c>
      <c r="E62" s="23">
        <v>17620116</v>
      </c>
      <c r="F62" s="24">
        <v>638524</v>
      </c>
      <c r="G62" s="20">
        <v>27.23</v>
      </c>
      <c r="H62" s="20">
        <v>27.96</v>
      </c>
      <c r="I62" s="20">
        <v>27.01</v>
      </c>
      <c r="J62" s="25">
        <v>46163.391608796293</v>
      </c>
    </row>
    <row r="63" spans="1:10">
      <c r="A63" s="26" t="s">
        <v>294</v>
      </c>
      <c r="B63" s="27">
        <v>99.48</v>
      </c>
      <c r="C63" s="28">
        <v>1.43E-2</v>
      </c>
      <c r="D63" s="29" t="s">
        <v>1241</v>
      </c>
      <c r="E63" s="30">
        <v>265643936</v>
      </c>
      <c r="F63" s="31">
        <v>2685488</v>
      </c>
      <c r="G63" s="27">
        <v>98.1</v>
      </c>
      <c r="H63" s="27">
        <v>99.5</v>
      </c>
      <c r="I63" s="27">
        <v>98.23</v>
      </c>
      <c r="J63" s="32">
        <v>46163.391597222224</v>
      </c>
    </row>
    <row r="64" spans="1:10">
      <c r="A64" s="19" t="s">
        <v>208</v>
      </c>
      <c r="B64" s="20">
        <v>10.11</v>
      </c>
      <c r="C64" s="21">
        <v>1.4E-2</v>
      </c>
      <c r="D64" s="22" t="s">
        <v>1204</v>
      </c>
      <c r="E64" s="23">
        <v>6911347.5</v>
      </c>
      <c r="F64" s="24">
        <v>683650</v>
      </c>
      <c r="G64" s="20">
        <v>10</v>
      </c>
      <c r="H64" s="20">
        <v>10.28</v>
      </c>
      <c r="I64" s="20">
        <v>10.02</v>
      </c>
      <c r="J64" s="25">
        <v>46163.390185185184</v>
      </c>
    </row>
    <row r="65" spans="1:10">
      <c r="A65" s="26" t="s">
        <v>415</v>
      </c>
      <c r="B65" s="27">
        <v>35.840000000000003</v>
      </c>
      <c r="C65" s="28">
        <v>1.2999999999999999E-2</v>
      </c>
      <c r="D65" s="29" t="s">
        <v>1242</v>
      </c>
      <c r="E65" s="30">
        <v>1216678.3799999999</v>
      </c>
      <c r="F65" s="31">
        <v>33856</v>
      </c>
      <c r="G65" s="27">
        <v>35.51</v>
      </c>
      <c r="H65" s="27">
        <v>36.229999999999997</v>
      </c>
      <c r="I65" s="27">
        <v>35.520000000000003</v>
      </c>
      <c r="J65" s="32">
        <v>46163.389953703707</v>
      </c>
    </row>
    <row r="66" spans="1:10">
      <c r="A66" s="19" t="s">
        <v>426</v>
      </c>
      <c r="B66" s="20">
        <v>4.7300000000000004</v>
      </c>
      <c r="C66" s="21">
        <v>1.2800000000000001E-2</v>
      </c>
      <c r="D66" s="22" t="s">
        <v>1163</v>
      </c>
      <c r="E66" s="23">
        <v>3554151.25</v>
      </c>
      <c r="F66" s="24">
        <v>752349</v>
      </c>
      <c r="G66" s="20">
        <v>4.7</v>
      </c>
      <c r="H66" s="20">
        <v>4.79</v>
      </c>
      <c r="I66" s="20">
        <v>4.6399999999999997</v>
      </c>
      <c r="J66" s="25">
        <v>46163.3903125</v>
      </c>
    </row>
    <row r="67" spans="1:10">
      <c r="A67" s="26" t="s">
        <v>164</v>
      </c>
      <c r="B67" s="27">
        <v>4.8</v>
      </c>
      <c r="C67" s="28">
        <v>1.2699999999999999E-2</v>
      </c>
      <c r="D67" s="29" t="s">
        <v>1163</v>
      </c>
      <c r="E67" s="30">
        <v>2895442.5</v>
      </c>
      <c r="F67" s="31">
        <v>608829</v>
      </c>
      <c r="G67" s="27">
        <v>4.7300000000000004</v>
      </c>
      <c r="H67" s="27">
        <v>4.87</v>
      </c>
      <c r="I67" s="27">
        <v>4.74</v>
      </c>
      <c r="J67" s="32">
        <v>46163.384421296294</v>
      </c>
    </row>
    <row r="68" spans="1:10">
      <c r="A68" s="19" t="s">
        <v>191</v>
      </c>
      <c r="B68" s="20">
        <v>337.98</v>
      </c>
      <c r="C68" s="21">
        <v>1.21E-2</v>
      </c>
      <c r="D68" s="22" t="s">
        <v>1243</v>
      </c>
      <c r="E68" s="23">
        <v>267770.63</v>
      </c>
      <c r="F68" s="20">
        <v>803</v>
      </c>
      <c r="G68" s="20">
        <v>333.94</v>
      </c>
      <c r="H68" s="20">
        <v>340</v>
      </c>
      <c r="I68" s="20">
        <v>330.11</v>
      </c>
      <c r="J68" s="25">
        <v>46163.379664351851</v>
      </c>
    </row>
    <row r="69" spans="1:10">
      <c r="A69" s="26" t="s">
        <v>398</v>
      </c>
      <c r="B69" s="27">
        <v>12.71</v>
      </c>
      <c r="C69" s="28">
        <v>1.2E-2</v>
      </c>
      <c r="D69" s="29" t="s">
        <v>1226</v>
      </c>
      <c r="E69" s="30">
        <v>674140.56</v>
      </c>
      <c r="F69" s="31">
        <v>53213</v>
      </c>
      <c r="G69" s="27">
        <v>12.54</v>
      </c>
      <c r="H69" s="27">
        <v>12.96</v>
      </c>
      <c r="I69" s="27">
        <v>12.41</v>
      </c>
      <c r="J69" s="32">
        <v>46163.387152777781</v>
      </c>
    </row>
    <row r="70" spans="1:10">
      <c r="A70" s="19" t="s">
        <v>153</v>
      </c>
      <c r="B70" s="20">
        <v>2.57</v>
      </c>
      <c r="C70" s="21">
        <v>1.18E-2</v>
      </c>
      <c r="D70" s="22" t="s">
        <v>1203</v>
      </c>
      <c r="E70" s="23">
        <v>63698844</v>
      </c>
      <c r="F70" s="24">
        <v>24510314</v>
      </c>
      <c r="G70" s="20">
        <v>2.54</v>
      </c>
      <c r="H70" s="20">
        <v>2.65</v>
      </c>
      <c r="I70" s="20">
        <v>2.52</v>
      </c>
      <c r="J70" s="25">
        <v>46163.391539351855</v>
      </c>
    </row>
    <row r="71" spans="1:10">
      <c r="A71" s="26" t="s">
        <v>321</v>
      </c>
      <c r="B71" s="27">
        <v>2.61</v>
      </c>
      <c r="C71" s="28">
        <v>1.17E-2</v>
      </c>
      <c r="D71" s="29" t="s">
        <v>1203</v>
      </c>
      <c r="E71" s="30">
        <v>2517989.25</v>
      </c>
      <c r="F71" s="31">
        <v>972990</v>
      </c>
      <c r="G71" s="27">
        <v>2.57</v>
      </c>
      <c r="H71" s="27">
        <v>2.62</v>
      </c>
      <c r="I71" s="27">
        <v>2.5499999999999998</v>
      </c>
      <c r="J71" s="32">
        <v>46163.391203703701</v>
      </c>
    </row>
    <row r="72" spans="1:10">
      <c r="A72" s="19" t="s">
        <v>323</v>
      </c>
      <c r="B72" s="20">
        <v>547.9</v>
      </c>
      <c r="C72" s="21">
        <v>1.1599999999999999E-2</v>
      </c>
      <c r="D72" s="22" t="s">
        <v>1244</v>
      </c>
      <c r="E72" s="23">
        <v>74682.8</v>
      </c>
      <c r="F72" s="20">
        <v>138</v>
      </c>
      <c r="G72" s="20">
        <v>541.61</v>
      </c>
      <c r="H72" s="20">
        <v>549.95000000000005</v>
      </c>
      <c r="I72" s="20">
        <v>538</v>
      </c>
      <c r="J72" s="25">
        <v>46163.353495370371</v>
      </c>
    </row>
    <row r="73" spans="1:10">
      <c r="A73" s="26" t="s">
        <v>232</v>
      </c>
      <c r="B73" s="27">
        <v>6.11</v>
      </c>
      <c r="C73" s="28">
        <v>1.1599999999999999E-2</v>
      </c>
      <c r="D73" s="29" t="s">
        <v>1224</v>
      </c>
      <c r="E73" s="30">
        <v>6578940</v>
      </c>
      <c r="F73" s="31">
        <v>1072614</v>
      </c>
      <c r="G73" s="27">
        <v>6.05</v>
      </c>
      <c r="H73" s="27">
        <v>6.2</v>
      </c>
      <c r="I73" s="27">
        <v>6.07</v>
      </c>
      <c r="J73" s="32">
        <v>46163.391099537039</v>
      </c>
    </row>
    <row r="74" spans="1:10">
      <c r="A74" s="19" t="s">
        <v>359</v>
      </c>
      <c r="B74" s="20">
        <v>18.18</v>
      </c>
      <c r="C74" s="21">
        <v>1.12E-2</v>
      </c>
      <c r="D74" s="22" t="s">
        <v>1190</v>
      </c>
      <c r="E74" s="23">
        <v>1804223.13</v>
      </c>
      <c r="F74" s="24">
        <v>98832</v>
      </c>
      <c r="G74" s="20">
        <v>17.920000000000002</v>
      </c>
      <c r="H74" s="20">
        <v>18.559999999999999</v>
      </c>
      <c r="I74" s="20">
        <v>17.920000000000002</v>
      </c>
      <c r="J74" s="25">
        <v>46163.391493055555</v>
      </c>
    </row>
    <row r="75" spans="1:10">
      <c r="A75" s="26" t="s">
        <v>338</v>
      </c>
      <c r="B75" s="27">
        <v>0.36</v>
      </c>
      <c r="C75" s="28">
        <v>1.12E-2</v>
      </c>
      <c r="D75" s="27" t="s">
        <v>330</v>
      </c>
      <c r="E75" s="30">
        <v>30492802</v>
      </c>
      <c r="F75" s="31">
        <v>83943030</v>
      </c>
      <c r="G75" s="27">
        <v>0.36</v>
      </c>
      <c r="H75" s="27">
        <v>0.37</v>
      </c>
      <c r="I75" s="27">
        <v>0.36</v>
      </c>
      <c r="J75" s="32">
        <v>46163.391597222224</v>
      </c>
    </row>
    <row r="76" spans="1:10">
      <c r="A76" s="19" t="s">
        <v>234</v>
      </c>
      <c r="B76" s="20">
        <v>4.58</v>
      </c>
      <c r="C76" s="21">
        <v>1.0999999999999999E-2</v>
      </c>
      <c r="D76" s="22" t="s">
        <v>319</v>
      </c>
      <c r="E76" s="23">
        <v>9691203</v>
      </c>
      <c r="F76" s="24">
        <v>2081400</v>
      </c>
      <c r="G76" s="20">
        <v>4.54</v>
      </c>
      <c r="H76" s="20">
        <v>4.72</v>
      </c>
      <c r="I76" s="20">
        <v>4.58</v>
      </c>
      <c r="J76" s="25">
        <v>46163.389768518522</v>
      </c>
    </row>
    <row r="77" spans="1:10">
      <c r="A77" s="26" t="s">
        <v>450</v>
      </c>
      <c r="B77" s="27">
        <v>177.02</v>
      </c>
      <c r="C77" s="28">
        <v>1.06E-2</v>
      </c>
      <c r="D77" s="29" t="s">
        <v>1245</v>
      </c>
      <c r="E77" s="30">
        <v>904182.5</v>
      </c>
      <c r="F77" s="31">
        <v>5102</v>
      </c>
      <c r="G77" s="27">
        <v>175</v>
      </c>
      <c r="H77" s="27">
        <v>179.8</v>
      </c>
      <c r="I77" s="27">
        <v>174</v>
      </c>
      <c r="J77" s="32">
        <v>46163.386458333334</v>
      </c>
    </row>
    <row r="78" spans="1:10">
      <c r="A78" s="19" t="s">
        <v>411</v>
      </c>
      <c r="B78" s="20">
        <v>1.92</v>
      </c>
      <c r="C78" s="21">
        <v>1.0500000000000001E-2</v>
      </c>
      <c r="D78" s="22" t="s">
        <v>957</v>
      </c>
      <c r="E78" s="23">
        <v>1026730.75</v>
      </c>
      <c r="F78" s="24">
        <v>537571</v>
      </c>
      <c r="G78" s="20">
        <v>1.91</v>
      </c>
      <c r="H78" s="20">
        <v>1.93</v>
      </c>
      <c r="I78" s="20">
        <v>1.89</v>
      </c>
      <c r="J78" s="25">
        <v>46163.367997685185</v>
      </c>
    </row>
    <row r="79" spans="1:10">
      <c r="A79" s="26" t="s">
        <v>261</v>
      </c>
      <c r="B79" s="27">
        <v>21.84</v>
      </c>
      <c r="C79" s="28">
        <v>1.0200000000000001E-2</v>
      </c>
      <c r="D79" s="29" t="s">
        <v>1237</v>
      </c>
      <c r="E79" s="30">
        <v>9852983</v>
      </c>
      <c r="F79" s="31">
        <v>452162</v>
      </c>
      <c r="G79" s="27">
        <v>21.62</v>
      </c>
      <c r="H79" s="27">
        <v>21.86</v>
      </c>
      <c r="I79" s="27">
        <v>21.7</v>
      </c>
      <c r="J79" s="32">
        <v>46163.391435185185</v>
      </c>
    </row>
    <row r="80" spans="1:10">
      <c r="A80" s="19" t="s">
        <v>1097</v>
      </c>
      <c r="B80" s="20">
        <v>101.01</v>
      </c>
      <c r="C80" s="21">
        <v>1.01E-2</v>
      </c>
      <c r="D80" s="22" t="s">
        <v>1038</v>
      </c>
      <c r="E80" s="23">
        <v>2121210</v>
      </c>
      <c r="F80" s="24">
        <v>21000</v>
      </c>
      <c r="G80" s="20">
        <v>100</v>
      </c>
      <c r="H80" s="20">
        <v>101.01</v>
      </c>
      <c r="I80" s="20">
        <v>101.01</v>
      </c>
      <c r="J80" s="25">
        <v>45712.491747685184</v>
      </c>
    </row>
    <row r="81" spans="1:10">
      <c r="A81" s="26" t="s">
        <v>454</v>
      </c>
      <c r="B81" s="27">
        <v>10.17</v>
      </c>
      <c r="C81" s="28">
        <v>9.9000000000000008E-3</v>
      </c>
      <c r="D81" s="29" t="s">
        <v>1176</v>
      </c>
      <c r="E81" s="30">
        <v>1620725.63</v>
      </c>
      <c r="F81" s="31">
        <v>160303</v>
      </c>
      <c r="G81" s="27">
        <v>10.07</v>
      </c>
      <c r="H81" s="27">
        <v>10.3</v>
      </c>
      <c r="I81" s="27">
        <v>10.06</v>
      </c>
      <c r="J81" s="32">
        <v>46163.39130787037</v>
      </c>
    </row>
    <row r="82" spans="1:10">
      <c r="A82" s="19" t="s">
        <v>284</v>
      </c>
      <c r="B82" s="20">
        <v>14.35</v>
      </c>
      <c r="C82" s="21">
        <v>9.7999999999999997E-3</v>
      </c>
      <c r="D82" s="22" t="s">
        <v>1204</v>
      </c>
      <c r="E82" s="23">
        <v>3520333</v>
      </c>
      <c r="F82" s="24">
        <v>242861</v>
      </c>
      <c r="G82" s="20">
        <v>14.35</v>
      </c>
      <c r="H82" s="20">
        <v>14.8</v>
      </c>
      <c r="I82" s="20">
        <v>14.23</v>
      </c>
      <c r="J82" s="25">
        <v>46163.390127314815</v>
      </c>
    </row>
    <row r="83" spans="1:10">
      <c r="A83" s="26" t="s">
        <v>407</v>
      </c>
      <c r="B83" s="27">
        <v>7.59</v>
      </c>
      <c r="C83" s="28">
        <v>9.2999999999999992E-3</v>
      </c>
      <c r="D83" s="29" t="s">
        <v>1224</v>
      </c>
      <c r="E83" s="30">
        <v>3600953.75</v>
      </c>
      <c r="F83" s="31">
        <v>477431</v>
      </c>
      <c r="G83" s="27">
        <v>7.51</v>
      </c>
      <c r="H83" s="27">
        <v>7.64</v>
      </c>
      <c r="I83" s="27">
        <v>7.5</v>
      </c>
      <c r="J83" s="32">
        <v>46163.391157407408</v>
      </c>
    </row>
    <row r="84" spans="1:10">
      <c r="A84" s="19" t="s">
        <v>383</v>
      </c>
      <c r="B84" s="20">
        <v>18.73</v>
      </c>
      <c r="C84" s="21">
        <v>9.1999999999999998E-3</v>
      </c>
      <c r="D84" s="22" t="s">
        <v>1196</v>
      </c>
      <c r="E84" s="23">
        <v>9242320</v>
      </c>
      <c r="F84" s="24">
        <v>494294</v>
      </c>
      <c r="G84" s="20">
        <v>18.55</v>
      </c>
      <c r="H84" s="20">
        <v>18.79</v>
      </c>
      <c r="I84" s="20">
        <v>18.579999999999998</v>
      </c>
      <c r="J84" s="25">
        <v>46163.391226851854</v>
      </c>
    </row>
    <row r="85" spans="1:10">
      <c r="A85" s="26" t="s">
        <v>394</v>
      </c>
      <c r="B85" s="27">
        <v>648.03</v>
      </c>
      <c r="C85" s="28">
        <v>9.1000000000000004E-3</v>
      </c>
      <c r="D85" s="29" t="s">
        <v>1246</v>
      </c>
      <c r="E85" s="30">
        <v>1101726.5</v>
      </c>
      <c r="F85" s="31">
        <v>1694</v>
      </c>
      <c r="G85" s="27">
        <v>643.95000000000005</v>
      </c>
      <c r="H85" s="27">
        <v>660</v>
      </c>
      <c r="I85" s="27">
        <v>646.33000000000004</v>
      </c>
      <c r="J85" s="32">
        <v>46163.385983796295</v>
      </c>
    </row>
    <row r="86" spans="1:10">
      <c r="A86" s="19" t="s">
        <v>263</v>
      </c>
      <c r="B86" s="20">
        <v>35.6</v>
      </c>
      <c r="C86" s="21">
        <v>9.1000000000000004E-3</v>
      </c>
      <c r="D86" s="22" t="s">
        <v>1229</v>
      </c>
      <c r="E86" s="23">
        <v>20440254</v>
      </c>
      <c r="F86" s="24">
        <v>577910</v>
      </c>
      <c r="G86" s="20">
        <v>35.18</v>
      </c>
      <c r="H86" s="20">
        <v>35.869999999999997</v>
      </c>
      <c r="I86" s="20">
        <v>35</v>
      </c>
      <c r="J86" s="25">
        <v>46163.391435185185</v>
      </c>
    </row>
    <row r="87" spans="1:10">
      <c r="A87" s="26" t="s">
        <v>532</v>
      </c>
      <c r="B87" s="27">
        <v>5.56</v>
      </c>
      <c r="C87" s="28">
        <v>9.1000000000000004E-3</v>
      </c>
      <c r="D87" s="29" t="s">
        <v>319</v>
      </c>
      <c r="E87" s="27">
        <v>33.36</v>
      </c>
      <c r="F87" s="27">
        <v>6</v>
      </c>
      <c r="G87" s="27">
        <v>5.51</v>
      </c>
      <c r="H87" s="27">
        <v>5.56</v>
      </c>
      <c r="I87" s="27">
        <v>5.56</v>
      </c>
      <c r="J87" s="32">
        <v>46162.463472222225</v>
      </c>
    </row>
    <row r="88" spans="1:10">
      <c r="A88" s="19" t="s">
        <v>203</v>
      </c>
      <c r="B88" s="20">
        <v>1.1399999999999999</v>
      </c>
      <c r="C88" s="21">
        <v>8.8000000000000005E-3</v>
      </c>
      <c r="D88" s="22" t="s">
        <v>336</v>
      </c>
      <c r="E88" s="23">
        <v>6408509</v>
      </c>
      <c r="F88" s="24">
        <v>5618008</v>
      </c>
      <c r="G88" s="20">
        <v>1.1299999999999999</v>
      </c>
      <c r="H88" s="20">
        <v>1.1499999999999999</v>
      </c>
      <c r="I88" s="20">
        <v>1.1299999999999999</v>
      </c>
      <c r="J88" s="25">
        <v>46163.391192129631</v>
      </c>
    </row>
    <row r="89" spans="1:10">
      <c r="A89" s="26" t="s">
        <v>1156</v>
      </c>
      <c r="B89" s="27">
        <v>1.1299999999999999</v>
      </c>
      <c r="C89" s="28">
        <v>8.8000000000000005E-3</v>
      </c>
      <c r="D89" s="29" t="s">
        <v>336</v>
      </c>
      <c r="E89" s="30">
        <v>73466336</v>
      </c>
      <c r="F89" s="31">
        <v>63389664</v>
      </c>
      <c r="G89" s="27">
        <v>1.1299999999999999</v>
      </c>
      <c r="H89" s="27">
        <v>1.19</v>
      </c>
      <c r="I89" s="27">
        <v>1.1299999999999999</v>
      </c>
      <c r="J89" s="32">
        <v>46163.391481481478</v>
      </c>
    </row>
    <row r="90" spans="1:10">
      <c r="A90" s="19" t="s">
        <v>242</v>
      </c>
      <c r="B90" s="20">
        <v>653.48</v>
      </c>
      <c r="C90" s="21">
        <v>8.6999999999999994E-3</v>
      </c>
      <c r="D90" s="22" t="s">
        <v>1247</v>
      </c>
      <c r="E90" s="23">
        <v>514091</v>
      </c>
      <c r="F90" s="20">
        <v>789</v>
      </c>
      <c r="G90" s="20">
        <v>648.32000000000005</v>
      </c>
      <c r="H90" s="20">
        <v>659</v>
      </c>
      <c r="I90" s="20">
        <v>647</v>
      </c>
      <c r="J90" s="25">
        <v>46163.38921296296</v>
      </c>
    </row>
    <row r="91" spans="1:10">
      <c r="A91" s="26" t="s">
        <v>173</v>
      </c>
      <c r="B91" s="27">
        <v>1.17</v>
      </c>
      <c r="C91" s="28">
        <v>8.6E-3</v>
      </c>
      <c r="D91" s="29" t="s">
        <v>336</v>
      </c>
      <c r="E91" s="30">
        <v>3739154.5</v>
      </c>
      <c r="F91" s="31">
        <v>3244569</v>
      </c>
      <c r="G91" s="27">
        <v>1.1599999999999999</v>
      </c>
      <c r="H91" s="27">
        <v>1.17</v>
      </c>
      <c r="I91" s="27">
        <v>1.1299999999999999</v>
      </c>
      <c r="J91" s="32">
        <v>46163.387870370374</v>
      </c>
    </row>
    <row r="92" spans="1:10">
      <c r="A92" s="19" t="s">
        <v>709</v>
      </c>
      <c r="B92" s="20">
        <v>132.35</v>
      </c>
      <c r="C92" s="21">
        <v>8.3999999999999995E-3</v>
      </c>
      <c r="D92" s="22" t="s">
        <v>1248</v>
      </c>
      <c r="E92" s="23">
        <v>82702328</v>
      </c>
      <c r="F92" s="24">
        <v>624444</v>
      </c>
      <c r="G92" s="20">
        <v>131.72</v>
      </c>
      <c r="H92" s="20">
        <v>132.96</v>
      </c>
      <c r="I92" s="20">
        <v>131.80000000000001</v>
      </c>
      <c r="J92" s="25">
        <v>46163.391412037039</v>
      </c>
    </row>
    <row r="93" spans="1:10">
      <c r="A93" s="26" t="s">
        <v>291</v>
      </c>
      <c r="B93" s="27">
        <v>15.64</v>
      </c>
      <c r="C93" s="28">
        <v>8.3999999999999995E-3</v>
      </c>
      <c r="D93" s="29" t="s">
        <v>651</v>
      </c>
      <c r="E93" s="30">
        <v>5654464.5</v>
      </c>
      <c r="F93" s="31">
        <v>361445</v>
      </c>
      <c r="G93" s="27">
        <v>15.52</v>
      </c>
      <c r="H93" s="27">
        <v>15.81</v>
      </c>
      <c r="I93" s="27">
        <v>15.51</v>
      </c>
      <c r="J93" s="32">
        <v>46163.391446759262</v>
      </c>
    </row>
    <row r="94" spans="1:10">
      <c r="A94" s="19" t="s">
        <v>344</v>
      </c>
      <c r="B94" s="20">
        <v>1.23</v>
      </c>
      <c r="C94" s="21">
        <v>8.3000000000000001E-3</v>
      </c>
      <c r="D94" s="22" t="s">
        <v>336</v>
      </c>
      <c r="E94" s="23">
        <v>26358890</v>
      </c>
      <c r="F94" s="24">
        <v>21543102</v>
      </c>
      <c r="G94" s="20">
        <v>1.21</v>
      </c>
      <c r="H94" s="20">
        <v>1.23</v>
      </c>
      <c r="I94" s="20">
        <v>1.21</v>
      </c>
      <c r="J94" s="25">
        <v>46163.390810185185</v>
      </c>
    </row>
    <row r="95" spans="1:10">
      <c r="A95" s="26" t="s">
        <v>385</v>
      </c>
      <c r="B95" s="27">
        <v>1.3</v>
      </c>
      <c r="C95" s="28">
        <v>7.7999999999999996E-3</v>
      </c>
      <c r="D95" s="29" t="s">
        <v>336</v>
      </c>
      <c r="E95" s="30">
        <v>2420582.75</v>
      </c>
      <c r="F95" s="31">
        <v>1874748</v>
      </c>
      <c r="G95" s="27">
        <v>1.28</v>
      </c>
      <c r="H95" s="27">
        <v>1.3</v>
      </c>
      <c r="I95" s="27">
        <v>1.28</v>
      </c>
      <c r="J95" s="32">
        <v>46163.386273148149</v>
      </c>
    </row>
    <row r="96" spans="1:10">
      <c r="A96" s="19" t="s">
        <v>399</v>
      </c>
      <c r="B96" s="20">
        <v>1.31</v>
      </c>
      <c r="C96" s="21">
        <v>7.6E-3</v>
      </c>
      <c r="D96" s="22" t="s">
        <v>336</v>
      </c>
      <c r="E96" s="23">
        <v>1301890</v>
      </c>
      <c r="F96" s="24">
        <v>987137</v>
      </c>
      <c r="G96" s="20">
        <v>1.31</v>
      </c>
      <c r="H96" s="20">
        <v>1.33</v>
      </c>
      <c r="I96" s="20">
        <v>1.31</v>
      </c>
      <c r="J96" s="25">
        <v>46163.390844907408</v>
      </c>
    </row>
    <row r="97" spans="1:10">
      <c r="A97" s="26" t="s">
        <v>193</v>
      </c>
      <c r="B97" s="27">
        <v>27.92</v>
      </c>
      <c r="C97" s="28">
        <v>7.6E-3</v>
      </c>
      <c r="D97" s="29" t="s">
        <v>1249</v>
      </c>
      <c r="E97" s="30">
        <v>13218897</v>
      </c>
      <c r="F97" s="31">
        <v>477209</v>
      </c>
      <c r="G97" s="27">
        <v>27.72</v>
      </c>
      <c r="H97" s="27">
        <v>27.99</v>
      </c>
      <c r="I97" s="27">
        <v>27.49</v>
      </c>
      <c r="J97" s="32">
        <v>46163.391192129631</v>
      </c>
    </row>
    <row r="98" spans="1:10">
      <c r="A98" s="19" t="s">
        <v>314</v>
      </c>
      <c r="B98" s="20">
        <v>21.76</v>
      </c>
      <c r="C98" s="21">
        <v>7.4000000000000003E-3</v>
      </c>
      <c r="D98" s="22" t="s">
        <v>1164</v>
      </c>
      <c r="E98" s="23">
        <v>5342227</v>
      </c>
      <c r="F98" s="24">
        <v>246554</v>
      </c>
      <c r="G98" s="20">
        <v>21.62</v>
      </c>
      <c r="H98" s="20">
        <v>21.84</v>
      </c>
      <c r="I98" s="20">
        <v>21.5</v>
      </c>
      <c r="J98" s="25">
        <v>46163.38989583333</v>
      </c>
    </row>
    <row r="99" spans="1:10">
      <c r="A99" s="26" t="s">
        <v>722</v>
      </c>
      <c r="B99" s="30">
        <v>1005.45</v>
      </c>
      <c r="C99" s="28">
        <v>7.4000000000000003E-3</v>
      </c>
      <c r="D99" s="29" t="s">
        <v>1028</v>
      </c>
      <c r="E99" s="30">
        <v>50110609408</v>
      </c>
      <c r="F99" s="31">
        <v>50000000</v>
      </c>
      <c r="G99" s="27">
        <v>998.03</v>
      </c>
      <c r="H99" s="30">
        <v>1005.45</v>
      </c>
      <c r="I99" s="27">
        <v>998.98</v>
      </c>
      <c r="J99" s="32">
        <v>45630.42732638889</v>
      </c>
    </row>
    <row r="100" spans="1:10">
      <c r="A100" s="19" t="s">
        <v>142</v>
      </c>
      <c r="B100" s="20">
        <v>86.56</v>
      </c>
      <c r="C100" s="21">
        <v>7.3000000000000001E-3</v>
      </c>
      <c r="D100" s="22" t="s">
        <v>1250</v>
      </c>
      <c r="E100" s="23">
        <v>15684277</v>
      </c>
      <c r="F100" s="24">
        <v>181927</v>
      </c>
      <c r="G100" s="20">
        <v>86.01</v>
      </c>
      <c r="H100" s="20">
        <v>86.98</v>
      </c>
      <c r="I100" s="20">
        <v>85.6</v>
      </c>
      <c r="J100" s="25">
        <v>46163.391319444447</v>
      </c>
    </row>
    <row r="101" spans="1:10">
      <c r="A101" s="26" t="s">
        <v>326</v>
      </c>
      <c r="B101" s="27">
        <v>25.67</v>
      </c>
      <c r="C101" s="28">
        <v>7.1000000000000004E-3</v>
      </c>
      <c r="D101" s="29" t="s">
        <v>1234</v>
      </c>
      <c r="E101" s="30">
        <v>15473672</v>
      </c>
      <c r="F101" s="31">
        <v>603724</v>
      </c>
      <c r="G101" s="27">
        <v>25.5</v>
      </c>
      <c r="H101" s="27">
        <v>25.85</v>
      </c>
      <c r="I101" s="27">
        <v>25.36</v>
      </c>
      <c r="J101" s="32">
        <v>46163.391261574077</v>
      </c>
    </row>
    <row r="102" spans="1:10">
      <c r="A102" s="19" t="s">
        <v>1118</v>
      </c>
      <c r="B102" s="20">
        <v>11.31</v>
      </c>
      <c r="C102" s="21">
        <v>7.1000000000000004E-3</v>
      </c>
      <c r="D102" s="22" t="s">
        <v>1177</v>
      </c>
      <c r="E102" s="23">
        <v>7687248</v>
      </c>
      <c r="F102" s="24">
        <v>680638</v>
      </c>
      <c r="G102" s="20">
        <v>11.23</v>
      </c>
      <c r="H102" s="20">
        <v>11.37</v>
      </c>
      <c r="I102" s="20">
        <v>11.15</v>
      </c>
      <c r="J102" s="25">
        <v>46163.3908912037</v>
      </c>
    </row>
    <row r="103" spans="1:10">
      <c r="A103" s="26" t="s">
        <v>268</v>
      </c>
      <c r="B103" s="27">
        <v>7.15</v>
      </c>
      <c r="C103" s="28">
        <v>7.0000000000000001E-3</v>
      </c>
      <c r="D103" s="29" t="s">
        <v>319</v>
      </c>
      <c r="E103" s="30">
        <v>24976682</v>
      </c>
      <c r="F103" s="31">
        <v>3484067</v>
      </c>
      <c r="G103" s="27">
        <v>7.11</v>
      </c>
      <c r="H103" s="27">
        <v>7.27</v>
      </c>
      <c r="I103" s="27">
        <v>7.02</v>
      </c>
      <c r="J103" s="32">
        <v>46163.391412037039</v>
      </c>
    </row>
    <row r="104" spans="1:10">
      <c r="A104" s="19" t="s">
        <v>298</v>
      </c>
      <c r="B104" s="20">
        <v>8.6999999999999993</v>
      </c>
      <c r="C104" s="21">
        <v>6.8999999999999999E-3</v>
      </c>
      <c r="D104" s="22" t="s">
        <v>1163</v>
      </c>
      <c r="E104" s="23">
        <v>1065728</v>
      </c>
      <c r="F104" s="24">
        <v>122593</v>
      </c>
      <c r="G104" s="20">
        <v>8.65</v>
      </c>
      <c r="H104" s="20">
        <v>8.76</v>
      </c>
      <c r="I104" s="20">
        <v>8.65</v>
      </c>
      <c r="J104" s="25">
        <v>46163.389872685184</v>
      </c>
    </row>
    <row r="105" spans="1:10">
      <c r="A105" s="26" t="s">
        <v>248</v>
      </c>
      <c r="B105" s="27">
        <v>1.57</v>
      </c>
      <c r="C105" s="28">
        <v>6.4000000000000003E-3</v>
      </c>
      <c r="D105" s="29" t="s">
        <v>336</v>
      </c>
      <c r="E105" s="30">
        <v>10035373</v>
      </c>
      <c r="F105" s="31">
        <v>6438458</v>
      </c>
      <c r="G105" s="27">
        <v>1.56</v>
      </c>
      <c r="H105" s="27">
        <v>1.57</v>
      </c>
      <c r="I105" s="27">
        <v>1.54</v>
      </c>
      <c r="J105" s="32">
        <v>46163.391423611109</v>
      </c>
    </row>
    <row r="106" spans="1:10">
      <c r="A106" s="19" t="s">
        <v>229</v>
      </c>
      <c r="B106" s="20">
        <v>11.27</v>
      </c>
      <c r="C106" s="21">
        <v>6.1999999999999998E-3</v>
      </c>
      <c r="D106" s="22" t="s">
        <v>1224</v>
      </c>
      <c r="E106" s="23">
        <v>21838876</v>
      </c>
      <c r="F106" s="24">
        <v>1944623</v>
      </c>
      <c r="G106" s="20">
        <v>11.21</v>
      </c>
      <c r="H106" s="20">
        <v>11.37</v>
      </c>
      <c r="I106" s="20">
        <v>11.12</v>
      </c>
      <c r="J106" s="25">
        <v>46163.391435185185</v>
      </c>
    </row>
    <row r="107" spans="1:10">
      <c r="A107" s="26" t="s">
        <v>1152</v>
      </c>
      <c r="B107" s="27">
        <v>0.67</v>
      </c>
      <c r="C107" s="28">
        <v>6.0000000000000001E-3</v>
      </c>
      <c r="D107" s="27" t="s">
        <v>330</v>
      </c>
      <c r="E107" s="30">
        <v>70421.600000000006</v>
      </c>
      <c r="F107" s="31">
        <v>105539</v>
      </c>
      <c r="G107" s="27">
        <v>0.67</v>
      </c>
      <c r="H107" s="27">
        <v>0.67</v>
      </c>
      <c r="I107" s="27">
        <v>0.67</v>
      </c>
      <c r="J107" s="32">
        <v>46163.390925925924</v>
      </c>
    </row>
    <row r="108" spans="1:10">
      <c r="A108" s="19" t="s">
        <v>171</v>
      </c>
      <c r="B108" s="20">
        <v>34.5</v>
      </c>
      <c r="C108" s="21">
        <v>5.8999999999999999E-3</v>
      </c>
      <c r="D108" s="22" t="s">
        <v>1190</v>
      </c>
      <c r="E108" s="23">
        <v>1372009.5</v>
      </c>
      <c r="F108" s="24">
        <v>39824</v>
      </c>
      <c r="G108" s="20">
        <v>34.14</v>
      </c>
      <c r="H108" s="20">
        <v>35</v>
      </c>
      <c r="I108" s="20">
        <v>34.11</v>
      </c>
      <c r="J108" s="25">
        <v>46163.388773148145</v>
      </c>
    </row>
    <row r="109" spans="1:10">
      <c r="A109" s="26" t="s">
        <v>440</v>
      </c>
      <c r="B109" s="27">
        <v>1.73</v>
      </c>
      <c r="C109" s="28">
        <v>5.7999999999999996E-3</v>
      </c>
      <c r="D109" s="29" t="s">
        <v>336</v>
      </c>
      <c r="E109" s="30">
        <v>105853.21</v>
      </c>
      <c r="F109" s="31">
        <v>62404</v>
      </c>
      <c r="G109" s="27">
        <v>1.72</v>
      </c>
      <c r="H109" s="27">
        <v>1.73</v>
      </c>
      <c r="I109" s="27">
        <v>1.68</v>
      </c>
      <c r="J109" s="32">
        <v>46163.380416666667</v>
      </c>
    </row>
    <row r="110" spans="1:10">
      <c r="A110" s="19" t="s">
        <v>184</v>
      </c>
      <c r="B110" s="20">
        <v>1.74</v>
      </c>
      <c r="C110" s="21">
        <v>5.7999999999999996E-3</v>
      </c>
      <c r="D110" s="22" t="s">
        <v>336</v>
      </c>
      <c r="E110" s="23">
        <v>43024584</v>
      </c>
      <c r="F110" s="24">
        <v>24709670</v>
      </c>
      <c r="G110" s="20">
        <v>1.73</v>
      </c>
      <c r="H110" s="20">
        <v>1.76</v>
      </c>
      <c r="I110" s="20">
        <v>1.72</v>
      </c>
      <c r="J110" s="25">
        <v>46163.391481481478</v>
      </c>
    </row>
    <row r="111" spans="1:10">
      <c r="A111" s="26" t="s">
        <v>442</v>
      </c>
      <c r="B111" s="27">
        <v>708.01</v>
      </c>
      <c r="C111" s="28">
        <v>5.7999999999999996E-3</v>
      </c>
      <c r="D111" s="29" t="s">
        <v>1251</v>
      </c>
      <c r="E111" s="30">
        <v>58656612</v>
      </c>
      <c r="F111" s="31">
        <v>83003</v>
      </c>
      <c r="G111" s="27">
        <v>704</v>
      </c>
      <c r="H111" s="27">
        <v>710.98</v>
      </c>
      <c r="I111" s="27">
        <v>700.05</v>
      </c>
      <c r="J111" s="32">
        <v>46163.391458333332</v>
      </c>
    </row>
    <row r="112" spans="1:10">
      <c r="A112" s="19" t="s">
        <v>449</v>
      </c>
      <c r="B112" s="20">
        <v>130.5</v>
      </c>
      <c r="C112" s="21">
        <v>5.7000000000000002E-3</v>
      </c>
      <c r="D112" s="22" t="s">
        <v>1252</v>
      </c>
      <c r="E112" s="23">
        <v>504237.59</v>
      </c>
      <c r="F112" s="24">
        <v>3862</v>
      </c>
      <c r="G112" s="20">
        <v>129.71</v>
      </c>
      <c r="H112" s="20">
        <v>132.69</v>
      </c>
      <c r="I112" s="20">
        <v>128.41999999999999</v>
      </c>
      <c r="J112" s="25">
        <v>46163.38003472222</v>
      </c>
    </row>
    <row r="113" spans="1:10">
      <c r="A113" s="26" t="s">
        <v>665</v>
      </c>
      <c r="B113" s="27">
        <v>23.08</v>
      </c>
      <c r="C113" s="28">
        <v>5.7000000000000002E-3</v>
      </c>
      <c r="D113" s="29" t="s">
        <v>651</v>
      </c>
      <c r="E113" s="30">
        <v>6924000</v>
      </c>
      <c r="F113" s="31">
        <v>300000</v>
      </c>
      <c r="G113" s="27">
        <v>22.95</v>
      </c>
      <c r="H113" s="27">
        <v>23.08</v>
      </c>
      <c r="I113" s="27">
        <v>23.08</v>
      </c>
      <c r="J113" s="32">
        <v>45179.451956018522</v>
      </c>
    </row>
    <row r="114" spans="1:10">
      <c r="A114" s="19" t="s">
        <v>395</v>
      </c>
      <c r="B114" s="20">
        <v>7.28</v>
      </c>
      <c r="C114" s="21">
        <v>5.4999999999999997E-3</v>
      </c>
      <c r="D114" s="22" t="s">
        <v>1197</v>
      </c>
      <c r="E114" s="23">
        <v>538507.25</v>
      </c>
      <c r="F114" s="24">
        <v>73760</v>
      </c>
      <c r="G114" s="20">
        <v>7.3</v>
      </c>
      <c r="H114" s="20">
        <v>7.38</v>
      </c>
      <c r="I114" s="20">
        <v>7.25</v>
      </c>
      <c r="J114" s="25">
        <v>46163.390810185185</v>
      </c>
    </row>
    <row r="115" spans="1:10">
      <c r="A115" s="26" t="s">
        <v>427</v>
      </c>
      <c r="B115" s="27">
        <v>7.33</v>
      </c>
      <c r="C115" s="28">
        <v>5.4999999999999997E-3</v>
      </c>
      <c r="D115" s="29" t="s">
        <v>1197</v>
      </c>
      <c r="E115" s="30">
        <v>4821350.5</v>
      </c>
      <c r="F115" s="31">
        <v>658286</v>
      </c>
      <c r="G115" s="27">
        <v>7.28</v>
      </c>
      <c r="H115" s="27">
        <v>7.4</v>
      </c>
      <c r="I115" s="27">
        <v>7.29</v>
      </c>
      <c r="J115" s="32">
        <v>46163.390150462961</v>
      </c>
    </row>
    <row r="116" spans="1:10">
      <c r="A116" s="19" t="s">
        <v>614</v>
      </c>
      <c r="B116" s="20">
        <v>44</v>
      </c>
      <c r="C116" s="21">
        <v>5.3E-3</v>
      </c>
      <c r="D116" s="22" t="s">
        <v>644</v>
      </c>
      <c r="E116" s="23">
        <v>739924609.01999998</v>
      </c>
      <c r="F116" s="24">
        <v>933569</v>
      </c>
      <c r="G116" s="20">
        <v>43.77</v>
      </c>
      <c r="H116" s="20">
        <v>44.24</v>
      </c>
      <c r="I116" s="20">
        <v>44</v>
      </c>
      <c r="J116" s="25">
        <v>43373</v>
      </c>
    </row>
    <row r="117" spans="1:10">
      <c r="A117" s="26" t="s">
        <v>498</v>
      </c>
      <c r="B117" s="27">
        <v>9.4</v>
      </c>
      <c r="C117" s="28">
        <v>5.1999999999999998E-3</v>
      </c>
      <c r="D117" s="29" t="s">
        <v>319</v>
      </c>
      <c r="E117" s="30">
        <v>1116407.8799999999</v>
      </c>
      <c r="F117" s="31">
        <v>115658</v>
      </c>
      <c r="G117" s="27">
        <v>9.64</v>
      </c>
      <c r="H117" s="27">
        <v>9.75</v>
      </c>
      <c r="I117" s="27">
        <v>9.33</v>
      </c>
      <c r="J117" s="32">
        <v>46163.391504629632</v>
      </c>
    </row>
    <row r="118" spans="1:10">
      <c r="A118" s="19" t="s">
        <v>722</v>
      </c>
      <c r="B118" s="20">
        <v>998.33</v>
      </c>
      <c r="C118" s="21">
        <v>5.1999999999999998E-3</v>
      </c>
      <c r="D118" s="22" t="s">
        <v>1084</v>
      </c>
      <c r="E118" s="23">
        <v>3494165708.8000002</v>
      </c>
      <c r="F118" s="24">
        <v>3500000</v>
      </c>
      <c r="G118" s="20">
        <v>949.44</v>
      </c>
      <c r="H118" s="20">
        <v>998.33</v>
      </c>
      <c r="I118" s="20">
        <v>949.44</v>
      </c>
      <c r="J118" s="25">
        <v>45757.503055555557</v>
      </c>
    </row>
    <row r="119" spans="1:10">
      <c r="A119" s="26" t="s">
        <v>711</v>
      </c>
      <c r="B119" s="27">
        <v>53.39</v>
      </c>
      <c r="C119" s="28">
        <v>5.1000000000000004E-3</v>
      </c>
      <c r="D119" s="29" t="s">
        <v>1253</v>
      </c>
      <c r="E119" s="30">
        <v>4498068</v>
      </c>
      <c r="F119" s="31">
        <v>84237</v>
      </c>
      <c r="G119" s="27">
        <v>52.8</v>
      </c>
      <c r="H119" s="27">
        <v>54</v>
      </c>
      <c r="I119" s="27">
        <v>52.87</v>
      </c>
      <c r="J119" s="32">
        <v>46163.391539351855</v>
      </c>
    </row>
    <row r="120" spans="1:10">
      <c r="A120" s="19" t="s">
        <v>332</v>
      </c>
      <c r="B120" s="20">
        <v>19.68</v>
      </c>
      <c r="C120" s="21">
        <v>5.1000000000000004E-3</v>
      </c>
      <c r="D120" s="22" t="s">
        <v>1176</v>
      </c>
      <c r="E120" s="23">
        <v>1784395</v>
      </c>
      <c r="F120" s="24">
        <v>90685</v>
      </c>
      <c r="G120" s="20">
        <v>19.54</v>
      </c>
      <c r="H120" s="20">
        <v>19.97</v>
      </c>
      <c r="I120" s="20">
        <v>19.57</v>
      </c>
      <c r="J120" s="25">
        <v>46163.391585648147</v>
      </c>
    </row>
    <row r="121" spans="1:10">
      <c r="A121" s="26" t="s">
        <v>337</v>
      </c>
      <c r="B121" s="27">
        <v>0.2</v>
      </c>
      <c r="C121" s="28">
        <v>5.1000000000000004E-3</v>
      </c>
      <c r="D121" s="27" t="s">
        <v>330</v>
      </c>
      <c r="E121" s="30">
        <v>23198838</v>
      </c>
      <c r="F121" s="31">
        <v>116601874</v>
      </c>
      <c r="G121" s="27">
        <v>0.2</v>
      </c>
      <c r="H121" s="27">
        <v>0.2</v>
      </c>
      <c r="I121" s="27">
        <v>0.19</v>
      </c>
      <c r="J121" s="32">
        <v>46163.387465277781</v>
      </c>
    </row>
    <row r="122" spans="1:10">
      <c r="A122" s="19" t="s">
        <v>758</v>
      </c>
      <c r="B122" s="20">
        <v>68.180000000000007</v>
      </c>
      <c r="C122" s="21">
        <v>5.0000000000000001E-3</v>
      </c>
      <c r="D122" s="22" t="s">
        <v>1045</v>
      </c>
      <c r="E122" s="23">
        <v>2301893.25</v>
      </c>
      <c r="F122" s="24">
        <v>33762</v>
      </c>
      <c r="G122" s="20">
        <v>67.84</v>
      </c>
      <c r="H122" s="20">
        <v>68.180000000000007</v>
      </c>
      <c r="I122" s="20">
        <v>68.180000000000007</v>
      </c>
      <c r="J122" s="25">
        <v>45712.491423611114</v>
      </c>
    </row>
    <row r="123" spans="1:10">
      <c r="A123" s="26" t="s">
        <v>200</v>
      </c>
      <c r="B123" s="27">
        <v>2.2599999999999998</v>
      </c>
      <c r="C123" s="28">
        <v>4.4000000000000003E-3</v>
      </c>
      <c r="D123" s="29" t="s">
        <v>336</v>
      </c>
      <c r="E123" s="30">
        <v>4033930</v>
      </c>
      <c r="F123" s="31">
        <v>1783632</v>
      </c>
      <c r="G123" s="27">
        <v>2.2599999999999998</v>
      </c>
      <c r="H123" s="27">
        <v>2.29</v>
      </c>
      <c r="I123" s="27">
        <v>2.25</v>
      </c>
      <c r="J123" s="32">
        <v>46163.390266203707</v>
      </c>
    </row>
    <row r="124" spans="1:10">
      <c r="A124" s="19" t="s">
        <v>196</v>
      </c>
      <c r="B124" s="20">
        <v>49</v>
      </c>
      <c r="C124" s="21">
        <v>4.3E-3</v>
      </c>
      <c r="D124" s="22" t="s">
        <v>1249</v>
      </c>
      <c r="E124" s="23">
        <v>4395064</v>
      </c>
      <c r="F124" s="24">
        <v>89801</v>
      </c>
      <c r="G124" s="20">
        <v>48.79</v>
      </c>
      <c r="H124" s="20">
        <v>49.8</v>
      </c>
      <c r="I124" s="20">
        <v>48.61</v>
      </c>
      <c r="J124" s="25">
        <v>46163.390856481485</v>
      </c>
    </row>
    <row r="125" spans="1:10">
      <c r="A125" s="26" t="s">
        <v>315</v>
      </c>
      <c r="B125" s="27">
        <v>4.62</v>
      </c>
      <c r="C125" s="28">
        <v>4.3E-3</v>
      </c>
      <c r="D125" s="29" t="s">
        <v>957</v>
      </c>
      <c r="E125" s="30">
        <v>4882395.5</v>
      </c>
      <c r="F125" s="31">
        <v>1056810</v>
      </c>
      <c r="G125" s="27">
        <v>4.5999999999999996</v>
      </c>
      <c r="H125" s="27">
        <v>4.68</v>
      </c>
      <c r="I125" s="27">
        <v>4.55</v>
      </c>
      <c r="J125" s="32">
        <v>46163.390740740739</v>
      </c>
    </row>
    <row r="126" spans="1:10">
      <c r="A126" s="19" t="s">
        <v>400</v>
      </c>
      <c r="B126" s="20">
        <v>35.5</v>
      </c>
      <c r="C126" s="21">
        <v>4.0000000000000001E-3</v>
      </c>
      <c r="D126" s="22" t="s">
        <v>1204</v>
      </c>
      <c r="E126" s="23">
        <v>1503804.13</v>
      </c>
      <c r="F126" s="24">
        <v>42519</v>
      </c>
      <c r="G126" s="20">
        <v>35.26</v>
      </c>
      <c r="H126" s="20">
        <v>35.700000000000003</v>
      </c>
      <c r="I126" s="20">
        <v>35.130000000000003</v>
      </c>
      <c r="J126" s="25">
        <v>46163.3909375</v>
      </c>
    </row>
    <row r="127" spans="1:10">
      <c r="A127" s="26" t="s">
        <v>373</v>
      </c>
      <c r="B127" s="27">
        <v>0.78</v>
      </c>
      <c r="C127" s="28">
        <v>3.8999999999999998E-3</v>
      </c>
      <c r="D127" s="27" t="s">
        <v>330</v>
      </c>
      <c r="E127" s="30">
        <v>1347411.12</v>
      </c>
      <c r="F127" s="31">
        <v>1733084</v>
      </c>
      <c r="G127" s="27">
        <v>0.77</v>
      </c>
      <c r="H127" s="27">
        <v>0.78</v>
      </c>
      <c r="I127" s="27">
        <v>0.77</v>
      </c>
      <c r="J127" s="32">
        <v>46163.390868055554</v>
      </c>
    </row>
    <row r="128" spans="1:10">
      <c r="A128" s="19" t="s">
        <v>363</v>
      </c>
      <c r="B128" s="20">
        <v>69.209999999999994</v>
      </c>
      <c r="C128" s="21">
        <v>3.8E-3</v>
      </c>
      <c r="D128" s="22" t="s">
        <v>1254</v>
      </c>
      <c r="E128" s="23">
        <v>1955847.13</v>
      </c>
      <c r="F128" s="24">
        <v>28383</v>
      </c>
      <c r="G128" s="20">
        <v>69.06</v>
      </c>
      <c r="H128" s="20">
        <v>69.930000000000007</v>
      </c>
      <c r="I128" s="20">
        <v>67.56</v>
      </c>
      <c r="J128" s="25">
        <v>46163.389432870368</v>
      </c>
    </row>
    <row r="129" spans="1:10">
      <c r="A129" s="26" t="s">
        <v>328</v>
      </c>
      <c r="B129" s="27">
        <v>21.15</v>
      </c>
      <c r="C129" s="28">
        <v>3.8E-3</v>
      </c>
      <c r="D129" s="29" t="s">
        <v>1177</v>
      </c>
      <c r="E129" s="30">
        <v>4925214</v>
      </c>
      <c r="F129" s="31">
        <v>233507</v>
      </c>
      <c r="G129" s="27">
        <v>21.02</v>
      </c>
      <c r="H129" s="27">
        <v>21.3</v>
      </c>
      <c r="I129" s="27">
        <v>21</v>
      </c>
      <c r="J129" s="32">
        <v>46163.391446759262</v>
      </c>
    </row>
    <row r="130" spans="1:10">
      <c r="A130" s="19" t="s">
        <v>1150</v>
      </c>
      <c r="B130" s="20">
        <v>7.92</v>
      </c>
      <c r="C130" s="21">
        <v>3.8E-3</v>
      </c>
      <c r="D130" s="22" t="s">
        <v>1203</v>
      </c>
      <c r="E130" s="23">
        <v>1097559.25</v>
      </c>
      <c r="F130" s="24">
        <v>139700</v>
      </c>
      <c r="G130" s="20">
        <v>7.86</v>
      </c>
      <c r="H130" s="20">
        <v>7.94</v>
      </c>
      <c r="I130" s="20">
        <v>7.8</v>
      </c>
      <c r="J130" s="25">
        <v>46163.38863425926</v>
      </c>
    </row>
    <row r="131" spans="1:10">
      <c r="A131" s="26" t="s">
        <v>216</v>
      </c>
      <c r="B131" s="27">
        <v>19.32</v>
      </c>
      <c r="C131" s="28">
        <v>3.5999999999999999E-3</v>
      </c>
      <c r="D131" s="29" t="s">
        <v>1224</v>
      </c>
      <c r="E131" s="30">
        <v>57113408</v>
      </c>
      <c r="F131" s="31">
        <v>2963909</v>
      </c>
      <c r="G131" s="27">
        <v>19.25</v>
      </c>
      <c r="H131" s="27">
        <v>19.45</v>
      </c>
      <c r="I131" s="27">
        <v>19.100000000000001</v>
      </c>
      <c r="J131" s="32">
        <v>46163.391331018516</v>
      </c>
    </row>
    <row r="132" spans="1:10">
      <c r="A132" s="19" t="s">
        <v>396</v>
      </c>
      <c r="B132" s="20">
        <v>0.28000000000000003</v>
      </c>
      <c r="C132" s="21">
        <v>3.5000000000000001E-3</v>
      </c>
      <c r="D132" s="20" t="s">
        <v>330</v>
      </c>
      <c r="E132" s="23">
        <v>2238306.25</v>
      </c>
      <c r="F132" s="24">
        <v>7888527</v>
      </c>
      <c r="G132" s="20">
        <v>0.28000000000000003</v>
      </c>
      <c r="H132" s="20">
        <v>0.28999999999999998</v>
      </c>
      <c r="I132" s="20">
        <v>0.28000000000000003</v>
      </c>
      <c r="J132" s="25">
        <v>46163.388912037037</v>
      </c>
    </row>
    <row r="133" spans="1:10">
      <c r="A133" s="26" t="s">
        <v>418</v>
      </c>
      <c r="B133" s="27">
        <v>31.55</v>
      </c>
      <c r="C133" s="28">
        <v>3.5000000000000001E-3</v>
      </c>
      <c r="D133" s="29" t="s">
        <v>1210</v>
      </c>
      <c r="E133" s="30">
        <v>2641405.75</v>
      </c>
      <c r="F133" s="31">
        <v>83694</v>
      </c>
      <c r="G133" s="27">
        <v>31.42</v>
      </c>
      <c r="H133" s="27">
        <v>31.9</v>
      </c>
      <c r="I133" s="27">
        <v>31.25</v>
      </c>
      <c r="J133" s="32">
        <v>46163.385520833333</v>
      </c>
    </row>
    <row r="134" spans="1:10">
      <c r="A134" s="19" t="s">
        <v>421</v>
      </c>
      <c r="B134" s="20">
        <v>3.08</v>
      </c>
      <c r="C134" s="21">
        <v>3.3E-3</v>
      </c>
      <c r="D134" s="22" t="s">
        <v>336</v>
      </c>
      <c r="E134" s="23">
        <v>106746064</v>
      </c>
      <c r="F134" s="24">
        <v>34615574</v>
      </c>
      <c r="G134" s="20">
        <v>3.06</v>
      </c>
      <c r="H134" s="20">
        <v>3.11</v>
      </c>
      <c r="I134" s="20">
        <v>3.05</v>
      </c>
      <c r="J134" s="25">
        <v>46163.390347222223</v>
      </c>
    </row>
    <row r="135" spans="1:10">
      <c r="A135" s="26" t="s">
        <v>149</v>
      </c>
      <c r="B135" s="27">
        <v>133.5</v>
      </c>
      <c r="C135" s="28">
        <v>3.3E-3</v>
      </c>
      <c r="D135" s="29" t="s">
        <v>650</v>
      </c>
      <c r="E135" s="30">
        <v>3380760</v>
      </c>
      <c r="F135" s="31">
        <v>25378</v>
      </c>
      <c r="G135" s="27">
        <v>132.97</v>
      </c>
      <c r="H135" s="27">
        <v>133.94999999999999</v>
      </c>
      <c r="I135" s="27">
        <v>132.80000000000001</v>
      </c>
      <c r="J135" s="32">
        <v>46163.385729166665</v>
      </c>
    </row>
    <row r="136" spans="1:10">
      <c r="A136" s="19" t="s">
        <v>165</v>
      </c>
      <c r="B136" s="20">
        <v>9.4600000000000009</v>
      </c>
      <c r="C136" s="21">
        <v>3.2000000000000002E-3</v>
      </c>
      <c r="D136" s="22" t="s">
        <v>1203</v>
      </c>
      <c r="E136" s="23">
        <v>5250473</v>
      </c>
      <c r="F136" s="24">
        <v>554766</v>
      </c>
      <c r="G136" s="20">
        <v>9.42</v>
      </c>
      <c r="H136" s="20">
        <v>9.52</v>
      </c>
      <c r="I136" s="20">
        <v>9.42</v>
      </c>
      <c r="J136" s="25">
        <v>46163.3903587963</v>
      </c>
    </row>
    <row r="137" spans="1:10">
      <c r="A137" s="26" t="s">
        <v>158</v>
      </c>
      <c r="B137" s="27">
        <v>54.2</v>
      </c>
      <c r="C137" s="28">
        <v>3.2000000000000002E-3</v>
      </c>
      <c r="D137" s="29" t="s">
        <v>1196</v>
      </c>
      <c r="E137" s="30">
        <v>13052514</v>
      </c>
      <c r="F137" s="31">
        <v>241438</v>
      </c>
      <c r="G137" s="27">
        <v>53.9</v>
      </c>
      <c r="H137" s="27">
        <v>54.95</v>
      </c>
      <c r="I137" s="27">
        <v>53.6</v>
      </c>
      <c r="J137" s="32">
        <v>46163.391180555554</v>
      </c>
    </row>
    <row r="138" spans="1:10">
      <c r="A138" s="19" t="s">
        <v>340</v>
      </c>
      <c r="B138" s="20">
        <v>200</v>
      </c>
      <c r="C138" s="21">
        <v>2.8999999999999998E-3</v>
      </c>
      <c r="D138" s="22" t="s">
        <v>1255</v>
      </c>
      <c r="E138" s="23">
        <v>2807616.75</v>
      </c>
      <c r="F138" s="24">
        <v>14016</v>
      </c>
      <c r="G138" s="20">
        <v>199.29</v>
      </c>
      <c r="H138" s="20">
        <v>210</v>
      </c>
      <c r="I138" s="20">
        <v>195.1</v>
      </c>
      <c r="J138" s="25">
        <v>46163.391388888886</v>
      </c>
    </row>
    <row r="139" spans="1:10">
      <c r="A139" s="26" t="s">
        <v>722</v>
      </c>
      <c r="B139" s="30">
        <v>1039.0999999999999</v>
      </c>
      <c r="C139" s="28">
        <v>2.8E-3</v>
      </c>
      <c r="D139" s="29" t="s">
        <v>1085</v>
      </c>
      <c r="E139" s="30">
        <v>195141769625.60001</v>
      </c>
      <c r="F139" s="31">
        <v>191725000</v>
      </c>
      <c r="G139" s="30">
        <v>1010.94</v>
      </c>
      <c r="H139" s="30">
        <v>1039.0999999999999</v>
      </c>
      <c r="I139" s="30">
        <v>1010.43</v>
      </c>
      <c r="J139" s="32">
        <v>45763.502314814818</v>
      </c>
    </row>
    <row r="140" spans="1:10">
      <c r="A140" s="19" t="s">
        <v>174</v>
      </c>
      <c r="B140" s="20">
        <v>23.41</v>
      </c>
      <c r="C140" s="21">
        <v>2.5999999999999999E-3</v>
      </c>
      <c r="D140" s="22" t="s">
        <v>1163</v>
      </c>
      <c r="E140" s="23">
        <v>2135854</v>
      </c>
      <c r="F140" s="24">
        <v>91171</v>
      </c>
      <c r="G140" s="20">
        <v>23.41</v>
      </c>
      <c r="H140" s="20">
        <v>23.65</v>
      </c>
      <c r="I140" s="20">
        <v>23.31</v>
      </c>
      <c r="J140" s="25">
        <v>46163.390162037038</v>
      </c>
    </row>
    <row r="141" spans="1:10">
      <c r="A141" s="26" t="s">
        <v>275</v>
      </c>
      <c r="B141" s="27">
        <v>3.89</v>
      </c>
      <c r="C141" s="28">
        <v>2.5999999999999999E-3</v>
      </c>
      <c r="D141" s="29" t="s">
        <v>336</v>
      </c>
      <c r="E141" s="30">
        <v>858685.19</v>
      </c>
      <c r="F141" s="31">
        <v>221987</v>
      </c>
      <c r="G141" s="27">
        <v>3.85</v>
      </c>
      <c r="H141" s="27">
        <v>3.92</v>
      </c>
      <c r="I141" s="27">
        <v>3.82</v>
      </c>
      <c r="J141" s="32">
        <v>46163.390289351853</v>
      </c>
    </row>
    <row r="142" spans="1:10">
      <c r="A142" s="19" t="s">
        <v>286</v>
      </c>
      <c r="B142" s="20">
        <v>0.39</v>
      </c>
      <c r="C142" s="21">
        <v>2.5999999999999999E-3</v>
      </c>
      <c r="D142" s="20" t="s">
        <v>330</v>
      </c>
      <c r="E142" s="23">
        <v>2141125.25</v>
      </c>
      <c r="F142" s="24">
        <v>5466518</v>
      </c>
      <c r="G142" s="20">
        <v>0.39</v>
      </c>
      <c r="H142" s="20">
        <v>0.4</v>
      </c>
      <c r="I142" s="20">
        <v>0.39</v>
      </c>
      <c r="J142" s="25">
        <v>46163.390381944446</v>
      </c>
    </row>
    <row r="143" spans="1:10">
      <c r="A143" s="26" t="s">
        <v>377</v>
      </c>
      <c r="B143" s="27">
        <v>208.1</v>
      </c>
      <c r="C143" s="28">
        <v>2.3999999999999998E-3</v>
      </c>
      <c r="D143" s="29" t="s">
        <v>1233</v>
      </c>
      <c r="E143" s="30">
        <v>1384041.75</v>
      </c>
      <c r="F143" s="31">
        <v>6643</v>
      </c>
      <c r="G143" s="27">
        <v>208.3</v>
      </c>
      <c r="H143" s="27">
        <v>211</v>
      </c>
      <c r="I143" s="27">
        <v>206.51</v>
      </c>
      <c r="J143" s="32">
        <v>46163.391400462962</v>
      </c>
    </row>
    <row r="144" spans="1:10">
      <c r="A144" s="19" t="s">
        <v>322</v>
      </c>
      <c r="B144" s="20">
        <v>82.62</v>
      </c>
      <c r="C144" s="21">
        <v>2.3E-3</v>
      </c>
      <c r="D144" s="22" t="s">
        <v>1256</v>
      </c>
      <c r="E144" s="23">
        <v>4372411</v>
      </c>
      <c r="F144" s="24">
        <v>53076</v>
      </c>
      <c r="G144" s="20">
        <v>82.47</v>
      </c>
      <c r="H144" s="20">
        <v>83.5</v>
      </c>
      <c r="I144" s="20">
        <v>81.599999999999994</v>
      </c>
      <c r="J144" s="25">
        <v>46163.38921296296</v>
      </c>
    </row>
    <row r="145" spans="1:10">
      <c r="A145" s="26" t="s">
        <v>166</v>
      </c>
      <c r="B145" s="30">
        <v>1145.05</v>
      </c>
      <c r="C145" s="28">
        <v>2.2000000000000001E-3</v>
      </c>
      <c r="D145" s="29" t="s">
        <v>1257</v>
      </c>
      <c r="E145" s="30">
        <v>338358.63</v>
      </c>
      <c r="F145" s="27">
        <v>296</v>
      </c>
      <c r="G145" s="30">
        <v>1140.33</v>
      </c>
      <c r="H145" s="30">
        <v>1151.8900000000001</v>
      </c>
      <c r="I145" s="30">
        <v>1139</v>
      </c>
      <c r="J145" s="32">
        <v>46163.389236111114</v>
      </c>
    </row>
    <row r="146" spans="1:10">
      <c r="A146" s="19" t="s">
        <v>403</v>
      </c>
      <c r="B146" s="20">
        <v>213.98</v>
      </c>
      <c r="C146" s="21">
        <v>2.2000000000000001E-3</v>
      </c>
      <c r="D146" s="22" t="s">
        <v>1235</v>
      </c>
      <c r="E146" s="23">
        <v>153564.01999999999</v>
      </c>
      <c r="F146" s="20">
        <v>722</v>
      </c>
      <c r="G146" s="20">
        <v>213.5</v>
      </c>
      <c r="H146" s="20">
        <v>215</v>
      </c>
      <c r="I146" s="20">
        <v>212.2</v>
      </c>
      <c r="J146" s="25">
        <v>46163.387881944444</v>
      </c>
    </row>
    <row r="147" spans="1:10">
      <c r="A147" s="26" t="s">
        <v>412</v>
      </c>
      <c r="B147" s="27">
        <v>28.85</v>
      </c>
      <c r="C147" s="28">
        <v>2.0999999999999999E-3</v>
      </c>
      <c r="D147" s="29" t="s">
        <v>1163</v>
      </c>
      <c r="E147" s="30">
        <v>3478605.25</v>
      </c>
      <c r="F147" s="31">
        <v>120877</v>
      </c>
      <c r="G147" s="27">
        <v>28.73</v>
      </c>
      <c r="H147" s="27">
        <v>29</v>
      </c>
      <c r="I147" s="27">
        <v>28.7</v>
      </c>
      <c r="J147" s="32">
        <v>46163.390925925924</v>
      </c>
    </row>
    <row r="148" spans="1:10">
      <c r="A148" s="19" t="s">
        <v>381</v>
      </c>
      <c r="B148" s="20">
        <v>0.98</v>
      </c>
      <c r="C148" s="21">
        <v>2E-3</v>
      </c>
      <c r="D148" s="20" t="s">
        <v>330</v>
      </c>
      <c r="E148" s="23">
        <v>6225.61</v>
      </c>
      <c r="F148" s="24">
        <v>6319</v>
      </c>
      <c r="G148" s="20">
        <v>0.98</v>
      </c>
      <c r="H148" s="20">
        <v>0.99</v>
      </c>
      <c r="I148" s="20">
        <v>0.98</v>
      </c>
      <c r="J148" s="25">
        <v>46163.389918981484</v>
      </c>
    </row>
    <row r="149" spans="1:10">
      <c r="A149" s="26" t="s">
        <v>722</v>
      </c>
      <c r="B149" s="27">
        <v>0.88</v>
      </c>
      <c r="C149" s="28">
        <v>1.9E-3</v>
      </c>
      <c r="D149" s="29" t="s">
        <v>957</v>
      </c>
      <c r="E149" s="30">
        <v>1014251724.8</v>
      </c>
      <c r="F149" s="31">
        <v>1147350000</v>
      </c>
      <c r="G149" s="27">
        <v>0.87</v>
      </c>
      <c r="H149" s="27">
        <v>0.88</v>
      </c>
      <c r="I149" s="27">
        <v>0.87</v>
      </c>
      <c r="J149" s="32">
        <v>45798.443923611114</v>
      </c>
    </row>
    <row r="150" spans="1:10">
      <c r="A150" s="19" t="s">
        <v>722</v>
      </c>
      <c r="B150" s="20">
        <v>0.85</v>
      </c>
      <c r="C150" s="21">
        <v>1.8E-3</v>
      </c>
      <c r="D150" s="22" t="s">
        <v>336</v>
      </c>
      <c r="E150" s="23">
        <v>849470</v>
      </c>
      <c r="F150" s="24">
        <v>1000000</v>
      </c>
      <c r="G150" s="20">
        <v>0.83</v>
      </c>
      <c r="H150" s="20">
        <v>0.85</v>
      </c>
      <c r="I150" s="20">
        <v>0.83</v>
      </c>
      <c r="J150" s="25">
        <v>45790.329548611109</v>
      </c>
    </row>
    <row r="151" spans="1:10">
      <c r="A151" s="26" t="s">
        <v>378</v>
      </c>
      <c r="B151" s="27">
        <v>52.67</v>
      </c>
      <c r="C151" s="28">
        <v>1.6999999999999999E-3</v>
      </c>
      <c r="D151" s="29" t="s">
        <v>1258</v>
      </c>
      <c r="E151" s="30">
        <v>5057203.5</v>
      </c>
      <c r="F151" s="31">
        <v>96290</v>
      </c>
      <c r="G151" s="27">
        <v>52.53</v>
      </c>
      <c r="H151" s="27">
        <v>53.7</v>
      </c>
      <c r="I151" s="27">
        <v>51</v>
      </c>
      <c r="J151" s="32">
        <v>46163.391331018516</v>
      </c>
    </row>
    <row r="152" spans="1:10">
      <c r="A152" s="19" t="s">
        <v>300</v>
      </c>
      <c r="B152" s="20">
        <v>5.86</v>
      </c>
      <c r="C152" s="21">
        <v>1.6999999999999999E-3</v>
      </c>
      <c r="D152" s="22" t="s">
        <v>336</v>
      </c>
      <c r="E152" s="23">
        <v>34670100</v>
      </c>
      <c r="F152" s="24">
        <v>5896103</v>
      </c>
      <c r="G152" s="20">
        <v>5.85</v>
      </c>
      <c r="H152" s="20">
        <v>5.94</v>
      </c>
      <c r="I152" s="20">
        <v>5.83</v>
      </c>
      <c r="J152" s="25">
        <v>46163.390335648146</v>
      </c>
    </row>
    <row r="153" spans="1:10">
      <c r="A153" s="26" t="s">
        <v>722</v>
      </c>
      <c r="B153" s="27">
        <v>0.97</v>
      </c>
      <c r="C153" s="28">
        <v>1.6999999999999999E-3</v>
      </c>
      <c r="D153" s="29" t="s">
        <v>957</v>
      </c>
      <c r="E153" s="30">
        <v>3241578496</v>
      </c>
      <c r="F153" s="31">
        <v>3337000000</v>
      </c>
      <c r="G153" s="27">
        <v>0.95</v>
      </c>
      <c r="H153" s="27">
        <v>0.97</v>
      </c>
      <c r="I153" s="27">
        <v>0.95</v>
      </c>
      <c r="J153" s="32">
        <v>45798.441064814811</v>
      </c>
    </row>
    <row r="154" spans="1:10">
      <c r="A154" s="19" t="s">
        <v>722</v>
      </c>
      <c r="B154" s="20">
        <v>0.8</v>
      </c>
      <c r="C154" s="21">
        <v>1.6999999999999999E-3</v>
      </c>
      <c r="D154" s="22" t="s">
        <v>336</v>
      </c>
      <c r="E154" s="23">
        <v>19888.75</v>
      </c>
      <c r="F154" s="24">
        <v>25000</v>
      </c>
      <c r="G154" s="20">
        <v>0.78</v>
      </c>
      <c r="H154" s="20">
        <v>0.8</v>
      </c>
      <c r="I154" s="20">
        <v>0.78</v>
      </c>
      <c r="J154" s="25">
        <v>45742.341226851851</v>
      </c>
    </row>
    <row r="155" spans="1:10">
      <c r="A155" s="26" t="s">
        <v>220</v>
      </c>
      <c r="B155" s="27">
        <v>6.43</v>
      </c>
      <c r="C155" s="28">
        <v>1.6000000000000001E-3</v>
      </c>
      <c r="D155" s="29" t="s">
        <v>336</v>
      </c>
      <c r="E155" s="30">
        <v>93906544</v>
      </c>
      <c r="F155" s="31">
        <v>14580213</v>
      </c>
      <c r="G155" s="27">
        <v>6.41</v>
      </c>
      <c r="H155" s="27">
        <v>6.51</v>
      </c>
      <c r="I155" s="27">
        <v>6.35</v>
      </c>
      <c r="J155" s="32">
        <v>46163.391250000001</v>
      </c>
    </row>
    <row r="156" spans="1:10">
      <c r="A156" s="19" t="s">
        <v>722</v>
      </c>
      <c r="B156" s="23">
        <v>1025.68</v>
      </c>
      <c r="C156" s="21">
        <v>1.6000000000000001E-3</v>
      </c>
      <c r="D156" s="22" t="s">
        <v>1098</v>
      </c>
      <c r="E156" s="23">
        <v>80036017203.199997</v>
      </c>
      <c r="F156" s="24">
        <v>78032000</v>
      </c>
      <c r="G156" s="23">
        <v>1009.97</v>
      </c>
      <c r="H156" s="23">
        <v>1025.68</v>
      </c>
      <c r="I156" s="23">
        <v>1009.97</v>
      </c>
      <c r="J156" s="25">
        <v>45792.391932870371</v>
      </c>
    </row>
    <row r="157" spans="1:10">
      <c r="A157" s="26" t="s">
        <v>722</v>
      </c>
      <c r="B157" s="27">
        <v>0.97</v>
      </c>
      <c r="C157" s="28">
        <v>1.5E-3</v>
      </c>
      <c r="D157" s="29" t="s">
        <v>336</v>
      </c>
      <c r="E157" s="30">
        <v>3906904372.4000001</v>
      </c>
      <c r="F157" s="31">
        <v>4006000000</v>
      </c>
      <c r="G157" s="27">
        <v>0.96</v>
      </c>
      <c r="H157" s="27">
        <v>0.97</v>
      </c>
      <c r="I157" s="27">
        <v>0.96</v>
      </c>
      <c r="J157" s="32">
        <v>45798.440706018519</v>
      </c>
    </row>
    <row r="158" spans="1:10">
      <c r="A158" s="19" t="s">
        <v>722</v>
      </c>
      <c r="B158" s="20">
        <v>0.94</v>
      </c>
      <c r="C158" s="21">
        <v>1.2999999999999999E-3</v>
      </c>
      <c r="D158" s="22" t="s">
        <v>336</v>
      </c>
      <c r="E158" s="23">
        <v>2694868.92</v>
      </c>
      <c r="F158" s="24">
        <v>2875000</v>
      </c>
      <c r="G158" s="20">
        <v>0.93</v>
      </c>
      <c r="H158" s="20">
        <v>0.94</v>
      </c>
      <c r="I158" s="20">
        <v>0.93</v>
      </c>
      <c r="J158" s="25">
        <v>45798.393055555556</v>
      </c>
    </row>
    <row r="159" spans="1:10">
      <c r="A159" s="26" t="s">
        <v>722</v>
      </c>
      <c r="B159" s="27">
        <v>0.83</v>
      </c>
      <c r="C159" s="28">
        <v>1.2999999999999999E-3</v>
      </c>
      <c r="D159" s="29" t="s">
        <v>336</v>
      </c>
      <c r="E159" s="30">
        <v>268970</v>
      </c>
      <c r="F159" s="31">
        <v>325000</v>
      </c>
      <c r="G159" s="27">
        <v>0.82</v>
      </c>
      <c r="H159" s="27">
        <v>0.83</v>
      </c>
      <c r="I159" s="27">
        <v>0.82</v>
      </c>
      <c r="J159" s="32">
        <v>45789.332476851851</v>
      </c>
    </row>
    <row r="160" spans="1:10">
      <c r="A160" s="19" t="s">
        <v>722</v>
      </c>
      <c r="B160" s="23">
        <v>1171.6400000000001</v>
      </c>
      <c r="C160" s="21">
        <v>1.2999999999999999E-3</v>
      </c>
      <c r="D160" s="22" t="s">
        <v>1104</v>
      </c>
      <c r="E160" s="23">
        <v>5295831040</v>
      </c>
      <c r="F160" s="24">
        <v>4520000</v>
      </c>
      <c r="G160" s="23">
        <v>1157.0899999999999</v>
      </c>
      <c r="H160" s="23">
        <v>1171.6400000000001</v>
      </c>
      <c r="I160" s="23">
        <v>1157.0899999999999</v>
      </c>
      <c r="J160" s="25">
        <v>45796.404849537037</v>
      </c>
    </row>
    <row r="161" spans="1:10">
      <c r="A161" s="49"/>
      <c r="B161" s="27">
        <v>40.33</v>
      </c>
      <c r="C161" s="28">
        <v>1.1999999999999999E-3</v>
      </c>
      <c r="D161" s="29" t="s">
        <v>319</v>
      </c>
      <c r="E161" s="30">
        <v>4033</v>
      </c>
      <c r="F161" s="27">
        <v>100</v>
      </c>
      <c r="G161" s="27">
        <v>40.28</v>
      </c>
      <c r="H161" s="27">
        <v>40.33</v>
      </c>
      <c r="I161" s="27">
        <v>40.33</v>
      </c>
      <c r="J161" s="32">
        <v>44717.461273148147</v>
      </c>
    </row>
    <row r="162" spans="1:10">
      <c r="A162" s="19" t="s">
        <v>722</v>
      </c>
      <c r="B162" s="20">
        <v>0.85</v>
      </c>
      <c r="C162" s="21">
        <v>1.1000000000000001E-3</v>
      </c>
      <c r="D162" s="22" t="s">
        <v>336</v>
      </c>
      <c r="E162" s="23">
        <v>13482246.4</v>
      </c>
      <c r="F162" s="24">
        <v>15900000</v>
      </c>
      <c r="G162" s="20">
        <v>0.84</v>
      </c>
      <c r="H162" s="20">
        <v>0.85</v>
      </c>
      <c r="I162" s="20">
        <v>0.84</v>
      </c>
      <c r="J162" s="25">
        <v>45781.464965277781</v>
      </c>
    </row>
    <row r="163" spans="1:10">
      <c r="A163" s="26" t="s">
        <v>722</v>
      </c>
      <c r="B163" s="27">
        <v>0.93</v>
      </c>
      <c r="C163" s="28">
        <v>1.1000000000000001E-3</v>
      </c>
      <c r="D163" s="29" t="s">
        <v>336</v>
      </c>
      <c r="E163" s="30">
        <v>3712940032</v>
      </c>
      <c r="F163" s="31">
        <v>4000000000</v>
      </c>
      <c r="G163" s="27">
        <v>0.92</v>
      </c>
      <c r="H163" s="27">
        <v>0.93</v>
      </c>
      <c r="I163" s="27">
        <v>0.92</v>
      </c>
      <c r="J163" s="32">
        <v>45798.441377314812</v>
      </c>
    </row>
    <row r="164" spans="1:10">
      <c r="A164" s="19" t="s">
        <v>423</v>
      </c>
      <c r="B164" s="20">
        <v>46.1</v>
      </c>
      <c r="C164" s="21">
        <v>1.1000000000000001E-3</v>
      </c>
      <c r="D164" s="22" t="s">
        <v>319</v>
      </c>
      <c r="E164" s="23">
        <v>59240956</v>
      </c>
      <c r="F164" s="24">
        <v>1285602</v>
      </c>
      <c r="G164" s="20">
        <v>46</v>
      </c>
      <c r="H164" s="20">
        <v>46.49</v>
      </c>
      <c r="I164" s="20">
        <v>45.6</v>
      </c>
      <c r="J164" s="25">
        <v>46163.391597222224</v>
      </c>
    </row>
    <row r="165" spans="1:10">
      <c r="A165" s="26" t="s">
        <v>722</v>
      </c>
      <c r="B165" s="27">
        <v>0.92</v>
      </c>
      <c r="C165" s="28">
        <v>1E-3</v>
      </c>
      <c r="D165" s="29" t="s">
        <v>336</v>
      </c>
      <c r="E165" s="30">
        <v>351962458</v>
      </c>
      <c r="F165" s="31">
        <v>382350000</v>
      </c>
      <c r="G165" s="27">
        <v>0.91</v>
      </c>
      <c r="H165" s="27">
        <v>0.92</v>
      </c>
      <c r="I165" s="27">
        <v>0.91</v>
      </c>
      <c r="J165" s="32">
        <v>45797.36209490741</v>
      </c>
    </row>
    <row r="166" spans="1:10">
      <c r="A166" s="19" t="s">
        <v>448</v>
      </c>
      <c r="B166" s="20">
        <v>9.6999999999999993</v>
      </c>
      <c r="C166" s="21">
        <v>1E-3</v>
      </c>
      <c r="D166" s="22" t="s">
        <v>336</v>
      </c>
      <c r="E166" s="23">
        <v>1875111.88</v>
      </c>
      <c r="F166" s="24">
        <v>192731</v>
      </c>
      <c r="G166" s="20">
        <v>9.7100000000000009</v>
      </c>
      <c r="H166" s="20">
        <v>9.83</v>
      </c>
      <c r="I166" s="20">
        <v>9.66</v>
      </c>
      <c r="J166" s="25">
        <v>46163.388379629629</v>
      </c>
    </row>
    <row r="167" spans="1:10">
      <c r="A167" s="26" t="s">
        <v>167</v>
      </c>
      <c r="B167" s="27">
        <v>41.43</v>
      </c>
      <c r="C167" s="28">
        <v>1E-3</v>
      </c>
      <c r="D167" s="29" t="s">
        <v>1197</v>
      </c>
      <c r="E167" s="30">
        <v>611864.31000000006</v>
      </c>
      <c r="F167" s="31">
        <v>14898</v>
      </c>
      <c r="G167" s="27">
        <v>41.05</v>
      </c>
      <c r="H167" s="27">
        <v>41.43</v>
      </c>
      <c r="I167" s="27">
        <v>41</v>
      </c>
      <c r="J167" s="32">
        <v>46163.390763888892</v>
      </c>
    </row>
    <row r="168" spans="1:10">
      <c r="A168" s="19" t="s">
        <v>722</v>
      </c>
      <c r="B168" s="20">
        <v>0.91</v>
      </c>
      <c r="C168" s="21">
        <v>8.9999999999999998E-4</v>
      </c>
      <c r="D168" s="22" t="s">
        <v>336</v>
      </c>
      <c r="E168" s="23">
        <v>6956280832</v>
      </c>
      <c r="F168" s="24">
        <v>7617125000</v>
      </c>
      <c r="G168" s="20">
        <v>0.9</v>
      </c>
      <c r="H168" s="20">
        <v>0.92</v>
      </c>
      <c r="I168" s="20">
        <v>0.9</v>
      </c>
      <c r="J168" s="25">
        <v>45798.443645833337</v>
      </c>
    </row>
    <row r="169" spans="1:10">
      <c r="A169" s="26" t="s">
        <v>458</v>
      </c>
      <c r="B169" s="27">
        <v>290.7</v>
      </c>
      <c r="C169" s="28">
        <v>8.9999999999999998E-4</v>
      </c>
      <c r="D169" s="29" t="s">
        <v>1259</v>
      </c>
      <c r="E169" s="30">
        <v>26639478</v>
      </c>
      <c r="F169" s="31">
        <v>91324</v>
      </c>
      <c r="G169" s="27">
        <v>290.45</v>
      </c>
      <c r="H169" s="27">
        <v>295</v>
      </c>
      <c r="I169" s="27">
        <v>288.2</v>
      </c>
      <c r="J169" s="32">
        <v>46163.391423611109</v>
      </c>
    </row>
    <row r="170" spans="1:10">
      <c r="A170" s="19" t="s">
        <v>722</v>
      </c>
      <c r="B170" s="20">
        <v>0.88</v>
      </c>
      <c r="C170" s="21">
        <v>8.0000000000000004E-4</v>
      </c>
      <c r="D170" s="22" t="s">
        <v>336</v>
      </c>
      <c r="E170" s="23">
        <v>29578717.93</v>
      </c>
      <c r="F170" s="24">
        <v>33800000</v>
      </c>
      <c r="G170" s="20">
        <v>0.87</v>
      </c>
      <c r="H170" s="20">
        <v>0.88</v>
      </c>
      <c r="I170" s="20">
        <v>0.87</v>
      </c>
      <c r="J170" s="25">
        <v>45792.406805555554</v>
      </c>
    </row>
    <row r="171" spans="1:10">
      <c r="A171" s="26" t="s">
        <v>327</v>
      </c>
      <c r="B171" s="27">
        <v>293</v>
      </c>
      <c r="C171" s="28">
        <v>8.0000000000000004E-4</v>
      </c>
      <c r="D171" s="29" t="s">
        <v>1201</v>
      </c>
      <c r="E171" s="30">
        <v>1758159.13</v>
      </c>
      <c r="F171" s="31">
        <v>5962</v>
      </c>
      <c r="G171" s="27">
        <v>292.76</v>
      </c>
      <c r="H171" s="27">
        <v>299.89999999999998</v>
      </c>
      <c r="I171" s="27">
        <v>292.06</v>
      </c>
      <c r="J171" s="32">
        <v>46163.38989583333</v>
      </c>
    </row>
    <row r="172" spans="1:10">
      <c r="A172" s="19" t="s">
        <v>222</v>
      </c>
      <c r="B172" s="20">
        <v>26.32</v>
      </c>
      <c r="C172" s="21">
        <v>8.0000000000000004E-4</v>
      </c>
      <c r="D172" s="22" t="s">
        <v>957</v>
      </c>
      <c r="E172" s="23">
        <v>54961632</v>
      </c>
      <c r="F172" s="24">
        <v>2088021</v>
      </c>
      <c r="G172" s="20">
        <v>26.2</v>
      </c>
      <c r="H172" s="20">
        <v>26.53</v>
      </c>
      <c r="I172" s="20">
        <v>26.16</v>
      </c>
      <c r="J172" s="25">
        <v>46163.391122685185</v>
      </c>
    </row>
    <row r="173" spans="1:10">
      <c r="A173" s="26" t="s">
        <v>722</v>
      </c>
      <c r="B173" s="27">
        <v>0.83</v>
      </c>
      <c r="C173" s="28">
        <v>8.0000000000000004E-4</v>
      </c>
      <c r="D173" s="29" t="s">
        <v>336</v>
      </c>
      <c r="E173" s="30">
        <v>12844138.949999999</v>
      </c>
      <c r="F173" s="31">
        <v>15625000</v>
      </c>
      <c r="G173" s="27">
        <v>0.82</v>
      </c>
      <c r="H173" s="27">
        <v>0.83</v>
      </c>
      <c r="I173" s="27">
        <v>0.82</v>
      </c>
      <c r="J173" s="32">
        <v>45798.450162037036</v>
      </c>
    </row>
    <row r="174" spans="1:10">
      <c r="A174" s="19" t="s">
        <v>722</v>
      </c>
      <c r="B174" s="23">
        <v>1012.33</v>
      </c>
      <c r="C174" s="21">
        <v>8.0000000000000004E-4</v>
      </c>
      <c r="D174" s="22" t="s">
        <v>1029</v>
      </c>
      <c r="E174" s="23">
        <v>254093636403.20001</v>
      </c>
      <c r="F174" s="24">
        <v>251000000</v>
      </c>
      <c r="G174" s="23">
        <v>1004.37</v>
      </c>
      <c r="H174" s="23">
        <v>1012.33</v>
      </c>
      <c r="I174" s="23">
        <v>1012.33</v>
      </c>
      <c r="J174" s="25">
        <v>45673.500254629631</v>
      </c>
    </row>
    <row r="175" spans="1:10">
      <c r="A175" s="26" t="s">
        <v>444</v>
      </c>
      <c r="B175" s="27">
        <v>30.5</v>
      </c>
      <c r="C175" s="28">
        <v>6.9999999999999999E-4</v>
      </c>
      <c r="D175" s="29" t="s">
        <v>957</v>
      </c>
      <c r="E175" s="30">
        <v>3360048.75</v>
      </c>
      <c r="F175" s="31">
        <v>110007</v>
      </c>
      <c r="G175" s="27">
        <v>30.52</v>
      </c>
      <c r="H175" s="27">
        <v>30.74</v>
      </c>
      <c r="I175" s="27">
        <v>30.41</v>
      </c>
      <c r="J175" s="32">
        <v>46163.391597222224</v>
      </c>
    </row>
    <row r="176" spans="1:10">
      <c r="A176" s="19" t="s">
        <v>352</v>
      </c>
      <c r="B176" s="20">
        <v>57.01</v>
      </c>
      <c r="C176" s="21">
        <v>6.9999999999999999E-4</v>
      </c>
      <c r="D176" s="22" t="s">
        <v>1197</v>
      </c>
      <c r="E176" s="23">
        <v>1286013.6299999999</v>
      </c>
      <c r="F176" s="24">
        <v>22440</v>
      </c>
      <c r="G176" s="20">
        <v>57.03</v>
      </c>
      <c r="H176" s="20">
        <v>57.96</v>
      </c>
      <c r="I176" s="20">
        <v>56.73</v>
      </c>
      <c r="J176" s="25">
        <v>46163.379212962966</v>
      </c>
    </row>
    <row r="177" spans="1:10">
      <c r="A177" s="26" t="s">
        <v>722</v>
      </c>
      <c r="B177" s="27">
        <v>0.86</v>
      </c>
      <c r="C177" s="28">
        <v>6.9999999999999999E-4</v>
      </c>
      <c r="D177" s="29" t="s">
        <v>336</v>
      </c>
      <c r="E177" s="30">
        <v>266947176.09999999</v>
      </c>
      <c r="F177" s="31">
        <v>311525000</v>
      </c>
      <c r="G177" s="27">
        <v>0.86</v>
      </c>
      <c r="H177" s="27">
        <v>0.86</v>
      </c>
      <c r="I177" s="27">
        <v>0.85</v>
      </c>
      <c r="J177" s="32">
        <v>45798.44431712963</v>
      </c>
    </row>
    <row r="178" spans="1:10">
      <c r="A178" s="19" t="s">
        <v>722</v>
      </c>
      <c r="B178" s="20">
        <v>0.93</v>
      </c>
      <c r="C178" s="21">
        <v>5.9999999999999995E-4</v>
      </c>
      <c r="D178" s="22" t="s">
        <v>336</v>
      </c>
      <c r="E178" s="23">
        <v>51837084</v>
      </c>
      <c r="F178" s="24">
        <v>56050000</v>
      </c>
      <c r="G178" s="20">
        <v>0.92</v>
      </c>
      <c r="H178" s="20">
        <v>0.93</v>
      </c>
      <c r="I178" s="20">
        <v>0.92</v>
      </c>
      <c r="J178" s="25">
        <v>45798.421168981484</v>
      </c>
    </row>
    <row r="179" spans="1:10">
      <c r="A179" s="26" t="s">
        <v>722</v>
      </c>
      <c r="B179" s="27">
        <v>0.81</v>
      </c>
      <c r="C179" s="28">
        <v>5.9999999999999995E-4</v>
      </c>
      <c r="D179" s="29" t="s">
        <v>336</v>
      </c>
      <c r="E179" s="30">
        <v>202122496</v>
      </c>
      <c r="F179" s="31">
        <v>250000000</v>
      </c>
      <c r="G179" s="27">
        <v>0.8</v>
      </c>
      <c r="H179" s="27">
        <v>0.81</v>
      </c>
      <c r="I179" s="27">
        <v>0.8</v>
      </c>
      <c r="J179" s="32">
        <v>45789.355949074074</v>
      </c>
    </row>
    <row r="180" spans="1:10">
      <c r="A180" s="19" t="s">
        <v>722</v>
      </c>
      <c r="B180" s="20">
        <v>1</v>
      </c>
      <c r="C180" s="21">
        <v>5.0000000000000001E-4</v>
      </c>
      <c r="D180" s="22" t="s">
        <v>336</v>
      </c>
      <c r="E180" s="23">
        <v>323928854.89999998</v>
      </c>
      <c r="F180" s="24">
        <v>325050000</v>
      </c>
      <c r="G180" s="20">
        <v>0.99</v>
      </c>
      <c r="H180" s="20">
        <v>1</v>
      </c>
      <c r="I180" s="20">
        <v>0.99</v>
      </c>
      <c r="J180" s="25">
        <v>45750.504548611112</v>
      </c>
    </row>
    <row r="181" spans="1:10">
      <c r="A181" s="49"/>
      <c r="B181" s="27">
        <v>98.2</v>
      </c>
      <c r="C181" s="28">
        <v>5.0000000000000001E-4</v>
      </c>
      <c r="D181" s="29" t="s">
        <v>319</v>
      </c>
      <c r="E181" s="30">
        <v>9820</v>
      </c>
      <c r="F181" s="27">
        <v>100</v>
      </c>
      <c r="G181" s="27">
        <v>98.15</v>
      </c>
      <c r="H181" s="27">
        <v>98.2</v>
      </c>
      <c r="I181" s="27">
        <v>98.2</v>
      </c>
      <c r="J181" s="32">
        <v>44717.461273148147</v>
      </c>
    </row>
    <row r="182" spans="1:10">
      <c r="A182" s="19" t="s">
        <v>722</v>
      </c>
      <c r="B182" s="23">
        <v>1031.1199999999999</v>
      </c>
      <c r="C182" s="21">
        <v>5.0000000000000001E-4</v>
      </c>
      <c r="D182" s="22" t="s">
        <v>1099</v>
      </c>
      <c r="E182" s="23">
        <v>10723665510.4</v>
      </c>
      <c r="F182" s="24">
        <v>10400000</v>
      </c>
      <c r="G182" s="23">
        <v>1025.99</v>
      </c>
      <c r="H182" s="23">
        <v>1031.1199999999999</v>
      </c>
      <c r="I182" s="23">
        <v>1025.99</v>
      </c>
      <c r="J182" s="25">
        <v>45791.389236111114</v>
      </c>
    </row>
    <row r="183" spans="1:10">
      <c r="A183" s="26" t="s">
        <v>722</v>
      </c>
      <c r="B183" s="27">
        <v>996.33</v>
      </c>
      <c r="C183" s="28">
        <v>5.0000000000000001E-4</v>
      </c>
      <c r="D183" s="29" t="s">
        <v>1100</v>
      </c>
      <c r="E183" s="30">
        <v>75025399628.800003</v>
      </c>
      <c r="F183" s="31">
        <v>75302000</v>
      </c>
      <c r="G183" s="27">
        <v>991.35</v>
      </c>
      <c r="H183" s="27">
        <v>996.33</v>
      </c>
      <c r="I183" s="27">
        <v>991.35</v>
      </c>
      <c r="J183" s="32">
        <v>45792.371041666665</v>
      </c>
    </row>
    <row r="184" spans="1:10">
      <c r="A184" s="19" t="s">
        <v>722</v>
      </c>
      <c r="B184" s="20">
        <v>0.96</v>
      </c>
      <c r="C184" s="21">
        <v>5.0000000000000001E-4</v>
      </c>
      <c r="D184" s="22" t="s">
        <v>336</v>
      </c>
      <c r="E184" s="23">
        <v>3697739.45</v>
      </c>
      <c r="F184" s="24">
        <v>3875000</v>
      </c>
      <c r="G184" s="20">
        <v>0.95</v>
      </c>
      <c r="H184" s="20">
        <v>0.96</v>
      </c>
      <c r="I184" s="20">
        <v>0.95</v>
      </c>
      <c r="J184" s="25">
        <v>45798.406851851854</v>
      </c>
    </row>
    <row r="185" spans="1:10">
      <c r="A185" s="26" t="s">
        <v>722</v>
      </c>
      <c r="B185" s="27">
        <v>0.85</v>
      </c>
      <c r="C185" s="28">
        <v>4.0000000000000002E-4</v>
      </c>
      <c r="D185" s="27" t="s">
        <v>330</v>
      </c>
      <c r="E185" s="30">
        <v>261257568</v>
      </c>
      <c r="F185" s="31">
        <v>307000000</v>
      </c>
      <c r="G185" s="27">
        <v>0.85</v>
      </c>
      <c r="H185" s="27">
        <v>0.85</v>
      </c>
      <c r="I185" s="27">
        <v>0.85</v>
      </c>
      <c r="J185" s="32">
        <v>45797.410011574073</v>
      </c>
    </row>
    <row r="186" spans="1:10">
      <c r="A186" s="19" t="s">
        <v>722</v>
      </c>
      <c r="B186" s="20">
        <v>0.86</v>
      </c>
      <c r="C186" s="21">
        <v>4.0000000000000002E-4</v>
      </c>
      <c r="D186" s="20" t="s">
        <v>330</v>
      </c>
      <c r="E186" s="23">
        <v>4438630.4000000004</v>
      </c>
      <c r="F186" s="24">
        <v>5150000</v>
      </c>
      <c r="G186" s="20">
        <v>0.86</v>
      </c>
      <c r="H186" s="20">
        <v>0.86</v>
      </c>
      <c r="I186" s="20">
        <v>0.86</v>
      </c>
      <c r="J186" s="25">
        <v>45796.401562500003</v>
      </c>
    </row>
    <row r="187" spans="1:10">
      <c r="A187" s="26" t="s">
        <v>722</v>
      </c>
      <c r="B187" s="27">
        <v>1</v>
      </c>
      <c r="C187" s="28">
        <v>2.9999999999999997E-4</v>
      </c>
      <c r="D187" s="27" t="s">
        <v>330</v>
      </c>
      <c r="E187" s="30">
        <v>199836006.40000001</v>
      </c>
      <c r="F187" s="31">
        <v>200000000</v>
      </c>
      <c r="G187" s="27">
        <v>1</v>
      </c>
      <c r="H187" s="27">
        <v>1</v>
      </c>
      <c r="I187" s="27">
        <v>1</v>
      </c>
      <c r="J187" s="32">
        <v>45648.434849537036</v>
      </c>
    </row>
    <row r="188" spans="1:10">
      <c r="A188" s="19" t="s">
        <v>722</v>
      </c>
      <c r="B188" s="20">
        <v>1</v>
      </c>
      <c r="C188" s="21">
        <v>2.9999999999999997E-4</v>
      </c>
      <c r="D188" s="20" t="s">
        <v>330</v>
      </c>
      <c r="E188" s="23">
        <v>14987700.800000001</v>
      </c>
      <c r="F188" s="24">
        <v>15000000</v>
      </c>
      <c r="G188" s="20">
        <v>1</v>
      </c>
      <c r="H188" s="20">
        <v>1</v>
      </c>
      <c r="I188" s="20">
        <v>1</v>
      </c>
      <c r="J188" s="25">
        <v>45705.445810185185</v>
      </c>
    </row>
    <row r="189" spans="1:10">
      <c r="A189" s="26" t="s">
        <v>722</v>
      </c>
      <c r="B189" s="27">
        <v>1</v>
      </c>
      <c r="C189" s="28">
        <v>2.9999999999999997E-4</v>
      </c>
      <c r="D189" s="27" t="s">
        <v>330</v>
      </c>
      <c r="E189" s="30">
        <v>399431987.19999999</v>
      </c>
      <c r="F189" s="31">
        <v>400000000</v>
      </c>
      <c r="G189" s="27">
        <v>1</v>
      </c>
      <c r="H189" s="27">
        <v>1</v>
      </c>
      <c r="I189" s="27">
        <v>1</v>
      </c>
      <c r="J189" s="32">
        <v>45774.459386574075</v>
      </c>
    </row>
    <row r="190" spans="1:10">
      <c r="A190" s="19" t="s">
        <v>722</v>
      </c>
      <c r="B190" s="20">
        <v>1</v>
      </c>
      <c r="C190" s="21">
        <v>2.9999999999999997E-4</v>
      </c>
      <c r="D190" s="20" t="s">
        <v>330</v>
      </c>
      <c r="E190" s="23">
        <v>1972558054.4000001</v>
      </c>
      <c r="F190" s="24">
        <v>1974832704</v>
      </c>
      <c r="G190" s="20">
        <v>1</v>
      </c>
      <c r="H190" s="20">
        <v>1</v>
      </c>
      <c r="I190" s="20">
        <v>1</v>
      </c>
      <c r="J190" s="25">
        <v>45634.495208333334</v>
      </c>
    </row>
    <row r="191" spans="1:10">
      <c r="A191" s="26" t="s">
        <v>722</v>
      </c>
      <c r="B191" s="27">
        <v>1</v>
      </c>
      <c r="C191" s="28">
        <v>2.9999999999999997E-4</v>
      </c>
      <c r="D191" s="27" t="s">
        <v>330</v>
      </c>
      <c r="E191" s="30">
        <v>94929702.400000006</v>
      </c>
      <c r="F191" s="31">
        <v>95000000</v>
      </c>
      <c r="G191" s="27">
        <v>1</v>
      </c>
      <c r="H191" s="27">
        <v>1</v>
      </c>
      <c r="I191" s="27">
        <v>1</v>
      </c>
      <c r="J191" s="32">
        <v>45684.497812499998</v>
      </c>
    </row>
    <row r="192" spans="1:10">
      <c r="A192" s="19" t="s">
        <v>722</v>
      </c>
      <c r="B192" s="20">
        <v>0.8</v>
      </c>
      <c r="C192" s="21">
        <v>2.9999999999999997E-4</v>
      </c>
      <c r="D192" s="20" t="s">
        <v>330</v>
      </c>
      <c r="E192" s="23">
        <v>162778002</v>
      </c>
      <c r="F192" s="24">
        <v>202600000</v>
      </c>
      <c r="G192" s="20">
        <v>0.8</v>
      </c>
      <c r="H192" s="20">
        <v>0.81</v>
      </c>
      <c r="I192" s="20">
        <v>0.8</v>
      </c>
      <c r="J192" s="25">
        <v>45798.441712962966</v>
      </c>
    </row>
    <row r="193" spans="1:10">
      <c r="A193" s="26" t="s">
        <v>722</v>
      </c>
      <c r="B193" s="27">
        <v>1</v>
      </c>
      <c r="C193" s="28">
        <v>2.9999999999999997E-4</v>
      </c>
      <c r="D193" s="27" t="s">
        <v>330</v>
      </c>
      <c r="E193" s="30">
        <v>2520521779.1999998</v>
      </c>
      <c r="F193" s="31">
        <v>2522300000</v>
      </c>
      <c r="G193" s="27">
        <v>1</v>
      </c>
      <c r="H193" s="27">
        <v>1</v>
      </c>
      <c r="I193" s="27">
        <v>1</v>
      </c>
      <c r="J193" s="32">
        <v>45796.410937499997</v>
      </c>
    </row>
    <row r="194" spans="1:10">
      <c r="A194" s="19" t="s">
        <v>722</v>
      </c>
      <c r="B194" s="20">
        <v>0.85</v>
      </c>
      <c r="C194" s="21">
        <v>2.9999999999999997E-4</v>
      </c>
      <c r="D194" s="20" t="s">
        <v>330</v>
      </c>
      <c r="E194" s="23">
        <v>1711727.5</v>
      </c>
      <c r="F194" s="24">
        <v>2025000</v>
      </c>
      <c r="G194" s="20">
        <v>0.84</v>
      </c>
      <c r="H194" s="20">
        <v>0.85</v>
      </c>
      <c r="I194" s="20">
        <v>0.84</v>
      </c>
      <c r="J194" s="25">
        <v>45798.467638888891</v>
      </c>
    </row>
    <row r="195" spans="1:10">
      <c r="A195" s="26" t="s">
        <v>722</v>
      </c>
      <c r="B195" s="27">
        <v>1</v>
      </c>
      <c r="C195" s="28">
        <v>2.0000000000000001E-4</v>
      </c>
      <c r="D195" s="27" t="s">
        <v>330</v>
      </c>
      <c r="E195" s="30">
        <v>349643167.19999999</v>
      </c>
      <c r="F195" s="31">
        <v>350200000</v>
      </c>
      <c r="G195" s="27">
        <v>1</v>
      </c>
      <c r="H195" s="27">
        <v>1</v>
      </c>
      <c r="I195" s="27">
        <v>1</v>
      </c>
      <c r="J195" s="32">
        <v>45711.496817129628</v>
      </c>
    </row>
    <row r="196" spans="1:10">
      <c r="A196" s="19" t="s">
        <v>722</v>
      </c>
      <c r="B196" s="20">
        <v>0.82</v>
      </c>
      <c r="C196" s="21">
        <v>2.0000000000000001E-4</v>
      </c>
      <c r="D196" s="20" t="s">
        <v>330</v>
      </c>
      <c r="E196" s="23">
        <v>29753657.699999999</v>
      </c>
      <c r="F196" s="24">
        <v>36375000</v>
      </c>
      <c r="G196" s="20">
        <v>0.82</v>
      </c>
      <c r="H196" s="20">
        <v>0.82</v>
      </c>
      <c r="I196" s="20">
        <v>0.82</v>
      </c>
      <c r="J196" s="25">
        <v>45798.426377314812</v>
      </c>
    </row>
    <row r="197" spans="1:10">
      <c r="A197" s="26" t="s">
        <v>722</v>
      </c>
      <c r="B197" s="27">
        <v>1</v>
      </c>
      <c r="C197" s="28">
        <v>2.0000000000000001E-4</v>
      </c>
      <c r="D197" s="27" t="s">
        <v>330</v>
      </c>
      <c r="E197" s="30">
        <v>57458754</v>
      </c>
      <c r="F197" s="31">
        <v>57550000</v>
      </c>
      <c r="G197" s="27">
        <v>1</v>
      </c>
      <c r="H197" s="27">
        <v>1</v>
      </c>
      <c r="I197" s="27">
        <v>1</v>
      </c>
      <c r="J197" s="32">
        <v>45669.488657407404</v>
      </c>
    </row>
    <row r="198" spans="1:10">
      <c r="A198" s="19" t="s">
        <v>722</v>
      </c>
      <c r="B198" s="20">
        <v>1</v>
      </c>
      <c r="C198" s="21">
        <v>2.0000000000000001E-4</v>
      </c>
      <c r="D198" s="20" t="s">
        <v>330</v>
      </c>
      <c r="E198" s="23">
        <v>9985200</v>
      </c>
      <c r="F198" s="24">
        <v>10000000</v>
      </c>
      <c r="G198" s="20">
        <v>1</v>
      </c>
      <c r="H198" s="20">
        <v>1</v>
      </c>
      <c r="I198" s="20">
        <v>1</v>
      </c>
      <c r="J198" s="25">
        <v>45697.500474537039</v>
      </c>
    </row>
    <row r="199" spans="1:10">
      <c r="A199" s="26" t="s">
        <v>722</v>
      </c>
      <c r="B199" s="27">
        <v>1</v>
      </c>
      <c r="C199" s="28">
        <v>2.0000000000000001E-4</v>
      </c>
      <c r="D199" s="27" t="s">
        <v>330</v>
      </c>
      <c r="E199" s="30">
        <v>9084985.5999999996</v>
      </c>
      <c r="F199" s="31">
        <v>9100000</v>
      </c>
      <c r="G199" s="27">
        <v>1</v>
      </c>
      <c r="H199" s="27">
        <v>1</v>
      </c>
      <c r="I199" s="27">
        <v>1</v>
      </c>
      <c r="J199" s="32">
        <v>45725.39806712963</v>
      </c>
    </row>
    <row r="200" spans="1:10">
      <c r="A200" s="19" t="s">
        <v>722</v>
      </c>
      <c r="B200" s="20">
        <v>0.99</v>
      </c>
      <c r="C200" s="21">
        <v>2.0000000000000001E-4</v>
      </c>
      <c r="D200" s="20" t="s">
        <v>330</v>
      </c>
      <c r="E200" s="23">
        <v>1284868175</v>
      </c>
      <c r="F200" s="24">
        <v>1305275000</v>
      </c>
      <c r="G200" s="20">
        <v>0.98</v>
      </c>
      <c r="H200" s="20">
        <v>0.99</v>
      </c>
      <c r="I200" s="20">
        <v>0.98</v>
      </c>
      <c r="J200" s="25">
        <v>45798.421909722223</v>
      </c>
    </row>
    <row r="201" spans="1:10">
      <c r="A201" s="26" t="s">
        <v>722</v>
      </c>
      <c r="B201" s="27">
        <v>0.94</v>
      </c>
      <c r="C201" s="28">
        <v>1E-4</v>
      </c>
      <c r="D201" s="27" t="s">
        <v>330</v>
      </c>
      <c r="E201" s="30">
        <v>642224646.39999998</v>
      </c>
      <c r="F201" s="31">
        <v>686350000</v>
      </c>
      <c r="G201" s="27">
        <v>0.93</v>
      </c>
      <c r="H201" s="27">
        <v>0.94</v>
      </c>
      <c r="I201" s="27">
        <v>0.93</v>
      </c>
      <c r="J201" s="32">
        <v>45798.414756944447</v>
      </c>
    </row>
    <row r="202" spans="1:10">
      <c r="A202" s="19" t="s">
        <v>722</v>
      </c>
      <c r="B202" s="20">
        <v>1</v>
      </c>
      <c r="C202" s="21">
        <v>1E-4</v>
      </c>
      <c r="D202" s="20" t="s">
        <v>330</v>
      </c>
      <c r="E202" s="23">
        <v>213962428.40000001</v>
      </c>
      <c r="F202" s="24">
        <v>214700000</v>
      </c>
      <c r="G202" s="20">
        <v>0.99</v>
      </c>
      <c r="H202" s="20">
        <v>1</v>
      </c>
      <c r="I202" s="20">
        <v>0.99</v>
      </c>
      <c r="J202" s="25">
        <v>45659.450833333336</v>
      </c>
    </row>
    <row r="203" spans="1:10">
      <c r="A203" s="26" t="s">
        <v>722</v>
      </c>
      <c r="B203" s="27">
        <v>0.88</v>
      </c>
      <c r="C203" s="28">
        <v>1E-4</v>
      </c>
      <c r="D203" s="27" t="s">
        <v>330</v>
      </c>
      <c r="E203" s="30">
        <v>569620953.01999998</v>
      </c>
      <c r="F203" s="31">
        <v>645875000</v>
      </c>
      <c r="G203" s="27">
        <v>0.88</v>
      </c>
      <c r="H203" s="27">
        <v>0.9</v>
      </c>
      <c r="I203" s="27">
        <v>0.88</v>
      </c>
      <c r="J203" s="32">
        <v>45798.466979166667</v>
      </c>
    </row>
    <row r="204" spans="1:10">
      <c r="A204" s="19" t="s">
        <v>722</v>
      </c>
      <c r="B204" s="23">
        <v>1012.21</v>
      </c>
      <c r="C204" s="21">
        <v>1E-4</v>
      </c>
      <c r="D204" s="22" t="s">
        <v>1076</v>
      </c>
      <c r="E204" s="23">
        <v>29556565606.400002</v>
      </c>
      <c r="F204" s="24">
        <v>29200000</v>
      </c>
      <c r="G204" s="23">
        <v>1011</v>
      </c>
      <c r="H204" s="23">
        <v>1012.21</v>
      </c>
      <c r="I204" s="23">
        <v>1011</v>
      </c>
      <c r="J204" s="25">
        <v>45743.34983796296</v>
      </c>
    </row>
    <row r="205" spans="1:10">
      <c r="A205" s="26" t="s">
        <v>722</v>
      </c>
      <c r="B205" s="27">
        <v>0.95</v>
      </c>
      <c r="C205" s="28">
        <v>1E-4</v>
      </c>
      <c r="D205" s="27" t="s">
        <v>330</v>
      </c>
      <c r="E205" s="30">
        <v>4271809093.3699999</v>
      </c>
      <c r="F205" s="31">
        <v>4514950000</v>
      </c>
      <c r="G205" s="27">
        <v>0.94</v>
      </c>
      <c r="H205" s="27">
        <v>0.95</v>
      </c>
      <c r="I205" s="27">
        <v>0.94</v>
      </c>
      <c r="J205" s="32">
        <v>45798.455590277779</v>
      </c>
    </row>
    <row r="206" spans="1:10">
      <c r="A206" s="19" t="s">
        <v>722</v>
      </c>
      <c r="B206" s="20">
        <v>0.95</v>
      </c>
      <c r="C206" s="21">
        <v>1E-4</v>
      </c>
      <c r="D206" s="20" t="s">
        <v>330</v>
      </c>
      <c r="E206" s="23">
        <v>357874511.39999998</v>
      </c>
      <c r="F206" s="24">
        <v>376775000</v>
      </c>
      <c r="G206" s="20">
        <v>0.95</v>
      </c>
      <c r="H206" s="20">
        <v>0.95</v>
      </c>
      <c r="I206" s="20">
        <v>0.95</v>
      </c>
      <c r="J206" s="25">
        <v>45798.46130787037</v>
      </c>
    </row>
    <row r="207" spans="1:10">
      <c r="A207" s="26" t="s">
        <v>722</v>
      </c>
      <c r="B207" s="30">
        <v>1044.5899999999999</v>
      </c>
      <c r="C207" s="28">
        <v>1E-4</v>
      </c>
      <c r="D207" s="29" t="s">
        <v>1030</v>
      </c>
      <c r="E207" s="30">
        <v>3363585024</v>
      </c>
      <c r="F207" s="31">
        <v>3220000</v>
      </c>
      <c r="G207" s="30">
        <v>1043.6400000000001</v>
      </c>
      <c r="H207" s="30">
        <v>1044.5899999999999</v>
      </c>
      <c r="I207" s="30">
        <v>1043.6400000000001</v>
      </c>
      <c r="J207" s="32">
        <v>45680.471446759257</v>
      </c>
    </row>
    <row r="208" spans="1:10">
      <c r="A208" s="19" t="s">
        <v>722</v>
      </c>
      <c r="B208" s="23">
        <v>1115.3399999999999</v>
      </c>
      <c r="C208" s="21">
        <v>1E-4</v>
      </c>
      <c r="D208" s="22" t="s">
        <v>1086</v>
      </c>
      <c r="E208" s="23">
        <v>31787289804.799999</v>
      </c>
      <c r="F208" s="24">
        <v>28500000</v>
      </c>
      <c r="G208" s="23">
        <v>1114.31</v>
      </c>
      <c r="H208" s="23">
        <v>1115.3399999999999</v>
      </c>
      <c r="I208" s="23">
        <v>1114.31</v>
      </c>
      <c r="J208" s="25">
        <v>45775.465601851851</v>
      </c>
    </row>
    <row r="209" spans="1:10">
      <c r="A209" s="26" t="s">
        <v>722</v>
      </c>
      <c r="B209" s="30">
        <v>1020.66</v>
      </c>
      <c r="C209" s="28">
        <v>1E-4</v>
      </c>
      <c r="D209" s="29" t="s">
        <v>1083</v>
      </c>
      <c r="E209" s="30">
        <v>336819178700.79999</v>
      </c>
      <c r="F209" s="31">
        <v>330000000</v>
      </c>
      <c r="G209" s="30">
        <v>1019.74</v>
      </c>
      <c r="H209" s="30">
        <v>1020.66</v>
      </c>
      <c r="I209" s="30">
        <v>1019.74</v>
      </c>
      <c r="J209" s="32">
        <v>45797.421898148146</v>
      </c>
    </row>
    <row r="210" spans="1:10">
      <c r="A210" s="19" t="s">
        <v>722</v>
      </c>
      <c r="B210" s="20">
        <v>1</v>
      </c>
      <c r="C210" s="21">
        <v>1E-4</v>
      </c>
      <c r="D210" s="20" t="s">
        <v>330</v>
      </c>
      <c r="E210" s="23">
        <v>2148218470.4000001</v>
      </c>
      <c r="F210" s="24">
        <v>2150000000</v>
      </c>
      <c r="G210" s="20">
        <v>1</v>
      </c>
      <c r="H210" s="20">
        <v>1</v>
      </c>
      <c r="I210" s="20">
        <v>1</v>
      </c>
      <c r="J210" s="25">
        <v>45642.448807870373</v>
      </c>
    </row>
    <row r="211" spans="1:10">
      <c r="A211" s="26" t="s">
        <v>722</v>
      </c>
      <c r="B211" s="27">
        <v>1</v>
      </c>
      <c r="C211" s="28">
        <v>1E-4</v>
      </c>
      <c r="D211" s="27" t="s">
        <v>330</v>
      </c>
      <c r="E211" s="30">
        <v>9992100</v>
      </c>
      <c r="F211" s="31">
        <v>10000000</v>
      </c>
      <c r="G211" s="27">
        <v>1</v>
      </c>
      <c r="H211" s="27">
        <v>1</v>
      </c>
      <c r="I211" s="27">
        <v>1</v>
      </c>
      <c r="J211" s="32">
        <v>45656.463472222225</v>
      </c>
    </row>
    <row r="212" spans="1:10">
      <c r="A212" s="19" t="s">
        <v>722</v>
      </c>
      <c r="B212" s="20">
        <v>1</v>
      </c>
      <c r="C212" s="21">
        <v>1E-4</v>
      </c>
      <c r="D212" s="20" t="s">
        <v>330</v>
      </c>
      <c r="E212" s="23">
        <v>1207076300.8</v>
      </c>
      <c r="F212" s="24">
        <v>1208100000</v>
      </c>
      <c r="G212" s="20">
        <v>1</v>
      </c>
      <c r="H212" s="20">
        <v>1</v>
      </c>
      <c r="I212" s="20">
        <v>1</v>
      </c>
      <c r="J212" s="25">
        <v>45733.452291666668</v>
      </c>
    </row>
    <row r="213" spans="1:10">
      <c r="A213" s="26" t="s">
        <v>722</v>
      </c>
      <c r="B213" s="27">
        <v>1</v>
      </c>
      <c r="C213" s="28">
        <v>1E-4</v>
      </c>
      <c r="D213" s="27" t="s">
        <v>330</v>
      </c>
      <c r="E213" s="30">
        <v>84927028</v>
      </c>
      <c r="F213" s="31">
        <v>85225000</v>
      </c>
      <c r="G213" s="27">
        <v>1</v>
      </c>
      <c r="H213" s="27">
        <v>1</v>
      </c>
      <c r="I213" s="27">
        <v>1</v>
      </c>
      <c r="J213" s="32">
        <v>45764.500069444446</v>
      </c>
    </row>
    <row r="214" spans="1:10">
      <c r="A214" s="19" t="s">
        <v>722</v>
      </c>
      <c r="B214" s="20">
        <v>1</v>
      </c>
      <c r="C214" s="21">
        <v>1E-4</v>
      </c>
      <c r="D214" s="20" t="s">
        <v>330</v>
      </c>
      <c r="E214" s="23">
        <v>2036375385.7</v>
      </c>
      <c r="F214" s="24">
        <v>2043825000</v>
      </c>
      <c r="G214" s="20">
        <v>1</v>
      </c>
      <c r="H214" s="20">
        <v>1</v>
      </c>
      <c r="I214" s="20">
        <v>1</v>
      </c>
      <c r="J214" s="25">
        <v>45743.457997685182</v>
      </c>
    </row>
    <row r="215" spans="1:10">
      <c r="A215" s="26" t="s">
        <v>722</v>
      </c>
      <c r="B215" s="30">
        <v>1024.8800000000001</v>
      </c>
      <c r="C215" s="28">
        <v>1E-4</v>
      </c>
      <c r="D215" s="29" t="s">
        <v>1105</v>
      </c>
      <c r="E215" s="30">
        <v>40995019161.599998</v>
      </c>
      <c r="F215" s="31">
        <v>40000000</v>
      </c>
      <c r="G215" s="30">
        <v>1024.2</v>
      </c>
      <c r="H215" s="30">
        <v>1024.8800000000001</v>
      </c>
      <c r="I215" s="30">
        <v>1024.2</v>
      </c>
      <c r="J215" s="32">
        <v>45797.450567129628</v>
      </c>
    </row>
    <row r="216" spans="1:10">
      <c r="A216" s="19" t="s">
        <v>722</v>
      </c>
      <c r="B216" s="20">
        <v>0.91</v>
      </c>
      <c r="C216" s="21">
        <v>1E-4</v>
      </c>
      <c r="D216" s="20" t="s">
        <v>330</v>
      </c>
      <c r="E216" s="23">
        <v>4833427251.1999998</v>
      </c>
      <c r="F216" s="24">
        <v>5325700000</v>
      </c>
      <c r="G216" s="20">
        <v>0.91</v>
      </c>
      <c r="H216" s="20">
        <v>0.92</v>
      </c>
      <c r="I216" s="20">
        <v>0.87</v>
      </c>
      <c r="J216" s="25">
        <v>45798.443344907406</v>
      </c>
    </row>
    <row r="217" spans="1:10">
      <c r="A217" s="26" t="s">
        <v>722</v>
      </c>
      <c r="B217" s="27">
        <v>1</v>
      </c>
      <c r="C217" s="28">
        <v>1E-4</v>
      </c>
      <c r="D217" s="27" t="s">
        <v>330</v>
      </c>
      <c r="E217" s="30">
        <v>5010859456</v>
      </c>
      <c r="F217" s="31">
        <v>5015000000</v>
      </c>
      <c r="G217" s="27">
        <v>1</v>
      </c>
      <c r="H217" s="27">
        <v>1</v>
      </c>
      <c r="I217" s="27">
        <v>1</v>
      </c>
      <c r="J217" s="32">
        <v>45740.463935185187</v>
      </c>
    </row>
    <row r="218" spans="1:10">
      <c r="A218" s="19" t="s">
        <v>722</v>
      </c>
      <c r="B218" s="20">
        <v>1</v>
      </c>
      <c r="C218" s="21">
        <v>1E-4</v>
      </c>
      <c r="D218" s="20" t="s">
        <v>330</v>
      </c>
      <c r="E218" s="23">
        <v>568012608</v>
      </c>
      <c r="F218" s="24">
        <v>568500000</v>
      </c>
      <c r="G218" s="20">
        <v>1</v>
      </c>
      <c r="H218" s="20">
        <v>1</v>
      </c>
      <c r="I218" s="20">
        <v>1</v>
      </c>
      <c r="J218" s="25">
        <v>45761.404872685183</v>
      </c>
    </row>
    <row r="219" spans="1:10">
      <c r="A219" s="26" t="s">
        <v>722</v>
      </c>
      <c r="B219" s="27">
        <v>0.87</v>
      </c>
      <c r="C219" s="28">
        <v>1E-4</v>
      </c>
      <c r="D219" s="27" t="s">
        <v>330</v>
      </c>
      <c r="E219" s="30">
        <v>45702355.020000003</v>
      </c>
      <c r="F219" s="31">
        <v>52300000</v>
      </c>
      <c r="G219" s="27">
        <v>0.87</v>
      </c>
      <c r="H219" s="27">
        <v>0.88</v>
      </c>
      <c r="I219" s="27">
        <v>0.87</v>
      </c>
      <c r="J219" s="32">
        <v>45798.466041666667</v>
      </c>
    </row>
    <row r="220" spans="1:10">
      <c r="A220" s="19" t="s">
        <v>722</v>
      </c>
      <c r="B220" s="20">
        <v>1</v>
      </c>
      <c r="C220" s="21">
        <v>1E-4</v>
      </c>
      <c r="D220" s="20" t="s">
        <v>330</v>
      </c>
      <c r="E220" s="23">
        <v>94517401.799999997</v>
      </c>
      <c r="F220" s="24">
        <v>94925000</v>
      </c>
      <c r="G220" s="20">
        <v>0.99</v>
      </c>
      <c r="H220" s="20">
        <v>1</v>
      </c>
      <c r="I220" s="20">
        <v>0.99</v>
      </c>
      <c r="J220" s="25">
        <v>45798.444687499999</v>
      </c>
    </row>
    <row r="221" spans="1:10">
      <c r="A221" s="26" t="s">
        <v>346</v>
      </c>
      <c r="B221" s="27">
        <v>25</v>
      </c>
      <c r="C221" s="28">
        <v>0</v>
      </c>
      <c r="D221" s="27" t="s">
        <v>330</v>
      </c>
      <c r="E221" s="30">
        <v>2121751.5</v>
      </c>
      <c r="F221" s="31">
        <v>85830</v>
      </c>
      <c r="G221" s="27">
        <v>24.86</v>
      </c>
      <c r="H221" s="27">
        <v>25.29</v>
      </c>
      <c r="I221" s="27">
        <v>24.4</v>
      </c>
      <c r="J221" s="32">
        <v>46163.38658564815</v>
      </c>
    </row>
    <row r="222" spans="1:10">
      <c r="A222" s="19" t="s">
        <v>1140</v>
      </c>
      <c r="B222" s="20">
        <v>0</v>
      </c>
      <c r="C222" s="21">
        <v>0</v>
      </c>
      <c r="D222" s="20" t="s">
        <v>330</v>
      </c>
      <c r="E222" s="20">
        <v>0</v>
      </c>
      <c r="F222" s="20">
        <v>0</v>
      </c>
      <c r="G222" s="20">
        <v>5</v>
      </c>
      <c r="H222" s="20">
        <v>0</v>
      </c>
      <c r="I222" s="20">
        <v>0</v>
      </c>
      <c r="J222" s="25">
        <v>45931.451631944445</v>
      </c>
    </row>
    <row r="223" spans="1:10">
      <c r="A223" s="26" t="s">
        <v>451</v>
      </c>
      <c r="B223" s="27">
        <v>95.7</v>
      </c>
      <c r="C223" s="28">
        <v>0</v>
      </c>
      <c r="D223" s="27" t="s">
        <v>330</v>
      </c>
      <c r="E223" s="30">
        <v>1148.4000000000001</v>
      </c>
      <c r="F223" s="27">
        <v>12</v>
      </c>
      <c r="G223" s="27">
        <v>95.7</v>
      </c>
      <c r="H223" s="27">
        <v>95.7</v>
      </c>
      <c r="I223" s="27">
        <v>95.7</v>
      </c>
      <c r="J223" s="32">
        <v>46160.385509259257</v>
      </c>
    </row>
    <row r="224" spans="1:10">
      <c r="A224" s="19" t="s">
        <v>879</v>
      </c>
      <c r="B224" s="20">
        <v>17</v>
      </c>
      <c r="C224" s="21">
        <v>0</v>
      </c>
      <c r="D224" s="20" t="s">
        <v>330</v>
      </c>
      <c r="E224" s="23">
        <v>1617650.38</v>
      </c>
      <c r="F224" s="24">
        <v>95745</v>
      </c>
      <c r="G224" s="20">
        <v>17</v>
      </c>
      <c r="H224" s="20">
        <v>17.21</v>
      </c>
      <c r="I224" s="20">
        <v>16.5</v>
      </c>
      <c r="J224" s="25">
        <v>46162.395752314813</v>
      </c>
    </row>
    <row r="225" spans="1:10">
      <c r="A225" s="26" t="s">
        <v>350</v>
      </c>
      <c r="B225" s="27">
        <v>20</v>
      </c>
      <c r="C225" s="28">
        <v>0</v>
      </c>
      <c r="D225" s="27" t="s">
        <v>330</v>
      </c>
      <c r="E225" s="30">
        <v>100702.9</v>
      </c>
      <c r="F225" s="31">
        <v>5068</v>
      </c>
      <c r="G225" s="27">
        <v>20</v>
      </c>
      <c r="H225" s="27">
        <v>20.3</v>
      </c>
      <c r="I225" s="27">
        <v>17.7</v>
      </c>
      <c r="J225" s="32">
        <v>46162.395555555559</v>
      </c>
    </row>
    <row r="226" spans="1:10">
      <c r="A226" s="19" t="s">
        <v>660</v>
      </c>
      <c r="B226" s="20">
        <v>480.75</v>
      </c>
      <c r="C226" s="21">
        <v>0</v>
      </c>
      <c r="D226" s="20" t="s">
        <v>330</v>
      </c>
      <c r="E226" s="23">
        <v>28845</v>
      </c>
      <c r="F226" s="20">
        <v>60</v>
      </c>
      <c r="G226" s="20">
        <v>480.75</v>
      </c>
      <c r="H226" s="20">
        <v>480.75</v>
      </c>
      <c r="I226" s="20">
        <v>480.75</v>
      </c>
      <c r="J226" s="25">
        <v>44546.508101851854</v>
      </c>
    </row>
    <row r="227" spans="1:10">
      <c r="A227" s="26" t="s">
        <v>277</v>
      </c>
      <c r="B227" s="27">
        <v>22.19</v>
      </c>
      <c r="C227" s="28">
        <v>0</v>
      </c>
      <c r="D227" s="27" t="s">
        <v>330</v>
      </c>
      <c r="E227" s="30">
        <v>5527827.5</v>
      </c>
      <c r="F227" s="31">
        <v>250388</v>
      </c>
      <c r="G227" s="27">
        <v>22.2</v>
      </c>
      <c r="H227" s="27">
        <v>22.45</v>
      </c>
      <c r="I227" s="27">
        <v>21.8</v>
      </c>
      <c r="J227" s="32">
        <v>46163.389351851853</v>
      </c>
    </row>
    <row r="228" spans="1:10">
      <c r="A228" s="19" t="s">
        <v>360</v>
      </c>
      <c r="B228" s="23">
        <v>1250</v>
      </c>
      <c r="C228" s="21">
        <v>0</v>
      </c>
      <c r="D228" s="20" t="s">
        <v>330</v>
      </c>
      <c r="E228" s="23">
        <v>7500</v>
      </c>
      <c r="F228" s="20">
        <v>6</v>
      </c>
      <c r="G228" s="23">
        <v>1250</v>
      </c>
      <c r="H228" s="23">
        <v>1250</v>
      </c>
      <c r="I228" s="23">
        <v>1250</v>
      </c>
      <c r="J228" s="25">
        <v>46162.378506944442</v>
      </c>
    </row>
    <row r="229" spans="1:10">
      <c r="A229" s="26" t="s">
        <v>320</v>
      </c>
      <c r="B229" s="27">
        <v>12</v>
      </c>
      <c r="C229" s="28">
        <v>0</v>
      </c>
      <c r="D229" s="27" t="s">
        <v>330</v>
      </c>
      <c r="E229" s="30">
        <v>84913.16</v>
      </c>
      <c r="F229" s="31">
        <v>7122</v>
      </c>
      <c r="G229" s="27">
        <v>12</v>
      </c>
      <c r="H229" s="27">
        <v>12.01</v>
      </c>
      <c r="I229" s="27">
        <v>11.8</v>
      </c>
      <c r="J229" s="32">
        <v>46162.39565972222</v>
      </c>
    </row>
    <row r="230" spans="1:10">
      <c r="A230" s="19" t="s">
        <v>266</v>
      </c>
      <c r="B230" s="20">
        <v>2.25</v>
      </c>
      <c r="C230" s="21">
        <v>0</v>
      </c>
      <c r="D230" s="20" t="s">
        <v>330</v>
      </c>
      <c r="E230" s="23">
        <v>2883881</v>
      </c>
      <c r="F230" s="24">
        <v>1281773</v>
      </c>
      <c r="G230" s="20">
        <v>2.25</v>
      </c>
      <c r="H230" s="20">
        <v>2.2799999999999998</v>
      </c>
      <c r="I230" s="20">
        <v>2.21</v>
      </c>
      <c r="J230" s="25">
        <v>46163.390787037039</v>
      </c>
    </row>
    <row r="231" spans="1:10">
      <c r="A231" s="26" t="s">
        <v>211</v>
      </c>
      <c r="B231" s="27">
        <v>141</v>
      </c>
      <c r="C231" s="28">
        <v>0</v>
      </c>
      <c r="D231" s="27" t="s">
        <v>330</v>
      </c>
      <c r="E231" s="30">
        <v>336010.69</v>
      </c>
      <c r="F231" s="31">
        <v>2383</v>
      </c>
      <c r="G231" s="27">
        <v>141</v>
      </c>
      <c r="H231" s="27">
        <v>141.69999999999999</v>
      </c>
      <c r="I231" s="27">
        <v>141</v>
      </c>
      <c r="J231" s="32">
        <v>46162.394479166665</v>
      </c>
    </row>
    <row r="232" spans="1:10">
      <c r="A232" s="19" t="s">
        <v>251</v>
      </c>
      <c r="B232" s="20">
        <v>0.1</v>
      </c>
      <c r="C232" s="21">
        <v>0</v>
      </c>
      <c r="D232" s="20" t="s">
        <v>330</v>
      </c>
      <c r="E232" s="23">
        <v>4008.9</v>
      </c>
      <c r="F232" s="24">
        <v>38180</v>
      </c>
      <c r="G232" s="20">
        <v>0.1</v>
      </c>
      <c r="H232" s="20">
        <v>0.1</v>
      </c>
      <c r="I232" s="20">
        <v>0.1</v>
      </c>
      <c r="J232" s="25">
        <v>46163.364872685182</v>
      </c>
    </row>
    <row r="233" spans="1:10">
      <c r="A233" s="26" t="s">
        <v>431</v>
      </c>
      <c r="B233" s="27">
        <v>0.34</v>
      </c>
      <c r="C233" s="28">
        <v>0</v>
      </c>
      <c r="D233" s="27" t="s">
        <v>330</v>
      </c>
      <c r="E233" s="30">
        <v>3508196</v>
      </c>
      <c r="F233" s="31">
        <v>10284419</v>
      </c>
      <c r="G233" s="27">
        <v>0.34</v>
      </c>
      <c r="H233" s="27">
        <v>0.34</v>
      </c>
      <c r="I233" s="27">
        <v>0.34</v>
      </c>
      <c r="J233" s="32">
        <v>46163.391365740739</v>
      </c>
    </row>
    <row r="234" spans="1:10">
      <c r="A234" s="19" t="s">
        <v>995</v>
      </c>
      <c r="B234" s="20">
        <v>27.6</v>
      </c>
      <c r="C234" s="21">
        <v>0</v>
      </c>
      <c r="D234" s="20" t="s">
        <v>330</v>
      </c>
      <c r="E234" s="23">
        <v>2014.8</v>
      </c>
      <c r="F234" s="20">
        <v>73</v>
      </c>
      <c r="G234" s="20">
        <v>27.6</v>
      </c>
      <c r="H234" s="20">
        <v>27.6</v>
      </c>
      <c r="I234" s="20">
        <v>27.6</v>
      </c>
      <c r="J234" s="25">
        <v>46162.375023148146</v>
      </c>
    </row>
    <row r="235" spans="1:10">
      <c r="A235" s="26" t="s">
        <v>674</v>
      </c>
      <c r="B235" s="27">
        <v>12.54</v>
      </c>
      <c r="C235" s="28">
        <v>0</v>
      </c>
      <c r="D235" s="27" t="s">
        <v>330</v>
      </c>
      <c r="E235" s="30">
        <v>24849202</v>
      </c>
      <c r="F235" s="31">
        <v>1404559</v>
      </c>
      <c r="G235" s="27">
        <v>17.690000000000001</v>
      </c>
      <c r="H235" s="27">
        <v>17.690000000000001</v>
      </c>
      <c r="I235" s="27">
        <v>17.690000000000001</v>
      </c>
      <c r="J235" s="32">
        <v>44679.410405092596</v>
      </c>
    </row>
    <row r="236" spans="1:10">
      <c r="A236" s="19" t="s">
        <v>161</v>
      </c>
      <c r="B236" s="20">
        <v>47.7</v>
      </c>
      <c r="C236" s="21">
        <v>0</v>
      </c>
      <c r="D236" s="20" t="s">
        <v>330</v>
      </c>
      <c r="E236" s="23">
        <v>4118873</v>
      </c>
      <c r="F236" s="24">
        <v>86123</v>
      </c>
      <c r="G236" s="20">
        <v>47.7</v>
      </c>
      <c r="H236" s="20">
        <v>48.48</v>
      </c>
      <c r="I236" s="20">
        <v>47.6</v>
      </c>
      <c r="J236" s="25">
        <v>46163.390775462962</v>
      </c>
    </row>
    <row r="237" spans="1:10">
      <c r="A237" s="26" t="s">
        <v>417</v>
      </c>
      <c r="B237" s="27">
        <v>5.2</v>
      </c>
      <c r="C237" s="28">
        <v>0</v>
      </c>
      <c r="D237" s="27" t="s">
        <v>330</v>
      </c>
      <c r="E237" s="30">
        <v>269226688</v>
      </c>
      <c r="F237" s="31">
        <v>51629609</v>
      </c>
      <c r="G237" s="27">
        <v>5.2</v>
      </c>
      <c r="H237" s="27">
        <v>5.26</v>
      </c>
      <c r="I237" s="27">
        <v>5.14</v>
      </c>
      <c r="J237" s="32">
        <v>46163.391226851854</v>
      </c>
    </row>
    <row r="238" spans="1:10">
      <c r="A238" s="19" t="s">
        <v>722</v>
      </c>
      <c r="B238" s="20">
        <v>997.7</v>
      </c>
      <c r="C238" s="21">
        <v>0</v>
      </c>
      <c r="D238" s="33" t="s">
        <v>389</v>
      </c>
      <c r="E238" s="23">
        <v>997700403.20000005</v>
      </c>
      <c r="F238" s="24">
        <v>1000000</v>
      </c>
      <c r="G238" s="20">
        <v>997.73</v>
      </c>
      <c r="H238" s="20">
        <v>997.73</v>
      </c>
      <c r="I238" s="20">
        <v>997.7</v>
      </c>
      <c r="J238" s="25">
        <v>45742.449421296296</v>
      </c>
    </row>
    <row r="239" spans="1:10">
      <c r="A239" s="26" t="s">
        <v>1141</v>
      </c>
      <c r="B239" s="27">
        <v>0</v>
      </c>
      <c r="C239" s="28">
        <v>0</v>
      </c>
      <c r="D239" s="27" t="s">
        <v>330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32">
        <v>45931.451631944445</v>
      </c>
    </row>
    <row r="240" spans="1:10">
      <c r="A240" s="19" t="s">
        <v>1135</v>
      </c>
      <c r="B240" s="20">
        <v>0.61</v>
      </c>
      <c r="C240" s="21">
        <v>0</v>
      </c>
      <c r="D240" s="20" t="s">
        <v>330</v>
      </c>
      <c r="E240" s="23">
        <v>3624054</v>
      </c>
      <c r="F240" s="24">
        <v>5945682</v>
      </c>
      <c r="G240" s="20">
        <v>0.61</v>
      </c>
      <c r="H240" s="20">
        <v>0.62</v>
      </c>
      <c r="I240" s="20">
        <v>0.6</v>
      </c>
      <c r="J240" s="25">
        <v>46163.390231481484</v>
      </c>
    </row>
    <row r="241" spans="1:10">
      <c r="A241" s="26" t="s">
        <v>722</v>
      </c>
      <c r="B241" s="27">
        <v>926.61</v>
      </c>
      <c r="C241" s="28">
        <v>0</v>
      </c>
      <c r="D241" s="27" t="s">
        <v>330</v>
      </c>
      <c r="E241" s="30">
        <v>92660998.400000006</v>
      </c>
      <c r="F241" s="31">
        <v>100000</v>
      </c>
      <c r="G241" s="27">
        <v>926.61</v>
      </c>
      <c r="H241" s="27">
        <v>926.61</v>
      </c>
      <c r="I241" s="27">
        <v>926.61</v>
      </c>
      <c r="J241" s="32">
        <v>45048</v>
      </c>
    </row>
    <row r="242" spans="1:10">
      <c r="A242" s="19" t="s">
        <v>722</v>
      </c>
      <c r="B242" s="20">
        <v>880.34</v>
      </c>
      <c r="C242" s="21">
        <v>0</v>
      </c>
      <c r="D242" s="20" t="s">
        <v>330</v>
      </c>
      <c r="E242" s="23">
        <v>5282054144</v>
      </c>
      <c r="F242" s="24">
        <v>6000000</v>
      </c>
      <c r="G242" s="20">
        <v>880.34</v>
      </c>
      <c r="H242" s="20">
        <v>880.34</v>
      </c>
      <c r="I242" s="20">
        <v>880.34</v>
      </c>
      <c r="J242" s="25">
        <v>45090</v>
      </c>
    </row>
    <row r="243" spans="1:10">
      <c r="A243" s="26" t="s">
        <v>333</v>
      </c>
      <c r="B243" s="27">
        <v>1.1499999999999999</v>
      </c>
      <c r="C243" s="28">
        <v>0</v>
      </c>
      <c r="D243" s="27" t="s">
        <v>330</v>
      </c>
      <c r="E243" s="30">
        <v>351085.59</v>
      </c>
      <c r="F243" s="31">
        <v>304918</v>
      </c>
      <c r="G243" s="27">
        <v>1.1499999999999999</v>
      </c>
      <c r="H243" s="27">
        <v>1.1599999999999999</v>
      </c>
      <c r="I243" s="27">
        <v>1.1399999999999999</v>
      </c>
      <c r="J243" s="32">
        <v>46163.388460648152</v>
      </c>
    </row>
    <row r="244" spans="1:10">
      <c r="A244" s="19" t="s">
        <v>293</v>
      </c>
      <c r="B244" s="20">
        <v>13.19</v>
      </c>
      <c r="C244" s="21">
        <v>0</v>
      </c>
      <c r="D244" s="20" t="s">
        <v>330</v>
      </c>
      <c r="E244" s="23">
        <v>3868296.5</v>
      </c>
      <c r="F244" s="24">
        <v>293457</v>
      </c>
      <c r="G244" s="20">
        <v>13.22</v>
      </c>
      <c r="H244" s="20">
        <v>13.28</v>
      </c>
      <c r="I244" s="20">
        <v>13.07</v>
      </c>
      <c r="J244" s="25">
        <v>46163.390960648147</v>
      </c>
    </row>
    <row r="245" spans="1:10">
      <c r="A245" s="26" t="s">
        <v>722</v>
      </c>
      <c r="B245" s="27">
        <v>1</v>
      </c>
      <c r="C245" s="28">
        <v>0</v>
      </c>
      <c r="D245" s="27" t="s">
        <v>330</v>
      </c>
      <c r="E245" s="30">
        <v>84622778</v>
      </c>
      <c r="F245" s="31">
        <v>85000000</v>
      </c>
      <c r="G245" s="27">
        <v>0.99</v>
      </c>
      <c r="H245" s="27">
        <v>1</v>
      </c>
      <c r="I245" s="27">
        <v>1</v>
      </c>
      <c r="J245" s="32">
        <v>45602.440972222219</v>
      </c>
    </row>
    <row r="246" spans="1:10">
      <c r="A246" s="19" t="s">
        <v>843</v>
      </c>
      <c r="B246" s="20">
        <v>0.09</v>
      </c>
      <c r="C246" s="21">
        <v>0</v>
      </c>
      <c r="D246" s="20" t="s">
        <v>330</v>
      </c>
      <c r="E246" s="23">
        <v>3859595</v>
      </c>
      <c r="F246" s="24">
        <v>43423108</v>
      </c>
      <c r="G246" s="20">
        <v>0.09</v>
      </c>
      <c r="H246" s="20">
        <v>0.09</v>
      </c>
      <c r="I246" s="20">
        <v>0.09</v>
      </c>
      <c r="J246" s="25">
        <v>46163.390057870369</v>
      </c>
    </row>
    <row r="247" spans="1:10">
      <c r="A247" s="26" t="s">
        <v>720</v>
      </c>
      <c r="B247" s="27">
        <v>2.74</v>
      </c>
      <c r="C247" s="28">
        <v>0</v>
      </c>
      <c r="D247" s="27" t="s">
        <v>330</v>
      </c>
      <c r="E247" s="30">
        <v>3218084</v>
      </c>
      <c r="F247" s="31">
        <v>1174679</v>
      </c>
      <c r="G247" s="27">
        <v>2.73</v>
      </c>
      <c r="H247" s="27">
        <v>2.75</v>
      </c>
      <c r="I247" s="27">
        <v>2.73</v>
      </c>
      <c r="J247" s="32">
        <v>46163.389236111114</v>
      </c>
    </row>
    <row r="248" spans="1:10">
      <c r="A248" s="19" t="s">
        <v>722</v>
      </c>
      <c r="B248" s="20">
        <v>1</v>
      </c>
      <c r="C248" s="21">
        <v>0</v>
      </c>
      <c r="D248" s="20" t="s">
        <v>330</v>
      </c>
      <c r="E248" s="23">
        <v>160084732.19999999</v>
      </c>
      <c r="F248" s="24">
        <v>160725000</v>
      </c>
      <c r="G248" s="20">
        <v>1</v>
      </c>
      <c r="H248" s="20">
        <v>1</v>
      </c>
      <c r="I248" s="20">
        <v>1</v>
      </c>
      <c r="J248" s="25">
        <v>45785.460127314815</v>
      </c>
    </row>
    <row r="249" spans="1:10">
      <c r="A249" s="26" t="s">
        <v>722</v>
      </c>
      <c r="B249" s="27">
        <v>0.99</v>
      </c>
      <c r="C249" s="28">
        <v>0</v>
      </c>
      <c r="D249" s="27" t="s">
        <v>330</v>
      </c>
      <c r="E249" s="30">
        <v>457772845.86000001</v>
      </c>
      <c r="F249" s="31">
        <v>462175000</v>
      </c>
      <c r="G249" s="27">
        <v>0.99</v>
      </c>
      <c r="H249" s="27">
        <v>0.99</v>
      </c>
      <c r="I249" s="27">
        <v>0.99</v>
      </c>
      <c r="J249" s="32">
        <v>45798.463090277779</v>
      </c>
    </row>
    <row r="250" spans="1:10">
      <c r="A250" s="19" t="s">
        <v>722</v>
      </c>
      <c r="B250" s="20">
        <v>0.98</v>
      </c>
      <c r="C250" s="21">
        <v>0</v>
      </c>
      <c r="D250" s="20" t="s">
        <v>330</v>
      </c>
      <c r="E250" s="23">
        <v>342456968.39999998</v>
      </c>
      <c r="F250" s="24">
        <v>349575000</v>
      </c>
      <c r="G250" s="20">
        <v>0.98</v>
      </c>
      <c r="H250" s="20">
        <v>0.99</v>
      </c>
      <c r="I250" s="20">
        <v>0.98</v>
      </c>
      <c r="J250" s="25">
        <v>45798.454212962963</v>
      </c>
    </row>
    <row r="251" spans="1:10">
      <c r="A251" s="26" t="s">
        <v>722</v>
      </c>
      <c r="B251" s="30">
        <v>1026.29</v>
      </c>
      <c r="C251" s="28">
        <v>0</v>
      </c>
      <c r="D251" s="27" t="s">
        <v>330</v>
      </c>
      <c r="E251" s="30">
        <v>41051530854.400002</v>
      </c>
      <c r="F251" s="31">
        <v>40000000</v>
      </c>
      <c r="G251" s="30">
        <v>1026.29</v>
      </c>
      <c r="H251" s="30">
        <v>1026.29</v>
      </c>
      <c r="I251" s="30">
        <v>1026.29</v>
      </c>
      <c r="J251" s="32">
        <v>45699.486539351848</v>
      </c>
    </row>
    <row r="252" spans="1:10">
      <c r="A252" s="19" t="s">
        <v>1147</v>
      </c>
      <c r="B252" s="20">
        <v>4.55</v>
      </c>
      <c r="C252" s="21">
        <v>0</v>
      </c>
      <c r="D252" s="20" t="s">
        <v>330</v>
      </c>
      <c r="E252" s="23">
        <v>694532.94</v>
      </c>
      <c r="F252" s="24">
        <v>151772</v>
      </c>
      <c r="G252" s="20">
        <v>4.5199999999999996</v>
      </c>
      <c r="H252" s="20">
        <v>4.7</v>
      </c>
      <c r="I252" s="20">
        <v>4.4000000000000004</v>
      </c>
      <c r="J252" s="25">
        <v>46163.382013888891</v>
      </c>
    </row>
    <row r="253" spans="1:10">
      <c r="A253" s="26" t="s">
        <v>722</v>
      </c>
      <c r="B253" s="27">
        <v>0.83</v>
      </c>
      <c r="C253" s="28">
        <v>0</v>
      </c>
      <c r="D253" s="27" t="s">
        <v>330</v>
      </c>
      <c r="E253" s="30">
        <v>125224499.2</v>
      </c>
      <c r="F253" s="31">
        <v>150000000</v>
      </c>
      <c r="G253" s="27">
        <v>0.83</v>
      </c>
      <c r="H253" s="27">
        <v>0.83</v>
      </c>
      <c r="I253" s="27">
        <v>0.83</v>
      </c>
      <c r="J253" s="32">
        <v>45798.379050925927</v>
      </c>
    </row>
    <row r="254" spans="1:10">
      <c r="A254" s="19" t="s">
        <v>722</v>
      </c>
      <c r="B254" s="20">
        <v>0.82</v>
      </c>
      <c r="C254" s="21">
        <v>0</v>
      </c>
      <c r="D254" s="20" t="s">
        <v>330</v>
      </c>
      <c r="E254" s="23">
        <v>798285721.60000002</v>
      </c>
      <c r="F254" s="24">
        <v>970000000</v>
      </c>
      <c r="G254" s="20">
        <v>0.82</v>
      </c>
      <c r="H254" s="20">
        <v>0.82</v>
      </c>
      <c r="I254" s="20">
        <v>0.82</v>
      </c>
      <c r="J254" s="25">
        <v>45792.464016203703</v>
      </c>
    </row>
    <row r="255" spans="1:10">
      <c r="A255" s="26" t="s">
        <v>722</v>
      </c>
      <c r="B255" s="27">
        <v>0.82</v>
      </c>
      <c r="C255" s="28">
        <v>0</v>
      </c>
      <c r="D255" s="27" t="s">
        <v>330</v>
      </c>
      <c r="E255" s="30">
        <v>215922683.19999999</v>
      </c>
      <c r="F255" s="31">
        <v>264475000</v>
      </c>
      <c r="G255" s="27">
        <v>0.82</v>
      </c>
      <c r="H255" s="27">
        <v>0.82</v>
      </c>
      <c r="I255" s="27">
        <v>0.82</v>
      </c>
      <c r="J255" s="32">
        <v>45798.42696759259</v>
      </c>
    </row>
    <row r="256" spans="1:10">
      <c r="A256" s="19" t="s">
        <v>722</v>
      </c>
      <c r="B256" s="23">
        <v>1053.5</v>
      </c>
      <c r="C256" s="21">
        <v>0</v>
      </c>
      <c r="D256" s="33" t="s">
        <v>935</v>
      </c>
      <c r="E256" s="23">
        <v>7374513766.3999996</v>
      </c>
      <c r="F256" s="24">
        <v>7000000</v>
      </c>
      <c r="G256" s="23">
        <v>1053.57</v>
      </c>
      <c r="H256" s="23">
        <v>1053.57</v>
      </c>
      <c r="I256" s="23">
        <v>1053.5</v>
      </c>
      <c r="J256" s="25">
        <v>45712.507349537038</v>
      </c>
    </row>
    <row r="257" spans="1:10">
      <c r="A257" s="26" t="s">
        <v>722</v>
      </c>
      <c r="B257" s="27">
        <v>996.12</v>
      </c>
      <c r="C257" s="28">
        <v>0</v>
      </c>
      <c r="D257" s="34" t="s">
        <v>1047</v>
      </c>
      <c r="E257" s="30">
        <v>80394056499.199997</v>
      </c>
      <c r="F257" s="31">
        <v>80800000</v>
      </c>
      <c r="G257" s="27">
        <v>996.2</v>
      </c>
      <c r="H257" s="27">
        <v>996.73</v>
      </c>
      <c r="I257" s="27">
        <v>993.78</v>
      </c>
      <c r="J257" s="32">
        <v>45797.462962962964</v>
      </c>
    </row>
    <row r="258" spans="1:10">
      <c r="A258" s="19" t="s">
        <v>722</v>
      </c>
      <c r="B258" s="20">
        <v>0.89</v>
      </c>
      <c r="C258" s="21">
        <v>-1E-4</v>
      </c>
      <c r="D258" s="20" t="s">
        <v>754</v>
      </c>
      <c r="E258" s="23">
        <v>278455255.60000002</v>
      </c>
      <c r="F258" s="24">
        <v>311625000</v>
      </c>
      <c r="G258" s="20">
        <v>0.89</v>
      </c>
      <c r="H258" s="20">
        <v>0.9</v>
      </c>
      <c r="I258" s="20">
        <v>0.89</v>
      </c>
      <c r="J258" s="25">
        <v>45797.429189814815</v>
      </c>
    </row>
    <row r="259" spans="1:10">
      <c r="A259" s="26" t="s">
        <v>722</v>
      </c>
      <c r="B259" s="27">
        <v>0.8</v>
      </c>
      <c r="C259" s="28">
        <v>-1E-4</v>
      </c>
      <c r="D259" s="27" t="s">
        <v>754</v>
      </c>
      <c r="E259" s="30">
        <v>76574425.599999994</v>
      </c>
      <c r="F259" s="31">
        <v>95275000</v>
      </c>
      <c r="G259" s="27">
        <v>0.8</v>
      </c>
      <c r="H259" s="27">
        <v>0.8</v>
      </c>
      <c r="I259" s="27">
        <v>0.8</v>
      </c>
      <c r="J259" s="32">
        <v>45796.409907407404</v>
      </c>
    </row>
    <row r="260" spans="1:10">
      <c r="A260" s="19" t="s">
        <v>722</v>
      </c>
      <c r="B260" s="20">
        <v>997.95</v>
      </c>
      <c r="C260" s="21">
        <v>-1E-4</v>
      </c>
      <c r="D260" s="33" t="s">
        <v>1087</v>
      </c>
      <c r="E260" s="23">
        <v>1796307763.2</v>
      </c>
      <c r="F260" s="24">
        <v>1800000</v>
      </c>
      <c r="G260" s="20">
        <v>998.71</v>
      </c>
      <c r="H260" s="20">
        <v>998.71</v>
      </c>
      <c r="I260" s="20">
        <v>997.95</v>
      </c>
      <c r="J260" s="25">
        <v>45776.414560185185</v>
      </c>
    </row>
    <row r="261" spans="1:10">
      <c r="A261" s="26" t="s">
        <v>722</v>
      </c>
      <c r="B261" s="27">
        <v>0.89</v>
      </c>
      <c r="C261" s="28">
        <v>-1E-4</v>
      </c>
      <c r="D261" s="27" t="s">
        <v>754</v>
      </c>
      <c r="E261" s="30">
        <v>88632000</v>
      </c>
      <c r="F261" s="31">
        <v>100000000</v>
      </c>
      <c r="G261" s="27">
        <v>0.89</v>
      </c>
      <c r="H261" s="27">
        <v>0.89</v>
      </c>
      <c r="I261" s="27">
        <v>0.89</v>
      </c>
      <c r="J261" s="32">
        <v>45796.359803240739</v>
      </c>
    </row>
    <row r="262" spans="1:10">
      <c r="A262" s="19" t="s">
        <v>722</v>
      </c>
      <c r="B262" s="20">
        <v>0.9</v>
      </c>
      <c r="C262" s="21">
        <v>-1E-4</v>
      </c>
      <c r="D262" s="20" t="s">
        <v>754</v>
      </c>
      <c r="E262" s="23">
        <v>101230272</v>
      </c>
      <c r="F262" s="24">
        <v>112025000</v>
      </c>
      <c r="G262" s="20">
        <v>0.91</v>
      </c>
      <c r="H262" s="20">
        <v>0.91</v>
      </c>
      <c r="I262" s="20">
        <v>0.9</v>
      </c>
      <c r="J262" s="25">
        <v>45798.415833333333</v>
      </c>
    </row>
    <row r="263" spans="1:10">
      <c r="A263" s="26" t="s">
        <v>722</v>
      </c>
      <c r="B263" s="27">
        <v>1</v>
      </c>
      <c r="C263" s="28">
        <v>-1E-4</v>
      </c>
      <c r="D263" s="27" t="s">
        <v>754</v>
      </c>
      <c r="E263" s="30">
        <v>881667336.79999995</v>
      </c>
      <c r="F263" s="31">
        <v>885100000</v>
      </c>
      <c r="G263" s="27">
        <v>1</v>
      </c>
      <c r="H263" s="27">
        <v>1</v>
      </c>
      <c r="I263" s="27">
        <v>1</v>
      </c>
      <c r="J263" s="32">
        <v>45715.477847222224</v>
      </c>
    </row>
    <row r="264" spans="1:10">
      <c r="A264" s="19" t="s">
        <v>722</v>
      </c>
      <c r="B264" s="20">
        <v>0.89</v>
      </c>
      <c r="C264" s="21">
        <v>-2.0000000000000001E-4</v>
      </c>
      <c r="D264" s="20" t="s">
        <v>754</v>
      </c>
      <c r="E264" s="23">
        <v>200580</v>
      </c>
      <c r="F264" s="24">
        <v>225000</v>
      </c>
      <c r="G264" s="20">
        <v>0.89</v>
      </c>
      <c r="H264" s="20">
        <v>0.89</v>
      </c>
      <c r="I264" s="20">
        <v>0.89</v>
      </c>
      <c r="J264" s="25">
        <v>45796.403819444444</v>
      </c>
    </row>
    <row r="265" spans="1:10">
      <c r="A265" s="26" t="s">
        <v>722</v>
      </c>
      <c r="B265" s="27">
        <v>990.91</v>
      </c>
      <c r="C265" s="28">
        <v>-2.0000000000000001E-4</v>
      </c>
      <c r="D265" s="34" t="s">
        <v>1106</v>
      </c>
      <c r="E265" s="30">
        <v>340333544857.59998</v>
      </c>
      <c r="F265" s="31">
        <v>343000000</v>
      </c>
      <c r="G265" s="27">
        <v>992.73</v>
      </c>
      <c r="H265" s="27">
        <v>994.06</v>
      </c>
      <c r="I265" s="27">
        <v>990.91</v>
      </c>
      <c r="J265" s="32">
        <v>45797.416770833333</v>
      </c>
    </row>
    <row r="266" spans="1:10">
      <c r="A266" s="19" t="s">
        <v>722</v>
      </c>
      <c r="B266" s="20">
        <v>0.81</v>
      </c>
      <c r="C266" s="21">
        <v>-2.9999999999999997E-4</v>
      </c>
      <c r="D266" s="20" t="s">
        <v>754</v>
      </c>
      <c r="E266" s="23">
        <v>264033.25</v>
      </c>
      <c r="F266" s="24">
        <v>325000</v>
      </c>
      <c r="G266" s="20">
        <v>0.81</v>
      </c>
      <c r="H266" s="20">
        <v>0.81</v>
      </c>
      <c r="I266" s="20">
        <v>0.81</v>
      </c>
      <c r="J266" s="25">
        <v>45790.339097222219</v>
      </c>
    </row>
    <row r="267" spans="1:10">
      <c r="A267" s="26" t="s">
        <v>316</v>
      </c>
      <c r="B267" s="27">
        <v>78.75</v>
      </c>
      <c r="C267" s="28">
        <v>-2.9999999999999997E-4</v>
      </c>
      <c r="D267" s="34" t="s">
        <v>374</v>
      </c>
      <c r="E267" s="30">
        <v>675004.44</v>
      </c>
      <c r="F267" s="31">
        <v>8868</v>
      </c>
      <c r="G267" s="27">
        <v>78.77</v>
      </c>
      <c r="H267" s="27">
        <v>78.75</v>
      </c>
      <c r="I267" s="27">
        <v>75.12</v>
      </c>
      <c r="J267" s="32">
        <v>46162.395810185182</v>
      </c>
    </row>
    <row r="268" spans="1:10">
      <c r="A268" s="19" t="s">
        <v>722</v>
      </c>
      <c r="B268" s="20">
        <v>0.83</v>
      </c>
      <c r="C268" s="21">
        <v>-2.9999999999999997E-4</v>
      </c>
      <c r="D268" s="20" t="s">
        <v>754</v>
      </c>
      <c r="E268" s="23">
        <v>367131526.55000001</v>
      </c>
      <c r="F268" s="24">
        <v>440825000</v>
      </c>
      <c r="G268" s="20">
        <v>0.84</v>
      </c>
      <c r="H268" s="20">
        <v>0.84</v>
      </c>
      <c r="I268" s="20">
        <v>0.83</v>
      </c>
      <c r="J268" s="25">
        <v>45797.454328703701</v>
      </c>
    </row>
    <row r="269" spans="1:10">
      <c r="A269" s="26" t="s">
        <v>722</v>
      </c>
      <c r="B269" s="30">
        <v>1023</v>
      </c>
      <c r="C269" s="28">
        <v>-2.9999999999999997E-4</v>
      </c>
      <c r="D269" s="34" t="s">
        <v>1088</v>
      </c>
      <c r="E269" s="30">
        <v>198427790540.79999</v>
      </c>
      <c r="F269" s="31">
        <v>194000000</v>
      </c>
      <c r="G269" s="30">
        <v>1026.5</v>
      </c>
      <c r="H269" s="30">
        <v>1026.5</v>
      </c>
      <c r="I269" s="30">
        <v>1022.64</v>
      </c>
      <c r="J269" s="32">
        <v>45764.439837962964</v>
      </c>
    </row>
    <row r="270" spans="1:10">
      <c r="A270" s="19" t="s">
        <v>722</v>
      </c>
      <c r="B270" s="20">
        <v>992.76</v>
      </c>
      <c r="C270" s="21">
        <v>-4.0000000000000002E-4</v>
      </c>
      <c r="D270" s="33" t="s">
        <v>1046</v>
      </c>
      <c r="E270" s="23">
        <v>1096160411852.8</v>
      </c>
      <c r="F270" s="24">
        <v>1104900000</v>
      </c>
      <c r="G270" s="20">
        <v>996.27</v>
      </c>
      <c r="H270" s="20">
        <v>992.8</v>
      </c>
      <c r="I270" s="20">
        <v>991.27</v>
      </c>
      <c r="J270" s="25">
        <v>45713.406076388892</v>
      </c>
    </row>
    <row r="271" spans="1:10">
      <c r="A271" s="26" t="s">
        <v>169</v>
      </c>
      <c r="B271" s="27">
        <v>70.459999999999994</v>
      </c>
      <c r="C271" s="28">
        <v>-4.0000000000000002E-4</v>
      </c>
      <c r="D271" s="34" t="s">
        <v>389</v>
      </c>
      <c r="E271" s="30">
        <v>489034.16</v>
      </c>
      <c r="F271" s="31">
        <v>6891</v>
      </c>
      <c r="G271" s="27">
        <v>70.599999999999994</v>
      </c>
      <c r="H271" s="27">
        <v>72.7</v>
      </c>
      <c r="I271" s="27">
        <v>70.400000000000006</v>
      </c>
      <c r="J271" s="32">
        <v>46163.390393518515</v>
      </c>
    </row>
    <row r="272" spans="1:10">
      <c r="A272" s="19" t="s">
        <v>255</v>
      </c>
      <c r="B272" s="20">
        <v>20.7</v>
      </c>
      <c r="C272" s="21">
        <v>-5.0000000000000001E-4</v>
      </c>
      <c r="D272" s="33" t="s">
        <v>753</v>
      </c>
      <c r="E272" s="23">
        <v>7348716</v>
      </c>
      <c r="F272" s="24">
        <v>356134</v>
      </c>
      <c r="G272" s="20">
        <v>20.7</v>
      </c>
      <c r="H272" s="20">
        <v>20.99</v>
      </c>
      <c r="I272" s="20">
        <v>20.32</v>
      </c>
      <c r="J272" s="25">
        <v>46163.391458333332</v>
      </c>
    </row>
    <row r="273" spans="1:10">
      <c r="A273" s="26" t="s">
        <v>429</v>
      </c>
      <c r="B273" s="27">
        <v>50</v>
      </c>
      <c r="C273" s="28">
        <v>-5.9999999999999995E-4</v>
      </c>
      <c r="D273" s="34" t="s">
        <v>389</v>
      </c>
      <c r="E273" s="30">
        <v>26013.11</v>
      </c>
      <c r="F273" s="27">
        <v>520</v>
      </c>
      <c r="G273" s="27">
        <v>50.03</v>
      </c>
      <c r="H273" s="27">
        <v>50.03</v>
      </c>
      <c r="I273" s="27">
        <v>50</v>
      </c>
      <c r="J273" s="32">
        <v>46162.394907407404</v>
      </c>
    </row>
    <row r="274" spans="1:10">
      <c r="A274" s="19" t="s">
        <v>213</v>
      </c>
      <c r="B274" s="20">
        <v>95.5</v>
      </c>
      <c r="C274" s="21">
        <v>-8.0000000000000004E-4</v>
      </c>
      <c r="D274" s="33" t="s">
        <v>1047</v>
      </c>
      <c r="E274" s="23">
        <v>48385452</v>
      </c>
      <c r="F274" s="24">
        <v>510969</v>
      </c>
      <c r="G274" s="20">
        <v>95.49</v>
      </c>
      <c r="H274" s="20">
        <v>95.69</v>
      </c>
      <c r="I274" s="20">
        <v>93.61</v>
      </c>
      <c r="J274" s="25">
        <v>46163.391435185185</v>
      </c>
    </row>
    <row r="275" spans="1:10">
      <c r="A275" s="26" t="s">
        <v>722</v>
      </c>
      <c r="B275" s="30">
        <v>1001.97</v>
      </c>
      <c r="C275" s="28">
        <v>-8.9999999999999998E-4</v>
      </c>
      <c r="D275" s="34" t="s">
        <v>1031</v>
      </c>
      <c r="E275" s="30">
        <v>148291387392</v>
      </c>
      <c r="F275" s="31">
        <v>148000000</v>
      </c>
      <c r="G275" s="30">
        <v>1011.06</v>
      </c>
      <c r="H275" s="30">
        <v>1001.97</v>
      </c>
      <c r="I275" s="30">
        <v>1001.97</v>
      </c>
      <c r="J275" s="32">
        <v>45686.453310185185</v>
      </c>
    </row>
    <row r="276" spans="1:10">
      <c r="A276" s="19" t="s">
        <v>435</v>
      </c>
      <c r="B276" s="20">
        <v>8.3000000000000007</v>
      </c>
      <c r="C276" s="21">
        <v>-1.1999999999999999E-3</v>
      </c>
      <c r="D276" s="33" t="s">
        <v>753</v>
      </c>
      <c r="E276" s="23">
        <v>1732188.38</v>
      </c>
      <c r="F276" s="24">
        <v>207622</v>
      </c>
      <c r="G276" s="20">
        <v>8.31</v>
      </c>
      <c r="H276" s="20">
        <v>8.4499999999999993</v>
      </c>
      <c r="I276" s="20">
        <v>8.23</v>
      </c>
      <c r="J276" s="25">
        <v>46163.389907407407</v>
      </c>
    </row>
    <row r="277" spans="1:10">
      <c r="A277" s="26" t="s">
        <v>722</v>
      </c>
      <c r="B277" s="27">
        <v>0.87</v>
      </c>
      <c r="C277" s="28">
        <v>-1.2999999999999999E-3</v>
      </c>
      <c r="D277" s="34" t="s">
        <v>753</v>
      </c>
      <c r="E277" s="30">
        <v>281967923.19999999</v>
      </c>
      <c r="F277" s="31">
        <v>324075000</v>
      </c>
      <c r="G277" s="27">
        <v>0.88</v>
      </c>
      <c r="H277" s="27">
        <v>0.88</v>
      </c>
      <c r="I277" s="27">
        <v>0.87</v>
      </c>
      <c r="J277" s="32">
        <v>45797.442314814813</v>
      </c>
    </row>
    <row r="278" spans="1:10">
      <c r="A278" s="19" t="s">
        <v>238</v>
      </c>
      <c r="B278" s="20">
        <v>43.48</v>
      </c>
      <c r="C278" s="21">
        <v>-1.6000000000000001E-3</v>
      </c>
      <c r="D278" s="33" t="s">
        <v>935</v>
      </c>
      <c r="E278" s="23">
        <v>20246062</v>
      </c>
      <c r="F278" s="24">
        <v>465554</v>
      </c>
      <c r="G278" s="20">
        <v>43.5</v>
      </c>
      <c r="H278" s="20">
        <v>43.77</v>
      </c>
      <c r="I278" s="20">
        <v>43.1</v>
      </c>
      <c r="J278" s="25">
        <v>46163.391412037039</v>
      </c>
    </row>
    <row r="279" spans="1:10">
      <c r="A279" s="26" t="s">
        <v>722</v>
      </c>
      <c r="B279" s="27">
        <v>0.87</v>
      </c>
      <c r="C279" s="28">
        <v>-1.6000000000000001E-3</v>
      </c>
      <c r="D279" s="34" t="s">
        <v>753</v>
      </c>
      <c r="E279" s="30">
        <v>36251494.399999999</v>
      </c>
      <c r="F279" s="31">
        <v>41500000</v>
      </c>
      <c r="G279" s="27">
        <v>0.89</v>
      </c>
      <c r="H279" s="27">
        <v>0.89</v>
      </c>
      <c r="I279" s="27">
        <v>0.87</v>
      </c>
      <c r="J279" s="32">
        <v>45798.416689814818</v>
      </c>
    </row>
    <row r="280" spans="1:10">
      <c r="A280" s="19" t="s">
        <v>645</v>
      </c>
      <c r="B280" s="20">
        <v>32.5</v>
      </c>
      <c r="C280" s="21">
        <v>-1.8E-3</v>
      </c>
      <c r="D280" s="33" t="s">
        <v>1175</v>
      </c>
      <c r="E280" s="23">
        <v>1973961</v>
      </c>
      <c r="F280" s="24">
        <v>60665</v>
      </c>
      <c r="G280" s="20">
        <v>32.68</v>
      </c>
      <c r="H280" s="20">
        <v>33</v>
      </c>
      <c r="I280" s="20">
        <v>32.229999999999997</v>
      </c>
      <c r="J280" s="25">
        <v>46163.390543981484</v>
      </c>
    </row>
    <row r="281" spans="1:10">
      <c r="A281" s="26" t="s">
        <v>722</v>
      </c>
      <c r="B281" s="27">
        <v>0.82</v>
      </c>
      <c r="C281" s="28">
        <v>-1.8E-3</v>
      </c>
      <c r="D281" s="34" t="s">
        <v>753</v>
      </c>
      <c r="E281" s="30">
        <v>157669732.80000001</v>
      </c>
      <c r="F281" s="31">
        <v>192625000</v>
      </c>
      <c r="G281" s="27">
        <v>0.83</v>
      </c>
      <c r="H281" s="27">
        <v>0.83</v>
      </c>
      <c r="I281" s="27">
        <v>0.82</v>
      </c>
      <c r="J281" s="32">
        <v>45790.462280092594</v>
      </c>
    </row>
    <row r="282" spans="1:10">
      <c r="A282" s="19" t="s">
        <v>419</v>
      </c>
      <c r="B282" s="20">
        <v>10.33</v>
      </c>
      <c r="C282" s="21">
        <v>-1.9E-3</v>
      </c>
      <c r="D282" s="33" t="s">
        <v>374</v>
      </c>
      <c r="E282" s="23">
        <v>2001529.88</v>
      </c>
      <c r="F282" s="24">
        <v>192259</v>
      </c>
      <c r="G282" s="20">
        <v>10.36</v>
      </c>
      <c r="H282" s="20">
        <v>10.5</v>
      </c>
      <c r="I282" s="20">
        <v>10.33</v>
      </c>
      <c r="J282" s="25">
        <v>46163.391145833331</v>
      </c>
    </row>
    <row r="283" spans="1:10">
      <c r="A283" s="26" t="s">
        <v>283</v>
      </c>
      <c r="B283" s="27">
        <v>205.73</v>
      </c>
      <c r="C283" s="28">
        <v>-2E-3</v>
      </c>
      <c r="D283" s="34" t="s">
        <v>1200</v>
      </c>
      <c r="E283" s="30">
        <v>931350.75</v>
      </c>
      <c r="F283" s="31">
        <v>4532</v>
      </c>
      <c r="G283" s="27">
        <v>205.52</v>
      </c>
      <c r="H283" s="27">
        <v>209.5</v>
      </c>
      <c r="I283" s="27">
        <v>204</v>
      </c>
      <c r="J283" s="32">
        <v>46163.390081018515</v>
      </c>
    </row>
    <row r="284" spans="1:10">
      <c r="A284" s="19" t="s">
        <v>722</v>
      </c>
      <c r="B284" s="23">
        <v>1024.29</v>
      </c>
      <c r="C284" s="21">
        <v>-2E-3</v>
      </c>
      <c r="D284" s="33" t="s">
        <v>1071</v>
      </c>
      <c r="E284" s="23">
        <v>23254396108.799999</v>
      </c>
      <c r="F284" s="24">
        <v>22600000</v>
      </c>
      <c r="G284" s="23">
        <v>1045.76</v>
      </c>
      <c r="H284" s="23">
        <v>1045.76</v>
      </c>
      <c r="I284" s="23">
        <v>1024.29</v>
      </c>
      <c r="J284" s="25">
        <v>45741.466921296298</v>
      </c>
    </row>
    <row r="285" spans="1:10">
      <c r="A285" s="26" t="s">
        <v>722</v>
      </c>
      <c r="B285" s="27">
        <v>999.05</v>
      </c>
      <c r="C285" s="28">
        <v>-2.3999999999999998E-3</v>
      </c>
      <c r="D285" s="34" t="s">
        <v>1107</v>
      </c>
      <c r="E285" s="30">
        <v>21190275891.200001</v>
      </c>
      <c r="F285" s="31">
        <v>21200000</v>
      </c>
      <c r="G285" s="30">
        <v>1024.03</v>
      </c>
      <c r="H285" s="30">
        <v>1024.03</v>
      </c>
      <c r="I285" s="27">
        <v>999.05</v>
      </c>
      <c r="J285" s="32">
        <v>45797.467499999999</v>
      </c>
    </row>
    <row r="286" spans="1:10">
      <c r="A286" s="19" t="s">
        <v>722</v>
      </c>
      <c r="B286" s="20">
        <v>0.82</v>
      </c>
      <c r="C286" s="21">
        <v>-2.7000000000000001E-3</v>
      </c>
      <c r="D286" s="33" t="s">
        <v>374</v>
      </c>
      <c r="E286" s="23">
        <v>552642.75</v>
      </c>
      <c r="F286" s="24">
        <v>675000</v>
      </c>
      <c r="G286" s="20">
        <v>0.84</v>
      </c>
      <c r="H286" s="20">
        <v>0.84</v>
      </c>
      <c r="I286" s="20">
        <v>0.82</v>
      </c>
      <c r="J286" s="25">
        <v>45791.404999999999</v>
      </c>
    </row>
    <row r="287" spans="1:10">
      <c r="A287" s="26" t="s">
        <v>387</v>
      </c>
      <c r="B287" s="27">
        <v>84.5</v>
      </c>
      <c r="C287" s="28">
        <v>-2.8E-3</v>
      </c>
      <c r="D287" s="34" t="s">
        <v>1260</v>
      </c>
      <c r="E287" s="30">
        <v>4956556.5</v>
      </c>
      <c r="F287" s="31">
        <v>58749</v>
      </c>
      <c r="G287" s="27">
        <v>84.7</v>
      </c>
      <c r="H287" s="27">
        <v>85.9</v>
      </c>
      <c r="I287" s="27">
        <v>84</v>
      </c>
      <c r="J287" s="32">
        <v>46163.391111111108</v>
      </c>
    </row>
    <row r="288" spans="1:10">
      <c r="A288" s="19" t="s">
        <v>447</v>
      </c>
      <c r="B288" s="20">
        <v>87.9</v>
      </c>
      <c r="C288" s="21">
        <v>-2.8E-3</v>
      </c>
      <c r="D288" s="33" t="s">
        <v>1206</v>
      </c>
      <c r="E288" s="23">
        <v>7226123</v>
      </c>
      <c r="F288" s="24">
        <v>82249</v>
      </c>
      <c r="G288" s="20">
        <v>88.28</v>
      </c>
      <c r="H288" s="20">
        <v>88.99</v>
      </c>
      <c r="I288" s="20">
        <v>87.02</v>
      </c>
      <c r="J288" s="25">
        <v>46163.391111111108</v>
      </c>
    </row>
    <row r="289" spans="1:10">
      <c r="A289" s="26" t="s">
        <v>1178</v>
      </c>
      <c r="B289" s="27">
        <v>10.73</v>
      </c>
      <c r="C289" s="28">
        <v>-2.8E-3</v>
      </c>
      <c r="D289" s="34" t="s">
        <v>389</v>
      </c>
      <c r="E289" s="30">
        <v>212749.3</v>
      </c>
      <c r="F289" s="31">
        <v>19904</v>
      </c>
      <c r="G289" s="27">
        <v>10.71</v>
      </c>
      <c r="H289" s="27">
        <v>10.8</v>
      </c>
      <c r="I289" s="27">
        <v>10.64</v>
      </c>
      <c r="J289" s="32">
        <v>46163.391134259262</v>
      </c>
    </row>
    <row r="290" spans="1:10">
      <c r="A290" s="19" t="s">
        <v>411</v>
      </c>
      <c r="B290" s="20">
        <v>3.55</v>
      </c>
      <c r="C290" s="21">
        <v>-2.8E-3</v>
      </c>
      <c r="D290" s="33" t="s">
        <v>753</v>
      </c>
      <c r="E290" s="23">
        <v>90510.55</v>
      </c>
      <c r="F290" s="24">
        <v>25493</v>
      </c>
      <c r="G290" s="20">
        <v>3.56</v>
      </c>
      <c r="H290" s="20">
        <v>3.59</v>
      </c>
      <c r="I290" s="20">
        <v>3.55</v>
      </c>
      <c r="J290" s="25">
        <v>46163.378506944442</v>
      </c>
    </row>
    <row r="291" spans="1:10">
      <c r="A291" s="26" t="s">
        <v>430</v>
      </c>
      <c r="B291" s="27">
        <v>6.79</v>
      </c>
      <c r="C291" s="28">
        <v>-2.8999999999999998E-3</v>
      </c>
      <c r="D291" s="34" t="s">
        <v>374</v>
      </c>
      <c r="E291" s="30">
        <v>10307254</v>
      </c>
      <c r="F291" s="31">
        <v>1512605</v>
      </c>
      <c r="G291" s="27">
        <v>6.82</v>
      </c>
      <c r="H291" s="27">
        <v>6.91</v>
      </c>
      <c r="I291" s="27">
        <v>6.7</v>
      </c>
      <c r="J291" s="32">
        <v>46163.391412037039</v>
      </c>
    </row>
    <row r="292" spans="1:10">
      <c r="A292" s="19" t="s">
        <v>722</v>
      </c>
      <c r="B292" s="23">
        <v>1035.54</v>
      </c>
      <c r="C292" s="21">
        <v>-2.8999999999999998E-3</v>
      </c>
      <c r="D292" s="33" t="s">
        <v>1089</v>
      </c>
      <c r="E292" s="23">
        <v>14394038681.6</v>
      </c>
      <c r="F292" s="24">
        <v>13900000</v>
      </c>
      <c r="G292" s="23">
        <v>1066.6500000000001</v>
      </c>
      <c r="H292" s="23">
        <v>1066.6500000000001</v>
      </c>
      <c r="I292" s="23">
        <v>1035.54</v>
      </c>
      <c r="J292" s="25">
        <v>45770.453530092593</v>
      </c>
    </row>
    <row r="293" spans="1:10">
      <c r="A293" s="26" t="s">
        <v>365</v>
      </c>
      <c r="B293" s="27">
        <v>483</v>
      </c>
      <c r="C293" s="28">
        <v>-3.2000000000000002E-3</v>
      </c>
      <c r="D293" s="34" t="s">
        <v>1261</v>
      </c>
      <c r="E293" s="30">
        <v>178109.5</v>
      </c>
      <c r="F293" s="27">
        <v>368</v>
      </c>
      <c r="G293" s="27">
        <v>484.54</v>
      </c>
      <c r="H293" s="27">
        <v>488.9</v>
      </c>
      <c r="I293" s="27">
        <v>483</v>
      </c>
      <c r="J293" s="32">
        <v>46163.383333333331</v>
      </c>
    </row>
    <row r="294" spans="1:10">
      <c r="A294" s="19" t="s">
        <v>224</v>
      </c>
      <c r="B294" s="20">
        <v>15.8</v>
      </c>
      <c r="C294" s="21">
        <v>-3.2000000000000002E-3</v>
      </c>
      <c r="D294" s="33" t="s">
        <v>1169</v>
      </c>
      <c r="E294" s="23">
        <v>4034682.5</v>
      </c>
      <c r="F294" s="24">
        <v>255618</v>
      </c>
      <c r="G294" s="20">
        <v>15.85</v>
      </c>
      <c r="H294" s="20">
        <v>15.9</v>
      </c>
      <c r="I294" s="20">
        <v>15.55</v>
      </c>
      <c r="J294" s="25">
        <v>46163.391250000001</v>
      </c>
    </row>
    <row r="295" spans="1:10">
      <c r="A295" s="26" t="s">
        <v>179</v>
      </c>
      <c r="B295" s="27">
        <v>346.03</v>
      </c>
      <c r="C295" s="28">
        <v>-3.8999999999999998E-3</v>
      </c>
      <c r="D295" s="34" t="s">
        <v>1262</v>
      </c>
      <c r="E295" s="30">
        <v>1096619.5</v>
      </c>
      <c r="F295" s="31">
        <v>3166</v>
      </c>
      <c r="G295" s="27">
        <v>347.02</v>
      </c>
      <c r="H295" s="27">
        <v>349</v>
      </c>
      <c r="I295" s="27">
        <v>345.01</v>
      </c>
      <c r="J295" s="32">
        <v>46163.390439814815</v>
      </c>
    </row>
    <row r="296" spans="1:10">
      <c r="A296" s="19" t="s">
        <v>388</v>
      </c>
      <c r="B296" s="20">
        <v>5.0599999999999996</v>
      </c>
      <c r="C296" s="21">
        <v>-3.8999999999999998E-3</v>
      </c>
      <c r="D296" s="33" t="s">
        <v>374</v>
      </c>
      <c r="E296" s="23">
        <v>13904850</v>
      </c>
      <c r="F296" s="24">
        <v>2767271</v>
      </c>
      <c r="G296" s="20">
        <v>5.08</v>
      </c>
      <c r="H296" s="20">
        <v>5.0999999999999996</v>
      </c>
      <c r="I296" s="20">
        <v>4.99</v>
      </c>
      <c r="J296" s="25">
        <v>46163.390659722223</v>
      </c>
    </row>
    <row r="297" spans="1:10">
      <c r="A297" s="26" t="s">
        <v>390</v>
      </c>
      <c r="B297" s="27">
        <v>0.7</v>
      </c>
      <c r="C297" s="28">
        <v>-4.1999999999999997E-3</v>
      </c>
      <c r="D297" s="27" t="s">
        <v>754</v>
      </c>
      <c r="E297" s="30">
        <v>9261757</v>
      </c>
      <c r="F297" s="31">
        <v>13320697</v>
      </c>
      <c r="G297" s="27">
        <v>0.71</v>
      </c>
      <c r="H297" s="27">
        <v>0.71</v>
      </c>
      <c r="I297" s="27">
        <v>0.68</v>
      </c>
      <c r="J297" s="32">
        <v>46163.391539351855</v>
      </c>
    </row>
    <row r="298" spans="1:10">
      <c r="A298" s="19" t="s">
        <v>452</v>
      </c>
      <c r="B298" s="20">
        <v>351.76</v>
      </c>
      <c r="C298" s="21">
        <v>-4.3E-3</v>
      </c>
      <c r="D298" s="33" t="s">
        <v>1263</v>
      </c>
      <c r="E298" s="23">
        <v>2776488.75</v>
      </c>
      <c r="F298" s="24">
        <v>7807</v>
      </c>
      <c r="G298" s="20">
        <v>353.99</v>
      </c>
      <c r="H298" s="20">
        <v>364.99</v>
      </c>
      <c r="I298" s="20">
        <v>346.01</v>
      </c>
      <c r="J298" s="25">
        <v>46163.390335648146</v>
      </c>
    </row>
    <row r="299" spans="1:10">
      <c r="A299" s="26" t="s">
        <v>278</v>
      </c>
      <c r="B299" s="27">
        <v>64.3</v>
      </c>
      <c r="C299" s="28">
        <v>-4.4999999999999997E-3</v>
      </c>
      <c r="D299" s="34" t="s">
        <v>1212</v>
      </c>
      <c r="E299" s="30">
        <v>6833608</v>
      </c>
      <c r="F299" s="31">
        <v>105325</v>
      </c>
      <c r="G299" s="27">
        <v>64.599999999999994</v>
      </c>
      <c r="H299" s="27">
        <v>65.59</v>
      </c>
      <c r="I299" s="27">
        <v>64.3</v>
      </c>
      <c r="J299" s="32">
        <v>46163.391342592593</v>
      </c>
    </row>
    <row r="300" spans="1:10">
      <c r="A300" s="19" t="s">
        <v>313</v>
      </c>
      <c r="B300" s="20">
        <v>8.7899999999999991</v>
      </c>
      <c r="C300" s="21">
        <v>-4.4999999999999997E-3</v>
      </c>
      <c r="D300" s="33" t="s">
        <v>371</v>
      </c>
      <c r="E300" s="23">
        <v>5313084</v>
      </c>
      <c r="F300" s="24">
        <v>600558</v>
      </c>
      <c r="G300" s="20">
        <v>8.83</v>
      </c>
      <c r="H300" s="20">
        <v>8.99</v>
      </c>
      <c r="I300" s="20">
        <v>8.7799999999999994</v>
      </c>
      <c r="J300" s="25">
        <v>46163.391412037039</v>
      </c>
    </row>
    <row r="301" spans="1:10">
      <c r="A301" s="26" t="s">
        <v>209</v>
      </c>
      <c r="B301" s="27">
        <v>32.76</v>
      </c>
      <c r="C301" s="28">
        <v>-4.8999999999999998E-3</v>
      </c>
      <c r="D301" s="34" t="s">
        <v>1182</v>
      </c>
      <c r="E301" s="30">
        <v>1303615.6299999999</v>
      </c>
      <c r="F301" s="31">
        <v>39760</v>
      </c>
      <c r="G301" s="27">
        <v>32.89</v>
      </c>
      <c r="H301" s="27">
        <v>33.29</v>
      </c>
      <c r="I301" s="27">
        <v>32.53</v>
      </c>
      <c r="J301" s="32">
        <v>46163.391504629632</v>
      </c>
    </row>
    <row r="302" spans="1:10">
      <c r="A302" s="19" t="s">
        <v>271</v>
      </c>
      <c r="B302" s="20">
        <v>33.380000000000003</v>
      </c>
      <c r="C302" s="21">
        <v>-5.1000000000000004E-3</v>
      </c>
      <c r="D302" s="33" t="s">
        <v>1264</v>
      </c>
      <c r="E302" s="23">
        <v>3483896.75</v>
      </c>
      <c r="F302" s="24">
        <v>104150</v>
      </c>
      <c r="G302" s="20">
        <v>33.619999999999997</v>
      </c>
      <c r="H302" s="20">
        <v>34.15</v>
      </c>
      <c r="I302" s="20">
        <v>33.21</v>
      </c>
      <c r="J302" s="25">
        <v>46163.390393518515</v>
      </c>
    </row>
    <row r="303" spans="1:10">
      <c r="A303" s="26" t="s">
        <v>455</v>
      </c>
      <c r="B303" s="27">
        <v>3.9</v>
      </c>
      <c r="C303" s="28">
        <v>-5.1000000000000004E-3</v>
      </c>
      <c r="D303" s="34" t="s">
        <v>374</v>
      </c>
      <c r="E303" s="30">
        <v>4396049.5</v>
      </c>
      <c r="F303" s="31">
        <v>1131689</v>
      </c>
      <c r="G303" s="27">
        <v>3.9</v>
      </c>
      <c r="H303" s="27">
        <v>3.97</v>
      </c>
      <c r="I303" s="27">
        <v>3.82</v>
      </c>
      <c r="J303" s="32">
        <v>46163.390983796293</v>
      </c>
    </row>
    <row r="304" spans="1:10">
      <c r="A304" s="19" t="s">
        <v>381</v>
      </c>
      <c r="B304" s="20">
        <v>37.4</v>
      </c>
      <c r="C304" s="21">
        <v>-5.3E-3</v>
      </c>
      <c r="D304" s="33" t="s">
        <v>756</v>
      </c>
      <c r="E304" s="23">
        <v>1636677.75</v>
      </c>
      <c r="F304" s="24">
        <v>43907</v>
      </c>
      <c r="G304" s="20">
        <v>37.4</v>
      </c>
      <c r="H304" s="20">
        <v>37.5</v>
      </c>
      <c r="I304" s="20">
        <v>37.049999999999997</v>
      </c>
      <c r="J304" s="25">
        <v>46163.385763888888</v>
      </c>
    </row>
    <row r="305" spans="1:10">
      <c r="A305" s="26" t="s">
        <v>206</v>
      </c>
      <c r="B305" s="27">
        <v>1.86</v>
      </c>
      <c r="C305" s="28">
        <v>-5.4000000000000003E-3</v>
      </c>
      <c r="D305" s="34" t="s">
        <v>753</v>
      </c>
      <c r="E305" s="30">
        <v>346417</v>
      </c>
      <c r="F305" s="31">
        <v>187500</v>
      </c>
      <c r="G305" s="27">
        <v>1.86</v>
      </c>
      <c r="H305" s="27">
        <v>1.87</v>
      </c>
      <c r="I305" s="27">
        <v>1.84</v>
      </c>
      <c r="J305" s="32">
        <v>46163.376296296294</v>
      </c>
    </row>
    <row r="306" spans="1:10">
      <c r="A306" s="19" t="s">
        <v>355</v>
      </c>
      <c r="B306" s="20">
        <v>0.56000000000000005</v>
      </c>
      <c r="C306" s="21">
        <v>-5.4000000000000003E-3</v>
      </c>
      <c r="D306" s="20" t="s">
        <v>754</v>
      </c>
      <c r="E306" s="23">
        <v>2907450.5</v>
      </c>
      <c r="F306" s="24">
        <v>5270820</v>
      </c>
      <c r="G306" s="20">
        <v>0.56000000000000005</v>
      </c>
      <c r="H306" s="20">
        <v>0.56000000000000005</v>
      </c>
      <c r="I306" s="20">
        <v>0.54</v>
      </c>
      <c r="J306" s="25">
        <v>46163.390960648147</v>
      </c>
    </row>
    <row r="307" spans="1:10">
      <c r="A307" s="26" t="s">
        <v>1152</v>
      </c>
      <c r="B307" s="27">
        <v>30.4</v>
      </c>
      <c r="C307" s="28">
        <v>-5.5999999999999999E-3</v>
      </c>
      <c r="D307" s="34" t="s">
        <v>1264</v>
      </c>
      <c r="E307" s="30">
        <v>11044281</v>
      </c>
      <c r="F307" s="31">
        <v>363706</v>
      </c>
      <c r="G307" s="27">
        <v>30.61</v>
      </c>
      <c r="H307" s="27">
        <v>30.61</v>
      </c>
      <c r="I307" s="27">
        <v>30.01</v>
      </c>
      <c r="J307" s="32">
        <v>46163.391597222224</v>
      </c>
    </row>
    <row r="308" spans="1:10">
      <c r="A308" s="19" t="s">
        <v>343</v>
      </c>
      <c r="B308" s="20">
        <v>3.43</v>
      </c>
      <c r="C308" s="21">
        <v>-5.7999999999999996E-3</v>
      </c>
      <c r="D308" s="33" t="s">
        <v>374</v>
      </c>
      <c r="E308" s="23">
        <v>3272921.5</v>
      </c>
      <c r="F308" s="24">
        <v>949515</v>
      </c>
      <c r="G308" s="20">
        <v>3.46</v>
      </c>
      <c r="H308" s="20">
        <v>3.5</v>
      </c>
      <c r="I308" s="20">
        <v>3.4</v>
      </c>
      <c r="J308" s="25">
        <v>46163.391064814816</v>
      </c>
    </row>
    <row r="309" spans="1:10">
      <c r="A309" s="26" t="s">
        <v>273</v>
      </c>
      <c r="B309" s="27">
        <v>3.38</v>
      </c>
      <c r="C309" s="28">
        <v>-5.8999999999999999E-3</v>
      </c>
      <c r="D309" s="34" t="s">
        <v>374</v>
      </c>
      <c r="E309" s="30">
        <v>13764344</v>
      </c>
      <c r="F309" s="31">
        <v>4080884</v>
      </c>
      <c r="G309" s="27">
        <v>3.4</v>
      </c>
      <c r="H309" s="27">
        <v>3.46</v>
      </c>
      <c r="I309" s="27">
        <v>3.32</v>
      </c>
      <c r="J309" s="32">
        <v>46163.391562500001</v>
      </c>
    </row>
    <row r="310" spans="1:10">
      <c r="A310" s="19" t="s">
        <v>391</v>
      </c>
      <c r="B310" s="20">
        <v>0.34</v>
      </c>
      <c r="C310" s="21">
        <v>-5.8999999999999999E-3</v>
      </c>
      <c r="D310" s="20" t="s">
        <v>754</v>
      </c>
      <c r="E310" s="23">
        <v>4023208.5</v>
      </c>
      <c r="F310" s="24">
        <v>11930054</v>
      </c>
      <c r="G310" s="20">
        <v>0.34</v>
      </c>
      <c r="H310" s="20">
        <v>0.34</v>
      </c>
      <c r="I310" s="20">
        <v>0.34</v>
      </c>
      <c r="J310" s="25">
        <v>46163.389861111114</v>
      </c>
    </row>
    <row r="311" spans="1:10">
      <c r="A311" s="26" t="s">
        <v>349</v>
      </c>
      <c r="B311" s="27">
        <v>1.66</v>
      </c>
      <c r="C311" s="28">
        <v>-6.0000000000000001E-3</v>
      </c>
      <c r="D311" s="34" t="s">
        <v>753</v>
      </c>
      <c r="E311" s="30">
        <v>162011.41</v>
      </c>
      <c r="F311" s="31">
        <v>98034</v>
      </c>
      <c r="G311" s="27">
        <v>1.67</v>
      </c>
      <c r="H311" s="27">
        <v>1.66</v>
      </c>
      <c r="I311" s="27">
        <v>1.65</v>
      </c>
      <c r="J311" s="32">
        <v>46163.38925925926</v>
      </c>
    </row>
    <row r="312" spans="1:10">
      <c r="A312" s="19" t="s">
        <v>237</v>
      </c>
      <c r="B312" s="20">
        <v>1.66</v>
      </c>
      <c r="C312" s="21">
        <v>-6.0000000000000001E-3</v>
      </c>
      <c r="D312" s="33" t="s">
        <v>753</v>
      </c>
      <c r="E312" s="23">
        <v>5972910</v>
      </c>
      <c r="F312" s="24">
        <v>3588503</v>
      </c>
      <c r="G312" s="20">
        <v>1.67</v>
      </c>
      <c r="H312" s="20">
        <v>1.69</v>
      </c>
      <c r="I312" s="20">
        <v>1.65</v>
      </c>
      <c r="J312" s="25">
        <v>46163.391562500001</v>
      </c>
    </row>
    <row r="313" spans="1:10">
      <c r="A313" s="26" t="s">
        <v>281</v>
      </c>
      <c r="B313" s="27">
        <v>43.88</v>
      </c>
      <c r="C313" s="28">
        <v>-6.3E-3</v>
      </c>
      <c r="D313" s="34" t="s">
        <v>864</v>
      </c>
      <c r="E313" s="30">
        <v>1887033.13</v>
      </c>
      <c r="F313" s="31">
        <v>42716</v>
      </c>
      <c r="G313" s="27">
        <v>44.35</v>
      </c>
      <c r="H313" s="27">
        <v>44.9</v>
      </c>
      <c r="I313" s="27">
        <v>43.81</v>
      </c>
      <c r="J313" s="32">
        <v>46163.390104166669</v>
      </c>
    </row>
    <row r="314" spans="1:10">
      <c r="A314" s="19" t="s">
        <v>580</v>
      </c>
      <c r="B314" s="20">
        <v>77.599999999999994</v>
      </c>
      <c r="C314" s="21">
        <v>-6.3E-3</v>
      </c>
      <c r="D314" s="33" t="s">
        <v>1265</v>
      </c>
      <c r="E314" s="23">
        <v>1446737.63</v>
      </c>
      <c r="F314" s="24">
        <v>18719</v>
      </c>
      <c r="G314" s="20">
        <v>77.680000000000007</v>
      </c>
      <c r="H314" s="20">
        <v>77.989999999999995</v>
      </c>
      <c r="I314" s="20">
        <v>77</v>
      </c>
      <c r="J314" s="25">
        <v>46163.390972222223</v>
      </c>
    </row>
    <row r="315" spans="1:10">
      <c r="A315" s="26" t="s">
        <v>497</v>
      </c>
      <c r="B315" s="27">
        <v>6.21</v>
      </c>
      <c r="C315" s="28">
        <v>-6.4000000000000003E-3</v>
      </c>
      <c r="D315" s="34" t="s">
        <v>371</v>
      </c>
      <c r="E315" s="30">
        <v>54824.99</v>
      </c>
      <c r="F315" s="31">
        <v>8778</v>
      </c>
      <c r="G315" s="27">
        <v>6.25</v>
      </c>
      <c r="H315" s="27">
        <v>6.3</v>
      </c>
      <c r="I315" s="27">
        <v>6.2</v>
      </c>
      <c r="J315" s="32">
        <v>46163.387824074074</v>
      </c>
    </row>
    <row r="316" spans="1:10">
      <c r="A316" s="19" t="s">
        <v>722</v>
      </c>
      <c r="B316" s="20">
        <v>933.38</v>
      </c>
      <c r="C316" s="21">
        <v>-6.4000000000000003E-3</v>
      </c>
      <c r="D316" s="33" t="s">
        <v>1032</v>
      </c>
      <c r="E316" s="23">
        <v>933379072</v>
      </c>
      <c r="F316" s="24">
        <v>1000000</v>
      </c>
      <c r="G316" s="20">
        <v>997.16</v>
      </c>
      <c r="H316" s="20">
        <v>933.38</v>
      </c>
      <c r="I316" s="20">
        <v>933.38</v>
      </c>
      <c r="J316" s="25">
        <v>44776.432268518518</v>
      </c>
    </row>
    <row r="317" spans="1:10">
      <c r="A317" s="26" t="s">
        <v>413</v>
      </c>
      <c r="B317" s="27">
        <v>39.99</v>
      </c>
      <c r="C317" s="28">
        <v>-6.4999999999999997E-3</v>
      </c>
      <c r="D317" s="34" t="s">
        <v>1191</v>
      </c>
      <c r="E317" s="30">
        <v>124995</v>
      </c>
      <c r="F317" s="31">
        <v>3177</v>
      </c>
      <c r="G317" s="27">
        <v>40.25</v>
      </c>
      <c r="H317" s="27">
        <v>40.1</v>
      </c>
      <c r="I317" s="27">
        <v>39</v>
      </c>
      <c r="J317" s="32">
        <v>46163.381574074076</v>
      </c>
    </row>
    <row r="318" spans="1:10">
      <c r="A318" s="19" t="s">
        <v>393</v>
      </c>
      <c r="B318" s="20">
        <v>0.3</v>
      </c>
      <c r="C318" s="21">
        <v>-6.6E-3</v>
      </c>
      <c r="D318" s="20" t="s">
        <v>754</v>
      </c>
      <c r="E318" s="23">
        <v>3027920.75</v>
      </c>
      <c r="F318" s="24">
        <v>10115571</v>
      </c>
      <c r="G318" s="20">
        <v>0.3</v>
      </c>
      <c r="H318" s="20">
        <v>0.3</v>
      </c>
      <c r="I318" s="20">
        <v>0.3</v>
      </c>
      <c r="J318" s="25">
        <v>46163.390706018516</v>
      </c>
    </row>
    <row r="319" spans="1:10">
      <c r="A319" s="26" t="s">
        <v>154</v>
      </c>
      <c r="B319" s="27">
        <v>8.35</v>
      </c>
      <c r="C319" s="28">
        <v>-7.1000000000000004E-3</v>
      </c>
      <c r="D319" s="34" t="s">
        <v>1175</v>
      </c>
      <c r="E319" s="30">
        <v>16151264</v>
      </c>
      <c r="F319" s="31">
        <v>1934992</v>
      </c>
      <c r="G319" s="27">
        <v>8.4</v>
      </c>
      <c r="H319" s="27">
        <v>8.44</v>
      </c>
      <c r="I319" s="27">
        <v>8.3000000000000007</v>
      </c>
      <c r="J319" s="32">
        <v>46163.391550925924</v>
      </c>
    </row>
    <row r="320" spans="1:10">
      <c r="A320" s="19" t="s">
        <v>252</v>
      </c>
      <c r="B320" s="20">
        <v>2.73</v>
      </c>
      <c r="C320" s="21">
        <v>-7.3000000000000001E-3</v>
      </c>
      <c r="D320" s="33" t="s">
        <v>374</v>
      </c>
      <c r="E320" s="23">
        <v>142519.59</v>
      </c>
      <c r="F320" s="24">
        <v>52449</v>
      </c>
      <c r="G320" s="20">
        <v>2.75</v>
      </c>
      <c r="H320" s="20">
        <v>2.77</v>
      </c>
      <c r="I320" s="20">
        <v>2.68</v>
      </c>
      <c r="J320" s="25">
        <v>46163.388495370367</v>
      </c>
    </row>
    <row r="321" spans="1:10">
      <c r="A321" s="26" t="s">
        <v>898</v>
      </c>
      <c r="B321" s="27">
        <v>13.63</v>
      </c>
      <c r="C321" s="28">
        <v>-7.3000000000000001E-3</v>
      </c>
      <c r="D321" s="34" t="s">
        <v>1211</v>
      </c>
      <c r="E321" s="30">
        <v>1412036.38</v>
      </c>
      <c r="F321" s="31">
        <v>103354</v>
      </c>
      <c r="G321" s="27">
        <v>13.75</v>
      </c>
      <c r="H321" s="27">
        <v>13.81</v>
      </c>
      <c r="I321" s="27">
        <v>13.63</v>
      </c>
      <c r="J321" s="32">
        <v>46163.389363425929</v>
      </c>
    </row>
    <row r="322" spans="1:10">
      <c r="A322" s="19" t="s">
        <v>445</v>
      </c>
      <c r="B322" s="20">
        <v>109.5</v>
      </c>
      <c r="C322" s="21">
        <v>-7.4999999999999997E-3</v>
      </c>
      <c r="D322" s="33" t="s">
        <v>1217</v>
      </c>
      <c r="E322" s="23">
        <v>173364.14</v>
      </c>
      <c r="F322" s="24">
        <v>1593</v>
      </c>
      <c r="G322" s="20">
        <v>110.33</v>
      </c>
      <c r="H322" s="20">
        <v>111.94</v>
      </c>
      <c r="I322" s="20">
        <v>108</v>
      </c>
      <c r="J322" s="25">
        <v>46163.389374999999</v>
      </c>
    </row>
    <row r="323" spans="1:10">
      <c r="A323" s="26" t="s">
        <v>253</v>
      </c>
      <c r="B323" s="27">
        <v>156.04</v>
      </c>
      <c r="C323" s="28">
        <v>-7.6E-3</v>
      </c>
      <c r="D323" s="34" t="s">
        <v>1266</v>
      </c>
      <c r="E323" s="30">
        <v>17589814</v>
      </c>
      <c r="F323" s="31">
        <v>112206</v>
      </c>
      <c r="G323" s="27">
        <v>157.38999999999999</v>
      </c>
      <c r="H323" s="27">
        <v>159</v>
      </c>
      <c r="I323" s="27">
        <v>155.1</v>
      </c>
      <c r="J323" s="32">
        <v>46163.391458333332</v>
      </c>
    </row>
    <row r="324" spans="1:10">
      <c r="A324" s="19" t="s">
        <v>230</v>
      </c>
      <c r="B324" s="20">
        <v>27</v>
      </c>
      <c r="C324" s="21">
        <v>-7.7000000000000002E-3</v>
      </c>
      <c r="D324" s="33" t="s">
        <v>1267</v>
      </c>
      <c r="E324" s="23">
        <v>10882438</v>
      </c>
      <c r="F324" s="24">
        <v>402590</v>
      </c>
      <c r="G324" s="20">
        <v>27.21</v>
      </c>
      <c r="H324" s="20">
        <v>27.4</v>
      </c>
      <c r="I324" s="20">
        <v>26.91</v>
      </c>
      <c r="J324" s="25">
        <v>46163.391423611109</v>
      </c>
    </row>
    <row r="325" spans="1:10">
      <c r="A325" s="26" t="s">
        <v>357</v>
      </c>
      <c r="B325" s="27">
        <v>4.54</v>
      </c>
      <c r="C325" s="28">
        <v>-8.8000000000000005E-3</v>
      </c>
      <c r="D325" s="34" t="s">
        <v>371</v>
      </c>
      <c r="E325" s="30">
        <v>994898.5</v>
      </c>
      <c r="F325" s="31">
        <v>217893</v>
      </c>
      <c r="G325" s="27">
        <v>4.5599999999999996</v>
      </c>
      <c r="H325" s="27">
        <v>4.63</v>
      </c>
      <c r="I325" s="27">
        <v>4.5</v>
      </c>
      <c r="J325" s="32">
        <v>46163.391585648147</v>
      </c>
    </row>
    <row r="326" spans="1:10">
      <c r="A326" s="19" t="s">
        <v>655</v>
      </c>
      <c r="B326" s="20">
        <v>0.1</v>
      </c>
      <c r="C326" s="21">
        <v>-9.4000000000000004E-3</v>
      </c>
      <c r="D326" s="20" t="s">
        <v>754</v>
      </c>
      <c r="E326" s="23">
        <v>4053.98</v>
      </c>
      <c r="F326" s="24">
        <v>38515</v>
      </c>
      <c r="G326" s="20">
        <v>0.11</v>
      </c>
      <c r="H326" s="20">
        <v>0.11</v>
      </c>
      <c r="I326" s="20">
        <v>0.1</v>
      </c>
      <c r="J326" s="25">
        <v>46163.325706018521</v>
      </c>
    </row>
    <row r="327" spans="1:10">
      <c r="A327" s="26" t="s">
        <v>404</v>
      </c>
      <c r="B327" s="27">
        <v>2.1</v>
      </c>
      <c r="C327" s="28">
        <v>-9.4999999999999998E-3</v>
      </c>
      <c r="D327" s="34" t="s">
        <v>374</v>
      </c>
      <c r="E327" s="30">
        <v>14186785</v>
      </c>
      <c r="F327" s="31">
        <v>6757571</v>
      </c>
      <c r="G327" s="27">
        <v>2.11</v>
      </c>
      <c r="H327" s="27">
        <v>2.12</v>
      </c>
      <c r="I327" s="27">
        <v>2.08</v>
      </c>
      <c r="J327" s="32">
        <v>46163.39162037037</v>
      </c>
    </row>
    <row r="328" spans="1:10">
      <c r="A328" s="19" t="s">
        <v>364</v>
      </c>
      <c r="B328" s="20">
        <v>278.01</v>
      </c>
      <c r="C328" s="21">
        <v>-9.5999999999999992E-3</v>
      </c>
      <c r="D328" s="33" t="s">
        <v>1268</v>
      </c>
      <c r="E328" s="23">
        <v>1771910.88</v>
      </c>
      <c r="F328" s="24">
        <v>6316</v>
      </c>
      <c r="G328" s="20">
        <v>280.33</v>
      </c>
      <c r="H328" s="20">
        <v>289.5</v>
      </c>
      <c r="I328" s="20">
        <v>275.10000000000002</v>
      </c>
      <c r="J328" s="25">
        <v>46163.391412037039</v>
      </c>
    </row>
    <row r="329" spans="1:10">
      <c r="A329" s="26" t="s">
        <v>422</v>
      </c>
      <c r="B329" s="27">
        <v>19.55</v>
      </c>
      <c r="C329" s="28">
        <v>-9.5999999999999992E-3</v>
      </c>
      <c r="D329" s="34" t="s">
        <v>1157</v>
      </c>
      <c r="E329" s="30">
        <v>50755072</v>
      </c>
      <c r="F329" s="31">
        <v>2613165</v>
      </c>
      <c r="G329" s="27">
        <v>19.7</v>
      </c>
      <c r="H329" s="27">
        <v>20.13</v>
      </c>
      <c r="I329" s="27">
        <v>18.989999999999998</v>
      </c>
      <c r="J329" s="32">
        <v>46163.391122685185</v>
      </c>
    </row>
    <row r="330" spans="1:10">
      <c r="A330" s="19" t="s">
        <v>288</v>
      </c>
      <c r="B330" s="20">
        <v>48.78</v>
      </c>
      <c r="C330" s="21">
        <v>-0.01</v>
      </c>
      <c r="D330" s="33" t="s">
        <v>1265</v>
      </c>
      <c r="E330" s="23">
        <v>6155573.5</v>
      </c>
      <c r="F330" s="24">
        <v>126457</v>
      </c>
      <c r="G330" s="20">
        <v>49</v>
      </c>
      <c r="H330" s="20">
        <v>49.69</v>
      </c>
      <c r="I330" s="20">
        <v>48.01</v>
      </c>
      <c r="J330" s="25">
        <v>46163.390868055554</v>
      </c>
    </row>
    <row r="331" spans="1:10">
      <c r="A331" s="26" t="s">
        <v>722</v>
      </c>
      <c r="B331" s="30">
        <v>1097.3</v>
      </c>
      <c r="C331" s="28">
        <v>-0.01</v>
      </c>
      <c r="D331" s="34" t="s">
        <v>1108</v>
      </c>
      <c r="E331" s="30">
        <v>4187002214.4000001</v>
      </c>
      <c r="F331" s="31">
        <v>3855000</v>
      </c>
      <c r="G331" s="30">
        <v>1219.72</v>
      </c>
      <c r="H331" s="30">
        <v>1219.72</v>
      </c>
      <c r="I331" s="30">
        <v>1004.67</v>
      </c>
      <c r="J331" s="32">
        <v>45796.401342592595</v>
      </c>
    </row>
    <row r="332" spans="1:10">
      <c r="A332" s="19" t="s">
        <v>317</v>
      </c>
      <c r="B332" s="20">
        <v>60.5</v>
      </c>
      <c r="C332" s="21">
        <v>-1.01E-2</v>
      </c>
      <c r="D332" s="33" t="s">
        <v>1199</v>
      </c>
      <c r="E332" s="23">
        <v>1192253.75</v>
      </c>
      <c r="F332" s="24">
        <v>19855</v>
      </c>
      <c r="G332" s="20">
        <v>59.79</v>
      </c>
      <c r="H332" s="20">
        <v>60.75</v>
      </c>
      <c r="I332" s="20">
        <v>59.51</v>
      </c>
      <c r="J332" s="25">
        <v>46163.391504629632</v>
      </c>
    </row>
    <row r="333" spans="1:10">
      <c r="A333" s="26" t="s">
        <v>347</v>
      </c>
      <c r="B333" s="27">
        <v>260</v>
      </c>
      <c r="C333" s="28">
        <v>-1.0200000000000001E-2</v>
      </c>
      <c r="D333" s="34" t="s">
        <v>1269</v>
      </c>
      <c r="E333" s="30">
        <v>3951943.5</v>
      </c>
      <c r="F333" s="31">
        <v>15187</v>
      </c>
      <c r="G333" s="27">
        <v>262.67</v>
      </c>
      <c r="H333" s="27">
        <v>263.5</v>
      </c>
      <c r="I333" s="27">
        <v>256</v>
      </c>
      <c r="J333" s="32">
        <v>46163.388078703705</v>
      </c>
    </row>
    <row r="334" spans="1:10">
      <c r="A334" s="19" t="s">
        <v>1161</v>
      </c>
      <c r="B334" s="20">
        <v>0.85</v>
      </c>
      <c r="C334" s="21">
        <v>-1.0500000000000001E-2</v>
      </c>
      <c r="D334" s="33" t="s">
        <v>753</v>
      </c>
      <c r="E334" s="23">
        <v>1108164.75</v>
      </c>
      <c r="F334" s="24">
        <v>1301420</v>
      </c>
      <c r="G334" s="20">
        <v>0.86</v>
      </c>
      <c r="H334" s="20">
        <v>0.86</v>
      </c>
      <c r="I334" s="20">
        <v>0.85</v>
      </c>
      <c r="J334" s="25">
        <v>46163.388506944444</v>
      </c>
    </row>
    <row r="335" spans="1:10">
      <c r="A335" s="26" t="s">
        <v>342</v>
      </c>
      <c r="B335" s="27">
        <v>53.3</v>
      </c>
      <c r="C335" s="28">
        <v>-1.06E-2</v>
      </c>
      <c r="D335" s="34" t="s">
        <v>1216</v>
      </c>
      <c r="E335" s="30">
        <v>2684996.75</v>
      </c>
      <c r="F335" s="31">
        <v>50240</v>
      </c>
      <c r="G335" s="27">
        <v>53.66</v>
      </c>
      <c r="H335" s="27">
        <v>54.49</v>
      </c>
      <c r="I335" s="27">
        <v>53</v>
      </c>
      <c r="J335" s="32">
        <v>46163.383055555554</v>
      </c>
    </row>
    <row r="336" spans="1:10">
      <c r="A336" s="19" t="s">
        <v>358</v>
      </c>
      <c r="B336" s="20">
        <v>0.45</v>
      </c>
      <c r="C336" s="21">
        <v>-1.0999999999999999E-2</v>
      </c>
      <c r="D336" s="33" t="s">
        <v>753</v>
      </c>
      <c r="E336" s="23">
        <v>77739.28</v>
      </c>
      <c r="F336" s="24">
        <v>172514</v>
      </c>
      <c r="G336" s="20">
        <v>0.46</v>
      </c>
      <c r="H336" s="20">
        <v>0.46</v>
      </c>
      <c r="I336" s="20">
        <v>0.45</v>
      </c>
      <c r="J336" s="25">
        <v>46163.388622685183</v>
      </c>
    </row>
    <row r="337" spans="1:10">
      <c r="A337" s="26" t="s">
        <v>339</v>
      </c>
      <c r="B337" s="27">
        <v>0.45</v>
      </c>
      <c r="C337" s="28">
        <v>-1.11E-2</v>
      </c>
      <c r="D337" s="34" t="s">
        <v>753</v>
      </c>
      <c r="E337" s="30">
        <v>105809.22</v>
      </c>
      <c r="F337" s="31">
        <v>238041</v>
      </c>
      <c r="G337" s="27">
        <v>0.45</v>
      </c>
      <c r="H337" s="27">
        <v>0.45</v>
      </c>
      <c r="I337" s="27">
        <v>0.44</v>
      </c>
      <c r="J337" s="32">
        <v>46163.380162037036</v>
      </c>
    </row>
    <row r="338" spans="1:10">
      <c r="A338" s="19" t="s">
        <v>446</v>
      </c>
      <c r="B338" s="20">
        <v>26.64</v>
      </c>
      <c r="C338" s="21">
        <v>-1.12E-2</v>
      </c>
      <c r="D338" s="33" t="s">
        <v>1181</v>
      </c>
      <c r="E338" s="23">
        <v>1874613.5</v>
      </c>
      <c r="F338" s="24">
        <v>70752</v>
      </c>
      <c r="G338" s="20">
        <v>26.75</v>
      </c>
      <c r="H338" s="20">
        <v>26.9</v>
      </c>
      <c r="I338" s="20">
        <v>26.16</v>
      </c>
      <c r="J338" s="25">
        <v>46163.391527777778</v>
      </c>
    </row>
    <row r="339" spans="1:10">
      <c r="A339" s="26" t="s">
        <v>665</v>
      </c>
      <c r="B339" s="27">
        <v>39.799999999999997</v>
      </c>
      <c r="C339" s="28">
        <v>-1.17E-2</v>
      </c>
      <c r="D339" s="34" t="s">
        <v>755</v>
      </c>
      <c r="E339" s="30">
        <v>49750000</v>
      </c>
      <c r="F339" s="31">
        <v>1250000</v>
      </c>
      <c r="G339" s="27">
        <v>40.270000000000003</v>
      </c>
      <c r="H339" s="27">
        <v>39.799999999999997</v>
      </c>
      <c r="I339" s="27">
        <v>39.799999999999997</v>
      </c>
      <c r="J339" s="32">
        <v>45552.448993055557</v>
      </c>
    </row>
    <row r="340" spans="1:10">
      <c r="A340" s="19" t="s">
        <v>341</v>
      </c>
      <c r="B340" s="20">
        <v>8.86</v>
      </c>
      <c r="C340" s="21">
        <v>-1.2200000000000001E-2</v>
      </c>
      <c r="D340" s="33" t="s">
        <v>1179</v>
      </c>
      <c r="E340" s="23">
        <v>505722.13</v>
      </c>
      <c r="F340" s="24">
        <v>56945</v>
      </c>
      <c r="G340" s="20">
        <v>9</v>
      </c>
      <c r="H340" s="20">
        <v>9.1300000000000008</v>
      </c>
      <c r="I340" s="20">
        <v>8.6199999999999992</v>
      </c>
      <c r="J340" s="25">
        <v>46163.375625000001</v>
      </c>
    </row>
    <row r="341" spans="1:10">
      <c r="A341" s="26" t="s">
        <v>1128</v>
      </c>
      <c r="B341" s="27">
        <v>9.66</v>
      </c>
      <c r="C341" s="28">
        <v>-1.24E-2</v>
      </c>
      <c r="D341" s="34" t="s">
        <v>1198</v>
      </c>
      <c r="E341" s="30">
        <v>898834.31</v>
      </c>
      <c r="F341" s="31">
        <v>93631</v>
      </c>
      <c r="G341" s="27">
        <v>9.6999999999999993</v>
      </c>
      <c r="H341" s="27">
        <v>9.85</v>
      </c>
      <c r="I341" s="27">
        <v>9.5</v>
      </c>
      <c r="J341" s="32">
        <v>46163.383680555555</v>
      </c>
    </row>
    <row r="342" spans="1:10">
      <c r="A342" s="19" t="s">
        <v>335</v>
      </c>
      <c r="B342" s="20">
        <v>12.29</v>
      </c>
      <c r="C342" s="21">
        <v>-1.29E-2</v>
      </c>
      <c r="D342" s="33" t="s">
        <v>1182</v>
      </c>
      <c r="E342" s="23">
        <v>9370064</v>
      </c>
      <c r="F342" s="24">
        <v>762337</v>
      </c>
      <c r="G342" s="20">
        <v>12.43</v>
      </c>
      <c r="H342" s="20">
        <v>12.44</v>
      </c>
      <c r="I342" s="20">
        <v>12.16</v>
      </c>
      <c r="J342" s="25">
        <v>46163.389224537037</v>
      </c>
    </row>
    <row r="343" spans="1:10">
      <c r="A343" s="26" t="s">
        <v>416</v>
      </c>
      <c r="B343" s="27">
        <v>1.52</v>
      </c>
      <c r="C343" s="28">
        <v>-1.3100000000000001E-2</v>
      </c>
      <c r="D343" s="34" t="s">
        <v>374</v>
      </c>
      <c r="E343" s="30">
        <v>15117124</v>
      </c>
      <c r="F343" s="31">
        <v>9904180</v>
      </c>
      <c r="G343" s="27">
        <v>1.53</v>
      </c>
      <c r="H343" s="27">
        <v>1.56</v>
      </c>
      <c r="I343" s="27">
        <v>1.51</v>
      </c>
      <c r="J343" s="32">
        <v>46163.389548611114</v>
      </c>
    </row>
    <row r="344" spans="1:10">
      <c r="A344" s="19" t="s">
        <v>362</v>
      </c>
      <c r="B344" s="20">
        <v>353.5</v>
      </c>
      <c r="C344" s="21">
        <v>-1.34E-2</v>
      </c>
      <c r="D344" s="33" t="s">
        <v>1270</v>
      </c>
      <c r="E344" s="23">
        <v>2328740.5</v>
      </c>
      <c r="F344" s="24">
        <v>6545</v>
      </c>
      <c r="G344" s="20">
        <v>356.52</v>
      </c>
      <c r="H344" s="20">
        <v>366</v>
      </c>
      <c r="I344" s="20">
        <v>351.02</v>
      </c>
      <c r="J344" s="25">
        <v>46163.391111111108</v>
      </c>
    </row>
    <row r="345" spans="1:10">
      <c r="A345" s="26" t="s">
        <v>433</v>
      </c>
      <c r="B345" s="27">
        <v>1.46</v>
      </c>
      <c r="C345" s="28">
        <v>-1.3599999999999999E-2</v>
      </c>
      <c r="D345" s="34" t="s">
        <v>374</v>
      </c>
      <c r="E345" s="30">
        <v>23581740</v>
      </c>
      <c r="F345" s="31">
        <v>16183877</v>
      </c>
      <c r="G345" s="27">
        <v>1.47</v>
      </c>
      <c r="H345" s="27">
        <v>1.48</v>
      </c>
      <c r="I345" s="27">
        <v>1.44</v>
      </c>
      <c r="J345" s="32">
        <v>46163.391446759262</v>
      </c>
    </row>
    <row r="346" spans="1:10">
      <c r="A346" s="19" t="s">
        <v>495</v>
      </c>
      <c r="B346" s="20">
        <v>86</v>
      </c>
      <c r="C346" s="21">
        <v>-1.38E-2</v>
      </c>
      <c r="D346" s="33" t="s">
        <v>1271</v>
      </c>
      <c r="E346" s="23">
        <v>207266.08</v>
      </c>
      <c r="F346" s="24">
        <v>2396</v>
      </c>
      <c r="G346" s="20">
        <v>87.58</v>
      </c>
      <c r="H346" s="20">
        <v>87.98</v>
      </c>
      <c r="I346" s="20">
        <v>86</v>
      </c>
      <c r="J346" s="25">
        <v>46163.372928240744</v>
      </c>
    </row>
    <row r="347" spans="1:10">
      <c r="A347" s="26" t="s">
        <v>183</v>
      </c>
      <c r="B347" s="27">
        <v>25.11</v>
      </c>
      <c r="C347" s="28">
        <v>-1.4500000000000001E-2</v>
      </c>
      <c r="D347" s="34" t="s">
        <v>1272</v>
      </c>
      <c r="E347" s="30">
        <v>444169.72</v>
      </c>
      <c r="F347" s="31">
        <v>17672</v>
      </c>
      <c r="G347" s="27">
        <v>25.49</v>
      </c>
      <c r="H347" s="27">
        <v>25.5</v>
      </c>
      <c r="I347" s="27">
        <v>25</v>
      </c>
      <c r="J347" s="32">
        <v>46163.37394675926</v>
      </c>
    </row>
    <row r="348" spans="1:10">
      <c r="A348" s="19" t="s">
        <v>1132</v>
      </c>
      <c r="B348" s="20">
        <v>25.26</v>
      </c>
      <c r="C348" s="21">
        <v>-1.5100000000000001E-2</v>
      </c>
      <c r="D348" s="33" t="s">
        <v>1219</v>
      </c>
      <c r="E348" s="23">
        <v>906441.31</v>
      </c>
      <c r="F348" s="24">
        <v>35483</v>
      </c>
      <c r="G348" s="20">
        <v>25.89</v>
      </c>
      <c r="H348" s="20">
        <v>26.79</v>
      </c>
      <c r="I348" s="20">
        <v>25.14</v>
      </c>
      <c r="J348" s="25">
        <v>46163.388379629629</v>
      </c>
    </row>
    <row r="349" spans="1:10">
      <c r="A349" s="26" t="s">
        <v>406</v>
      </c>
      <c r="B349" s="27">
        <v>5.18</v>
      </c>
      <c r="C349" s="28">
        <v>-1.52E-2</v>
      </c>
      <c r="D349" s="34" t="s">
        <v>1047</v>
      </c>
      <c r="E349" s="30">
        <v>2034337.25</v>
      </c>
      <c r="F349" s="31">
        <v>392460</v>
      </c>
      <c r="G349" s="27">
        <v>5.25</v>
      </c>
      <c r="H349" s="27">
        <v>5.27</v>
      </c>
      <c r="I349" s="27">
        <v>5.13</v>
      </c>
      <c r="J349" s="32">
        <v>46163.388958333337</v>
      </c>
    </row>
    <row r="350" spans="1:10">
      <c r="A350" s="19" t="s">
        <v>434</v>
      </c>
      <c r="B350" s="20">
        <v>8.6999999999999993</v>
      </c>
      <c r="C350" s="21">
        <v>-1.5800000000000002E-2</v>
      </c>
      <c r="D350" s="33" t="s">
        <v>1213</v>
      </c>
      <c r="E350" s="23">
        <v>2196852</v>
      </c>
      <c r="F350" s="24">
        <v>251100</v>
      </c>
      <c r="G350" s="20">
        <v>8.85</v>
      </c>
      <c r="H350" s="20">
        <v>8.9499999999999993</v>
      </c>
      <c r="I350" s="20">
        <v>8.6999999999999993</v>
      </c>
      <c r="J350" s="25">
        <v>46163.390555555554</v>
      </c>
    </row>
    <row r="351" spans="1:10">
      <c r="A351" s="26" t="s">
        <v>661</v>
      </c>
      <c r="B351" s="27">
        <v>11.79</v>
      </c>
      <c r="C351" s="28">
        <v>-1.5900000000000001E-2</v>
      </c>
      <c r="D351" s="34" t="s">
        <v>1157</v>
      </c>
      <c r="E351" s="30">
        <v>93338.77</v>
      </c>
      <c r="F351" s="31">
        <v>9243</v>
      </c>
      <c r="G351" s="27">
        <v>11.98</v>
      </c>
      <c r="H351" s="27">
        <v>11.94</v>
      </c>
      <c r="I351" s="27">
        <v>10</v>
      </c>
      <c r="J351" s="32">
        <v>46162.395810185182</v>
      </c>
    </row>
    <row r="352" spans="1:10">
      <c r="A352" s="19" t="s">
        <v>146</v>
      </c>
      <c r="B352" s="20">
        <v>1.74</v>
      </c>
      <c r="C352" s="21">
        <v>-1.7000000000000001E-2</v>
      </c>
      <c r="D352" s="33" t="s">
        <v>389</v>
      </c>
      <c r="E352" s="23">
        <v>3410449.25</v>
      </c>
      <c r="F352" s="24">
        <v>1972679</v>
      </c>
      <c r="G352" s="20">
        <v>1.76</v>
      </c>
      <c r="H352" s="20">
        <v>1.77</v>
      </c>
      <c r="I352" s="20">
        <v>1.71</v>
      </c>
      <c r="J352" s="25">
        <v>46163.3905787037</v>
      </c>
    </row>
    <row r="353" spans="1:10">
      <c r="A353" s="26" t="s">
        <v>428</v>
      </c>
      <c r="B353" s="27">
        <v>40.5</v>
      </c>
      <c r="C353" s="28">
        <v>-1.7100000000000001E-2</v>
      </c>
      <c r="D353" s="34" t="s">
        <v>1194</v>
      </c>
      <c r="E353" s="30">
        <v>1199511.3799999999</v>
      </c>
      <c r="F353" s="31">
        <v>29737</v>
      </c>
      <c r="G353" s="27">
        <v>40.86</v>
      </c>
      <c r="H353" s="27">
        <v>41.01</v>
      </c>
      <c r="I353" s="27">
        <v>39.799999999999997</v>
      </c>
      <c r="J353" s="32">
        <v>46163.374166666668</v>
      </c>
    </row>
    <row r="354" spans="1:10">
      <c r="A354" s="19" t="s">
        <v>410</v>
      </c>
      <c r="B354" s="20">
        <v>17.010000000000002</v>
      </c>
      <c r="C354" s="21">
        <v>-1.7299999999999999E-2</v>
      </c>
      <c r="D354" s="33" t="s">
        <v>1181</v>
      </c>
      <c r="E354" s="23">
        <v>28042474</v>
      </c>
      <c r="F354" s="24">
        <v>1642634</v>
      </c>
      <c r="G354" s="20">
        <v>17.329999999999998</v>
      </c>
      <c r="H354" s="20">
        <v>17.3</v>
      </c>
      <c r="I354" s="20">
        <v>16.95</v>
      </c>
      <c r="J354" s="25">
        <v>46163.390347222223</v>
      </c>
    </row>
    <row r="355" spans="1:10">
      <c r="A355" s="26" t="s">
        <v>368</v>
      </c>
      <c r="B355" s="27">
        <v>0.39</v>
      </c>
      <c r="C355" s="28">
        <v>-1.7500000000000002E-2</v>
      </c>
      <c r="D355" s="34" t="s">
        <v>753</v>
      </c>
      <c r="E355" s="30">
        <v>1824729.38</v>
      </c>
      <c r="F355" s="31">
        <v>4624319</v>
      </c>
      <c r="G355" s="27">
        <v>0.4</v>
      </c>
      <c r="H355" s="27">
        <v>0.4</v>
      </c>
      <c r="I355" s="27">
        <v>0.39</v>
      </c>
      <c r="J355" s="32">
        <v>46163.391215277778</v>
      </c>
    </row>
    <row r="356" spans="1:10">
      <c r="A356" s="19" t="s">
        <v>673</v>
      </c>
      <c r="B356" s="20">
        <v>110.01</v>
      </c>
      <c r="C356" s="21">
        <v>-1.78E-2</v>
      </c>
      <c r="D356" s="33" t="s">
        <v>1214</v>
      </c>
      <c r="E356" s="23">
        <v>2200.1999999999998</v>
      </c>
      <c r="F356" s="20">
        <v>20</v>
      </c>
      <c r="G356" s="20">
        <v>112</v>
      </c>
      <c r="H356" s="20">
        <v>110.01</v>
      </c>
      <c r="I356" s="20">
        <v>110.01</v>
      </c>
      <c r="J356" s="25">
        <v>46162.39403935185</v>
      </c>
    </row>
    <row r="357" spans="1:10">
      <c r="A357" s="26" t="s">
        <v>441</v>
      </c>
      <c r="B357" s="27">
        <v>70.95</v>
      </c>
      <c r="C357" s="28">
        <v>-1.7899999999999999E-2</v>
      </c>
      <c r="D357" s="34" t="s">
        <v>1273</v>
      </c>
      <c r="E357" s="30">
        <v>3611502</v>
      </c>
      <c r="F357" s="31">
        <v>50999</v>
      </c>
      <c r="G357" s="27">
        <v>72.05</v>
      </c>
      <c r="H357" s="27">
        <v>72.989999999999995</v>
      </c>
      <c r="I357" s="27">
        <v>69.33</v>
      </c>
      <c r="J357" s="32">
        <v>46163.390393518515</v>
      </c>
    </row>
    <row r="358" spans="1:10">
      <c r="A358" s="19" t="s">
        <v>379</v>
      </c>
      <c r="B358" s="20">
        <v>15.19</v>
      </c>
      <c r="C358" s="21">
        <v>-1.8800000000000001E-2</v>
      </c>
      <c r="D358" s="33" t="s">
        <v>1212</v>
      </c>
      <c r="E358" s="23">
        <v>4723384.5</v>
      </c>
      <c r="F358" s="24">
        <v>310982</v>
      </c>
      <c r="G358" s="20">
        <v>15.45</v>
      </c>
      <c r="H358" s="20">
        <v>15.7</v>
      </c>
      <c r="I358" s="20">
        <v>15</v>
      </c>
      <c r="J358" s="25">
        <v>46163.391550925924</v>
      </c>
    </row>
    <row r="359" spans="1:10">
      <c r="A359" s="26" t="s">
        <v>1133</v>
      </c>
      <c r="B359" s="27">
        <v>2.5099999999999998</v>
      </c>
      <c r="C359" s="28">
        <v>-1.9900000000000001E-2</v>
      </c>
      <c r="D359" s="34" t="s">
        <v>1169</v>
      </c>
      <c r="E359" s="30">
        <v>521286.75</v>
      </c>
      <c r="F359" s="31">
        <v>211484</v>
      </c>
      <c r="G359" s="27">
        <v>2.5099999999999998</v>
      </c>
      <c r="H359" s="27">
        <v>2.54</v>
      </c>
      <c r="I359" s="27">
        <v>2.4500000000000002</v>
      </c>
      <c r="J359" s="32">
        <v>46163.386145833334</v>
      </c>
    </row>
    <row r="360" spans="1:10">
      <c r="A360" s="19" t="s">
        <v>401</v>
      </c>
      <c r="B360" s="20">
        <v>0.43</v>
      </c>
      <c r="C360" s="21">
        <v>-2.0500000000000001E-2</v>
      </c>
      <c r="D360" s="33" t="s">
        <v>753</v>
      </c>
      <c r="E360" s="23">
        <v>3349560.75</v>
      </c>
      <c r="F360" s="24">
        <v>7719089</v>
      </c>
      <c r="G360" s="20">
        <v>0.44</v>
      </c>
      <c r="H360" s="20">
        <v>0.44</v>
      </c>
      <c r="I360" s="20">
        <v>0.43</v>
      </c>
      <c r="J360" s="25">
        <v>46163.389710648145</v>
      </c>
    </row>
    <row r="361" spans="1:10">
      <c r="A361" s="26" t="s">
        <v>658</v>
      </c>
      <c r="B361" s="27">
        <v>9.11</v>
      </c>
      <c r="C361" s="28">
        <v>-2.1299999999999999E-2</v>
      </c>
      <c r="D361" s="34" t="s">
        <v>756</v>
      </c>
      <c r="E361" s="30">
        <v>23293.7</v>
      </c>
      <c r="F361" s="31">
        <v>2529</v>
      </c>
      <c r="G361" s="27">
        <v>9.41</v>
      </c>
      <c r="H361" s="27">
        <v>9.32</v>
      </c>
      <c r="I361" s="27">
        <v>9.02</v>
      </c>
      <c r="J361" s="32">
        <v>41701.519479166665</v>
      </c>
    </row>
    <row r="362" spans="1:10">
      <c r="A362" s="19" t="s">
        <v>646</v>
      </c>
      <c r="B362" s="20">
        <v>2.8</v>
      </c>
      <c r="C362" s="21">
        <v>-2.1399999999999999E-2</v>
      </c>
      <c r="D362" s="33" t="s">
        <v>1175</v>
      </c>
      <c r="E362" s="23">
        <v>572712.88</v>
      </c>
      <c r="F362" s="24">
        <v>211070</v>
      </c>
      <c r="G362" s="20">
        <v>2.8</v>
      </c>
      <c r="H362" s="20">
        <v>2.8</v>
      </c>
      <c r="I362" s="20">
        <v>2.66</v>
      </c>
      <c r="J362" s="25">
        <v>46163.391006944446</v>
      </c>
    </row>
    <row r="363" spans="1:10">
      <c r="A363" s="26" t="s">
        <v>424</v>
      </c>
      <c r="B363" s="27">
        <v>2.17</v>
      </c>
      <c r="C363" s="28">
        <v>-2.2499999999999999E-2</v>
      </c>
      <c r="D363" s="34" t="s">
        <v>1169</v>
      </c>
      <c r="E363" s="30">
        <v>18554640</v>
      </c>
      <c r="F363" s="31">
        <v>8462507</v>
      </c>
      <c r="G363" s="27">
        <v>2.2200000000000002</v>
      </c>
      <c r="H363" s="27">
        <v>2.2200000000000002</v>
      </c>
      <c r="I363" s="27">
        <v>2.17</v>
      </c>
      <c r="J363" s="32">
        <v>46163.390150462961</v>
      </c>
    </row>
    <row r="364" spans="1:10">
      <c r="A364" s="19" t="s">
        <v>361</v>
      </c>
      <c r="B364" s="20">
        <v>0.42</v>
      </c>
      <c r="C364" s="21">
        <v>-2.3300000000000001E-2</v>
      </c>
      <c r="D364" s="33" t="s">
        <v>753</v>
      </c>
      <c r="E364" s="23">
        <v>278013.03000000003</v>
      </c>
      <c r="F364" s="24">
        <v>642190</v>
      </c>
      <c r="G364" s="20">
        <v>0.43</v>
      </c>
      <c r="H364" s="20">
        <v>0.44</v>
      </c>
      <c r="I364" s="20">
        <v>0.42</v>
      </c>
      <c r="J364" s="25">
        <v>46162.395358796297</v>
      </c>
    </row>
    <row r="365" spans="1:10">
      <c r="A365" s="26" t="s">
        <v>246</v>
      </c>
      <c r="B365" s="27">
        <v>204</v>
      </c>
      <c r="C365" s="28">
        <v>-2.3599999999999999E-2</v>
      </c>
      <c r="D365" s="34" t="s">
        <v>1274</v>
      </c>
      <c r="E365" s="30">
        <v>19583200</v>
      </c>
      <c r="F365" s="31">
        <v>95435</v>
      </c>
      <c r="G365" s="27">
        <v>208.91</v>
      </c>
      <c r="H365" s="27">
        <v>211</v>
      </c>
      <c r="I365" s="27">
        <v>203.03</v>
      </c>
      <c r="J365" s="32">
        <v>46163.391388888886</v>
      </c>
    </row>
    <row r="366" spans="1:10">
      <c r="A366" s="19" t="s">
        <v>312</v>
      </c>
      <c r="B366" s="20">
        <v>212.05</v>
      </c>
      <c r="C366" s="21">
        <v>-2.3599999999999999E-2</v>
      </c>
      <c r="D366" s="33" t="s">
        <v>1275</v>
      </c>
      <c r="E366" s="23">
        <v>10406466</v>
      </c>
      <c r="F366" s="24">
        <v>48567</v>
      </c>
      <c r="G366" s="20">
        <v>217.2</v>
      </c>
      <c r="H366" s="20">
        <v>220</v>
      </c>
      <c r="I366" s="20">
        <v>212</v>
      </c>
      <c r="J366" s="25">
        <v>46163.389456018522</v>
      </c>
    </row>
    <row r="367" spans="1:10">
      <c r="A367" s="26" t="s">
        <v>240</v>
      </c>
      <c r="B367" s="27">
        <v>136.35</v>
      </c>
      <c r="C367" s="28">
        <v>-2.4299999999999999E-2</v>
      </c>
      <c r="D367" s="34" t="s">
        <v>1276</v>
      </c>
      <c r="E367" s="30">
        <v>5819697</v>
      </c>
      <c r="F367" s="31">
        <v>42617</v>
      </c>
      <c r="G367" s="27">
        <v>138.9</v>
      </c>
      <c r="H367" s="27">
        <v>141.49</v>
      </c>
      <c r="I367" s="27">
        <v>133</v>
      </c>
      <c r="J367" s="32">
        <v>46163.391550925924</v>
      </c>
    </row>
    <row r="368" spans="1:10">
      <c r="A368" s="19" t="s">
        <v>397</v>
      </c>
      <c r="B368" s="20">
        <v>6.24</v>
      </c>
      <c r="C368" s="21">
        <v>-2.5100000000000001E-2</v>
      </c>
      <c r="D368" s="33" t="s">
        <v>1182</v>
      </c>
      <c r="E368" s="23">
        <v>2420878.75</v>
      </c>
      <c r="F368" s="24">
        <v>384418</v>
      </c>
      <c r="G368" s="20">
        <v>6.37</v>
      </c>
      <c r="H368" s="20">
        <v>6.5</v>
      </c>
      <c r="I368" s="20">
        <v>6.15</v>
      </c>
      <c r="J368" s="25">
        <v>46163.390729166669</v>
      </c>
    </row>
    <row r="369" spans="1:10">
      <c r="A369" s="26" t="s">
        <v>425</v>
      </c>
      <c r="B369" s="27">
        <v>5.45</v>
      </c>
      <c r="C369" s="28">
        <v>-2.5100000000000001E-2</v>
      </c>
      <c r="D369" s="34" t="s">
        <v>1213</v>
      </c>
      <c r="E369" s="30">
        <v>6392402.5</v>
      </c>
      <c r="F369" s="31">
        <v>1175271</v>
      </c>
      <c r="G369" s="27">
        <v>5.57</v>
      </c>
      <c r="H369" s="27">
        <v>5.65</v>
      </c>
      <c r="I369" s="27">
        <v>5.4</v>
      </c>
      <c r="J369" s="32">
        <v>46163.390775462962</v>
      </c>
    </row>
    <row r="370" spans="1:10">
      <c r="A370" s="19" t="s">
        <v>239</v>
      </c>
      <c r="B370" s="20">
        <v>31.4</v>
      </c>
      <c r="C370" s="21">
        <v>-2.5700000000000001E-2</v>
      </c>
      <c r="D370" s="33" t="s">
        <v>1217</v>
      </c>
      <c r="E370" s="23">
        <v>47135312</v>
      </c>
      <c r="F370" s="24">
        <v>1448239</v>
      </c>
      <c r="G370" s="20">
        <v>32.24</v>
      </c>
      <c r="H370" s="20">
        <v>33.9</v>
      </c>
      <c r="I370" s="20">
        <v>31.16</v>
      </c>
      <c r="J370" s="25">
        <v>46163.390613425923</v>
      </c>
    </row>
    <row r="371" spans="1:10">
      <c r="A371" s="26" t="s">
        <v>324</v>
      </c>
      <c r="B371" s="27">
        <v>4.76</v>
      </c>
      <c r="C371" s="28">
        <v>-2.6599999999999999E-2</v>
      </c>
      <c r="D371" s="34" t="s">
        <v>1180</v>
      </c>
      <c r="E371" s="30">
        <v>175977.41</v>
      </c>
      <c r="F371" s="31">
        <v>36692</v>
      </c>
      <c r="G371" s="27">
        <v>4.8899999999999997</v>
      </c>
      <c r="H371" s="27">
        <v>4.8899999999999997</v>
      </c>
      <c r="I371" s="27">
        <v>4.7300000000000004</v>
      </c>
      <c r="J371" s="32">
        <v>46163.389745370368</v>
      </c>
    </row>
    <row r="372" spans="1:10">
      <c r="A372" s="19" t="s">
        <v>409</v>
      </c>
      <c r="B372" s="20">
        <v>268.85000000000002</v>
      </c>
      <c r="C372" s="21">
        <v>-2.7099999999999999E-2</v>
      </c>
      <c r="D372" s="33" t="s">
        <v>1277</v>
      </c>
      <c r="E372" s="23">
        <v>5257936.5</v>
      </c>
      <c r="F372" s="24">
        <v>19538</v>
      </c>
      <c r="G372" s="20">
        <v>275.39</v>
      </c>
      <c r="H372" s="20">
        <v>276.3</v>
      </c>
      <c r="I372" s="20">
        <v>265</v>
      </c>
      <c r="J372" s="25">
        <v>46163.391168981485</v>
      </c>
    </row>
    <row r="373" spans="1:10">
      <c r="A373" s="26" t="s">
        <v>384</v>
      </c>
      <c r="B373" s="27">
        <v>3.95</v>
      </c>
      <c r="C373" s="28">
        <v>-2.7099999999999999E-2</v>
      </c>
      <c r="D373" s="34" t="s">
        <v>1179</v>
      </c>
      <c r="E373" s="30">
        <v>18917320</v>
      </c>
      <c r="F373" s="31">
        <v>4702330</v>
      </c>
      <c r="G373" s="27">
        <v>4.0599999999999996</v>
      </c>
      <c r="H373" s="27">
        <v>4.18</v>
      </c>
      <c r="I373" s="27">
        <v>3.94</v>
      </c>
      <c r="J373" s="32">
        <v>46163.391631944447</v>
      </c>
    </row>
    <row r="374" spans="1:10">
      <c r="A374" s="19" t="s">
        <v>973</v>
      </c>
      <c r="B374" s="20">
        <v>1.42</v>
      </c>
      <c r="C374" s="21">
        <v>-2.7400000000000001E-2</v>
      </c>
      <c r="D374" s="33" t="s">
        <v>371</v>
      </c>
      <c r="E374" s="23">
        <v>27161408</v>
      </c>
      <c r="F374" s="24">
        <v>19472224</v>
      </c>
      <c r="G374" s="20">
        <v>1.46</v>
      </c>
      <c r="H374" s="20">
        <v>1.44</v>
      </c>
      <c r="I374" s="20">
        <v>1.35</v>
      </c>
      <c r="J374" s="25">
        <v>46163.391562500001</v>
      </c>
    </row>
    <row r="375" spans="1:10">
      <c r="A375" s="26" t="s">
        <v>707</v>
      </c>
      <c r="B375" s="27">
        <v>0.03</v>
      </c>
      <c r="C375" s="28">
        <v>-2.86E-2</v>
      </c>
      <c r="D375" s="27" t="s">
        <v>754</v>
      </c>
      <c r="E375" s="27">
        <v>493.51</v>
      </c>
      <c r="F375" s="31">
        <v>14515</v>
      </c>
      <c r="G375" s="27">
        <v>0.04</v>
      </c>
      <c r="H375" s="27">
        <v>0.03</v>
      </c>
      <c r="I375" s="27">
        <v>0.03</v>
      </c>
      <c r="J375" s="32">
        <v>46163.334282407406</v>
      </c>
    </row>
    <row r="376" spans="1:10">
      <c r="A376" s="19" t="s">
        <v>329</v>
      </c>
      <c r="B376" s="20">
        <v>0.03</v>
      </c>
      <c r="C376" s="21">
        <v>-2.9399999999999999E-2</v>
      </c>
      <c r="D376" s="20" t="s">
        <v>754</v>
      </c>
      <c r="E376" s="20">
        <v>389.45</v>
      </c>
      <c r="F376" s="24">
        <v>11655</v>
      </c>
      <c r="G376" s="20">
        <v>0.03</v>
      </c>
      <c r="H376" s="20">
        <v>0.04</v>
      </c>
      <c r="I376" s="20">
        <v>0.03</v>
      </c>
      <c r="J376" s="25">
        <v>46162.441006944442</v>
      </c>
    </row>
    <row r="377" spans="1:10">
      <c r="A377" s="26" t="s">
        <v>405</v>
      </c>
      <c r="B377" s="27">
        <v>1.31</v>
      </c>
      <c r="C377" s="28">
        <v>-2.9600000000000001E-2</v>
      </c>
      <c r="D377" s="34" t="s">
        <v>371</v>
      </c>
      <c r="E377" s="30">
        <v>69967.039999999994</v>
      </c>
      <c r="F377" s="31">
        <v>53366</v>
      </c>
      <c r="G377" s="27">
        <v>1.35</v>
      </c>
      <c r="H377" s="27">
        <v>1.39</v>
      </c>
      <c r="I377" s="27">
        <v>1.3</v>
      </c>
      <c r="J377" s="32">
        <v>46162.395011574074</v>
      </c>
    </row>
    <row r="378" spans="1:10">
      <c r="A378" s="19" t="s">
        <v>436</v>
      </c>
      <c r="B378" s="20">
        <v>10.1</v>
      </c>
      <c r="C378" s="21">
        <v>-2.98E-2</v>
      </c>
      <c r="D378" s="33" t="s">
        <v>1220</v>
      </c>
      <c r="E378" s="23">
        <v>63010976</v>
      </c>
      <c r="F378" s="24">
        <v>6175942</v>
      </c>
      <c r="G378" s="20">
        <v>10.4</v>
      </c>
      <c r="H378" s="20">
        <v>10.58</v>
      </c>
      <c r="I378" s="20">
        <v>9.9</v>
      </c>
      <c r="J378" s="25">
        <v>46163.391192129631</v>
      </c>
    </row>
    <row r="379" spans="1:10">
      <c r="A379" s="26" t="s">
        <v>408</v>
      </c>
      <c r="B379" s="27">
        <v>0.41</v>
      </c>
      <c r="C379" s="28">
        <v>-3.09E-2</v>
      </c>
      <c r="D379" s="34" t="s">
        <v>753</v>
      </c>
      <c r="E379" s="30">
        <v>3832845</v>
      </c>
      <c r="F379" s="31">
        <v>9303531</v>
      </c>
      <c r="G379" s="27">
        <v>0.42</v>
      </c>
      <c r="H379" s="27">
        <v>0.42</v>
      </c>
      <c r="I379" s="27">
        <v>0.4</v>
      </c>
      <c r="J379" s="32">
        <v>46163.390717592592</v>
      </c>
    </row>
    <row r="380" spans="1:10">
      <c r="A380" s="19" t="s">
        <v>459</v>
      </c>
      <c r="B380" s="20">
        <v>12.84</v>
      </c>
      <c r="C380" s="21">
        <v>-3.09E-2</v>
      </c>
      <c r="D380" s="33" t="s">
        <v>1200</v>
      </c>
      <c r="E380" s="23">
        <v>108151.59</v>
      </c>
      <c r="F380" s="24">
        <v>8296</v>
      </c>
      <c r="G380" s="20">
        <v>13.25</v>
      </c>
      <c r="H380" s="20">
        <v>13.25</v>
      </c>
      <c r="I380" s="20">
        <v>12.84</v>
      </c>
      <c r="J380" s="25">
        <v>46163.365833333337</v>
      </c>
    </row>
    <row r="381" spans="1:10">
      <c r="A381" s="26" t="s">
        <v>351</v>
      </c>
      <c r="B381" s="27">
        <v>33.43</v>
      </c>
      <c r="C381" s="28">
        <v>-3.1E-2</v>
      </c>
      <c r="D381" s="34" t="s">
        <v>1218</v>
      </c>
      <c r="E381" s="30">
        <v>36431.93</v>
      </c>
      <c r="F381" s="31">
        <v>1166</v>
      </c>
      <c r="G381" s="27">
        <v>34.5</v>
      </c>
      <c r="H381" s="27">
        <v>33.950000000000003</v>
      </c>
      <c r="I381" s="27">
        <v>30.3</v>
      </c>
      <c r="J381" s="32">
        <v>46162.395451388889</v>
      </c>
    </row>
    <row r="382" spans="1:10">
      <c r="A382" s="19" t="s">
        <v>160</v>
      </c>
      <c r="B382" s="20">
        <v>8.3699999999999992</v>
      </c>
      <c r="C382" s="21">
        <v>-3.6799999999999999E-2</v>
      </c>
      <c r="D382" s="33" t="s">
        <v>1193</v>
      </c>
      <c r="E382" s="23">
        <v>3953648.25</v>
      </c>
      <c r="F382" s="24">
        <v>475185</v>
      </c>
      <c r="G382" s="20">
        <v>8.6999999999999993</v>
      </c>
      <c r="H382" s="20">
        <v>8.84</v>
      </c>
      <c r="I382" s="20">
        <v>7.71</v>
      </c>
      <c r="J382" s="25">
        <v>46163.388402777775</v>
      </c>
    </row>
    <row r="383" spans="1:10">
      <c r="A383" s="26" t="s">
        <v>186</v>
      </c>
      <c r="B383" s="27">
        <v>37.590000000000003</v>
      </c>
      <c r="C383" s="28">
        <v>-4.2700000000000002E-2</v>
      </c>
      <c r="D383" s="34" t="s">
        <v>1278</v>
      </c>
      <c r="E383" s="30">
        <v>14183186</v>
      </c>
      <c r="F383" s="31">
        <v>376097</v>
      </c>
      <c r="G383" s="27">
        <v>39.15</v>
      </c>
      <c r="H383" s="27">
        <v>38.14</v>
      </c>
      <c r="I383" s="27">
        <v>37.26</v>
      </c>
      <c r="J383" s="32">
        <v>46163.391319444447</v>
      </c>
    </row>
    <row r="384" spans="1:10">
      <c r="A384" s="19" t="s">
        <v>450</v>
      </c>
      <c r="B384" s="20">
        <v>5.41</v>
      </c>
      <c r="C384" s="21">
        <v>-4.9200000000000001E-2</v>
      </c>
      <c r="D384" s="33" t="s">
        <v>864</v>
      </c>
      <c r="E384" s="23">
        <v>3924.09</v>
      </c>
      <c r="F384" s="20">
        <v>157</v>
      </c>
      <c r="G384" s="20">
        <v>5.41</v>
      </c>
      <c r="H384" s="20">
        <v>5.41</v>
      </c>
      <c r="I384" s="20">
        <v>5.41</v>
      </c>
      <c r="J384" s="25">
        <v>37292</v>
      </c>
    </row>
    <row r="385" spans="1:10">
      <c r="A385" s="26" t="s">
        <v>614</v>
      </c>
      <c r="B385" s="27">
        <v>1.33</v>
      </c>
      <c r="C385" s="28">
        <v>-0.05</v>
      </c>
      <c r="D385" s="34" t="s">
        <v>935</v>
      </c>
      <c r="E385" s="27">
        <v>532</v>
      </c>
      <c r="F385" s="27">
        <v>400</v>
      </c>
      <c r="G385" s="27">
        <v>1.4</v>
      </c>
      <c r="H385" s="27">
        <v>1.33</v>
      </c>
      <c r="I385" s="27">
        <v>1.33</v>
      </c>
      <c r="J385" s="32">
        <v>46163.291666666664</v>
      </c>
    </row>
    <row r="386" spans="1:10">
      <c r="A386" s="19" t="s">
        <v>722</v>
      </c>
      <c r="B386" s="20">
        <v>0.1</v>
      </c>
      <c r="C386" s="21">
        <v>-0.09</v>
      </c>
      <c r="D386" s="33" t="s">
        <v>828</v>
      </c>
      <c r="E386" s="23">
        <v>48079011.200000003</v>
      </c>
      <c r="F386" s="24">
        <v>482600000</v>
      </c>
      <c r="G386" s="20">
        <v>1</v>
      </c>
      <c r="H386" s="20">
        <v>1</v>
      </c>
      <c r="I386" s="20">
        <v>0.1</v>
      </c>
      <c r="J386" s="25">
        <v>45610.48</v>
      </c>
    </row>
    <row r="387" spans="1:10">
      <c r="A387" s="26" t="s">
        <v>722</v>
      </c>
      <c r="B387" s="27">
        <v>100.28</v>
      </c>
      <c r="C387" s="28">
        <v>-0.09</v>
      </c>
      <c r="D387" s="34" t="s">
        <v>1033</v>
      </c>
      <c r="E387" s="30">
        <v>37532865728</v>
      </c>
      <c r="F387" s="31">
        <v>373100000</v>
      </c>
      <c r="G387" s="30">
        <v>1002.42</v>
      </c>
      <c r="H387" s="30">
        <v>1100.68</v>
      </c>
      <c r="I387" s="30">
        <v>1001.45</v>
      </c>
      <c r="J387" s="32">
        <v>45552.378784722219</v>
      </c>
    </row>
    <row r="388" spans="1:10">
      <c r="A388" s="19" t="s">
        <v>1129</v>
      </c>
      <c r="B388" s="20">
        <v>18</v>
      </c>
      <c r="C388" s="21">
        <v>-9.8599999999999993E-2</v>
      </c>
      <c r="D388" s="33" t="s">
        <v>1279</v>
      </c>
      <c r="E388" s="23">
        <v>46702.57</v>
      </c>
      <c r="F388" s="24">
        <v>2598</v>
      </c>
      <c r="G388" s="20">
        <v>19.97</v>
      </c>
      <c r="H388" s="20">
        <v>19</v>
      </c>
      <c r="I388" s="20">
        <v>17</v>
      </c>
      <c r="J388" s="25">
        <v>46163.389872685184</v>
      </c>
    </row>
    <row r="389" spans="1:10">
      <c r="A389" s="26" t="s">
        <v>375</v>
      </c>
      <c r="B389" s="27">
        <v>3.12</v>
      </c>
      <c r="C389" s="28">
        <v>-0.1211</v>
      </c>
      <c r="D389" s="34" t="s">
        <v>1215</v>
      </c>
      <c r="E389" s="30">
        <v>65991.19</v>
      </c>
      <c r="F389" s="31">
        <v>20548</v>
      </c>
      <c r="G389" s="27">
        <v>3.55</v>
      </c>
      <c r="H389" s="27">
        <v>3.65</v>
      </c>
      <c r="I389" s="27">
        <v>3.01</v>
      </c>
      <c r="J389" s="32">
        <v>46162.39576388889</v>
      </c>
    </row>
    <row r="390" spans="1:10">
      <c r="A390" s="19" t="s">
        <v>438</v>
      </c>
      <c r="B390" s="20">
        <v>0.8</v>
      </c>
      <c r="C390" s="21">
        <v>-0.19189999999999999</v>
      </c>
      <c r="D390" s="33" t="s">
        <v>1157</v>
      </c>
      <c r="E390" s="23">
        <v>868736.62</v>
      </c>
      <c r="F390" s="24">
        <v>1051142</v>
      </c>
      <c r="G390" s="20">
        <v>0.99</v>
      </c>
      <c r="H390" s="20">
        <v>1</v>
      </c>
      <c r="I390" s="20">
        <v>0.75</v>
      </c>
      <c r="J390" s="25">
        <v>46043.437442129631</v>
      </c>
    </row>
    <row r="391" spans="1:10">
      <c r="A391" s="26" t="s">
        <v>496</v>
      </c>
      <c r="B391" s="27">
        <v>0.08</v>
      </c>
      <c r="C391" s="28">
        <v>-0.2727</v>
      </c>
      <c r="D391" s="34" t="s">
        <v>389</v>
      </c>
      <c r="E391" s="30">
        <v>608204.12</v>
      </c>
      <c r="F391" s="31">
        <v>7601545</v>
      </c>
      <c r="G391" s="27">
        <v>0.11</v>
      </c>
      <c r="H391" s="27">
        <v>0.11</v>
      </c>
      <c r="I391" s="27">
        <v>0.06</v>
      </c>
      <c r="J391" s="32">
        <v>45651.437361111108</v>
      </c>
    </row>
    <row r="392" spans="1:10">
      <c r="A392" s="19" t="s">
        <v>664</v>
      </c>
      <c r="B392" s="20">
        <v>0.06</v>
      </c>
      <c r="C392" s="21">
        <v>-0.4</v>
      </c>
      <c r="D392" s="33" t="s">
        <v>371</v>
      </c>
      <c r="E392" s="23">
        <v>17653.580000000002</v>
      </c>
      <c r="F392" s="24">
        <v>251993</v>
      </c>
      <c r="G392" s="20">
        <v>0.1</v>
      </c>
      <c r="H392" s="20">
        <v>0.08</v>
      </c>
      <c r="I392" s="20">
        <v>0.06</v>
      </c>
      <c r="J392" s="25">
        <v>45525.395740740743</v>
      </c>
    </row>
    <row r="393" spans="1:10">
      <c r="A393" s="26" t="s">
        <v>345</v>
      </c>
      <c r="B393" s="27">
        <v>0</v>
      </c>
      <c r="C393" s="28">
        <v>-1</v>
      </c>
      <c r="D393" s="34" t="s">
        <v>1142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32">
        <v>45938</v>
      </c>
    </row>
    <row r="394" spans="1:10">
      <c r="A394" s="19" t="s">
        <v>666</v>
      </c>
      <c r="B394" s="20">
        <v>0</v>
      </c>
      <c r="C394" s="21">
        <v>-1</v>
      </c>
      <c r="D394" s="33" t="s">
        <v>1143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5">
        <v>45938</v>
      </c>
    </row>
    <row r="395" spans="1:10">
      <c r="A395" s="26" t="s">
        <v>547</v>
      </c>
      <c r="B395" s="27">
        <v>0</v>
      </c>
      <c r="C395" s="28">
        <v>-1</v>
      </c>
      <c r="D395" s="34" t="s">
        <v>1144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32">
        <v>45938</v>
      </c>
    </row>
    <row r="396" spans="1:10">
      <c r="A396" s="19" t="s">
        <v>527</v>
      </c>
      <c r="B396" s="20">
        <v>0</v>
      </c>
      <c r="C396" s="21">
        <v>-1</v>
      </c>
      <c r="D396" s="33" t="s">
        <v>1145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5">
        <v>45938</v>
      </c>
    </row>
    <row r="397" spans="1:10" ht="409.5" customHeight="1">
      <c r="A397" s="48" t="s">
        <v>1155</v>
      </c>
      <c r="B397" s="14"/>
      <c r="C397" s="14"/>
      <c r="D397" s="14"/>
      <c r="E397" s="14"/>
      <c r="F397" s="14"/>
      <c r="G397" s="14"/>
      <c r="H397" s="14"/>
      <c r="I397" s="14"/>
      <c r="J397" s="14"/>
    </row>
    <row r="398" spans="1:10" ht="409.5" customHeight="1">
      <c r="A398" s="15" t="s">
        <v>865</v>
      </c>
      <c r="B398" s="14"/>
      <c r="C398" s="14"/>
      <c r="D398" s="14"/>
      <c r="E398" s="14"/>
      <c r="F398" s="14"/>
      <c r="G398" s="14"/>
      <c r="H398" s="14"/>
      <c r="I398" s="14"/>
      <c r="J398" s="14"/>
    </row>
    <row r="399" spans="1:10">
      <c r="A399" s="48" t="s">
        <v>866</v>
      </c>
      <c r="B399" s="14"/>
      <c r="C399" s="14"/>
      <c r="D399" s="14"/>
      <c r="E399" s="14"/>
      <c r="F399" s="14"/>
      <c r="G399" s="14"/>
      <c r="H399" s="14"/>
      <c r="I399" s="14"/>
      <c r="J399" s="14"/>
    </row>
    <row r="400" spans="1:10">
      <c r="A400" s="15" t="s">
        <v>867</v>
      </c>
      <c r="B400" s="14"/>
      <c r="C400" s="14"/>
      <c r="D400" s="14"/>
      <c r="E400" s="14"/>
      <c r="F400" s="14"/>
      <c r="G400" s="14"/>
      <c r="H400" s="14"/>
      <c r="I400" s="14"/>
      <c r="J400" s="14"/>
    </row>
    <row r="401" spans="1:10">
      <c r="A401" s="48" t="s">
        <v>866</v>
      </c>
      <c r="B401" s="14"/>
      <c r="C401" s="14"/>
      <c r="D401" s="14"/>
      <c r="E401" s="14"/>
      <c r="F401" s="14"/>
      <c r="G401" s="14"/>
      <c r="H401" s="14"/>
      <c r="I401" s="14"/>
      <c r="J401" s="14"/>
    </row>
    <row r="402" spans="1:10">
      <c r="A402" s="15" t="s">
        <v>868</v>
      </c>
      <c r="B402" s="14"/>
      <c r="C402" s="14"/>
      <c r="D402" s="14"/>
      <c r="E402" s="14"/>
      <c r="F402" s="14"/>
      <c r="G402" s="14"/>
      <c r="H402" s="14"/>
      <c r="I402" s="14"/>
      <c r="J402" s="14"/>
    </row>
    <row r="403" spans="1:10">
      <c r="A403" s="48" t="s">
        <v>866</v>
      </c>
      <c r="B403" s="14"/>
      <c r="C403" s="14"/>
      <c r="D403" s="14"/>
      <c r="E403" s="14"/>
      <c r="F403" s="14"/>
      <c r="G403" s="14"/>
      <c r="H403" s="14"/>
      <c r="I403" s="14"/>
      <c r="J403" s="14"/>
    </row>
    <row r="404" spans="1:10">
      <c r="A404" s="15" t="s">
        <v>869</v>
      </c>
      <c r="B404" s="14"/>
      <c r="C404" s="14"/>
      <c r="D404" s="14"/>
      <c r="E404" s="14"/>
      <c r="F404" s="14"/>
      <c r="G404" s="14"/>
      <c r="H404" s="14"/>
      <c r="I404" s="14"/>
      <c r="J404" s="14"/>
    </row>
    <row r="405" spans="1:10">
      <c r="A405" s="48" t="s">
        <v>866</v>
      </c>
      <c r="B405" s="14"/>
      <c r="C405" s="14"/>
      <c r="D405" s="14"/>
      <c r="E405" s="14"/>
      <c r="F405" s="14"/>
      <c r="G405" s="14"/>
      <c r="H405" s="14"/>
      <c r="I405" s="14"/>
      <c r="J405" s="14"/>
    </row>
    <row r="406" spans="1:10">
      <c r="A406" s="15" t="s">
        <v>870</v>
      </c>
      <c r="B406" s="14"/>
      <c r="C406" s="14"/>
      <c r="D406" s="14"/>
      <c r="E406" s="14"/>
      <c r="F406" s="14"/>
      <c r="G406" s="14"/>
      <c r="H406" s="14"/>
      <c r="I406" s="14"/>
      <c r="J406" s="14"/>
    </row>
    <row r="407" spans="1:10">
      <c r="A407" s="48" t="s">
        <v>866</v>
      </c>
      <c r="B407" s="14"/>
      <c r="C407" s="14"/>
      <c r="D407" s="14"/>
      <c r="E407" s="14"/>
      <c r="F407" s="14"/>
      <c r="G407" s="14"/>
      <c r="H407" s="14"/>
      <c r="I407" s="14"/>
      <c r="J407" s="14"/>
    </row>
    <row r="408" spans="1:10">
      <c r="A408" s="15" t="s">
        <v>871</v>
      </c>
      <c r="B408" s="14"/>
      <c r="C408" s="14"/>
      <c r="D408" s="14"/>
      <c r="E408" s="14"/>
      <c r="F408" s="14"/>
      <c r="G408" s="14"/>
      <c r="H408" s="14"/>
      <c r="I408" s="14"/>
      <c r="J408" s="14"/>
    </row>
    <row r="409" spans="1:10">
      <c r="A409" s="48" t="s">
        <v>866</v>
      </c>
      <c r="B409" s="14"/>
      <c r="C409" s="14"/>
      <c r="D409" s="14"/>
      <c r="E409" s="14"/>
      <c r="F409" s="14"/>
      <c r="G409" s="14"/>
      <c r="H409" s="14"/>
      <c r="I409" s="14"/>
      <c r="J409" s="14"/>
    </row>
    <row r="410" spans="1:10">
      <c r="A410" s="15" t="s">
        <v>872</v>
      </c>
      <c r="B410" s="14"/>
      <c r="C410" s="14"/>
      <c r="D410" s="14"/>
      <c r="E410" s="14"/>
      <c r="F410" s="14"/>
      <c r="G410" s="14"/>
      <c r="H410" s="14"/>
      <c r="I410" s="14"/>
      <c r="J410" s="14"/>
    </row>
    <row r="411" spans="1:10">
      <c r="A411" s="48" t="s">
        <v>866</v>
      </c>
      <c r="B411" s="14"/>
      <c r="C411" s="14"/>
      <c r="D411" s="14"/>
      <c r="E411" s="14"/>
      <c r="F411" s="14"/>
      <c r="G411" s="14"/>
      <c r="H411" s="14"/>
      <c r="I411" s="14"/>
      <c r="J411" s="14"/>
    </row>
    <row r="412" spans="1:10">
      <c r="A412" s="15" t="s">
        <v>873</v>
      </c>
      <c r="B412" s="14"/>
      <c r="C412" s="14"/>
      <c r="D412" s="14"/>
      <c r="E412" s="14"/>
      <c r="F412" s="14"/>
      <c r="G412" s="14"/>
      <c r="H412" s="14"/>
      <c r="I412" s="14"/>
      <c r="J412" s="14"/>
    </row>
    <row r="413" spans="1:10">
      <c r="A413" s="48" t="s">
        <v>866</v>
      </c>
      <c r="B413" s="14"/>
      <c r="C413" s="14"/>
      <c r="D413" s="14"/>
      <c r="E413" s="14"/>
      <c r="F413" s="14"/>
      <c r="G413" s="14"/>
      <c r="H413" s="14"/>
      <c r="I413" s="14"/>
      <c r="J413" s="14"/>
    </row>
    <row r="414" spans="1:10">
      <c r="A414" s="15" t="s">
        <v>874</v>
      </c>
      <c r="B414" s="14"/>
      <c r="C414" s="14"/>
      <c r="D414" s="14"/>
      <c r="E414" s="14"/>
      <c r="F414" s="14"/>
      <c r="G414" s="14"/>
      <c r="H414" s="14"/>
      <c r="I414" s="14"/>
      <c r="J414" s="14"/>
    </row>
    <row r="415" spans="1:10">
      <c r="A415" s="48" t="s">
        <v>866</v>
      </c>
      <c r="B415" s="14"/>
      <c r="C415" s="14"/>
      <c r="D415" s="14"/>
      <c r="E415" s="14"/>
      <c r="F415" s="14"/>
      <c r="G415" s="14"/>
      <c r="H415" s="14"/>
      <c r="I415" s="14"/>
      <c r="J415" s="14"/>
    </row>
    <row r="416" spans="1:10">
      <c r="A416" s="15" t="s">
        <v>875</v>
      </c>
      <c r="B416" s="14"/>
      <c r="C416" s="14"/>
      <c r="D416" s="14"/>
      <c r="E416" s="14"/>
      <c r="F416" s="14"/>
      <c r="G416" s="14"/>
      <c r="H416" s="14"/>
      <c r="I416" s="14"/>
      <c r="J416" s="14"/>
    </row>
    <row r="417" spans="1:10">
      <c r="A417" s="48" t="s">
        <v>876</v>
      </c>
      <c r="B417" s="14"/>
      <c r="C417" s="14"/>
      <c r="D417" s="14"/>
      <c r="E417" s="14"/>
      <c r="F417" s="14"/>
      <c r="G417" s="14"/>
      <c r="H417" s="14"/>
      <c r="I417" s="14"/>
      <c r="J417" s="14"/>
    </row>
    <row r="418" spans="1:10" ht="409.5" customHeight="1">
      <c r="A418" s="48"/>
      <c r="B418" s="14"/>
      <c r="C418" s="14"/>
      <c r="D418" s="14"/>
      <c r="E418" s="14"/>
      <c r="F418" s="14"/>
      <c r="G418" s="14"/>
      <c r="H418" s="14"/>
      <c r="I418" s="14"/>
      <c r="J418" s="14"/>
    </row>
    <row r="419" spans="1:10" ht="409.5" customHeight="1">
      <c r="A419" s="48" t="s">
        <v>866</v>
      </c>
      <c r="B419" s="14"/>
      <c r="C419" s="14"/>
      <c r="D419" s="14"/>
      <c r="E419" s="14"/>
      <c r="F419" s="14"/>
      <c r="G419" s="14"/>
      <c r="H419" s="14"/>
      <c r="I419" s="14"/>
      <c r="J419" s="14"/>
    </row>
    <row r="420" spans="1:10" ht="409.5" customHeight="1">
      <c r="A420" s="48"/>
      <c r="B420" s="14"/>
      <c r="C420" s="14"/>
      <c r="D420" s="14"/>
      <c r="E420" s="14"/>
      <c r="F420" s="14"/>
      <c r="G420" s="14"/>
      <c r="H420" s="14"/>
      <c r="I420" s="14"/>
      <c r="J420" s="14"/>
    </row>
    <row r="421" spans="1:10" ht="409.5" customHeight="1">
      <c r="A421" s="48" t="s">
        <v>866</v>
      </c>
      <c r="B421" s="14"/>
      <c r="C421" s="14"/>
      <c r="D421" s="14"/>
      <c r="E421" s="14"/>
      <c r="F421" s="14"/>
      <c r="G421" s="14"/>
      <c r="H421" s="14"/>
      <c r="I421" s="14"/>
      <c r="J421" s="14"/>
    </row>
    <row r="422" spans="1:10" ht="409.5" customHeight="1">
      <c r="A422" s="48"/>
      <c r="B422" s="14"/>
      <c r="C422" s="14"/>
      <c r="D422" s="14"/>
      <c r="E422" s="14"/>
      <c r="F422" s="14"/>
      <c r="G422" s="14"/>
      <c r="H422" s="14"/>
      <c r="I422" s="14"/>
      <c r="J422" s="14"/>
    </row>
    <row r="423" spans="1:10" ht="409.5" customHeight="1">
      <c r="A423" s="48" t="s">
        <v>866</v>
      </c>
      <c r="B423" s="14"/>
      <c r="C423" s="14"/>
      <c r="D423" s="14"/>
      <c r="E423" s="14"/>
      <c r="F423" s="14"/>
      <c r="G423" s="14"/>
      <c r="H423" s="14"/>
      <c r="I423" s="14"/>
      <c r="J423" s="14"/>
    </row>
    <row r="424" spans="1:10" ht="409.5" customHeight="1">
      <c r="A424" s="48"/>
      <c r="B424" s="14"/>
      <c r="C424" s="14"/>
      <c r="D424" s="14"/>
      <c r="E424" s="14"/>
      <c r="F424" s="14"/>
      <c r="G424" s="14"/>
      <c r="H424" s="14"/>
      <c r="I424" s="14"/>
      <c r="J424" s="14"/>
    </row>
    <row r="425" spans="1:10" ht="409.5" customHeight="1">
      <c r="A425" s="48" t="s">
        <v>866</v>
      </c>
      <c r="B425" s="14"/>
      <c r="C425" s="14"/>
      <c r="D425" s="14"/>
      <c r="E425" s="14"/>
      <c r="F425" s="14"/>
      <c r="G425" s="14"/>
      <c r="H425" s="14"/>
      <c r="I425" s="14"/>
      <c r="J425" s="14"/>
    </row>
    <row r="426" spans="1:10" ht="409.5" customHeight="1">
      <c r="A426" s="48"/>
      <c r="B426" s="14"/>
      <c r="C426" s="14"/>
      <c r="D426" s="14"/>
      <c r="E426" s="14"/>
      <c r="F426" s="14"/>
      <c r="G426" s="14"/>
      <c r="H426" s="14"/>
      <c r="I426" s="14"/>
      <c r="J426" s="14"/>
    </row>
    <row r="427" spans="1:10" ht="409.5" customHeight="1">
      <c r="A427" s="48" t="s">
        <v>866</v>
      </c>
      <c r="B427" s="14"/>
      <c r="C427" s="14"/>
      <c r="D427" s="14"/>
      <c r="E427" s="14"/>
      <c r="F427" s="14"/>
      <c r="G427" s="14"/>
      <c r="H427" s="14"/>
      <c r="I427" s="14"/>
      <c r="J427" s="14"/>
    </row>
    <row r="428" spans="1:10" ht="409.5" customHeight="1">
      <c r="A428" s="48"/>
      <c r="B428" s="14"/>
      <c r="C428" s="14"/>
      <c r="D428" s="14"/>
      <c r="E428" s="14"/>
      <c r="F428" s="14"/>
      <c r="G428" s="14"/>
      <c r="H428" s="14"/>
      <c r="I428" s="14"/>
      <c r="J428" s="14"/>
    </row>
    <row r="429" spans="1:10" ht="409.5" customHeight="1">
      <c r="A429" s="48" t="s">
        <v>866</v>
      </c>
      <c r="B429" s="14"/>
      <c r="C429" s="14"/>
      <c r="D429" s="14"/>
      <c r="E429" s="14"/>
      <c r="F429" s="14"/>
      <c r="G429" s="14"/>
      <c r="H429" s="14"/>
      <c r="I429" s="14"/>
      <c r="J429" s="14"/>
    </row>
    <row r="430" spans="1:10" ht="409.5" customHeight="1">
      <c r="A430" s="48"/>
      <c r="B430" s="14"/>
      <c r="C430" s="14"/>
      <c r="D430" s="14"/>
      <c r="E430" s="14"/>
      <c r="F430" s="14"/>
      <c r="G430" s="14"/>
      <c r="H430" s="14"/>
      <c r="I430" s="14"/>
      <c r="J430" s="14"/>
    </row>
    <row r="431" spans="1:10" ht="409.5" customHeight="1">
      <c r="A431" s="48" t="s">
        <v>866</v>
      </c>
      <c r="B431" s="14"/>
      <c r="C431" s="14"/>
      <c r="D431" s="14"/>
      <c r="E431" s="14"/>
      <c r="F431" s="14"/>
      <c r="G431" s="14"/>
      <c r="H431" s="14"/>
      <c r="I431" s="14"/>
      <c r="J431" s="14"/>
    </row>
    <row r="432" spans="1:10" ht="409.5" customHeight="1">
      <c r="A432" s="48"/>
      <c r="B432" s="14"/>
      <c r="C432" s="14"/>
      <c r="D432" s="14"/>
      <c r="E432" s="14"/>
      <c r="F432" s="14"/>
      <c r="G432" s="14"/>
      <c r="H432" s="14"/>
      <c r="I432" s="14"/>
      <c r="J432" s="14"/>
    </row>
    <row r="433" spans="1:10" ht="409.5" customHeight="1">
      <c r="A433" s="48" t="s">
        <v>866</v>
      </c>
      <c r="B433" s="14"/>
      <c r="C433" s="14"/>
      <c r="D433" s="14"/>
      <c r="E433" s="14"/>
      <c r="F433" s="14"/>
      <c r="G433" s="14"/>
      <c r="H433" s="14"/>
      <c r="I433" s="14"/>
      <c r="J433" s="14"/>
    </row>
    <row r="434" spans="1:10" ht="409.5" customHeight="1">
      <c r="A434" s="48"/>
      <c r="B434" s="14"/>
      <c r="C434" s="14"/>
      <c r="D434" s="14"/>
      <c r="E434" s="14"/>
      <c r="F434" s="14"/>
      <c r="G434" s="14"/>
      <c r="H434" s="14"/>
      <c r="I434" s="14"/>
      <c r="J434" s="14"/>
    </row>
    <row r="435" spans="1:10" ht="409.5" customHeight="1">
      <c r="A435" s="48" t="s">
        <v>866</v>
      </c>
      <c r="B435" s="14"/>
      <c r="C435" s="14"/>
      <c r="D435" s="14"/>
      <c r="E435" s="14"/>
      <c r="F435" s="14"/>
      <c r="G435" s="14"/>
      <c r="H435" s="14"/>
      <c r="I435" s="14"/>
      <c r="J435" s="14"/>
    </row>
    <row r="436" spans="1:10" ht="409.5" customHeight="1">
      <c r="A436" s="48"/>
      <c r="B436" s="14"/>
      <c r="C436" s="14"/>
      <c r="D436" s="14"/>
      <c r="E436" s="14"/>
      <c r="F436" s="14"/>
      <c r="G436" s="14"/>
      <c r="H436" s="14"/>
      <c r="I436" s="14"/>
      <c r="J436" s="14"/>
    </row>
    <row r="437" spans="1:10" ht="409.5" customHeight="1">
      <c r="A437" s="48"/>
      <c r="B437" s="14"/>
      <c r="C437" s="14"/>
      <c r="D437" s="14"/>
      <c r="E437" s="14"/>
      <c r="F437" s="14"/>
      <c r="G437" s="14"/>
      <c r="H437" s="14"/>
      <c r="I437" s="14"/>
      <c r="J437" s="14"/>
    </row>
  </sheetData>
  <hyperlinks>
    <hyperlink ref="A2" r:id="rId1" location="countries-menu" xr:uid="{48BC77FA-F681-1B4F-A0C3-C45316126B0C}"/>
    <hyperlink ref="A6" r:id="rId2" tooltip="فاروتك" xr:uid="{982DF736-5DF4-7F42-89D5-FBB47C94D38C}"/>
    <hyperlink ref="A7" r:id="rId3" tooltip="جينيال تورز" xr:uid="{E6E81E82-A444-8D43-83F8-A9096EE54D58}"/>
    <hyperlink ref="A8" r:id="rId4" tooltip="الدلتا للتأمين" xr:uid="{722F694A-B582-CD45-B995-48B53F7F488B}"/>
    <hyperlink ref="A9" r:id="rId5" tooltip="بنك الشركة المصرفية العربية الدولية" xr:uid="{30DAA017-E297-2D4D-9F84-446C7EC32B7A}"/>
    <hyperlink ref="A10" r:id="rId6" tooltip="نيركو" xr:uid="{2ADBD86F-2DAC-9140-AAC4-1506353EB288}"/>
    <hyperlink ref="A11" r:id="rId7" tooltip="لكح جروب" xr:uid="{47C0237E-4E66-8E44-9491-F914C1779E71}"/>
    <hyperlink ref="A12" r:id="rId8" tooltip="المصرية للمشروعات السياحية العالمية" xr:uid="{BEA5B138-5DF3-C54D-82E8-CEDD77E8DD44}"/>
    <hyperlink ref="A13" r:id="rId9" tooltip="ركاز القابضة" xr:uid="{F4B1CC7F-DCE9-EB40-928D-95862EA93A18}"/>
    <hyperlink ref="A14" r:id="rId10" tooltip="مصر جنوب افريقيا للاتصالات" xr:uid="{AF419D98-98F4-D04A-A352-CE84E7E7C496}"/>
    <hyperlink ref="A15" r:id="rId11" tooltip="الاسماعيلية الجديدة للتطوير" xr:uid="{015D0D19-FE3D-D64A-AE34-30AF288F7326}"/>
    <hyperlink ref="A16" r:id="rId12" tooltip="التعمير للتوريق" xr:uid="{D7AAF30F-B6F0-4343-8F55-7F1B2B7F99B0}"/>
    <hyperlink ref="A17" r:id="rId13" tooltip="التعمير للتوريق" xr:uid="{2674E584-5375-1440-8F3B-F2743D1E3340}"/>
    <hyperlink ref="A18" r:id="rId14" tooltip="التعمير للتوريق" xr:uid="{965B8D13-945A-3748-872E-BEF621422B59}"/>
    <hyperlink ref="A19" r:id="rId15" tooltip="التعمير للتوريق" xr:uid="{A5A43CC8-F773-2F46-9CF4-C4C5ED528D79}"/>
    <hyperlink ref="A20" r:id="rId16" tooltip="باكين" xr:uid="{2E052FF8-FA66-2243-8BA0-899AA51E8CF4}"/>
    <hyperlink ref="A21" r:id="rId17" tooltip="الخليجية الكندية للاستثمار العقاري العربي" xr:uid="{39542EA2-715A-704A-B0A6-88B9CF00A475}"/>
    <hyperlink ref="A22" r:id="rId18" tooltip="العروبة للسمسرة فى الأوراق المالية" xr:uid="{BC8E925A-1643-104D-8131-37D32B0B00EF}"/>
    <hyperlink ref="A23" r:id="rId19" tooltip="دمياط لتداول الحاويات" xr:uid="{D141F6DB-5D2D-F84D-97DF-1E2661CE3072}"/>
    <hyperlink ref="A24" r:id="rId20" tooltip="المتحدة للاسكان" xr:uid="{64C0D047-05F9-F447-8E80-1C971BF1E76B}"/>
    <hyperlink ref="A25" r:id="rId21" tooltip="مرسى مرسى علم" xr:uid="{F1A5256E-CA0C-924F-B873-E9D45B6DDE63}"/>
    <hyperlink ref="A26" r:id="rId22" tooltip="نايل سات" xr:uid="{B69FAD22-603A-344B-8521-33AF23107030}"/>
    <hyperlink ref="A27" r:id="rId23" tooltip="بي اي دي – البدر للاستثمار والتنمية" xr:uid="{07769034-5C48-FE48-8776-49BF7C99B5A7}"/>
    <hyperlink ref="A28" r:id="rId24" tooltip="الأولى للاستثمار" xr:uid="{972981B6-3877-404B-8AC8-75FEB97D2E6E}"/>
    <hyperlink ref="A29" r:id="rId25" tooltip="مصر للأسمنت - قنا" xr:uid="{CDE85F8C-1AFA-8E4D-8FB9-6D321596E3FA}"/>
    <hyperlink ref="A30" r:id="rId26" tooltip="تايكون إنفستمنتس هولدنج" xr:uid="{A230487D-9043-9048-82E1-BE84E5993BF7}"/>
    <hyperlink ref="A31" r:id="rId27" tooltip="القاهرة للخدمات التعليمية" xr:uid="{8E4C5ACB-97A7-F94E-9EAB-7AF9BDAD3385}"/>
    <hyperlink ref="A32" r:id="rId28" tooltip="انترناشيونال بزنيس كوربوريشن" xr:uid="{C8736B15-90B0-F647-A176-F290CD10A054}"/>
    <hyperlink ref="A33" r:id="rId29" tooltip="راكتا" xr:uid="{A426154F-D59D-A748-B0FA-AD2B1AF62DCA}"/>
    <hyperlink ref="A34" r:id="rId30" tooltip="فوديكو" xr:uid="{75315C78-FEBC-1E4A-A73A-D24FE1D30C09}"/>
    <hyperlink ref="A35" r:id="rId31" tooltip="وزارة المالية" xr:uid="{F33065D6-C338-E240-9CA4-F91FDADA4D9C}"/>
    <hyperlink ref="A36" r:id="rId32" tooltip="بنيان للتنمية والتجارة" xr:uid="{01F9AC2B-7799-A949-9E82-259D343A45B3}"/>
    <hyperlink ref="A37" r:id="rId33" tooltip="مصر للالومنيوم" xr:uid="{F6604D16-F291-1C47-9F08-DBAF0F9DF464}"/>
    <hyperlink ref="A38" r:id="rId34" tooltip="ثروة للتوريق" xr:uid="{45382B5E-2E1A-DD4D-AE73-5EE90A4F0B5E}"/>
    <hyperlink ref="A39" r:id="rId35" tooltip="وزارة المالية" xr:uid="{6A590A49-59D6-F140-B82D-D0AC3DF75A20}"/>
    <hyperlink ref="A40" r:id="rId36" tooltip="اوراسكوم للتنمية مصر" xr:uid="{BE8E020C-0C8E-C744-BAE1-219E4BB53491}"/>
    <hyperlink ref="A41" r:id="rId37" tooltip="شينى" xr:uid="{443228C4-EA8E-4949-BFE6-D8953A527A31}"/>
    <hyperlink ref="A42" r:id="rId38" tooltip="ارابيا للاستثمار والتنمية" xr:uid="{E7341386-5F4F-6B47-A468-34B8BF60ACA7}"/>
    <hyperlink ref="A43" r:id="rId39" tooltip="الشمس للاسكان" xr:uid="{1A7DE296-51C2-9D40-92EA-295960A52892}"/>
    <hyperlink ref="A44" r:id="rId40" tooltip="العربية للصناعات الهندسية" xr:uid="{D7437E78-8971-9241-B662-0498B9525A80}"/>
    <hyperlink ref="A45" r:id="rId41" tooltip="دلتا للإنشاء والتعمير" xr:uid="{3132E8CB-75B3-8C4B-93A5-8C1FC7842ADB}"/>
    <hyperlink ref="A46" r:id="rId42" tooltip="الالومنيوم العربية" xr:uid="{B5A9697C-A54A-334F-BEFC-7CCBC0ED7122}"/>
    <hyperlink ref="A47" r:id="rId43" tooltip="كابيتال للتوريق" xr:uid="{56373B02-501A-5F44-8820-DCC66AA57AE9}"/>
    <hyperlink ref="A48" r:id="rId44" tooltip="الاسماعيلية مصر للدواجن" xr:uid="{1288CB10-2008-2E4F-9F94-4EFED30167DE}"/>
    <hyperlink ref="A50" r:id="rId45" tooltip="الاهلي للتنمية والاستثمار" xr:uid="{F05005C6-DB5D-714C-AEE8-86943D98B26D}"/>
    <hyperlink ref="A51" r:id="rId46" tooltip="إجيبكو" xr:uid="{288DF636-A513-BF47-AFA3-B0C2AA7C8A56}"/>
    <hyperlink ref="A52" r:id="rId47" tooltip="الاهرام للطباعة والتغليف" xr:uid="{783E0761-72F9-7847-AB58-F25BA1098971}"/>
    <hyperlink ref="A53" r:id="rId48" tooltip="جنوب الوادي للاسمنت" xr:uid="{2E522D4C-E6E6-7943-B85B-BEEABED2EEBE}"/>
    <hyperlink ref="A54" r:id="rId49" tooltip="روبكس" xr:uid="{89C57EE2-21FD-D745-94E1-6DDAB67D3E04}"/>
    <hyperlink ref="A55" r:id="rId50" tooltip="كيما" xr:uid="{3118D824-7A87-8B40-9600-F915931E89DF}"/>
    <hyperlink ref="A56" r:id="rId51" tooltip="بى اى جى للتجارة والاستثمار" xr:uid="{69C299A8-8944-D340-81C3-ADE4F0514C30}"/>
    <hyperlink ref="A57" r:id="rId52" tooltip="الجوهرة" xr:uid="{85C5EE55-CCCE-8549-94B0-66B947DF3E3B}"/>
    <hyperlink ref="A58" r:id="rId53" tooltip="جولدن تكس" xr:uid="{740A9B8C-50E7-B64F-B20D-759F1B3D2976}"/>
    <hyperlink ref="A59" r:id="rId54" tooltip="القاهرة الوطنية للاستثمار والاوراق المالية" xr:uid="{E0F2B2CF-A902-464F-83E1-54718DD2F27F}"/>
    <hyperlink ref="A60" r:id="rId55" tooltip="بنك التعمير والإسكان" xr:uid="{6C1C2596-CC18-EB47-85C2-090CC7B563D5}"/>
    <hyperlink ref="A61" r:id="rId56" tooltip="بالم هيلز" xr:uid="{F9AE6ABE-0955-9E42-A30D-CE7D2BC052B6}"/>
    <hyperlink ref="A62" r:id="rId57" tooltip="سيرا للتعليم" xr:uid="{8C214371-2B47-BB40-9D91-F7E112DC2F8A}"/>
    <hyperlink ref="A63" r:id="rId58" tooltip="طلعت مصطفى" xr:uid="{D9E278CF-2874-174C-BDC4-7B572717BCA5}"/>
    <hyperlink ref="A64" r:id="rId59" tooltip="إعمار مصر" xr:uid="{5F4CA958-0312-7145-AA97-1DEFFCFDB1C0}"/>
    <hyperlink ref="A65" r:id="rId60" tooltip="العبور للاستثمار العقارى" xr:uid="{47D079DB-809F-AA41-A552-A532F5840412}"/>
    <hyperlink ref="A66" r:id="rId61" tooltip="تنمية للاستثمار العقارى" xr:uid="{F68FCAAB-328F-3042-8598-F234E5AE0485}"/>
    <hyperlink ref="A67" r:id="rId62" tooltip="ايه تي ليس" xr:uid="{6BDCD757-92A7-F74D-A41B-378871A2B37B}"/>
    <hyperlink ref="A68" r:id="rId63" tooltip="مطاحن شرق الدلتا" xr:uid="{0DE1A0CC-553E-2148-A9A8-4440AD879FA2}"/>
    <hyperlink ref="A69" r:id="rId64" tooltip="سي اي كابيتال القابضة" xr:uid="{CBA92320-3DFF-184C-BCD2-D792267035DC}"/>
    <hyperlink ref="A70" r:id="rId65" tooltip="عامر جروب" xr:uid="{09D9068F-0290-DE4E-A22F-1E24F2D3578A}"/>
    <hyperlink ref="A71" r:id="rId66" tooltip="ديجيتايز للاستثمار والتقنية" xr:uid="{BB4F6AC9-75EB-4746-B535-ADA6EA8C4368}"/>
    <hyperlink ref="A72" r:id="rId67" tooltip="مطاحن وسط وغرب الدلتا" xr:uid="{4417D77A-BB3F-FE4D-90E8-B6A5670FA11A}"/>
    <hyperlink ref="A73" r:id="rId68" tooltip="كابو" xr:uid="{3871077E-F4C6-B742-8935-C117EAA1BBFD}"/>
    <hyperlink ref="A74" r:id="rId69" tooltip="مستشفى النزهه الدولي" xr:uid="{FF159F3F-9535-F744-AE48-3AA9844A71C4}"/>
    <hyperlink ref="A75" r:id="rId70" tooltip="كوبر للاستثمار التجاري والتطوير العقاري" xr:uid="{B31AF620-0A79-E941-8ECA-2371B4329FE6}"/>
    <hyperlink ref="A76" r:id="rId71" tooltip="مرسيليا" xr:uid="{9BAB2A8F-3757-3F48-8A63-7310434DB606}"/>
    <hyperlink ref="A77" r:id="rId72" tooltip="السعودية المصرية للاستثمار والتمويل" xr:uid="{3AE0DF01-6DAE-6145-8DA5-12BC3CE3D771}"/>
    <hyperlink ref="A78" r:id="rId73" tooltip="أودن للاستثمارات المالية" xr:uid="{1BD68B4A-C6C5-E744-BF1C-26F2E3B75FF7}"/>
    <hyperlink ref="A79" r:id="rId74" tooltip="النساجون الشرقيون" xr:uid="{CCF08C47-52B4-3D49-B5B7-414C5D203C3B}"/>
    <hyperlink ref="A80" r:id="rId75" tooltip="الرحاب للأوراق المالية" xr:uid="{70676881-A354-854C-B35B-3FEB230E87BF}"/>
    <hyperlink ref="A81" r:id="rId76" tooltip="الفنار للمقاولات" xr:uid="{026C5127-62C6-F046-852E-BE9FA593A912}"/>
    <hyperlink ref="A82" r:id="rId77" tooltip="سبينالكس" xr:uid="{40FBE46C-7A46-D64B-9F16-B72F5E306C15}"/>
    <hyperlink ref="A83" r:id="rId78" tooltip="إيجيترانس" xr:uid="{CA481D8F-5D6B-1044-BDE5-F5030DF09F88}"/>
    <hyperlink ref="A84" r:id="rId79" tooltip="البنك المصري لتنمية الصادرات" xr:uid="{13C5ED67-CD25-214C-B623-8F2A6D4BE501}"/>
    <hyperlink ref="A85" r:id="rId80" tooltip="قناة السويس لتوطين التكنولوجيا" xr:uid="{C495236C-6292-2744-8175-CBDC7FEDCA1B}"/>
    <hyperlink ref="A86" r:id="rId81" tooltip="القاهرة للدواجن" xr:uid="{7B788F57-F026-3542-9194-BFFD60D65353}"/>
    <hyperlink ref="A87" r:id="rId82" tooltip="ايجى ستون" xr:uid="{4FFB951D-8A5E-484C-8D20-B29D917E67D3}"/>
    <hyperlink ref="A88" r:id="rId83" tooltip="القاهرة للاسكان" xr:uid="{9E33D98D-36E2-124E-AAFC-133D295EA8A3}"/>
    <hyperlink ref="A89" r:id="rId84" tooltip="كرستمارك للمقاولات" xr:uid="{B452B5AF-5CEB-4140-B3BF-C780663AB182}"/>
    <hyperlink ref="A90" r:id="rId85" tooltip="مينا فارم للأدوية" xr:uid="{1FDE6E15-FB5A-A641-87F6-4486F64B5D6A}"/>
    <hyperlink ref="A91" r:id="rId86" tooltip="ريماس" xr:uid="{F304A0BB-BA34-6E45-80E9-9323F3652D98}"/>
    <hyperlink ref="A92" r:id="rId87" tooltip="سي أي بي" xr:uid="{41941208-3C2E-B74C-A397-BA9A638634D9}"/>
    <hyperlink ref="A93" r:id="rId88" tooltip="تعليم لخدمات الإدارة" xr:uid="{0AD57968-693F-0C44-90A2-1842B771880D}"/>
    <hyperlink ref="A94" r:id="rId89" tooltip="ماكرو جروب للمستحضرات الطبية - ماكرو كابيتال" xr:uid="{69A9DEB7-2A69-DA48-8378-59AB925D8758}"/>
    <hyperlink ref="A95" r:id="rId90" tooltip="المجموعة المصرية العقارية" xr:uid="{9AEDB3E0-802F-DE42-86F8-6AF76FB5B9F6}"/>
    <hyperlink ref="A96" r:id="rId91" tooltip="الصعيد العامة للمقاولات" xr:uid="{D8F3EEAD-35F3-1048-8C6E-067B50D1039C}"/>
    <hyperlink ref="A97" r:id="rId92" tooltip="ايديتا" xr:uid="{3862E8E5-D199-4143-9B05-1586078693EC}"/>
    <hyperlink ref="A98" r:id="rId93" tooltip="اي فاينانس" xr:uid="{5F8C78BD-D14B-C644-89ED-9151EE1A193D}"/>
    <hyperlink ref="A99" r:id="rId94" tooltip="وزارة المالية" xr:uid="{793ADE78-87EB-C446-8841-C1EDCE27FC1C}"/>
    <hyperlink ref="A100" r:id="rId95" tooltip="ابوقير للاسمدة" xr:uid="{6817CE53-D917-2947-BEF9-C9100C075C1B}"/>
    <hyperlink ref="A101" r:id="rId96" tooltip="جي بي كورب" xr:uid="{9C74CECE-3709-2A42-BAA2-CA6CC2FBC356}"/>
    <hyperlink ref="A102" r:id="rId97" tooltip="ڤاليو" xr:uid="{B52455F4-6C12-F146-8F00-BA5B4886A112}"/>
    <hyperlink ref="A103" r:id="rId98" tooltip="راية" xr:uid="{81902C4C-8294-244A-8B80-14ED4B246B02}"/>
    <hyperlink ref="A104" r:id="rId99" tooltip="الزيوت المستخلصة" xr:uid="{31C386E0-034F-3144-A729-23EAC49A8BC7}"/>
    <hyperlink ref="A105" r:id="rId100" tooltip="المنصورة للدواجن" xr:uid="{BA3337E4-C7E1-3947-A778-C94006A72682}"/>
    <hyperlink ref="A106" r:id="rId101" tooltip="ابن سينا فارما" xr:uid="{890BC438-0A6E-C640-85AE-DA47FE430E1E}"/>
    <hyperlink ref="A107" r:id="rId102" tooltip="فالمور" xr:uid="{FF2F22C8-C734-9848-BE5A-270411D2EA54}"/>
    <hyperlink ref="A108" r:id="rId103" tooltip="بنك قناة السويس" xr:uid="{C4E2B91D-2406-014F-9AA6-E5979D380E5C}"/>
    <hyperlink ref="A109" r:id="rId104" tooltip="جى إم سى" xr:uid="{07AAA565-18CB-CA4B-8E77-DFA9E704BD43}"/>
    <hyperlink ref="A110" r:id="rId105" tooltip="دايس" xr:uid="{3BB08C22-5541-CC49-9609-AD9E8475AC57}"/>
    <hyperlink ref="A111" r:id="rId106" tooltip="أوراسكوم كونستراكشون" xr:uid="{571AC82D-DAF7-3E46-BC6D-76B63B22C449}"/>
    <hyperlink ref="A112" r:id="rId107" tooltip="دلتا للطباعة والتغليف" xr:uid="{64D3132E-FD29-A445-B4CE-CEFA948D548E}"/>
    <hyperlink ref="A113" r:id="rId108" tooltip="ثروة للتوريق" xr:uid="{1EF2DEB2-BB4C-3049-86C1-D871FE4CF87D}"/>
    <hyperlink ref="A114" r:id="rId109" tooltip="أراب للتنمية و الاستثمار العقاري" xr:uid="{B81CCFA7-397D-E44D-96E2-FED3B57AF59D}"/>
    <hyperlink ref="A115" r:id="rId110" tooltip="الحديد والصلب للمناجم والمحاجر" xr:uid="{36E01478-D0B3-2346-91D5-4CF6A75FFB3C}"/>
    <hyperlink ref="A116" r:id="rId111" tooltip="جولدن بيراميدز بلازا" xr:uid="{A0A346DA-5AAA-6B49-AEB4-C2B93B2BC67A}"/>
    <hyperlink ref="A117" r:id="rId112" tooltip="الاتحاد الصيدلى" xr:uid="{5565FA23-0F81-4E4A-BDEA-5B128A577EDA}"/>
    <hyperlink ref="A118" r:id="rId113" tooltip="وزارة المالية" xr:uid="{340B2ABB-76E6-C346-BEF3-5B8C317F0B1D}"/>
    <hyperlink ref="A119" r:id="rId114" tooltip="بنك قطر الوطني" xr:uid="{FB9623B8-743E-544A-8BF6-2AD05523B796}"/>
    <hyperlink ref="A120" r:id="rId115" tooltip="الدولية للمحاصيل الزراعية" xr:uid="{85428FEC-39C5-0C47-91D5-CA8F1E12ADAD}"/>
    <hyperlink ref="A121" r:id="rId116" tooltip="المطورون العرب القابضة" xr:uid="{F30220B9-59D3-8745-8FD8-9BE5A5262AD8}"/>
    <hyperlink ref="A122" r:id="rId117" tooltip="المجموعة المالية للتوريق" xr:uid="{8B3343A6-7557-B045-89F9-68EF3F2DAE8B}"/>
    <hyperlink ref="A123" r:id="rId118" tooltip="المصريين للاسكان" xr:uid="{4A69F30A-7B62-FD49-B4BF-58427CEC5919}"/>
    <hyperlink ref="A124" r:id="rId119" tooltip="غاز مصر" xr:uid="{7B6EC583-4E76-F148-A363-074A45B63D67}"/>
    <hyperlink ref="A125" r:id="rId120" tooltip="كونتكت المالية القابضة" xr:uid="{6DE425C3-CAB6-7C49-97F1-AB30A5CAD7C5}"/>
    <hyperlink ref="A126" r:id="rId121" tooltip="مصر لصناعة الكيماويات" xr:uid="{418EF945-F3C1-2945-91CA-38670CF922B6}"/>
    <hyperlink ref="A127" r:id="rId122" tooltip="جدوى للتنمية الصناعية" xr:uid="{5DC64107-A7C2-624F-95B3-D42CCB02685D}"/>
    <hyperlink ref="A128" r:id="rId123" tooltip="الوطنية للاسكان" xr:uid="{17381071-5FA8-B244-8059-73713C15F780}"/>
    <hyperlink ref="A129" r:id="rId124" tooltip="عبور لاند للصناعات الغذائية" xr:uid="{E62A537C-7ACC-3C42-8F87-2D430B5EE1AD}"/>
    <hyperlink ref="A130" r:id="rId125" tooltip="هيبكو" xr:uid="{51EC75FD-4259-5F4A-93F8-40DE558FE6AC}"/>
    <hyperlink ref="A131" r:id="rId126" tooltip="فوري" xr:uid="{1DD57B10-DD2F-D14D-BA90-1EF4C26F9BDF}"/>
    <hyperlink ref="A132" r:id="rId127" tooltip="يونيباك" xr:uid="{D53E8490-60DA-4748-924E-FA97610BF1CA}"/>
    <hyperlink ref="A133" r:id="rId128" tooltip="مدينة الانتاج الاعلامى" xr:uid="{D71969E5-6CB7-E34B-A8D2-4C5B1535A9ED}"/>
    <hyperlink ref="A134" r:id="rId129" tooltip="بلتون القابضة" xr:uid="{A251642F-70D9-A84B-AAC0-2A920FBDDDB7}"/>
    <hyperlink ref="A135" r:id="rId130" tooltip="اجواء" xr:uid="{1598F2BB-2027-3241-9647-2B1B97F63DBA}"/>
    <hyperlink ref="A136" r:id="rId131" tooltip="عتاقة" xr:uid="{95282548-E570-9E41-B4ED-12FA235398DE}"/>
    <hyperlink ref="A137" r:id="rId132" tooltip="العربية للأسمنت" xr:uid="{826E7CD7-8591-9C47-80CE-8F46B95D77C2}"/>
    <hyperlink ref="A138" r:id="rId133" tooltip="العامة لاستصلاح الأراضي" xr:uid="{A4B97EE9-FB02-AD4C-9C47-25213680B3DA}"/>
    <hyperlink ref="A139" r:id="rId134" tooltip="وزارة المالية" xr:uid="{2AB1690B-44D5-9147-A27F-CB12107817B4}"/>
    <hyperlink ref="A140" r:id="rId135" tooltip="كريدي أجريكول" xr:uid="{1CD3CBA5-6DE1-1947-8B05-FA5AE176E29E}"/>
    <hyperlink ref="A141" r:id="rId136" tooltip="رمكو" xr:uid="{37614165-772A-EB4A-AD5B-658091ED6B00}"/>
    <hyperlink ref="A142" r:id="rId137" tooltip="سبيد ميديكال" xr:uid="{A4DEA670-EE53-FC48-A0B8-2D91CE097DE2}"/>
    <hyperlink ref="A143" r:id="rId138" tooltip="أدكو" xr:uid="{F32E5215-B036-DA4D-B256-F7067CE3D5D3}"/>
    <hyperlink ref="A144" r:id="rId139" tooltip="التعمير والاستشارات الهندسية" xr:uid="{D18DF339-E89B-7D4B-955C-60DBB3C669E2}"/>
    <hyperlink ref="A145" r:id="rId140" tooltip="الاسكندرية للادوية" xr:uid="{ED379033-E0A1-0A48-B605-17A1A48EA3C4}"/>
    <hyperlink ref="A146" r:id="rId141" tooltip="المالية والصناعية المصرية" xr:uid="{A274B902-E526-1D46-808B-18DBCCD494C4}"/>
    <hyperlink ref="A147" r:id="rId142" tooltip="الاسكندرية لتداول الحاويات" xr:uid="{21A1D11A-3BB9-2942-B428-CA2CA5C4B29E}"/>
    <hyperlink ref="A148" r:id="rId143" tooltip="بنك فيصل الإسلامي المصري" xr:uid="{D2B03332-1907-A845-8BD6-BA101CCADF00}"/>
    <hyperlink ref="A149" r:id="rId144" tooltip="وزارة المالية" xr:uid="{9223DAB6-F126-D34F-8BB9-EC81D106C518}"/>
    <hyperlink ref="A150" r:id="rId145" tooltip="وزارة المالية" xr:uid="{C9615987-C7F2-B944-BA32-FE3DFEBE38DA}"/>
    <hyperlink ref="A151" r:id="rId146" tooltip="مصر للاسواق الحرة" xr:uid="{E18BDF70-7CD8-7C41-9937-AACB2E9D4836}"/>
    <hyperlink ref="A152" r:id="rId147" tooltip="زهراء المعادي" xr:uid="{3ABF072E-F485-B847-8C65-71825336A186}"/>
    <hyperlink ref="A153" r:id="rId148" tooltip="وزارة المالية" xr:uid="{13A2B7E6-30FB-CF49-9FBD-3FA02787AEDA}"/>
    <hyperlink ref="A154" r:id="rId149" tooltip="وزارة المالية" xr:uid="{D4AC18C0-8D18-1541-88F2-9197F29F624A}"/>
    <hyperlink ref="A155" r:id="rId150" tooltip="مصر الجديدة للاسكان" xr:uid="{13BC72A9-08B4-9249-83D4-454F4AAE91C5}"/>
    <hyperlink ref="A156" r:id="rId151" tooltip="وزارة المالية" xr:uid="{30BFBB2E-42FC-A84F-817D-DB6CC7E4E9E8}"/>
    <hyperlink ref="A157" r:id="rId152" tooltip="وزارة المالية" xr:uid="{D83E9D90-3C6C-C14F-A51E-DEE4CABEFE35}"/>
    <hyperlink ref="A158" r:id="rId153" tooltip="وزارة المالية" xr:uid="{B72A70DA-4578-4448-AA0B-057AC3BCBD94}"/>
    <hyperlink ref="A159" r:id="rId154" tooltip="وزارة المالية" xr:uid="{61F83A4A-D0CF-E04E-89D1-E77F417F5B59}"/>
    <hyperlink ref="A160" r:id="rId155" tooltip="وزارة المالية" xr:uid="{5C323D07-A1ED-4D49-925B-C14520D7D5E5}"/>
    <hyperlink ref="A162" r:id="rId156" tooltip="وزارة المالية" xr:uid="{C5D37F2F-B7DE-B04C-9ABA-D80B5DAE401B}"/>
    <hyperlink ref="A163" r:id="rId157" tooltip="وزارة المالية" xr:uid="{3C4693EE-EEB9-9547-9AAB-A6F3E87826B1}"/>
    <hyperlink ref="A164" r:id="rId158" tooltip="مصرف أبو ظبي الإسلامي" xr:uid="{5961CEC8-C348-6449-B0B3-B0116F90C4D2}"/>
    <hyperlink ref="A165" r:id="rId159" tooltip="وزارة المالية" xr:uid="{07E6374A-608F-854E-A3AF-17F9DBC04FE7}"/>
    <hyperlink ref="A166" r:id="rId160" tooltip="راية لخدمات مراكز الاتصالات" xr:uid="{56A3A691-6CEE-0043-AEB6-7D9948D6BB6C}"/>
    <hyperlink ref="A167" r:id="rId161" tooltip="بي إنفستمنتس القابضة" xr:uid="{71FD52A9-54F9-EB44-9968-FF26876D84E4}"/>
    <hyperlink ref="A168" r:id="rId162" tooltip="وزارة المالية" xr:uid="{EC58EF4A-5315-7B43-9FD8-49867553EDBB}"/>
    <hyperlink ref="A169" r:id="rId163" tooltip="مصر بنى سويف للأسمنت" xr:uid="{D6B271DB-FF9A-7042-B014-8AC51D2C04E5}"/>
    <hyperlink ref="A170" r:id="rId164" tooltip="وزارة المالية" xr:uid="{5F9564F3-5D65-9749-81E4-BE34CEFC7FF5}"/>
    <hyperlink ref="A171" r:id="rId165" tooltip="وادي كوم امبو" xr:uid="{3D5160C3-F30F-0C49-A3D1-2A750071A46F}"/>
    <hyperlink ref="A172" r:id="rId166" tooltip="إي اف جي القابضة" xr:uid="{8B62CF67-2504-D146-A35A-C149CE01E53F}"/>
    <hyperlink ref="A173" r:id="rId167" tooltip="وزارة المالية" xr:uid="{F0794ADF-90B4-B844-88E7-35BA59D4E84E}"/>
    <hyperlink ref="A174" r:id="rId168" tooltip="وزارة المالية" xr:uid="{24AED340-770E-1A46-B89F-8D1EC2BED451}"/>
    <hyperlink ref="A175" r:id="rId169" tooltip="القناة للتوكيلات الملاحية" xr:uid="{C72C5203-C8E1-FF42-A6A4-D08907CD8970}"/>
    <hyperlink ref="A176" r:id="rId170" tooltip="جراند انفستمنت القابضة للاستثمارات المالية" xr:uid="{6B6E064C-2387-7B4C-B8F1-4A9A9C104DF9}"/>
    <hyperlink ref="A177" r:id="rId171" tooltip="وزارة المالية" xr:uid="{8F61B043-E51C-AD4F-B53C-56A49FCB5F92}"/>
    <hyperlink ref="A178" r:id="rId172" tooltip="وزارة المالية" xr:uid="{B66FBD9D-CD7F-9443-935B-C8D8A3F65799}"/>
    <hyperlink ref="A179" r:id="rId173" tooltip="وزارة المالية" xr:uid="{86E95CC9-9450-5240-B7B7-47E1065CF9FD}"/>
    <hyperlink ref="A180" r:id="rId174" tooltip="وزارة المالية" xr:uid="{272FECC6-61B0-1C4E-AF27-CAA2B7D56B20}"/>
    <hyperlink ref="A182" r:id="rId175" tooltip="وزارة المالية" xr:uid="{B0F108C7-6033-734B-A936-358B3FDB59C4}"/>
    <hyperlink ref="A183" r:id="rId176" tooltip="وزارة المالية" xr:uid="{31B8C071-9FDC-AA4E-B502-75E939ED54FA}"/>
    <hyperlink ref="A184" r:id="rId177" tooltip="وزارة المالية" xr:uid="{40459F53-FF5A-D148-8828-C201210A55B6}"/>
    <hyperlink ref="A185" r:id="rId178" tooltip="وزارة المالية" xr:uid="{15F2B07B-962E-C445-AE85-8C0EB7AE9365}"/>
    <hyperlink ref="A186" r:id="rId179" tooltip="وزارة المالية" xr:uid="{7206E663-D5EF-2740-9D6B-1598A21AEBDE}"/>
    <hyperlink ref="A187" r:id="rId180" tooltip="وزارة المالية" xr:uid="{EF65B947-ECB9-C244-8D33-CA52BB714516}"/>
    <hyperlink ref="A188" r:id="rId181" tooltip="وزارة المالية" xr:uid="{A1B7C1DD-05CA-B245-AADE-687A20C201DC}"/>
    <hyperlink ref="A189" r:id="rId182" tooltip="وزارة المالية" xr:uid="{59982D10-F522-AE4F-8DC4-9853854EDCD6}"/>
    <hyperlink ref="A190" r:id="rId183" tooltip="وزارة المالية" xr:uid="{ED76AFDE-D151-5341-BD8F-679C1FC0A9C8}"/>
    <hyperlink ref="A191" r:id="rId184" tooltip="وزارة المالية" xr:uid="{27F3762E-AB50-304C-90A4-ED859E380ED0}"/>
    <hyperlink ref="A192" r:id="rId185" tooltip="وزارة المالية" xr:uid="{7F4D6924-AE87-CB4F-B9E5-A6A0936B551C}"/>
    <hyperlink ref="A193" r:id="rId186" tooltip="وزارة المالية" xr:uid="{147A2475-D0A8-174E-9309-B145A6F2DF3F}"/>
    <hyperlink ref="A194" r:id="rId187" tooltip="وزارة المالية" xr:uid="{91FFD42F-9EE4-2341-8C53-2D909B244D03}"/>
    <hyperlink ref="A195" r:id="rId188" tooltip="وزارة المالية" xr:uid="{0DD980D3-21B5-8843-8E2C-792EB1E9888C}"/>
    <hyperlink ref="A196" r:id="rId189" tooltip="وزارة المالية" xr:uid="{BFF3F3DB-3E12-E140-97C9-E677F0D2FF69}"/>
    <hyperlink ref="A197" r:id="rId190" tooltip="وزارة المالية" xr:uid="{72961D1D-807A-8E4A-AF16-D0BE85E06D28}"/>
    <hyperlink ref="A198" r:id="rId191" tooltip="وزارة المالية" xr:uid="{472517CF-06F6-A249-AA1B-64C89BA7ADEA}"/>
    <hyperlink ref="A199" r:id="rId192" tooltip="وزارة المالية" xr:uid="{4EA7BCC1-54D2-2149-AD39-C6C70A7CE02C}"/>
    <hyperlink ref="A200" r:id="rId193" tooltip="وزارة المالية" xr:uid="{536410FF-0E7B-D241-B773-AFC4C6CB11BB}"/>
    <hyperlink ref="A201" r:id="rId194" tooltip="وزارة المالية" xr:uid="{432FF279-2802-0348-98BC-C2DC756509ED}"/>
    <hyperlink ref="A202" r:id="rId195" tooltip="وزارة المالية" xr:uid="{46C90917-431D-0143-8D35-88F38264D018}"/>
    <hyperlink ref="A203" r:id="rId196" tooltip="وزارة المالية" xr:uid="{604ECF59-A667-2E48-B9E7-BC2E7FBA4F20}"/>
    <hyperlink ref="A204" r:id="rId197" tooltip="وزارة المالية" xr:uid="{D91E05F5-7CFA-7E40-B9A3-2E2181A90697}"/>
    <hyperlink ref="A205" r:id="rId198" tooltip="وزارة المالية" xr:uid="{E743EEFF-5B81-AE4F-848A-172FE1707C8B}"/>
    <hyperlink ref="A206" r:id="rId199" tooltip="وزارة المالية" xr:uid="{E649C92A-9BEF-7943-B948-B1974066BDC1}"/>
    <hyperlink ref="A207" r:id="rId200" tooltip="وزارة المالية" xr:uid="{313ADD2D-2728-1F44-9E3B-C9C2CD9EC3D3}"/>
    <hyperlink ref="A208" r:id="rId201" tooltip="وزارة المالية" xr:uid="{AE82E103-D5F5-2745-B94E-4F2AC50B478D}"/>
    <hyperlink ref="A209" r:id="rId202" tooltip="وزارة المالية" xr:uid="{89D9F380-CCB1-AA44-ADEB-9B89B16B6734}"/>
    <hyperlink ref="A210" r:id="rId203" tooltip="وزارة المالية" xr:uid="{8DBB66A7-73B7-6C41-BE37-4DCF2CB36193}"/>
    <hyperlink ref="A211" r:id="rId204" tooltip="وزارة المالية" xr:uid="{2AF37179-5DB4-7B40-9118-DAB5EDAF94F7}"/>
    <hyperlink ref="A212" r:id="rId205" tooltip="وزارة المالية" xr:uid="{910324E2-9485-BD43-B7DE-29EEA1DCF98B}"/>
    <hyperlink ref="A213" r:id="rId206" tooltip="وزارة المالية" xr:uid="{3830C1BF-0672-1543-8FE7-A41BD59A7C48}"/>
    <hyperlink ref="A214" r:id="rId207" tooltip="وزارة المالية" xr:uid="{1936ADA6-E1F4-D142-86ED-41331E78521C}"/>
    <hyperlink ref="A215" r:id="rId208" tooltip="وزارة المالية" xr:uid="{5F1F717F-C6DC-EF4C-B220-627DDEACA563}"/>
    <hyperlink ref="A216" r:id="rId209" tooltip="وزارة المالية" xr:uid="{D173D462-9C3E-DB46-B0B5-E498820DE16A}"/>
    <hyperlink ref="A217" r:id="rId210" tooltip="وزارة المالية" xr:uid="{0ADFA5AC-8362-8D48-B756-6AA4CE2571DD}"/>
    <hyperlink ref="A218" r:id="rId211" tooltip="وزارة المالية" xr:uid="{CC508AAE-9094-3E4C-A042-5AD7BD675DFC}"/>
    <hyperlink ref="A219" r:id="rId212" tooltip="وزارة المالية" xr:uid="{E43304A7-76DE-3841-A8BA-22A7DC1950CD}"/>
    <hyperlink ref="A220" r:id="rId213" tooltip="وزارة المالية" xr:uid="{A9C26960-7365-2C4A-83BD-3C366361F908}"/>
    <hyperlink ref="A221" r:id="rId214" tooltip="المهندس للتأمين" xr:uid="{44A64B04-C69E-2844-83DC-EA7240573030}"/>
    <hyperlink ref="A222" r:id="rId215" tooltip="المستودعات المصرية العامة" xr:uid="{14CE0311-3B48-374C-9254-3DA801699EC4}"/>
    <hyperlink ref="A223" r:id="rId216" tooltip="اكرو مصر" xr:uid="{A29F86B2-11AD-FE41-BDF7-182687324D2E}"/>
    <hyperlink ref="A224" r:id="rId217" tooltip="هايدلبرج ماتريالز -السويس للأسمنت" xr:uid="{5D96AACA-51A8-1C47-9175-663593152F3A}"/>
    <hyperlink ref="A225" r:id="rId218" tooltip="الإسكندرية للأسمنت" xr:uid="{DC6D358C-C4E7-4A4E-9F07-44905A7DB0DD}"/>
    <hyperlink ref="A226" r:id="rId219" tooltip="رواد مصر" xr:uid="{D96908FF-934E-C445-8171-6056F656E7A8}"/>
    <hyperlink ref="A227" r:id="rId220" tooltip="بنك البركة" xr:uid="{51E0B3A0-9572-2B4A-A9BB-6E1747B23ADF}"/>
    <hyperlink ref="A228" r:id="rId221" tooltip="العز الدخيلة للصلب" xr:uid="{3A19C907-8771-414B-8AED-B62F035E155A}"/>
    <hyperlink ref="A229" r:id="rId222" tooltip="سوهاج الوطنية" xr:uid="{B7188C3F-EF34-6D49-BE7D-6146C27F1765}"/>
    <hyperlink ref="A230" r:id="rId223" tooltip="برايم القابضة" xr:uid="{E5E1D9E0-83E5-0B44-9603-DF7448E154F2}"/>
    <hyperlink ref="A231" r:id="rId224" tooltip="حديد عز" xr:uid="{F8DCEFBF-B632-334A-A56C-603F402E1AB7}"/>
    <hyperlink ref="A232" r:id="rId225" tooltip="النعيم القابضة" xr:uid="{EE5498E9-34AE-9D4A-B81D-4465B23F3523}"/>
    <hyperlink ref="A233" r:id="rId226" tooltip="ارابيا انفستمنتس هولدنج" xr:uid="{4CC1BB6C-F08F-A34C-B4E7-62C5EB605C8E}"/>
    <hyperlink ref="A234" r:id="rId227" tooltip="بيتومود" xr:uid="{E21BFCFB-F104-5F41-A120-0C5AA9C5C244}"/>
    <hyperlink ref="A235" r:id="rId228" tooltip="الشرق الأوسط لصناعة الزجاج" xr:uid="{8105CCE5-635D-534C-8245-7BD1BC626E41}"/>
    <hyperlink ref="A236" r:id="rId229" tooltip="اسيك للتعدين" xr:uid="{B14B398A-AC1E-4945-9B9C-F5CA35407FB6}"/>
    <hyperlink ref="A237" r:id="rId230" tooltip="القلعة القابضة" xr:uid="{0CCE23ED-93E6-A14C-8099-482FDFBC372E}"/>
    <hyperlink ref="A238" r:id="rId231" tooltip="وزارة المالية" xr:uid="{80CDD5AE-378C-AA48-81F0-186BFB2498DB}"/>
    <hyperlink ref="A239" r:id="rId232" tooltip="بنك القاهرة" xr:uid="{FA031197-AA0E-5749-BBBF-92A1848095E3}"/>
    <hyperlink ref="A240" r:id="rId233" tooltip="أو بي المالية القابضة" xr:uid="{5D25F53B-F727-C746-8C56-29D1F50D1757}"/>
    <hyperlink ref="A241" r:id="rId234" tooltip="وزارة المالية" xr:uid="{4FC47B69-15BE-2C42-9949-83A28850D297}"/>
    <hyperlink ref="A242" r:id="rId235" tooltip="وزارة المالية" xr:uid="{74760714-4DEB-1042-A630-63352A2CBEC2}"/>
    <hyperlink ref="A243" r:id="rId236" tooltip="فتنس برايم للاندية الصحية" xr:uid="{09D3C03D-F41B-B646-91F3-7B7F8A967BAF}"/>
    <hyperlink ref="A244" r:id="rId237" tooltip="طاقة عربية" xr:uid="{A7841AA0-C586-2C45-A74E-337D00A847CF}"/>
    <hyperlink ref="A245" r:id="rId238" tooltip="وزارة المالية" xr:uid="{3E0A1502-1871-BE4B-9F07-EB9BCB8ACB6E}"/>
    <hyperlink ref="A246" r:id="rId239" tooltip="بريميم هيلثكير جروب" xr:uid="{455B504A-E8DB-534C-AEF1-54A63F392BE0}"/>
    <hyperlink ref="A247" r:id="rId240" tooltip="أكت فاينانشال" xr:uid="{E9B3016E-D335-5D4D-A1DD-152EACD17496}"/>
    <hyperlink ref="A248" r:id="rId241" tooltip="وزارة المالية" xr:uid="{6A869BA3-1826-C34F-A7DF-5DE84A33E96C}"/>
    <hyperlink ref="A249" r:id="rId242" tooltip="وزارة المالية" xr:uid="{C3F2D5F6-65D7-FA4C-8047-04E633AAB6CC}"/>
    <hyperlink ref="A250" r:id="rId243" tooltip="وزارة المالية" xr:uid="{143892D0-7B0F-6C4C-B903-499D3506D916}"/>
    <hyperlink ref="A251" r:id="rId244" tooltip="وزارة المالية" xr:uid="{535D6194-7B16-784F-BE72-CE179A75AFD1}"/>
    <hyperlink ref="A252" r:id="rId245" tooltip="توسع للتخصيم" xr:uid="{60302628-957B-F449-AB7D-F36C862313BE}"/>
    <hyperlink ref="A253" r:id="rId246" tooltip="وزارة المالية" xr:uid="{6BAA64F3-C07F-274D-B748-F8DE5BEDE333}"/>
    <hyperlink ref="A254" r:id="rId247" tooltip="وزارة المالية" xr:uid="{52759D1C-67FD-DD40-BB89-3506D28CE7DF}"/>
    <hyperlink ref="A255" r:id="rId248" tooltip="وزارة المالية" xr:uid="{35B67418-5B9E-7E4F-AD88-2567FCC3EA1D}"/>
    <hyperlink ref="A256" r:id="rId249" tooltip="وزارة المالية" xr:uid="{8614C6AA-015A-1D46-976B-3BBBAB6778B4}"/>
    <hyperlink ref="A257" r:id="rId250" tooltip="وزارة المالية" xr:uid="{1B0DD784-13E1-3F45-86E9-E4DD6CD2240D}"/>
    <hyperlink ref="A258" r:id="rId251" tooltip="وزارة المالية" xr:uid="{03E1757E-4175-B442-971E-E054229F52DA}"/>
    <hyperlink ref="A259" r:id="rId252" tooltip="وزارة المالية" xr:uid="{15B44563-E7CE-7B4F-AE0B-8B19B19200FD}"/>
    <hyperlink ref="A260" r:id="rId253" tooltip="وزارة المالية" xr:uid="{DA05F2EC-103E-EF46-903D-D4ED03CB734F}"/>
    <hyperlink ref="A261" r:id="rId254" tooltip="وزارة المالية" xr:uid="{CFD60A44-0051-4047-BFEE-4CF89BEEB90A}"/>
    <hyperlink ref="A262" r:id="rId255" tooltip="وزارة المالية" xr:uid="{CAA8FC1A-83A5-244F-9AD4-F1DB1F99585C}"/>
    <hyperlink ref="A263" r:id="rId256" tooltip="وزارة المالية" xr:uid="{5CF9DDE8-5DB5-094A-BCB0-226B5B6F5D8C}"/>
    <hyperlink ref="A264" r:id="rId257" tooltip="وزارة المالية" xr:uid="{DA18BE27-5023-E34A-BEF3-3B0503940D30}"/>
    <hyperlink ref="A265" r:id="rId258" tooltip="وزارة المالية" xr:uid="{BA7D0868-7890-E84C-906A-E2EA4977A7F5}"/>
    <hyperlink ref="A266" r:id="rId259" tooltip="وزارة المالية" xr:uid="{7DCB4A8D-6C01-A94E-ADCB-EA8A155540CF}"/>
    <hyperlink ref="A267" r:id="rId260" tooltip="اسمنت طرة" xr:uid="{A754BCF9-5EDA-984D-BB37-FEB9B1FAD29D}"/>
    <hyperlink ref="A268" r:id="rId261" tooltip="وزارة المالية" xr:uid="{D4AE8B77-F4B3-4443-9DA1-514B84DC47F2}"/>
    <hyperlink ref="A269" r:id="rId262" tooltip="وزارة المالية" xr:uid="{F03B1AD5-EB21-E14F-8DC1-6D596D8BF38A}"/>
    <hyperlink ref="A270" r:id="rId263" tooltip="وزارة المالية" xr:uid="{0B8BE6E0-E529-B746-8DB3-89276C79B879}"/>
    <hyperlink ref="A271" r:id="rId264" tooltip="جلاكسو سميثكلاين" xr:uid="{714AB8C2-3A51-1444-84D0-CEF605D269E1}"/>
    <hyperlink ref="A272" r:id="rId265" tooltip="سوديك" xr:uid="{129CC195-EEF9-A542-ACCB-2456264BA581}"/>
    <hyperlink ref="A273" r:id="rId266" tooltip="النيل لحليج الاقطان" xr:uid="{9EDD18CF-2093-914B-91F6-91160F1968B1}"/>
    <hyperlink ref="A274" r:id="rId267" tooltip="المصرية للاتصالات" xr:uid="{D372FBAF-04A2-3944-8030-A89CA25EABD7}"/>
    <hyperlink ref="A275" r:id="rId268" tooltip="وزارة المالية" xr:uid="{935C3C7B-D80A-9642-8958-D8F36DDC6946}"/>
    <hyperlink ref="A276" r:id="rId269" tooltip="ايه كابيتال القابضة" xr:uid="{546C9D58-14A9-A04F-85B4-9E7F6B0E6202}"/>
    <hyperlink ref="A277" r:id="rId270" tooltip="وزارة المالية" xr:uid="{82A979D6-0078-9A47-AAAD-69173EE73919}"/>
    <hyperlink ref="A278" r:id="rId271" tooltip="موبكو" xr:uid="{9C02C5C7-6CA2-854E-B824-5C79288E5085}"/>
    <hyperlink ref="A279" r:id="rId272" tooltip="وزارة المالية" xr:uid="{F9B39BE5-C1F1-C84D-B990-81FC78E95678}"/>
    <hyperlink ref="A280" r:id="rId273" tooltip="الحديد والصلب المصرية" xr:uid="{6CADDD5A-A209-3E43-ACDC-F9A3EDB18402}"/>
    <hyperlink ref="A281" r:id="rId274" tooltip="وزارة المالية" xr:uid="{D0C454C7-E950-DE46-95E9-C04BA9CD6D58}"/>
    <hyperlink ref="A282" r:id="rId275" tooltip="كفر الزيات للمبيدات والكيماويات" xr:uid="{873DDF67-3847-7F43-A68C-A716DA172825}"/>
    <hyperlink ref="A283" r:id="rId276" tooltip="ايجيفرت" xr:uid="{44947CDD-D8D5-9D43-A6D4-AF61AA4BCF50}"/>
    <hyperlink ref="A284" r:id="rId277" tooltip="وزارة المالية" xr:uid="{7CAB370D-8403-A84C-B7C4-707D76281D44}"/>
    <hyperlink ref="A285" r:id="rId278" tooltip="وزارة المالية" xr:uid="{CB4CC2FA-DB1F-534E-AB74-62726F33F560}"/>
    <hyperlink ref="A286" r:id="rId279" tooltip="وزارة المالية" xr:uid="{80816C65-C193-0C47-B95C-3B91431A7EC3}"/>
    <hyperlink ref="A287" r:id="rId280" tooltip="ايبيكو" xr:uid="{50A8F937-CEED-B34F-9DAB-BF857E16ABA0}"/>
    <hyperlink ref="A288" r:id="rId281" tooltip="السويدي اليكتريك" xr:uid="{FCFF982C-35AA-054C-A588-03DEDD138CB9}"/>
    <hyperlink ref="A289" r:id="rId282" tooltip="فيوتشر كير للصناعات الطبية" xr:uid="{85E407DA-7FEA-9E46-B5E4-40C1B45FF8A6}"/>
    <hyperlink ref="A290" r:id="rId283" tooltip="أودن للاستثمارات المالية" xr:uid="{0E166419-1CAA-7E42-97C1-2D5B4FC84EA2}"/>
    <hyperlink ref="A291" r:id="rId284" tooltip="مدينة مصر" xr:uid="{D52965AD-75C8-E340-8F18-F467222CB395}"/>
    <hyperlink ref="A292" r:id="rId285" tooltip="وزارة المالية" xr:uid="{EB1D6CF3-AACD-1544-B029-DDD06FD90995}"/>
    <hyperlink ref="A293" r:id="rId286" tooltip="مطاحن مصر العليا" xr:uid="{D221A19C-5F18-5B42-99B4-4ACD5FB05D41}"/>
    <hyperlink ref="A294" r:id="rId287" tooltip="الدولية للأسمدة" xr:uid="{96166D47-E038-9F48-9BDA-D43DB58299FE}"/>
    <hyperlink ref="A295" r:id="rId288" tooltip="القاهرة للادوية" xr:uid="{24D6AEA2-58D6-AC4F-84FA-F11EC5A2B429}"/>
    <hyperlink ref="A296" r:id="rId289" tooltip="راميدا" xr:uid="{2ED45203-6088-9E43-9A49-E64530C80619}"/>
    <hyperlink ref="A297" r:id="rId290" tooltip="المصرية لنظم التعليم الحديثة" xr:uid="{90D370DA-9D4C-E747-A734-F1B419180095}"/>
    <hyperlink ref="A298" r:id="rId291" tooltip="العربية لاستصلاح الاراضي" xr:uid="{74B643E2-BFFE-BC40-8C14-35FEB1B01E41}"/>
    <hyperlink ref="A299" r:id="rId292" tooltip="اسمنت سيناء" xr:uid="{5967C427-CB46-9E49-B395-9259E7636B0F}"/>
    <hyperlink ref="A300" r:id="rId293" tooltip="إم تي أي" xr:uid="{BB96CBD8-8527-4640-8AF3-877A51AD61B4}"/>
    <hyperlink ref="A301" r:id="rId294" tooltip="ايكون" xr:uid="{7D1C4CE7-091A-774A-8161-2D8C57F6DF2B}"/>
    <hyperlink ref="A302" r:id="rId295" tooltip="الرواد" xr:uid="{CF2715F2-51A0-D34D-9CC6-9A30009A5F9A}"/>
    <hyperlink ref="A303" r:id="rId296" tooltip="إم بي" xr:uid="{FB1E4ABC-7F48-CA4A-82AC-6F2D297578B2}"/>
    <hyperlink ref="A304" r:id="rId297" tooltip="بنك فيصل الإسلامي المصري" xr:uid="{39E9027D-172C-8F4D-9D4F-4E73BC1AD302}"/>
    <hyperlink ref="A305" r:id="rId298" tooltip="الوادي العالمية" xr:uid="{6C7386A7-27CF-BB40-84BB-CC76472E3B12}"/>
    <hyperlink ref="A306" r:id="rId299" tooltip="لوتس للتنمية والاستثمار الزراعي" xr:uid="{9A709BD6-6AB5-7B4C-B67D-8414B096CB6D}"/>
    <hyperlink ref="A307" r:id="rId300" tooltip="فالمور" xr:uid="{EC00565B-3CF0-D345-A5AA-C08D5102DCDE}"/>
    <hyperlink ref="A308" r:id="rId301" tooltip="سبأ" xr:uid="{39A1343D-DBCC-744B-938D-DAFCDBE13E83}"/>
    <hyperlink ref="A309" r:id="rId302" tooltip="اليكو" xr:uid="{2150AE7D-2C5E-7D43-9F23-C1994A0FCEC6}"/>
    <hyperlink ref="A310" r:id="rId303" tooltip="نهر الخير للتنمية والأستثمار الزراعى والخدمات البيئية" xr:uid="{08C0ADA0-76B3-4E4C-8E6E-4A9B6B20C66A}"/>
    <hyperlink ref="A311" r:id="rId304" tooltip="اصول إى إس بى للوساطة في الاوراق المالية" xr:uid="{AA68E968-9DD9-3C48-8CDE-AD6ABD229B5E}"/>
    <hyperlink ref="A312" r:id="rId305" tooltip="العبوات الطبية" xr:uid="{8E72D6F2-AA8B-6E4C-9C7E-A11DE5CD4133}"/>
    <hyperlink ref="A313" r:id="rId306" tooltip="شارم دريمز" xr:uid="{401DA903-2030-1641-99A8-E76C1D9E2682}"/>
    <hyperlink ref="A314" r:id="rId307" tooltip="فيركيم" xr:uid="{E96CDE69-DCA0-534D-B6E6-8F2971E2CC17}"/>
    <hyperlink ref="A315" r:id="rId308" tooltip="فرتيكا" xr:uid="{0FC7108C-B796-3048-B5DA-3249336C869B}"/>
    <hyperlink ref="A316" r:id="rId309" tooltip="وزارة المالية" xr:uid="{A04381C8-7626-8948-9D12-964E03083505}"/>
    <hyperlink ref="A317" r:id="rId310" tooltip="النصر لتصنيع الحاصلات الزراعية" xr:uid="{F0CF82C7-C764-A84D-91D4-E74AEEA1D783}"/>
    <hyperlink ref="A318" r:id="rId311" tooltip="اسباير كابيتال" xr:uid="{6FA5C6CF-00F5-8C49-950C-24AA757D3ECF}"/>
    <hyperlink ref="A319" r:id="rId312" tooltip="أموك" xr:uid="{C91E8174-D20D-0D4D-BEA3-1CA567961FFE}"/>
    <hyperlink ref="A320" r:id="rId313" tooltip="نيوداب" xr:uid="{E33A64F9-C47D-D046-B53A-A6C2F947D53F}"/>
    <hyperlink ref="A321" r:id="rId314" tooltip="المصرف المتحد" xr:uid="{4E5A1649-16BF-C949-A601-BB3B965B7902}"/>
    <hyperlink ref="A322" r:id="rId315" tooltip="مطاحن مصر الوسطى" xr:uid="{1EC2FC38-734D-A448-894F-A41EC4EEBB5F}"/>
    <hyperlink ref="A323" r:id="rId316" tooltip="النيل للادوية" xr:uid="{633986FF-C24C-2341-9FD4-ED65BB6CBD6E}"/>
    <hyperlink ref="A324" r:id="rId317" tooltip="جهينة" xr:uid="{2DB96D8C-C84F-7049-BCF5-037648A5F9CF}"/>
    <hyperlink ref="A325" r:id="rId318" tooltip="العالمية للاستثمار والتنمية" xr:uid="{01A51287-80D0-754B-807A-A3064541566D}"/>
    <hyperlink ref="A326" r:id="rId319" tooltip="كونكريت فاشون" xr:uid="{52D209AF-BDE2-394D-8E46-2EA7F9F9A291}"/>
    <hyperlink ref="A327" r:id="rId320" tooltip="الكابلات الكهربائية المصرية" xr:uid="{BAB049DB-2A2D-AC44-B206-65581CEF1D90}"/>
    <hyperlink ref="A328" r:id="rId321" tooltip="مصر للزيوت والصابون" xr:uid="{FF7EC990-7B1C-CC4F-88EF-5E36615F51B5}"/>
    <hyperlink ref="A329" r:id="rId322" tooltip="المصرية للمنتجعات السياحية" xr:uid="{E0463B2B-1F35-7840-A095-0C7A39F2FB2E}"/>
    <hyperlink ref="A330" r:id="rId323" tooltip="الدلتا للسكر" xr:uid="{C88D7BBC-64E3-194C-B488-FB430E41C944}"/>
    <hyperlink ref="A331" r:id="rId324" tooltip="وزارة المالية" xr:uid="{492F3031-D464-6B4C-9252-ED13DAAC9296}"/>
    <hyperlink ref="A332" r:id="rId325" tooltip="وثائق إستثمار صندوق مؤشر إي جي إكس 30" xr:uid="{7877DFB7-44EB-A448-A6D3-E1595D029756}"/>
    <hyperlink ref="A333" r:id="rId326" tooltip="العامة للصوامع والتخزين" xr:uid="{C052A97F-9C03-7946-8863-A2F6F8E95798}"/>
    <hyperlink ref="A334" r:id="rId327" tooltip="جي بي آي" xr:uid="{2B46CCF0-4B0F-B546-9826-8B5214529806}"/>
    <hyperlink ref="A335" r:id="rId328" tooltip="المركز الطبي الجديد - الإسكندرية" xr:uid="{43897D00-AE62-D949-903E-62E2F05DA761}"/>
    <hyperlink ref="A336" r:id="rId329" tooltip="البنك المصري الخليجي" xr:uid="{3A3647A6-565F-8A43-BD39-E3A9AA961E66}"/>
    <hyperlink ref="A337" r:id="rId330" tooltip="ماريدايف" xr:uid="{E9039800-D4EC-8842-9D9D-0A10DB81463F}"/>
    <hyperlink ref="A338" r:id="rId331" tooltip="ليسيكو" xr:uid="{A9C0AE88-7397-8442-AB57-D5DEEE9B9E8F}"/>
    <hyperlink ref="A339" r:id="rId332" tooltip="ثروة للتوريق" xr:uid="{228CAF4C-7012-2A4C-8C6B-424C4F37C9A1}"/>
    <hyperlink ref="A340" r:id="rId333" tooltip="يونيراب" xr:uid="{147D7758-D821-8F40-9AA4-7193DA13CF9E}"/>
    <hyperlink ref="A341" r:id="rId334" tooltip="النعيم العقارية" xr:uid="{6A6B31E7-78D4-2848-A6D5-FF1C38D43916}"/>
    <hyperlink ref="A342" r:id="rId335" tooltip="الشرقية الوطنية للامن الغذائي" xr:uid="{95C46C16-C01A-1C43-A50D-536B60A9A0AC}"/>
    <hyperlink ref="A343" r:id="rId336" tooltip="القاهرة للزيوت والصابون" xr:uid="{6DD9DDD2-57E7-2244-AD6E-407869EE61BE}"/>
    <hyperlink ref="A344" r:id="rId337" tooltip="اكتوبر فارما" xr:uid="{FC557EF9-65B9-204E-B503-1BBECD09BBC8}"/>
    <hyperlink ref="A345" r:id="rId338" tooltip="أوراسكوم للاستثمار القابضة" xr:uid="{F7E993FA-F828-5E4A-AD74-9BFF51D8494B}"/>
    <hyperlink ref="A346" r:id="rId339" tooltip="يوتوبيا" xr:uid="{C512B23A-6062-B14D-B634-45FA68AF26A9}"/>
    <hyperlink ref="A347" r:id="rId340" tooltip="دومتي" xr:uid="{700475A7-F0B4-4B47-9884-9188C9EF2193}"/>
    <hyperlink ref="A348" r:id="rId341" tooltip="الوطنية للطباعة" xr:uid="{E4C05447-D962-F447-AD87-0E8E2297A80E}"/>
    <hyperlink ref="A349" r:id="rId342" tooltip="النصر للأعمال المدنية" xr:uid="{D838132B-D06A-6749-A6D3-36746AA9784A}"/>
    <hyperlink ref="A350" r:id="rId343" tooltip="الملتقى العربي للاستثمارات" xr:uid="{9D730E56-6AE7-8B4D-9184-501AB4AF34C9}"/>
    <hyperlink ref="A351" r:id="rId344" tooltip="ديفكو2" xr:uid="{607D1B17-7015-3945-82E8-EA15A521213F}"/>
    <hyperlink ref="A352" r:id="rId345" tooltip="أطلس" xr:uid="{ADBB3293-1E2C-814C-BB55-4CE30DA965FB}"/>
    <hyperlink ref="A353" r:id="rId346" tooltip="الغربية الاسلامية للتنمية العمرانية" xr:uid="{27163BBE-86BE-1F42-8F63-8B2D5AB8A7C1}"/>
    <hyperlink ref="A354" r:id="rId347" tooltip="سيدى كرير للبتروكيماويات - سيدبك" xr:uid="{77C67239-4812-894F-A753-CB99316E45C0}"/>
    <hyperlink ref="A355" r:id="rId348" tooltip="الجيزة العامة للمقاولات" xr:uid="{A8FC8616-3A02-F540-BDD8-30031135B8A0}"/>
    <hyperlink ref="A356" r:id="rId349" tooltip="الشروق الحديثة للطباعة والتغليف" xr:uid="{AF7BDDE8-077F-E541-9EAB-D47416233979}"/>
    <hyperlink ref="A357" r:id="rId350" tooltip="مطاحن ومخابز الإسكندرية" xr:uid="{12E4914D-B59C-3141-8AC0-082D9D1A7E89}"/>
    <hyperlink ref="A358" r:id="rId351" tooltip="مستشفى كليوباترا" xr:uid="{5A27B8B1-2076-0C40-8383-6B2405433A17}"/>
    <hyperlink ref="A359" r:id="rId352" tooltip="نوفيدا للاستثمار والتكنولوجيا" xr:uid="{8138E724-EEFE-BF4C-8E89-B09109077115}"/>
    <hyperlink ref="A360" r:id="rId353" tooltip="المشروعات الصناعية والهندسية" xr:uid="{88D9C79C-613D-2D45-B122-711D83768ACD}"/>
    <hyperlink ref="A361" r:id="rId354" tooltip="سيمو" xr:uid="{E6ECD3EB-BF22-844F-82CA-8F4925255526}"/>
    <hyperlink ref="A362" r:id="rId355" tooltip="المصرية الكويتية للاستثمار والتجارة" xr:uid="{03F160AA-8341-0749-A97B-7C691E508597}"/>
    <hyperlink ref="A363" r:id="rId356" tooltip="الشركة العربية لإدارة وتطوير الأصول" xr:uid="{40C71A4B-E5B7-F047-968E-EDDFFAEDA186}"/>
    <hyperlink ref="A364" r:id="rId357" tooltip="العربية المتحدة للشحن والتفريغ" xr:uid="{5DE9C08F-B46D-FC45-9881-D33DAA41C50A}"/>
    <hyperlink ref="A365" r:id="rId358" tooltip="ممفيس للادوية" xr:uid="{EA1F2C9D-2BF4-E34A-904A-FAA1AAE22FEB}"/>
    <hyperlink ref="A366" r:id="rId359" tooltip="بيراميزا" xr:uid="{F2DDA994-F003-BE4A-86D6-906302203FE4}"/>
    <hyperlink ref="A367" r:id="rId360" tooltip="مطاحن شمال القاهرة" xr:uid="{9E62E0E7-A3A3-2F41-8BD0-FDDBC000173D}"/>
    <hyperlink ref="A368" r:id="rId361" tooltip="مينا للاستثمار السياحي" xr:uid="{68FA975E-E649-0340-BCF5-776C329DFF9A}"/>
    <hyperlink ref="A369" r:id="rId362" tooltip="بايونيرز بروبرتيز للتنمية العمرانية بي ار اي جروب" xr:uid="{CF112820-C496-E04D-8712-EE520139AC90}"/>
    <hyperlink ref="A370" r:id="rId363" tooltip="مصر للفنادق" xr:uid="{DEF7174C-1BA4-E64B-88D0-6A03F8059AE7}"/>
    <hyperlink ref="A371" r:id="rId364" tooltip="ثمار" xr:uid="{C0919054-8A71-EB45-9A7F-8DD684604510}"/>
    <hyperlink ref="A372" r:id="rId365" tooltip="مطاحن جنوب القاهرة والجيزة" xr:uid="{102B0252-7BA1-D74B-BE22-36B4E44C4AC0}"/>
    <hyperlink ref="A373" r:id="rId366" tooltip="آراب ديري-باندا" xr:uid="{5F01156C-F87D-3344-9514-ED359CE90B26}"/>
    <hyperlink ref="A374" r:id="rId367" tooltip="جو جرين للاستثمار الزراعي والتنمية" xr:uid="{99CA8993-EDD3-0145-9BE1-0594D7F45082}"/>
    <hyperlink ref="A375" r:id="rId368" tooltip="جيتكس للاستثمارات التجارية والصناعية" xr:uid="{C6B30378-B015-9A40-81BE-77143F4926CF}"/>
    <hyperlink ref="A376" r:id="rId369" tooltip="عبر المحيطات للسياحة" xr:uid="{AC26A12A-B4EC-DE4F-9978-18D8AAA2A220}"/>
    <hyperlink ref="A377" r:id="rId370" tooltip="العبوات الدوائية المتطورة" xr:uid="{3DE4EE19-FEB0-694C-84C0-124FBF4A6E4E}"/>
    <hyperlink ref="A378" r:id="rId371" tooltip="العربية لحليج الأقطان" xr:uid="{2329A8D8-B901-394A-BDD9-22B56A272F1B}"/>
    <hyperlink ref="A379" r:id="rId372" tooltip="المجموعة المتكاملة للاعمال الهندسية" xr:uid="{947C7852-12FF-FA41-8133-EBF9F257AFDC}"/>
    <hyperlink ref="A380" r:id="rId373" tooltip="صندوق المصريين للاستثمار العقاري" xr:uid="{264D4478-7717-0343-AC46-12A311D4C3A6}"/>
    <hyperlink ref="A381" r:id="rId374" tooltip="الوطني" xr:uid="{E326A37A-5C6C-0C49-A14F-EAF496A331D7}"/>
    <hyperlink ref="A382" r:id="rId375" tooltip="العربية للمحابس" xr:uid="{BD985D0E-91A7-FB44-9DAE-DAB552FB15B1}"/>
    <hyperlink ref="A383" r:id="rId376" tooltip="ايسترن كومباني" xr:uid="{1944A0FD-3476-7441-A99A-3223A5DA4E43}"/>
    <hyperlink ref="A384" r:id="rId377" tooltip="السعودية المصرية للاستثمار والتمويل" xr:uid="{531C7BF1-0E9F-244F-ABCB-53A8F9C32B63}"/>
    <hyperlink ref="A385" r:id="rId378" tooltip="جولدن بيراميدز بلازا" xr:uid="{65003126-52FB-8248-B750-954AF1C2E9BD}"/>
    <hyperlink ref="A386" r:id="rId379" tooltip="وزارة المالية" xr:uid="{C9BCF65C-2AC1-804B-BCF7-7EA531284F4A}"/>
    <hyperlink ref="A387" r:id="rId380" tooltip="وزارة المالية" xr:uid="{AE2D1F94-A01E-8546-BE54-6627D7A63526}"/>
    <hyperlink ref="A388" r:id="rId381" tooltip="كاتليست بارتنرز ميديل ايست" xr:uid="{1D8C38FB-5883-AE43-A33B-80F7160A7B9C}"/>
    <hyperlink ref="A389" r:id="rId382" tooltip="جلوبال تيلكوم" xr:uid="{F73EFC78-7AFE-AE46-9990-500F4C6A3B28}"/>
    <hyperlink ref="A390" r:id="rId383" tooltip="جولدن كوست" xr:uid="{DDD22D9B-58AB-4242-B2C0-410577D4B58B}"/>
    <hyperlink ref="A391" r:id="rId384" tooltip="الصخور العربية للصناعات البلاستيكية" xr:uid="{4100FA9E-5160-7B4D-9828-041C0ADD0AC2}"/>
    <hyperlink ref="A392" r:id="rId385" tooltip="ثقة لإدارة الأعمال والتنمية" xr:uid="{FAA5E8CC-9EC7-5042-BB8A-1D9D4197227D}"/>
    <hyperlink ref="A393" r:id="rId386" tooltip="انكوليس" xr:uid="{D2D2CEA2-B79E-6444-8830-6FD3553964C7}"/>
    <hyperlink ref="A394" r:id="rId387" tooltip="بورسعيد لتداول الحاويات والبضائع" xr:uid="{18AC0F20-1947-A249-8317-141F1574AF15}"/>
    <hyperlink ref="A395" r:id="rId388" tooltip="الشمس بيراميدز" xr:uid="{DE5184E6-D8AB-944E-B0E7-04876E12E2EE}"/>
    <hyperlink ref="A396" r:id="rId389" tooltip="الحفر الوطنية" xr:uid="{3B338B2A-18A8-A148-85BC-769AAF9387F3}"/>
    <hyperlink ref="A398" r:id="rId390" xr:uid="{FAD4B052-3440-4446-A791-1BC39ED9C3E8}"/>
    <hyperlink ref="A400" r:id="rId391" xr:uid="{68D6DD90-5A56-504F-A9C9-5F4915836D7F}"/>
    <hyperlink ref="A402" r:id="rId392" xr:uid="{68FBD2EC-AFAA-C34C-A0EF-D73540066D9C}"/>
    <hyperlink ref="A404" r:id="rId393" xr:uid="{CA79303F-8BC6-3F4F-BC65-5872D9B33771}"/>
    <hyperlink ref="A406" r:id="rId394" xr:uid="{35C87E23-B2B5-2A49-A03B-D2F5C54200C8}"/>
    <hyperlink ref="A408" r:id="rId395" xr:uid="{5581C112-7178-7049-B2BC-681EF57BB148}"/>
    <hyperlink ref="A410" r:id="rId396" xr:uid="{380558FD-D762-4543-B4F6-BC4AAFA67826}"/>
    <hyperlink ref="A412" r:id="rId397" xr:uid="{4C2F5C21-47E3-C648-999D-AF01AA90CC22}"/>
    <hyperlink ref="A414" r:id="rId398" xr:uid="{46F46F63-D2F8-3940-B4F4-D66F21662661}"/>
    <hyperlink ref="A416" r:id="rId399" xr:uid="{E48956CE-D619-804F-BAAC-B898BC3A9C0E}"/>
  </hyperlinks>
  <pageMargins left="0.7" right="0.7" top="0.75" bottom="0.75" header="0.3" footer="0.3"/>
  <drawing r:id="rId4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943E1-9804-494B-98AC-D0B4FFA4858A}">
  <dimension ref="A1:ES37"/>
  <sheetViews>
    <sheetView zoomScaleNormal="60" zoomScaleSheetLayoutView="100" workbookViewId="0">
      <pane xSplit="1" topLeftCell="EN1" activePane="topRight" state="frozen"/>
      <selection activeCell="A17" sqref="A17"/>
      <selection pane="topRight" activeCell="EP36" sqref="EP36"/>
    </sheetView>
  </sheetViews>
  <sheetFormatPr defaultColWidth="8.5546875" defaultRowHeight="14.4"/>
  <cols>
    <col min="3" max="3" width="5.109375" bestFit="1" customWidth="1"/>
    <col min="4" max="4" width="12" bestFit="1" customWidth="1"/>
    <col min="5" max="5" width="7.5546875" bestFit="1" customWidth="1"/>
    <col min="6" max="6" width="8.109375" bestFit="1" customWidth="1"/>
    <col min="7" max="7" width="12.33203125" bestFit="1" customWidth="1"/>
    <col min="8" max="8" width="12.21875" bestFit="1" customWidth="1"/>
    <col min="9" max="9" width="8.109375" bestFit="1" customWidth="1"/>
    <col min="10" max="10" width="12.33203125" bestFit="1" customWidth="1"/>
    <col min="11" max="11" width="9.6640625" bestFit="1" customWidth="1"/>
    <col min="12" max="12" width="8.109375" bestFit="1" customWidth="1"/>
    <col min="13" max="13" width="12.33203125" bestFit="1" customWidth="1"/>
    <col min="14" max="14" width="9.6640625" bestFit="1" customWidth="1"/>
    <col min="15" max="15" width="8.109375" bestFit="1" customWidth="1"/>
    <col min="16" max="16" width="12.33203125" bestFit="1" customWidth="1"/>
    <col min="17" max="17" width="9.6640625" bestFit="1" customWidth="1"/>
    <col min="18" max="18" width="8.109375" bestFit="1" customWidth="1"/>
    <col min="19" max="19" width="12.33203125" bestFit="1" customWidth="1"/>
    <col min="20" max="20" width="9.6640625" bestFit="1" customWidth="1"/>
    <col min="21" max="21" width="8.109375" bestFit="1" customWidth="1"/>
    <col min="22" max="22" width="12.33203125" bestFit="1" customWidth="1"/>
    <col min="23" max="23" width="9.6640625" bestFit="1" customWidth="1"/>
    <col min="24" max="24" width="8.109375" bestFit="1" customWidth="1"/>
    <col min="25" max="25" width="12.33203125" bestFit="1" customWidth="1"/>
    <col min="26" max="26" width="9.6640625" bestFit="1" customWidth="1"/>
    <col min="27" max="27" width="8.109375" bestFit="1" customWidth="1"/>
    <col min="28" max="28" width="12.33203125" bestFit="1" customWidth="1"/>
    <col min="29" max="29" width="9.6640625" bestFit="1" customWidth="1"/>
    <col min="30" max="30" width="8.109375" bestFit="1" customWidth="1"/>
    <col min="31" max="31" width="12.33203125" bestFit="1" customWidth="1"/>
    <col min="32" max="32" width="9.6640625" bestFit="1" customWidth="1"/>
    <col min="33" max="33" width="8.109375" bestFit="1" customWidth="1"/>
    <col min="34" max="34" width="12.33203125" bestFit="1" customWidth="1"/>
    <col min="35" max="35" width="9.6640625" bestFit="1" customWidth="1"/>
    <col min="36" max="36" width="8.109375" bestFit="1" customWidth="1"/>
    <col min="37" max="37" width="12.33203125" bestFit="1" customWidth="1"/>
    <col min="38" max="38" width="9.6640625" bestFit="1" customWidth="1"/>
    <col min="39" max="39" width="8.109375" bestFit="1" customWidth="1"/>
    <col min="40" max="40" width="12.33203125" bestFit="1" customWidth="1"/>
    <col min="41" max="41" width="9.6640625" bestFit="1" customWidth="1"/>
    <col min="42" max="42" width="8.109375" bestFit="1" customWidth="1"/>
    <col min="43" max="43" width="12.33203125" bestFit="1" customWidth="1"/>
    <col min="44" max="44" width="9.6640625" bestFit="1" customWidth="1"/>
    <col min="45" max="45" width="8.109375" bestFit="1" customWidth="1"/>
    <col min="46" max="46" width="12.33203125" bestFit="1" customWidth="1"/>
    <col min="47" max="47" width="9.6640625" bestFit="1" customWidth="1"/>
    <col min="48" max="48" width="8.109375" bestFit="1" customWidth="1"/>
    <col min="49" max="49" width="12.33203125" bestFit="1" customWidth="1"/>
    <col min="50" max="50" width="9.6640625" bestFit="1" customWidth="1"/>
    <col min="51" max="51" width="8.109375" bestFit="1" customWidth="1"/>
    <col min="52" max="52" width="12.33203125" bestFit="1" customWidth="1"/>
    <col min="53" max="53" width="9.6640625" bestFit="1" customWidth="1"/>
    <col min="54" max="54" width="8.109375" bestFit="1" customWidth="1"/>
    <col min="55" max="55" width="12.33203125" bestFit="1" customWidth="1"/>
    <col min="56" max="56" width="9.6640625" bestFit="1" customWidth="1"/>
    <col min="57" max="57" width="8.109375" bestFit="1" customWidth="1"/>
    <col min="58" max="58" width="12.33203125" bestFit="1" customWidth="1"/>
    <col min="59" max="59" width="9.6640625" bestFit="1" customWidth="1"/>
    <col min="60" max="60" width="8.109375" bestFit="1" customWidth="1"/>
    <col min="61" max="61" width="12.33203125" bestFit="1" customWidth="1"/>
    <col min="62" max="62" width="9.6640625" bestFit="1" customWidth="1"/>
    <col min="63" max="63" width="8.109375" bestFit="1" customWidth="1"/>
    <col min="64" max="64" width="12.33203125" bestFit="1" customWidth="1"/>
    <col min="65" max="65" width="9.6640625" bestFit="1" customWidth="1"/>
    <col min="66" max="66" width="8.109375" bestFit="1" customWidth="1"/>
    <col min="67" max="67" width="12.33203125" bestFit="1" customWidth="1"/>
    <col min="68" max="68" width="9.6640625" bestFit="1" customWidth="1"/>
    <col min="69" max="69" width="8.109375" bestFit="1" customWidth="1"/>
    <col min="70" max="70" width="12.33203125" bestFit="1" customWidth="1"/>
    <col min="71" max="71" width="9.6640625" bestFit="1" customWidth="1"/>
    <col min="72" max="72" width="8.109375" bestFit="1" customWidth="1"/>
    <col min="73" max="73" width="12.33203125" bestFit="1" customWidth="1"/>
    <col min="74" max="74" width="9.6640625" bestFit="1" customWidth="1"/>
    <col min="75" max="75" width="9.44140625" hidden="1" customWidth="1"/>
    <col min="76" max="76" width="8.109375" bestFit="1" customWidth="1"/>
    <col min="77" max="77" width="12.33203125" bestFit="1" customWidth="1"/>
    <col min="78" max="78" width="9.6640625" bestFit="1" customWidth="1"/>
    <col min="79" max="79" width="8.109375" bestFit="1" customWidth="1"/>
    <col min="80" max="80" width="12.33203125" bestFit="1" customWidth="1"/>
    <col min="81" max="81" width="9.6640625" bestFit="1" customWidth="1"/>
    <col min="82" max="82" width="8.109375" bestFit="1" customWidth="1"/>
    <col min="83" max="83" width="12.33203125" bestFit="1" customWidth="1"/>
    <col min="84" max="84" width="9.6640625" bestFit="1" customWidth="1"/>
    <col min="85" max="85" width="8.109375" bestFit="1" customWidth="1"/>
    <col min="86" max="86" width="12.33203125" bestFit="1" customWidth="1"/>
    <col min="87" max="87" width="9.6640625" bestFit="1" customWidth="1"/>
    <col min="88" max="88" width="8.109375" bestFit="1" customWidth="1"/>
    <col min="89" max="89" width="12.33203125" bestFit="1" customWidth="1"/>
    <col min="90" max="90" width="9.6640625" bestFit="1" customWidth="1"/>
    <col min="91" max="91" width="8.109375" bestFit="1" customWidth="1"/>
    <col min="92" max="92" width="12.33203125" bestFit="1" customWidth="1"/>
    <col min="93" max="93" width="9.6640625" bestFit="1" customWidth="1"/>
    <col min="94" max="94" width="8.109375" bestFit="1" customWidth="1"/>
    <col min="95" max="95" width="12.33203125" bestFit="1" customWidth="1"/>
    <col min="96" max="96" width="9.6640625" bestFit="1" customWidth="1"/>
    <col min="97" max="97" width="8.109375" bestFit="1" customWidth="1"/>
    <col min="98" max="98" width="12.33203125" bestFit="1" customWidth="1"/>
    <col min="99" max="99" width="9.6640625" bestFit="1" customWidth="1"/>
    <col min="100" max="100" width="8.109375" bestFit="1" customWidth="1"/>
    <col min="101" max="101" width="12.33203125" bestFit="1" customWidth="1"/>
    <col min="102" max="102" width="9.6640625" bestFit="1" customWidth="1"/>
    <col min="103" max="103" width="8.109375" bestFit="1" customWidth="1"/>
    <col min="104" max="104" width="12.33203125" bestFit="1" customWidth="1"/>
    <col min="105" max="105" width="9.6640625" bestFit="1" customWidth="1"/>
    <col min="106" max="106" width="8.109375" bestFit="1" customWidth="1"/>
    <col min="107" max="107" width="12.33203125" bestFit="1" customWidth="1"/>
    <col min="108" max="108" width="9.6640625" bestFit="1" customWidth="1"/>
    <col min="109" max="109" width="8.109375" bestFit="1" customWidth="1"/>
    <col min="110" max="110" width="12.33203125" bestFit="1" customWidth="1"/>
    <col min="111" max="111" width="9.6640625" bestFit="1" customWidth="1"/>
    <col min="112" max="112" width="8.109375" bestFit="1" customWidth="1"/>
    <col min="113" max="113" width="12.33203125" bestFit="1" customWidth="1"/>
    <col min="114" max="114" width="9.6640625" bestFit="1" customWidth="1"/>
    <col min="115" max="115" width="8.109375" bestFit="1" customWidth="1"/>
    <col min="116" max="116" width="12.33203125" bestFit="1" customWidth="1"/>
    <col min="117" max="117" width="9.6640625" bestFit="1" customWidth="1"/>
    <col min="118" max="118" width="8.109375" bestFit="1" customWidth="1"/>
    <col min="119" max="119" width="12.33203125" bestFit="1" customWidth="1"/>
    <col min="120" max="120" width="9.6640625" bestFit="1" customWidth="1"/>
    <col min="121" max="121" width="8.109375" bestFit="1" customWidth="1"/>
    <col min="122" max="122" width="12.33203125" bestFit="1" customWidth="1"/>
    <col min="123" max="123" width="9.6640625" bestFit="1" customWidth="1"/>
    <col min="124" max="124" width="8.109375" bestFit="1" customWidth="1"/>
    <col min="125" max="125" width="12.33203125" bestFit="1" customWidth="1"/>
    <col min="126" max="126" width="9.6640625" bestFit="1" customWidth="1"/>
    <col min="127" max="127" width="8.109375" bestFit="1" customWidth="1"/>
    <col min="128" max="128" width="12.33203125" bestFit="1" customWidth="1"/>
    <col min="129" max="129" width="9.6640625" bestFit="1" customWidth="1"/>
    <col min="130" max="130" width="8.109375" bestFit="1" customWidth="1"/>
    <col min="131" max="131" width="12.33203125" bestFit="1" customWidth="1"/>
    <col min="132" max="132" width="9.6640625" bestFit="1" customWidth="1"/>
    <col min="133" max="133" width="8.109375" bestFit="1" customWidth="1"/>
    <col min="134" max="134" width="12.33203125" bestFit="1" customWidth="1"/>
    <col min="135" max="135" width="9.6640625" bestFit="1" customWidth="1"/>
    <col min="136" max="136" width="8.109375" bestFit="1" customWidth="1"/>
    <col min="137" max="137" width="12.33203125" bestFit="1" customWidth="1"/>
    <col min="138" max="138" width="9.6640625" bestFit="1" customWidth="1"/>
    <col min="139" max="139" width="8.109375" bestFit="1" customWidth="1"/>
    <col min="140" max="140" width="12.33203125" bestFit="1" customWidth="1"/>
    <col min="141" max="141" width="9.6640625" bestFit="1" customWidth="1"/>
    <col min="142" max="142" width="8.109375" bestFit="1" customWidth="1"/>
    <col min="143" max="143" width="12.33203125" bestFit="1" customWidth="1"/>
    <col min="144" max="144" width="9.6640625" bestFit="1" customWidth="1"/>
    <col min="145" max="145" width="8.109375" bestFit="1" customWidth="1"/>
    <col min="146" max="146" width="12.33203125" bestFit="1" customWidth="1"/>
    <col min="147" max="147" width="9.6640625" bestFit="1" customWidth="1"/>
  </cols>
  <sheetData>
    <row r="1" spans="1:147">
      <c r="C1" t="s">
        <v>908</v>
      </c>
      <c r="D1" t="s">
        <v>909</v>
      </c>
      <c r="E1" t="s">
        <v>910</v>
      </c>
      <c r="F1" s="11" t="s">
        <v>912</v>
      </c>
      <c r="G1" t="s">
        <v>913</v>
      </c>
      <c r="H1" t="s">
        <v>914</v>
      </c>
      <c r="I1" s="11" t="s">
        <v>915</v>
      </c>
      <c r="J1" t="s">
        <v>916</v>
      </c>
      <c r="K1" t="s">
        <v>917</v>
      </c>
      <c r="L1" s="11" t="s">
        <v>918</v>
      </c>
      <c r="M1" t="s">
        <v>919</v>
      </c>
      <c r="N1" t="s">
        <v>920</v>
      </c>
      <c r="O1" s="11" t="s">
        <v>924</v>
      </c>
      <c r="P1" t="s">
        <v>925</v>
      </c>
      <c r="Q1" t="s">
        <v>926</v>
      </c>
      <c r="R1" s="11" t="s">
        <v>927</v>
      </c>
      <c r="S1" t="s">
        <v>928</v>
      </c>
      <c r="T1" t="s">
        <v>929</v>
      </c>
      <c r="U1" s="11" t="s">
        <v>930</v>
      </c>
      <c r="V1" t="s">
        <v>931</v>
      </c>
      <c r="W1" t="s">
        <v>932</v>
      </c>
      <c r="X1" s="11" t="s">
        <v>954</v>
      </c>
      <c r="Y1" t="s">
        <v>955</v>
      </c>
      <c r="Z1" t="s">
        <v>956</v>
      </c>
      <c r="AA1" s="11" t="s">
        <v>936</v>
      </c>
      <c r="AB1" t="s">
        <v>937</v>
      </c>
      <c r="AC1" t="s">
        <v>938</v>
      </c>
      <c r="AD1" s="11" t="s">
        <v>939</v>
      </c>
      <c r="AE1" t="s">
        <v>940</v>
      </c>
      <c r="AF1" t="s">
        <v>941</v>
      </c>
      <c r="AG1" s="11" t="s">
        <v>942</v>
      </c>
      <c r="AH1" t="s">
        <v>943</v>
      </c>
      <c r="AI1" t="s">
        <v>944</v>
      </c>
      <c r="AJ1" s="11" t="s">
        <v>945</v>
      </c>
      <c r="AK1" t="s">
        <v>946</v>
      </c>
      <c r="AL1" t="s">
        <v>947</v>
      </c>
      <c r="AM1" s="11" t="s">
        <v>948</v>
      </c>
      <c r="AN1" t="s">
        <v>949</v>
      </c>
      <c r="AO1" t="s">
        <v>950</v>
      </c>
      <c r="AP1" s="11" t="s">
        <v>951</v>
      </c>
      <c r="AQ1" t="s">
        <v>952</v>
      </c>
      <c r="AR1" t="s">
        <v>953</v>
      </c>
      <c r="AS1" s="11" t="s">
        <v>958</v>
      </c>
      <c r="AT1" t="s">
        <v>959</v>
      </c>
      <c r="AU1" t="s">
        <v>960</v>
      </c>
      <c r="AV1" s="11" t="s">
        <v>961</v>
      </c>
      <c r="AW1" t="s">
        <v>962</v>
      </c>
      <c r="AX1" t="s">
        <v>963</v>
      </c>
      <c r="AY1" s="11" t="s">
        <v>964</v>
      </c>
      <c r="AZ1" t="s">
        <v>965</v>
      </c>
      <c r="BA1" t="s">
        <v>966</v>
      </c>
      <c r="BB1" s="11" t="s">
        <v>964</v>
      </c>
      <c r="BC1" t="s">
        <v>965</v>
      </c>
      <c r="BD1" t="s">
        <v>966</v>
      </c>
      <c r="BE1" s="11" t="s">
        <v>967</v>
      </c>
      <c r="BF1" t="s">
        <v>968</v>
      </c>
      <c r="BG1" t="s">
        <v>969</v>
      </c>
      <c r="BH1" s="11" t="s">
        <v>970</v>
      </c>
      <c r="BI1" t="s">
        <v>971</v>
      </c>
      <c r="BJ1" t="s">
        <v>972</v>
      </c>
      <c r="BK1" s="11" t="s">
        <v>976</v>
      </c>
      <c r="BL1" t="s">
        <v>977</v>
      </c>
      <c r="BM1" t="s">
        <v>978</v>
      </c>
      <c r="BN1" s="11" t="s">
        <v>979</v>
      </c>
      <c r="BO1" t="s">
        <v>980</v>
      </c>
      <c r="BP1" t="s">
        <v>981</v>
      </c>
      <c r="BQ1" s="11" t="s">
        <v>991</v>
      </c>
      <c r="BR1" t="s">
        <v>992</v>
      </c>
      <c r="BS1" t="s">
        <v>993</v>
      </c>
      <c r="BT1" s="11" t="s">
        <v>1001</v>
      </c>
      <c r="BU1" t="s">
        <v>1002</v>
      </c>
      <c r="BV1" t="s">
        <v>1003</v>
      </c>
      <c r="BW1" t="s">
        <v>1012</v>
      </c>
      <c r="BX1" s="11" t="s">
        <v>1009</v>
      </c>
      <c r="BY1" t="s">
        <v>1010</v>
      </c>
      <c r="BZ1" t="s">
        <v>1011</v>
      </c>
      <c r="CA1" s="11" t="s">
        <v>1013</v>
      </c>
      <c r="CB1" t="s">
        <v>1014</v>
      </c>
      <c r="CC1" t="s">
        <v>1015</v>
      </c>
      <c r="CD1" s="11" t="s">
        <v>1016</v>
      </c>
      <c r="CE1" t="s">
        <v>1017</v>
      </c>
      <c r="CF1" t="s">
        <v>1018</v>
      </c>
      <c r="CG1" s="11" t="s">
        <v>1019</v>
      </c>
      <c r="CH1" t="s">
        <v>1020</v>
      </c>
      <c r="CI1" t="s">
        <v>1021</v>
      </c>
      <c r="CJ1" s="11" t="s">
        <v>1022</v>
      </c>
      <c r="CK1" t="s">
        <v>1023</v>
      </c>
      <c r="CL1" t="s">
        <v>1024</v>
      </c>
      <c r="CM1" s="11" t="s">
        <v>1039</v>
      </c>
      <c r="CN1" t="s">
        <v>1040</v>
      </c>
      <c r="CO1" t="s">
        <v>1041</v>
      </c>
      <c r="CP1" s="11" t="s">
        <v>1042</v>
      </c>
      <c r="CQ1" t="s">
        <v>1043</v>
      </c>
      <c r="CR1" t="s">
        <v>1044</v>
      </c>
      <c r="CS1" s="11" t="s">
        <v>1048</v>
      </c>
      <c r="CT1" t="s">
        <v>1049</v>
      </c>
      <c r="CU1" t="s">
        <v>1050</v>
      </c>
      <c r="CV1" s="11" t="s">
        <v>1051</v>
      </c>
      <c r="CW1" t="s">
        <v>1052</v>
      </c>
      <c r="CX1" t="s">
        <v>1053</v>
      </c>
      <c r="CY1" s="11" t="s">
        <v>1054</v>
      </c>
      <c r="CZ1" t="s">
        <v>1055</v>
      </c>
      <c r="DA1" t="s">
        <v>1056</v>
      </c>
      <c r="DB1" s="11" t="s">
        <v>1057</v>
      </c>
      <c r="DC1" t="s">
        <v>1058</v>
      </c>
      <c r="DD1" t="s">
        <v>1059</v>
      </c>
      <c r="DE1" s="11" t="s">
        <v>1061</v>
      </c>
      <c r="DF1" t="s">
        <v>1062</v>
      </c>
      <c r="DG1" t="s">
        <v>1063</v>
      </c>
      <c r="DH1" s="11" t="s">
        <v>1066</v>
      </c>
      <c r="DI1" t="s">
        <v>1065</v>
      </c>
      <c r="DJ1" t="s">
        <v>1064</v>
      </c>
      <c r="DK1" s="11" t="s">
        <v>1067</v>
      </c>
      <c r="DL1" t="s">
        <v>1068</v>
      </c>
      <c r="DM1" t="s">
        <v>1069</v>
      </c>
      <c r="DN1" s="11" t="s">
        <v>1072</v>
      </c>
      <c r="DO1" t="s">
        <v>1073</v>
      </c>
      <c r="DP1" t="s">
        <v>1074</v>
      </c>
      <c r="DQ1" s="11" t="s">
        <v>1077</v>
      </c>
      <c r="DR1" t="s">
        <v>1078</v>
      </c>
      <c r="DS1" t="s">
        <v>1079</v>
      </c>
      <c r="DT1" s="11" t="s">
        <v>1080</v>
      </c>
      <c r="DU1" t="s">
        <v>1081</v>
      </c>
      <c r="DV1" t="s">
        <v>1082</v>
      </c>
      <c r="DW1" s="11" t="s">
        <v>1090</v>
      </c>
      <c r="DX1" t="s">
        <v>1091</v>
      </c>
      <c r="DY1" t="s">
        <v>1092</v>
      </c>
      <c r="DZ1" s="11" t="s">
        <v>1101</v>
      </c>
      <c r="EA1" t="s">
        <v>1102</v>
      </c>
      <c r="EB1" t="s">
        <v>1103</v>
      </c>
      <c r="EC1" s="11" t="s">
        <v>1109</v>
      </c>
      <c r="ED1" t="s">
        <v>1110</v>
      </c>
      <c r="EE1" t="s">
        <v>1111</v>
      </c>
      <c r="EF1" s="11" t="s">
        <v>1112</v>
      </c>
      <c r="EG1" t="s">
        <v>1113</v>
      </c>
      <c r="EH1" t="s">
        <v>1114</v>
      </c>
      <c r="EI1" s="11" t="s">
        <v>1115</v>
      </c>
      <c r="EJ1" t="s">
        <v>1116</v>
      </c>
      <c r="EK1" t="s">
        <v>1117</v>
      </c>
      <c r="EL1" s="11" t="s">
        <v>1119</v>
      </c>
      <c r="EM1" t="s">
        <v>1120</v>
      </c>
      <c r="EN1" t="s">
        <v>1121</v>
      </c>
      <c r="EO1" s="11" t="s">
        <v>1122</v>
      </c>
      <c r="EP1" t="s">
        <v>1123</v>
      </c>
      <c r="EQ1" t="s">
        <v>1124</v>
      </c>
    </row>
    <row r="2" spans="1:147">
      <c r="A2" s="45" t="s">
        <v>780</v>
      </c>
      <c r="B2" s="11">
        <v>45644</v>
      </c>
      <c r="C2">
        <v>116</v>
      </c>
      <c r="D2" s="12">
        <v>13.47</v>
      </c>
      <c r="E2" s="13">
        <f t="shared" ref="E2:E12" si="0">C2*D2</f>
        <v>1562.52</v>
      </c>
      <c r="F2">
        <f>INDEX('over time prices'!B:C,MATCH($A2,'over time prices'!C:C,0),1)</f>
        <v>19.989999999999998</v>
      </c>
      <c r="G2" s="8">
        <f>F2/$D2-1</f>
        <v>0.48403860430586465</v>
      </c>
      <c r="H2" s="13">
        <f>F2*$C2</f>
        <v>2318.8399999999997</v>
      </c>
      <c r="I2">
        <f>INDEX('over time prices'!E:F,MATCH($A2,'over time prices'!F:F,0),1)</f>
        <v>18.5</v>
      </c>
      <c r="J2" s="8">
        <f>I2/$D2-1</f>
        <v>0.37342242019302141</v>
      </c>
      <c r="K2" s="13">
        <f>I2*$C2</f>
        <v>2146</v>
      </c>
      <c r="L2">
        <f>INDEX('over time prices'!H:I,MATCH($A2,'over time prices'!I:I,0),1)</f>
        <v>18.760000000000002</v>
      </c>
      <c r="M2" s="8">
        <f>L2/$D2-1</f>
        <v>0.39272457312546405</v>
      </c>
      <c r="N2" s="13">
        <f>L2*$C2</f>
        <v>2176.1600000000003</v>
      </c>
      <c r="O2">
        <f>INDEX('over time prices'!K:L,MATCH($A2,'over time prices'!L:L,0),1)</f>
        <v>18.84</v>
      </c>
      <c r="P2" s="8">
        <f>O2/$D2-1</f>
        <v>0.39866369710467708</v>
      </c>
      <c r="Q2" s="13">
        <f>O2*$C2</f>
        <v>2185.44</v>
      </c>
      <c r="R2">
        <f>INDEX('over time prices'!N:O,MATCH($A2,'over time prices'!O:O,0),1)</f>
        <v>18.600000000000001</v>
      </c>
      <c r="S2" s="8">
        <f>R2/$D2-1</f>
        <v>0.38084632516703798</v>
      </c>
      <c r="T2" s="13">
        <f>R2*$C2</f>
        <v>2157.6000000000004</v>
      </c>
      <c r="U2">
        <f>INDEX('over time prices'!Q:R,MATCH($A2,'over time prices'!R:R,0),1)</f>
        <v>18.8</v>
      </c>
      <c r="V2" s="8">
        <f>U2/$D2-1</f>
        <v>0.39569413511507046</v>
      </c>
      <c r="W2" s="13">
        <f>U2*$C2</f>
        <v>2180.8000000000002</v>
      </c>
      <c r="X2">
        <f>INDEX('over time prices'!T:U,MATCH($A2,'over time prices'!U:U,0),1)</f>
        <v>18.75</v>
      </c>
      <c r="Y2" s="8">
        <f>X2/$D2-1</f>
        <v>0.39198218262806228</v>
      </c>
      <c r="Z2" s="13">
        <f>X2*$C2</f>
        <v>2175</v>
      </c>
      <c r="AA2">
        <f>INDEX('over time prices'!W:X,MATCH($A2,'over time prices'!X:X,0),1)</f>
        <v>18.5</v>
      </c>
      <c r="AB2" s="8">
        <f>AA2/$D2-1</f>
        <v>0.37342242019302141</v>
      </c>
      <c r="AC2" s="13">
        <f>AA2*$C2</f>
        <v>2146</v>
      </c>
      <c r="AD2">
        <f>INDEX('over time prices'!Z:AA,MATCH($A2,'over time prices'!AA:AA,0),1)</f>
        <v>18.7</v>
      </c>
      <c r="AE2" s="8">
        <f>AD2/$D2-1</f>
        <v>0.38827023014105411</v>
      </c>
      <c r="AF2" s="13">
        <f>AD2*$C2</f>
        <v>2169.1999999999998</v>
      </c>
      <c r="AG2">
        <f>INDEX('over time prices'!AC:AD,MATCH($A2,'over time prices'!AD:AD,0),1)</f>
        <v>19.2</v>
      </c>
      <c r="AH2" s="8">
        <f>AG2/$D2-1</f>
        <v>0.42538975501113563</v>
      </c>
      <c r="AI2" s="13">
        <f>AG2*$C2</f>
        <v>2227.1999999999998</v>
      </c>
      <c r="AJ2">
        <f>INDEX('over time prices'!AF:AG,MATCH($A2,'over time prices'!AG:AG,0),1)</f>
        <v>18.75</v>
      </c>
      <c r="AK2" s="8">
        <f>AJ2/$D2-1</f>
        <v>0.39198218262806228</v>
      </c>
      <c r="AL2" s="13">
        <f>AJ2*$C2</f>
        <v>2175</v>
      </c>
      <c r="AM2">
        <f>INDEX('over time prices'!AI:AJ,MATCH($A2,'over time prices'!AJ:AJ,0),1)</f>
        <v>18.420000000000002</v>
      </c>
      <c r="AN2" s="8">
        <f>AM2/$D2-1</f>
        <v>0.3674832962138086</v>
      </c>
      <c r="AO2" s="13">
        <f>AM2*$C2</f>
        <v>2136.7200000000003</v>
      </c>
      <c r="AP2">
        <f>INDEX('over time prices'!AL:AM,MATCH($A2,'over time prices'!AM:AM,0),1)</f>
        <v>18.3</v>
      </c>
      <c r="AQ2" s="8">
        <f>AP2/$D2-1</f>
        <v>0.35857461024498893</v>
      </c>
      <c r="AR2" s="13">
        <f>AP2*$C2</f>
        <v>2122.8000000000002</v>
      </c>
      <c r="AS2">
        <f>INDEX('over time prices'!AO:AP,MATCH($A2,'over time prices'!AP:AP,0),1)</f>
        <v>17.489999999999998</v>
      </c>
      <c r="AT2" s="8">
        <f>AS2/$D2-1</f>
        <v>0.29844097995545638</v>
      </c>
      <c r="AU2" s="13">
        <f>AS2*$C2</f>
        <v>2028.84</v>
      </c>
      <c r="AV2">
        <f>INDEX('over time prices'!AR:AS,MATCH($A2,'over time prices'!AS:AS,0),1)</f>
        <v>18.37</v>
      </c>
      <c r="AW2" s="8">
        <f>AV2/$D2-1</f>
        <v>0.3637713437268002</v>
      </c>
      <c r="AX2" s="13">
        <f>AV2*$C2</f>
        <v>2130.92</v>
      </c>
      <c r="AY2">
        <f>INDEX('over time prices'!AU:AV,MATCH($A2,'over time prices'!AV:AV,0),1)</f>
        <v>18</v>
      </c>
      <c r="AZ2" s="8">
        <f>AY2/$D2-1</f>
        <v>0.33630289532293989</v>
      </c>
      <c r="BA2" s="13">
        <f>AY2*$C2</f>
        <v>2088</v>
      </c>
      <c r="BB2">
        <f>INDEX('over time prices'!AX:AY,MATCH($A2,'over time prices'!AY:AY,0),1)</f>
        <v>17.82</v>
      </c>
      <c r="BC2" s="8">
        <f>BB2/$D2-1</f>
        <v>0.3229398663697105</v>
      </c>
      <c r="BD2" s="13">
        <f>BB2*$C2</f>
        <v>2067.12</v>
      </c>
      <c r="BE2">
        <f>INDEX('over time prices'!BA:BB,MATCH($A2,'over time prices'!BB:BB,0),1)</f>
        <v>17.399999999999999</v>
      </c>
      <c r="BF2" s="8">
        <f>BE2/$D2-1</f>
        <v>0.2917594654788418</v>
      </c>
      <c r="BG2" s="13">
        <f>BE2*$C2</f>
        <v>2018.3999999999999</v>
      </c>
      <c r="BH2">
        <f>INDEX('over time prices'!BD:BE,MATCH($A2,'over time prices'!BE:BE,0),1)</f>
        <v>17.809999999999999</v>
      </c>
      <c r="BI2" s="8">
        <f>BH2/$D2-1</f>
        <v>0.32219747587230874</v>
      </c>
      <c r="BJ2" s="13">
        <f>BH2*$C2</f>
        <v>2065.96</v>
      </c>
      <c r="BK2">
        <f>INDEX('over time prices'!BG:BH,MATCH($A2,'over time prices'!BH:BH,0),1)</f>
        <v>17.899999999999999</v>
      </c>
      <c r="BL2" s="8">
        <f>BK2/$D2-1</f>
        <v>0.32887899034892332</v>
      </c>
      <c r="BM2" s="13">
        <f>BK2*$C2</f>
        <v>2076.3999999999996</v>
      </c>
      <c r="BN2">
        <f>INDEX('over time prices'!BJ:BK,MATCH($A2,'over time prices'!BK:BK,0),1)</f>
        <v>17.63</v>
      </c>
      <c r="BO2" s="8">
        <f>BN2/$D2-1</f>
        <v>0.30883444691907935</v>
      </c>
      <c r="BP2" s="13">
        <f>BN2*$C2</f>
        <v>2045.08</v>
      </c>
      <c r="BQ2">
        <f>INDEX('over time prices'!BM:BN,MATCH($A2,'over time prices'!BN:BN,0),1)</f>
        <v>17.11</v>
      </c>
      <c r="BR2" s="8">
        <f>BQ2/$D2-1</f>
        <v>0.27023014105419429</v>
      </c>
      <c r="BS2" s="13">
        <f>BQ2*$C2</f>
        <v>1984.76</v>
      </c>
      <c r="BT2">
        <f>INDEX('over time prices'!BP:BQ,MATCH($A2,'over time prices'!BQ:BQ,0),1)</f>
        <v>17.399999999999999</v>
      </c>
      <c r="BU2" s="8">
        <f>BT2/$D2-1</f>
        <v>0.2917594654788418</v>
      </c>
      <c r="BV2" s="13">
        <f>BT2*$C2</f>
        <v>2018.3999999999999</v>
      </c>
      <c r="BX2">
        <f>INDEX('over time prices'!BS:BT,MATCH($A2,'over time prices'!BT:BT,0),1)</f>
        <v>18.11</v>
      </c>
      <c r="BY2" s="8">
        <f>BX2/$D2-1</f>
        <v>0.34446919079435778</v>
      </c>
      <c r="BZ2" s="13">
        <f>BX2*$C2</f>
        <v>2100.7599999999998</v>
      </c>
      <c r="CA2">
        <f>INDEX('over time prices'!BV:BW,MATCH($A2,'over time prices'!BW:BW,0),1)</f>
        <v>18.28</v>
      </c>
      <c r="CB2" s="8">
        <f>CA2/$D2-1</f>
        <v>0.35708982925018562</v>
      </c>
      <c r="CC2" s="13">
        <f>CA2*$C2</f>
        <v>2120.48</v>
      </c>
      <c r="CD2">
        <f>INDEX('over time prices'!BY:BZ,MATCH($A2,'over time prices'!BZ:BZ,0),1)</f>
        <v>18.2</v>
      </c>
      <c r="CE2" s="8">
        <f>CD2/$D2-1</f>
        <v>0.35115070527097236</v>
      </c>
      <c r="CF2" s="13">
        <f>CD2*$C2</f>
        <v>2111.1999999999998</v>
      </c>
      <c r="CG2">
        <f>INDEX('over time prices'!CB:CC,MATCH($A2,'over time prices'!CC:CC,0),1)</f>
        <v>19.2</v>
      </c>
      <c r="CH2" s="8">
        <f>CG2/$D2-1</f>
        <v>0.42538975501113563</v>
      </c>
      <c r="CI2" s="13">
        <f>CG2*$C2</f>
        <v>2227.1999999999998</v>
      </c>
      <c r="CJ2">
        <f>INDEX('over time prices'!CE:CF,MATCH($A2,'over time prices'!CF:CF,0),1)</f>
        <v>20.100000000000001</v>
      </c>
      <c r="CK2" s="8">
        <f>CJ2/$D2-1</f>
        <v>0.49220489977728299</v>
      </c>
      <c r="CL2" s="13">
        <f>CJ2*$C2</f>
        <v>2331.6000000000004</v>
      </c>
      <c r="CM2">
        <f>INDEX('over time prices'!CH:CI,MATCH($A2,'over time prices'!CI:CI,0),1)</f>
        <v>20.059999999999999</v>
      </c>
      <c r="CN2" s="8">
        <f>CM2/$D2-1</f>
        <v>0.48923533778767614</v>
      </c>
      <c r="CO2" s="13">
        <f>CM2*$C2</f>
        <v>2326.96</v>
      </c>
      <c r="CP2">
        <f>INDEX('over time prices'!CK:CL,MATCH($A2,'over time prices'!CL:CL,0),1)</f>
        <v>21.19</v>
      </c>
      <c r="CQ2" s="8">
        <f>CP2/$D2-1</f>
        <v>0.57312546399406084</v>
      </c>
      <c r="CR2" s="13">
        <f>CP2*$C2</f>
        <v>2458.04</v>
      </c>
      <c r="CS2">
        <f>INDEX('over time prices'!CN:CO,MATCH($A2,'over time prices'!CO:CO,0),1)</f>
        <v>20.76</v>
      </c>
      <c r="CT2" s="8">
        <f>CS2/$D2-1</f>
        <v>0.54120267260579058</v>
      </c>
      <c r="CU2" s="13">
        <f>CS2*$C2</f>
        <v>2408.1600000000003</v>
      </c>
      <c r="CV2">
        <f>INDEX('over time prices'!CQ:CR,MATCH($A2,'over time prices'!CR:CR,0),1)</f>
        <v>22.01</v>
      </c>
      <c r="CW2" s="8">
        <f>CV2/$D2-1</f>
        <v>0.63400148478099494</v>
      </c>
      <c r="CX2" s="13">
        <f>CV2*$C2</f>
        <v>2553.1600000000003</v>
      </c>
      <c r="CY2">
        <f>INDEX('over time prices'!CT:CU,MATCH($A2,'over time prices'!CU:CU,0),1)</f>
        <v>22.45</v>
      </c>
      <c r="CZ2" s="8">
        <f>CY2/$D2-1</f>
        <v>0.66666666666666652</v>
      </c>
      <c r="DA2" s="13">
        <f>CY2*$C2</f>
        <v>2604.1999999999998</v>
      </c>
      <c r="DB2">
        <f>INDEX('over time prices'!CW:CX,MATCH($A2,'over time prices'!CX:CX,0),1)</f>
        <v>23.5</v>
      </c>
      <c r="DC2" s="8">
        <f>DB2/$D2-1</f>
        <v>0.74461766889383818</v>
      </c>
      <c r="DD2" s="13">
        <f>DB2*$C2</f>
        <v>2726</v>
      </c>
      <c r="DE2">
        <f>INDEX('over time prices'!CZ:DA,MATCH($A2,'over time prices'!DA:DA,0),1)</f>
        <v>24</v>
      </c>
      <c r="DF2" s="8">
        <f>DE2/$D2-1</f>
        <v>0.7817371937639197</v>
      </c>
      <c r="DG2" s="13">
        <f>DE2*$C2</f>
        <v>2784</v>
      </c>
      <c r="DH2">
        <f>INDEX('over time prices'!DC:DD,MATCH($A2,'over time prices'!DD:DD,0),1)</f>
        <v>25.3</v>
      </c>
      <c r="DI2" s="8">
        <f>DH2/$D2-1</f>
        <v>0.87824795842613201</v>
      </c>
      <c r="DJ2" s="13">
        <f>DH2*$C2</f>
        <v>2934.8</v>
      </c>
      <c r="DK2">
        <f>INDEX('over time prices'!DF:DG,MATCH($A2,'over time prices'!DG:DG,0),1)</f>
        <v>25</v>
      </c>
      <c r="DL2" s="8">
        <f>DK2/$D2-1</f>
        <v>0.85597624350408297</v>
      </c>
      <c r="DM2" s="13">
        <f>DK2*$C2</f>
        <v>2900</v>
      </c>
      <c r="DN2">
        <f>INDEX('over time prices'!DI:DJ,MATCH($A2,'over time prices'!DJ:DJ,0),1)</f>
        <v>23.9</v>
      </c>
      <c r="DO2" s="8">
        <f>DN2/$D2-1</f>
        <v>0.77431328878990335</v>
      </c>
      <c r="DP2" s="13">
        <f>DN2*$C2</f>
        <v>2772.3999999999996</v>
      </c>
      <c r="DQ2">
        <f>INDEX('over time prices'!DL:DM,MATCH($A2,'over time prices'!DM:DM,0),1)</f>
        <v>23</v>
      </c>
      <c r="DR2" s="8">
        <f>DQ2/$D2-1</f>
        <v>0.70749814402375644</v>
      </c>
      <c r="DS2" s="13">
        <f>DQ2*$C2</f>
        <v>2668</v>
      </c>
      <c r="DT2">
        <f>INDEX('over time prices'!DO:DP,MATCH($A2,'over time prices'!DP:DP,0),1)</f>
        <v>21.75</v>
      </c>
      <c r="DU2" s="8">
        <f>DT2/$D2-1</f>
        <v>0.6146993318485523</v>
      </c>
      <c r="DV2" s="13">
        <f>DT2*$C2</f>
        <v>2523</v>
      </c>
      <c r="DW2">
        <f>INDEX('over time prices'!DR:DS,MATCH($A2,'over time prices'!DS:DS,0),1)</f>
        <v>24</v>
      </c>
      <c r="DX2" s="8">
        <f>DW2/$D2-1</f>
        <v>0.7817371937639197</v>
      </c>
      <c r="DY2" s="13">
        <f>DW2*$C2</f>
        <v>2784</v>
      </c>
      <c r="DZ2">
        <f>INDEX('over time prices'!DU:DV,MATCH($A2,'over time prices'!DV:DV,0),1)</f>
        <v>23.1</v>
      </c>
      <c r="EA2" s="8">
        <f>DZ2/$D2-1</f>
        <v>0.71492204899777279</v>
      </c>
      <c r="EB2" s="13">
        <f>DZ2*$C2</f>
        <v>2679.6000000000004</v>
      </c>
      <c r="EC2">
        <f>INDEX('over time prices'!DX:DY,MATCH($A2,'over time prices'!DY:DY,0),1)</f>
        <v>22.8</v>
      </c>
      <c r="ED2" s="8">
        <f>EC2/$D2-1</f>
        <v>0.69265033407572374</v>
      </c>
      <c r="EE2" s="13">
        <f>EC2*$C2</f>
        <v>2644.8</v>
      </c>
      <c r="EF2">
        <f>INDEX('over time prices'!EA:EB,MATCH($A2,'over time prices'!EB:EB,0),1)</f>
        <v>23.2</v>
      </c>
      <c r="EG2" s="8">
        <f>EF2/$D2-1</f>
        <v>0.72234595397178913</v>
      </c>
      <c r="EH2" s="13">
        <f>EF2*$C2</f>
        <v>2691.2</v>
      </c>
      <c r="EI2">
        <f>INDEX('over time prices'!ED:EE,MATCH($A2,'over time prices'!EE:EE,0),1)</f>
        <v>23.8</v>
      </c>
      <c r="EJ2" s="8">
        <f>EI2/$D2-1</f>
        <v>0.76688938381588723</v>
      </c>
      <c r="EK2" s="13">
        <f>EI2*$C2</f>
        <v>2760.8</v>
      </c>
      <c r="EL2">
        <f>INDEX('over time prices'!EG:EH,MATCH($A2,'over time prices'!EH:EH,0),1)</f>
        <v>21.09</v>
      </c>
      <c r="EM2" s="8">
        <f t="shared" ref="EM2:EM12" si="1">EL2/$D2-1</f>
        <v>0.56570155902004449</v>
      </c>
      <c r="EN2" s="13">
        <f t="shared" ref="EN2:EN12" si="2">EL2*$C2</f>
        <v>2446.44</v>
      </c>
      <c r="EO2">
        <f>INDEX('over time prices'!EJ:EK,MATCH($A2,'over time prices'!EK:EK,0),1)</f>
        <v>21.45</v>
      </c>
      <c r="EP2" s="8">
        <f t="shared" ref="EP2:EP12" si="3">EO2/$D2-1</f>
        <v>0.59242761692650325</v>
      </c>
      <c r="EQ2" s="13">
        <f t="shared" ref="EQ2:EQ12" si="4">EO2*$C2</f>
        <v>2488.1999999999998</v>
      </c>
    </row>
    <row r="3" spans="1:147">
      <c r="A3" t="s">
        <v>857</v>
      </c>
      <c r="B3" s="11">
        <v>45704</v>
      </c>
      <c r="C3">
        <v>18</v>
      </c>
      <c r="D3">
        <f>45.32-3</f>
        <v>42.32</v>
      </c>
      <c r="E3" s="13">
        <f t="shared" si="0"/>
        <v>761.76</v>
      </c>
      <c r="G3" s="8"/>
      <c r="H3" s="13"/>
      <c r="J3" s="8"/>
      <c r="K3" s="13"/>
      <c r="M3" s="8"/>
      <c r="N3" s="13"/>
      <c r="P3" s="8"/>
      <c r="Q3" s="13"/>
      <c r="S3" s="8"/>
      <c r="T3" s="13"/>
      <c r="V3" s="8"/>
      <c r="W3" s="13"/>
      <c r="Y3" s="8"/>
      <c r="Z3" s="13"/>
      <c r="AB3" s="8"/>
      <c r="AC3" s="13"/>
      <c r="AE3" s="8"/>
      <c r="AF3" s="13"/>
      <c r="AH3" s="8"/>
      <c r="AI3" s="13"/>
      <c r="AK3" s="8"/>
      <c r="AL3" s="13"/>
      <c r="AN3" s="8"/>
      <c r="AO3" s="13"/>
      <c r="AQ3" s="8"/>
      <c r="AR3" s="13"/>
      <c r="AT3" s="8"/>
      <c r="AU3" s="13"/>
      <c r="AW3" s="8"/>
      <c r="AX3" s="13"/>
      <c r="AZ3" s="8"/>
      <c r="BA3" s="13"/>
      <c r="BC3" s="8"/>
      <c r="BD3" s="13"/>
      <c r="BF3" s="8"/>
      <c r="BG3" s="13"/>
      <c r="BI3" s="8"/>
      <c r="BJ3" s="13"/>
      <c r="BL3" s="8"/>
      <c r="BM3" s="13"/>
      <c r="BO3" s="8"/>
      <c r="BP3" s="13"/>
      <c r="BR3" s="8"/>
      <c r="BS3" s="13"/>
      <c r="BT3">
        <f>INDEX('over time prices'!BP:BQ,MATCH($A3,'over time prices'!BQ:BQ,0),1)</f>
        <v>45.8</v>
      </c>
      <c r="BU3" s="8">
        <f>BT3/$D3-1</f>
        <v>8.2230623818525528E-2</v>
      </c>
      <c r="BV3" s="13">
        <f>BT3*$C3</f>
        <v>824.4</v>
      </c>
      <c r="BX3">
        <f>INDEX('over time prices'!BS:BT,MATCH($A3,'over time prices'!BT:BT,0),1)</f>
        <v>47</v>
      </c>
      <c r="BY3" s="8">
        <f>BX3/$D3-1</f>
        <v>0.11058601134215507</v>
      </c>
      <c r="BZ3" s="13">
        <f>BX3*$C3</f>
        <v>846</v>
      </c>
      <c r="CA3">
        <f>INDEX('over time prices'!BV:BW,MATCH($A3,'over time prices'!BW:BW,0),1)</f>
        <v>47.46</v>
      </c>
      <c r="CB3" s="8">
        <f>CA3/$D3-1</f>
        <v>0.12145557655954642</v>
      </c>
      <c r="CC3" s="13">
        <f>CA3*$C3</f>
        <v>854.28</v>
      </c>
      <c r="CD3">
        <f>INDEX('over time prices'!BY:BZ,MATCH($A3,'over time prices'!BZ:BZ,0),1)</f>
        <v>47.86</v>
      </c>
      <c r="CE3" s="8">
        <f>CD3/$D3-1</f>
        <v>0.13090737240075612</v>
      </c>
      <c r="CF3" s="13">
        <f>CD3*$C3</f>
        <v>861.48</v>
      </c>
      <c r="CG3">
        <f>INDEX('over time prices'!CB:CC,MATCH($A3,'over time prices'!CC:CC,0),1)</f>
        <v>47.77</v>
      </c>
      <c r="CH3" s="8">
        <f>CG3/$D3-1</f>
        <v>0.12878071833648397</v>
      </c>
      <c r="CI3" s="13">
        <f>CG3*$C3</f>
        <v>859.86</v>
      </c>
      <c r="CJ3">
        <f>INDEX('over time prices'!CE:CF,MATCH($A3,'over time prices'!CF:CF,0),1)</f>
        <v>47.06</v>
      </c>
      <c r="CK3" s="8">
        <f>CJ3/$D3-1</f>
        <v>0.1120037807183365</v>
      </c>
      <c r="CL3" s="13">
        <f>CJ3*$C3</f>
        <v>847.08</v>
      </c>
      <c r="CM3">
        <f>INDEX('over time prices'!CH:CI,MATCH($A3,'over time prices'!CI:CI,0),1)</f>
        <v>47.08</v>
      </c>
      <c r="CN3" s="8">
        <f>CM3/$D3-1</f>
        <v>0.11247637051039683</v>
      </c>
      <c r="CO3" s="13">
        <f>CM3*$C3</f>
        <v>847.43999999999994</v>
      </c>
      <c r="CP3">
        <f>INDEX('over time prices'!CK:CL,MATCH($A3,'over time prices'!CL:CL,0),1)</f>
        <v>47.5</v>
      </c>
      <c r="CQ3" s="8">
        <f>CP3/$D3-1</f>
        <v>0.1224007561436673</v>
      </c>
      <c r="CR3" s="13">
        <f>CP3*$C3</f>
        <v>855</v>
      </c>
      <c r="CS3">
        <f>INDEX('over time prices'!CN:CO,MATCH($A3,'over time prices'!CO:CO,0),1)</f>
        <v>47.05</v>
      </c>
      <c r="CT3" s="8">
        <f>CS3/$D3-1</f>
        <v>0.11176748582230611</v>
      </c>
      <c r="CU3" s="13">
        <f>CS3*$C3</f>
        <v>846.9</v>
      </c>
      <c r="CV3">
        <f>INDEX('over time prices'!CQ:CR,MATCH($A3,'over time prices'!CR:CR,0),1)</f>
        <v>47.61</v>
      </c>
      <c r="CW3" s="8">
        <f>CV3/$D3-1</f>
        <v>0.125</v>
      </c>
      <c r="CX3" s="13">
        <f>CV3*$C3</f>
        <v>856.98</v>
      </c>
      <c r="CY3">
        <f>INDEX('over time prices'!CT:CU,MATCH($A3,'over time prices'!CU:CU,0),1)</f>
        <v>48.38</v>
      </c>
      <c r="CZ3" s="8">
        <f>CY3/$D3-1</f>
        <v>0.1431947069943289</v>
      </c>
      <c r="DA3" s="13">
        <f>CY3*$C3</f>
        <v>870.84</v>
      </c>
      <c r="DB3">
        <f>INDEX('over time prices'!CW:CX,MATCH($A3,'over time prices'!CX:CX,0),1)</f>
        <v>48.5</v>
      </c>
      <c r="DC3" s="8">
        <f>DB3/$D3-1</f>
        <v>0.14603024574669177</v>
      </c>
      <c r="DD3" s="13">
        <f>DB3*$C3</f>
        <v>873</v>
      </c>
      <c r="DE3">
        <f>INDEX('over time prices'!CZ:DA,MATCH($A3,'over time prices'!DA:DA,0),1)</f>
        <v>49.99</v>
      </c>
      <c r="DF3" s="8">
        <f>DE3/$D3-1</f>
        <v>0.18123818525519853</v>
      </c>
      <c r="DG3" s="13">
        <f>DE3*$C3</f>
        <v>899.82</v>
      </c>
      <c r="DH3">
        <f>INDEX('over time prices'!DC:DD,MATCH($A3,'over time prices'!DD:DD,0),1)</f>
        <v>50.2</v>
      </c>
      <c r="DI3" s="8">
        <f>DH3/$D3-1</f>
        <v>0.18620037807183376</v>
      </c>
      <c r="DJ3" s="13">
        <f>DH3*$C3</f>
        <v>903.6</v>
      </c>
      <c r="DK3">
        <f>INDEX('over time prices'!DF:DG,MATCH($A3,'over time prices'!DG:DG,0),1)</f>
        <v>49.38</v>
      </c>
      <c r="DL3" s="8">
        <f>DK3/$D3-1</f>
        <v>0.16682419659735359</v>
      </c>
      <c r="DM3" s="13">
        <f>DK3*$C3</f>
        <v>888.84</v>
      </c>
      <c r="DN3">
        <f>INDEX('over time prices'!DI:DJ,MATCH($A3,'over time prices'!DJ:DJ,0),1)</f>
        <v>50.57</v>
      </c>
      <c r="DO3" s="8">
        <f>DN3/$D3-1</f>
        <v>0.19494328922495274</v>
      </c>
      <c r="DP3" s="13">
        <f>DN3*$C3</f>
        <v>910.26</v>
      </c>
      <c r="DQ3">
        <f>INDEX('over time prices'!DL:DM,MATCH($A3,'over time prices'!DM:DM,0),1)</f>
        <v>50</v>
      </c>
      <c r="DR3" s="8">
        <f>DQ3/$D3-1</f>
        <v>0.18147448015122869</v>
      </c>
      <c r="DS3" s="13">
        <f>DQ3*$C3</f>
        <v>900</v>
      </c>
      <c r="DT3">
        <f>INDEX('over time prices'!DO:DP,MATCH($A3,'over time prices'!DP:DP,0),1)</f>
        <v>50</v>
      </c>
      <c r="DU3" s="8">
        <f>DT3/$D3-1</f>
        <v>0.18147448015122869</v>
      </c>
      <c r="DV3" s="13">
        <f>DT3*$C3</f>
        <v>900</v>
      </c>
      <c r="DW3">
        <f>INDEX('over time prices'!DR:DS,MATCH($A3,'over time prices'!DS:DS,0),1)</f>
        <v>51.53</v>
      </c>
      <c r="DX3" s="8">
        <f>DW3/$D3-1</f>
        <v>0.21762759924385633</v>
      </c>
      <c r="DY3" s="13">
        <f>DW3*$C3</f>
        <v>927.54</v>
      </c>
      <c r="DZ3">
        <f>INDEX('over time prices'!DU:DV,MATCH($A3,'over time prices'!DV:DV,0),1)</f>
        <v>49.97</v>
      </c>
      <c r="EA3" s="8">
        <f>DZ3/$D3-1</f>
        <v>0.18076559546313797</v>
      </c>
      <c r="EB3" s="13">
        <f>DZ3*$C3</f>
        <v>899.46</v>
      </c>
      <c r="EC3">
        <f>INDEX('over time prices'!DX:DY,MATCH($A3,'over time prices'!DY:DY,0),1)</f>
        <v>48.85</v>
      </c>
      <c r="ED3" s="8">
        <f>EC3/$D3-1</f>
        <v>0.15430056710775042</v>
      </c>
      <c r="EE3" s="13">
        <f>EC3*$C3</f>
        <v>879.30000000000007</v>
      </c>
      <c r="EF3">
        <f>INDEX('over time prices'!EA:EB,MATCH($A3,'over time prices'!EB:EB,0),1)</f>
        <v>51.18</v>
      </c>
      <c r="EG3" s="8">
        <f>EF3/$D3-1</f>
        <v>0.20935727788279768</v>
      </c>
      <c r="EH3" s="13">
        <f>EF3*$C3</f>
        <v>921.24</v>
      </c>
      <c r="EI3">
        <f>INDEX('over time prices'!ED:EE,MATCH($A3,'over time prices'!EE:EE,0),1)</f>
        <v>51.01</v>
      </c>
      <c r="EJ3" s="8">
        <f>EI3/$D3-1</f>
        <v>0.20534026465028354</v>
      </c>
      <c r="EK3" s="13">
        <f>EI3*$C3</f>
        <v>918.18</v>
      </c>
      <c r="EL3">
        <f>INDEX('over time prices'!EG:EH,MATCH($A3,'over time prices'!EH:EH,0),1)</f>
        <v>51.01</v>
      </c>
      <c r="EM3" s="8">
        <f t="shared" si="1"/>
        <v>0.20534026465028354</v>
      </c>
      <c r="EN3" s="13">
        <f t="shared" si="2"/>
        <v>918.18</v>
      </c>
      <c r="EO3">
        <f>INDEX('over time prices'!EJ:EK,MATCH($A3,'over time prices'!EK:EK,0),1)</f>
        <v>52.47</v>
      </c>
      <c r="EP3" s="8">
        <f t="shared" si="3"/>
        <v>0.23983931947069936</v>
      </c>
      <c r="EQ3" s="13">
        <f t="shared" si="4"/>
        <v>944.46</v>
      </c>
    </row>
    <row r="4" spans="1:147">
      <c r="A4" t="s">
        <v>746</v>
      </c>
      <c r="B4" s="11">
        <v>45840</v>
      </c>
      <c r="C4">
        <v>187</v>
      </c>
      <c r="D4">
        <v>2.75</v>
      </c>
      <c r="E4" s="13">
        <f t="shared" si="0"/>
        <v>514.25</v>
      </c>
      <c r="G4" s="8"/>
      <c r="H4" s="13"/>
      <c r="J4" s="8"/>
      <c r="K4" s="13"/>
      <c r="M4" s="8"/>
      <c r="N4" s="13"/>
      <c r="P4" s="8"/>
      <c r="Q4" s="13"/>
      <c r="S4" s="8"/>
      <c r="T4" s="13"/>
      <c r="V4" s="8"/>
      <c r="W4" s="13"/>
      <c r="Y4" s="8"/>
      <c r="Z4" s="13"/>
      <c r="AB4" s="8"/>
      <c r="AC4" s="13"/>
      <c r="AE4" s="8"/>
      <c r="AF4" s="13"/>
      <c r="AH4" s="8"/>
      <c r="AI4" s="13"/>
      <c r="AK4" s="8"/>
      <c r="AL4" s="13"/>
      <c r="AN4" s="8"/>
      <c r="AO4" s="13"/>
      <c r="AQ4" s="8"/>
      <c r="AR4" s="13"/>
      <c r="AT4" s="8"/>
      <c r="AU4" s="13"/>
      <c r="AW4" s="8"/>
      <c r="AX4" s="13"/>
      <c r="AZ4" s="8"/>
      <c r="BA4" s="13"/>
      <c r="BC4" s="8"/>
      <c r="BD4" s="13"/>
      <c r="BF4" s="8"/>
      <c r="BG4" s="13"/>
      <c r="BI4" s="8"/>
      <c r="BJ4" s="13"/>
      <c r="BL4" s="8"/>
      <c r="BM4" s="13"/>
      <c r="BO4" s="8"/>
      <c r="BP4" s="13"/>
      <c r="BR4" s="8"/>
      <c r="BS4" s="13"/>
      <c r="BU4" s="8"/>
      <c r="BV4" s="13"/>
      <c r="BY4" s="8"/>
      <c r="BZ4" s="13"/>
      <c r="CB4" s="8"/>
      <c r="CC4" s="13"/>
      <c r="CE4" s="8"/>
      <c r="CF4" s="13"/>
      <c r="CH4" s="8"/>
      <c r="CI4" s="13"/>
      <c r="CK4" s="8"/>
      <c r="CL4" s="13"/>
      <c r="CN4" s="8"/>
      <c r="CO4" s="13"/>
      <c r="CQ4" s="8"/>
      <c r="CR4" s="13"/>
      <c r="CT4" s="8"/>
      <c r="CU4" s="13"/>
      <c r="CW4" s="8"/>
      <c r="CX4" s="13"/>
      <c r="CZ4" s="8"/>
      <c r="DA4" s="13"/>
      <c r="DC4" s="8"/>
      <c r="DD4" s="13"/>
      <c r="DF4" s="8"/>
      <c r="DG4" s="13"/>
      <c r="DI4" s="8"/>
      <c r="DJ4" s="13"/>
      <c r="DL4" s="8"/>
      <c r="DM4" s="13"/>
      <c r="DO4" s="8"/>
      <c r="DP4" s="13"/>
      <c r="DR4" s="8"/>
      <c r="DS4" s="13"/>
      <c r="DU4" s="8"/>
      <c r="DV4" s="13"/>
      <c r="DX4" s="8"/>
      <c r="DY4" s="13"/>
      <c r="EA4" s="8"/>
      <c r="EB4" s="13"/>
      <c r="ED4" s="8"/>
      <c r="EE4" s="13"/>
      <c r="EG4" s="8"/>
      <c r="EH4" s="13"/>
      <c r="EJ4" s="8"/>
      <c r="EK4" s="13"/>
      <c r="EL4">
        <f>INDEX('over time prices'!EG:EH,MATCH($A4,'over time prices'!EH:EH,0),1)</f>
        <v>3.2</v>
      </c>
      <c r="EM4" s="8">
        <f t="shared" si="1"/>
        <v>0.1636363636363638</v>
      </c>
      <c r="EN4" s="13">
        <f t="shared" si="2"/>
        <v>598.4</v>
      </c>
      <c r="EO4">
        <f>INDEX('over time prices'!EJ:EK,MATCH($A4,'over time prices'!EK:EK,0),1)</f>
        <v>3.32</v>
      </c>
      <c r="EP4" s="8">
        <f t="shared" si="3"/>
        <v>0.20727272727272728</v>
      </c>
      <c r="EQ4" s="13">
        <f t="shared" si="4"/>
        <v>620.83999999999992</v>
      </c>
    </row>
    <row r="5" spans="1:147">
      <c r="A5" s="45" t="s">
        <v>831</v>
      </c>
      <c r="B5" s="11">
        <v>45644</v>
      </c>
      <c r="C5">
        <v>275</v>
      </c>
      <c r="D5">
        <v>6.11</v>
      </c>
      <c r="E5" s="13">
        <f t="shared" si="0"/>
        <v>1680.25</v>
      </c>
      <c r="F5">
        <f>INDEX('over time prices'!B:C,MATCH($A5,'over time prices'!C:C,0),1)</f>
        <v>7.32</v>
      </c>
      <c r="G5" s="8">
        <f>F5/$D5-1</f>
        <v>0.19803600654664488</v>
      </c>
      <c r="H5" s="13">
        <f>F5*$C5</f>
        <v>2013</v>
      </c>
      <c r="I5">
        <f>INDEX('over time prices'!E:F,MATCH($A5,'over time prices'!F:F,0),1)</f>
        <v>7.34</v>
      </c>
      <c r="J5" s="8">
        <f>I5/$D5-1</f>
        <v>0.20130932896890341</v>
      </c>
      <c r="K5" s="13">
        <f>I5*$C5</f>
        <v>2018.5</v>
      </c>
      <c r="L5">
        <f>INDEX('over time prices'!H:I,MATCH($A5,'over time prices'!I:I,0),1)</f>
        <v>7.35</v>
      </c>
      <c r="M5" s="8">
        <f>L5/$D5-1</f>
        <v>0.20294599018003256</v>
      </c>
      <c r="N5" s="13">
        <f>L5*$C5</f>
        <v>2021.25</v>
      </c>
      <c r="O5">
        <f>INDEX('over time prices'!K:L,MATCH($A5,'over time prices'!L:L,0),1)</f>
        <v>7.3</v>
      </c>
      <c r="P5" s="8">
        <f>O5/$D5-1</f>
        <v>0.19476268412438613</v>
      </c>
      <c r="Q5" s="13">
        <f>O5*$C5</f>
        <v>2007.5</v>
      </c>
      <c r="R5">
        <f>INDEX('over time prices'!N:O,MATCH($A5,'over time prices'!O:O,0),1)</f>
        <v>7.11</v>
      </c>
      <c r="S5" s="8">
        <f>R5/$D5-1</f>
        <v>0.16366612111292955</v>
      </c>
      <c r="T5" s="13">
        <f>R5*$C5</f>
        <v>1955.25</v>
      </c>
      <c r="U5">
        <f>INDEX('over time prices'!Q:R,MATCH($A5,'over time prices'!R:R,0),1)</f>
        <v>7.16</v>
      </c>
      <c r="V5" s="8">
        <f>U5/$D5-1</f>
        <v>0.17184942716857599</v>
      </c>
      <c r="W5" s="13">
        <f>U5*$C5</f>
        <v>1969</v>
      </c>
      <c r="X5">
        <f>INDEX('over time prices'!T:U,MATCH($A5,'over time prices'!U:U,0),1)</f>
        <v>7.14</v>
      </c>
      <c r="Y5" s="8">
        <f>X5/$D5-1</f>
        <v>0.16857610474631746</v>
      </c>
      <c r="Z5" s="13">
        <f>X5*$C5</f>
        <v>1963.5</v>
      </c>
      <c r="AA5">
        <f>INDEX('over time prices'!W:X,MATCH($A5,'over time prices'!X:X,0),1)</f>
        <v>7.48</v>
      </c>
      <c r="AB5" s="8">
        <f>AA5/$D5-1</f>
        <v>0.22422258592471356</v>
      </c>
      <c r="AC5" s="13">
        <f>AA5*$C5</f>
        <v>2057</v>
      </c>
      <c r="AD5">
        <f>INDEX('over time prices'!Z:AA,MATCH($A5,'over time prices'!AA:AA,0),1)</f>
        <v>7.39</v>
      </c>
      <c r="AE5" s="8">
        <f>AD5/$D5-1</f>
        <v>0.20949263502454984</v>
      </c>
      <c r="AF5" s="13">
        <f>AD5*$C5</f>
        <v>2032.25</v>
      </c>
      <c r="AG5">
        <f>INDEX('over time prices'!AC:AD,MATCH($A5,'over time prices'!AD:AD,0),1)</f>
        <v>7.34</v>
      </c>
      <c r="AH5" s="8">
        <f>AG5/$D5-1</f>
        <v>0.20130932896890341</v>
      </c>
      <c r="AI5" s="13">
        <f>AG5*$C5</f>
        <v>2018.5</v>
      </c>
      <c r="AJ5">
        <f>INDEX('over time prices'!AF:AG,MATCH($A5,'over time prices'!AG:AG,0),1)</f>
        <v>7.4</v>
      </c>
      <c r="AK5" s="8">
        <f>AJ5/$D5-1</f>
        <v>0.21112929623567922</v>
      </c>
      <c r="AL5" s="13">
        <f>AJ5*$C5</f>
        <v>2035</v>
      </c>
      <c r="AM5">
        <f>INDEX('over time prices'!AI:AJ,MATCH($A5,'over time prices'!AJ:AJ,0),1)</f>
        <v>7.66</v>
      </c>
      <c r="AN5" s="8">
        <f>AM5/$D5-1</f>
        <v>0.25368248772504098</v>
      </c>
      <c r="AO5" s="13">
        <f>AM5*$C5</f>
        <v>2106.5</v>
      </c>
      <c r="AP5">
        <f>INDEX('over time prices'!AL:AM,MATCH($A5,'over time prices'!AM:AM,0),1)</f>
        <v>7.32</v>
      </c>
      <c r="AQ5" s="8">
        <f>AP5/$D5-1</f>
        <v>0.19803600654664488</v>
      </c>
      <c r="AR5" s="13">
        <f>AP5*$C5</f>
        <v>2013</v>
      </c>
      <c r="AS5">
        <f>INDEX('over time prices'!AO:AP,MATCH($A5,'over time prices'!AP:AP,0),1)</f>
        <v>6.95</v>
      </c>
      <c r="AT5" s="8">
        <f>AS5/$D5-1</f>
        <v>0.13747954173486088</v>
      </c>
      <c r="AU5" s="13">
        <f>AS5*$C5</f>
        <v>1911.25</v>
      </c>
      <c r="AV5">
        <f>INDEX('over time prices'!AR:AS,MATCH($A5,'over time prices'!AS:AS,0),1)</f>
        <v>7.12</v>
      </c>
      <c r="AW5" s="8">
        <f>AV5/$D5-1</f>
        <v>0.16530278232405893</v>
      </c>
      <c r="AX5" s="13">
        <f>AV5*$C5</f>
        <v>1958</v>
      </c>
      <c r="AY5">
        <f>INDEX('over time prices'!AU:AV,MATCH($A5,'over time prices'!AV:AV,0),1)</f>
        <v>7.27</v>
      </c>
      <c r="AZ5" s="8">
        <f>AY5/$D5-1</f>
        <v>0.18985270049099823</v>
      </c>
      <c r="BA5" s="13">
        <f>AY5*$C5</f>
        <v>1999.2499999999998</v>
      </c>
      <c r="BB5">
        <f>INDEX('over time prices'!AX:AY,MATCH($A5,'over time prices'!AY:AY,0),1)</f>
        <v>7.31</v>
      </c>
      <c r="BC5" s="8">
        <f>BB5/$D5-1</f>
        <v>0.19639934533551551</v>
      </c>
      <c r="BD5" s="13">
        <f>BB5*$C5</f>
        <v>2010.25</v>
      </c>
      <c r="BE5">
        <f>INDEX('over time prices'!BA:BB,MATCH($A5,'over time prices'!BB:BB,0),1)</f>
        <v>7.18</v>
      </c>
      <c r="BF5" s="8">
        <f>BE5/$D5-1</f>
        <v>0.17512274959083451</v>
      </c>
      <c r="BG5" s="13">
        <f>BE5*$C5</f>
        <v>1974.5</v>
      </c>
      <c r="BH5">
        <f>INDEX('over time prices'!BD:BE,MATCH($A5,'over time prices'!BE:BE,0),1)</f>
        <v>7.12</v>
      </c>
      <c r="BI5" s="8">
        <f>BH5/$D5-1</f>
        <v>0.16530278232405893</v>
      </c>
      <c r="BJ5" s="13">
        <f>BH5*$C5</f>
        <v>1958</v>
      </c>
      <c r="BK5">
        <f>INDEX('over time prices'!BG:BH,MATCH($A5,'over time prices'!BH:BH,0),1)</f>
        <v>7.12</v>
      </c>
      <c r="BL5" s="8">
        <f>BK5/$D5-1</f>
        <v>0.16530278232405893</v>
      </c>
      <c r="BM5" s="13">
        <f>BK5*$C5</f>
        <v>1958</v>
      </c>
      <c r="BN5">
        <f>INDEX('over time prices'!BJ:BK,MATCH($A5,'over time prices'!BK:BK,0),1)</f>
        <v>7.18</v>
      </c>
      <c r="BO5" s="8">
        <f>BN5/$D5-1</f>
        <v>0.17512274959083451</v>
      </c>
      <c r="BP5" s="13">
        <f>BN5*$C5</f>
        <v>1974.5</v>
      </c>
      <c r="BQ5">
        <f>INDEX('over time prices'!BM:BN,MATCH($A5,'over time prices'!BN:BN,0),1)</f>
        <v>6.96</v>
      </c>
      <c r="BR5" s="8">
        <f>BQ5/$D5-1</f>
        <v>0.13911620294599003</v>
      </c>
      <c r="BS5" s="13">
        <f>BQ5*$C5</f>
        <v>1914</v>
      </c>
      <c r="BT5">
        <f>INDEX('over time prices'!BP:BQ,MATCH($A5,'over time prices'!BQ:BQ,0),1)</f>
        <v>6.78</v>
      </c>
      <c r="BU5" s="8">
        <f>BT5/$D5-1</f>
        <v>0.10965630114566283</v>
      </c>
      <c r="BV5" s="13">
        <f>BT5*$C5</f>
        <v>1864.5</v>
      </c>
      <c r="BX5">
        <f>INDEX('over time prices'!BS:BT,MATCH($A5,'over time prices'!BT:BT,0),1)</f>
        <v>6.82</v>
      </c>
      <c r="BY5" s="8">
        <f>BX5/$D5-1</f>
        <v>0.11620294599018011</v>
      </c>
      <c r="BZ5" s="13">
        <f>BX5*$C5</f>
        <v>1875.5</v>
      </c>
      <c r="CA5">
        <f>INDEX('over time prices'!BV:BW,MATCH($A5,'over time prices'!BW:BW,0),1)</f>
        <v>6.86</v>
      </c>
      <c r="CB5" s="8">
        <f>CA5/$D5-1</f>
        <v>0.12274959083469716</v>
      </c>
      <c r="CC5" s="13">
        <f>CA5*$C5</f>
        <v>1886.5</v>
      </c>
      <c r="CD5">
        <f>INDEX('over time prices'!BY:BZ,MATCH($A5,'over time prices'!BZ:BZ,0),1)</f>
        <v>6.81</v>
      </c>
      <c r="CE5" s="8">
        <f>CD5/$D5-1</f>
        <v>0.11456628477905051</v>
      </c>
      <c r="CF5" s="13">
        <f>CD5*$C5</f>
        <v>1872.75</v>
      </c>
      <c r="CG5">
        <f>INDEX('over time prices'!CB:CC,MATCH($A5,'over time prices'!CC:CC,0),1)</f>
        <v>7.01</v>
      </c>
      <c r="CH5" s="8">
        <f>CG5/$D5-1</f>
        <v>0.14729950900163646</v>
      </c>
      <c r="CI5" s="13">
        <f>CG5*$C5</f>
        <v>1927.75</v>
      </c>
      <c r="CJ5">
        <f>INDEX('over time prices'!CE:CF,MATCH($A5,'over time prices'!CF:CF,0),1)</f>
        <v>6.9</v>
      </c>
      <c r="CK5" s="8">
        <f>CJ5/$D5-1</f>
        <v>0.12929623567921444</v>
      </c>
      <c r="CL5" s="13">
        <f>CJ5*$C5</f>
        <v>1897.5</v>
      </c>
      <c r="CM5">
        <f>INDEX('over time prices'!CH:CI,MATCH($A5,'over time prices'!CI:CI,0),1)</f>
        <v>6.85</v>
      </c>
      <c r="CN5" s="8">
        <f>CM5/$D5-1</f>
        <v>0.12111292962356779</v>
      </c>
      <c r="CO5" s="13">
        <f>CM5*$C5</f>
        <v>1883.75</v>
      </c>
      <c r="CP5">
        <f>INDEX('over time prices'!CK:CL,MATCH($A5,'over time prices'!CL:CL,0),1)</f>
        <v>6.9</v>
      </c>
      <c r="CQ5" s="8">
        <f>CP5/$D5-1</f>
        <v>0.12929623567921444</v>
      </c>
      <c r="CR5" s="13">
        <f>CP5*$C5</f>
        <v>1897.5</v>
      </c>
      <c r="CS5">
        <f>INDEX('over time prices'!CN:CO,MATCH($A5,'over time prices'!CO:CO,0),1)</f>
        <v>6.85</v>
      </c>
      <c r="CT5" s="8">
        <f>CS5/$D5-1</f>
        <v>0.12111292962356779</v>
      </c>
      <c r="CU5" s="13">
        <f>CS5*$C5</f>
        <v>1883.75</v>
      </c>
      <c r="CV5">
        <f>INDEX('over time prices'!CQ:CR,MATCH($A5,'over time prices'!CR:CR,0),1)</f>
        <v>6.78</v>
      </c>
      <c r="CW5" s="8">
        <f>CV5/$D5-1</f>
        <v>0.10965630114566283</v>
      </c>
      <c r="CX5" s="13">
        <f>CV5*$C5</f>
        <v>1864.5</v>
      </c>
      <c r="CY5">
        <f>INDEX('over time prices'!CT:CU,MATCH($A5,'over time prices'!CU:CU,0),1)</f>
        <v>6.93</v>
      </c>
      <c r="CZ5" s="8">
        <f>CY5/$D5-1</f>
        <v>0.13420621931260213</v>
      </c>
      <c r="DA5" s="13">
        <f>CY5*$C5</f>
        <v>1905.75</v>
      </c>
      <c r="DB5">
        <f>INDEX('over time prices'!CW:CX,MATCH($A5,'over time prices'!CX:CX,0),1)</f>
        <v>6.88</v>
      </c>
      <c r="DC5" s="8">
        <f>DB5/$D5-1</f>
        <v>0.12602291325695569</v>
      </c>
      <c r="DD5" s="13">
        <f>DB5*$C5</f>
        <v>1892</v>
      </c>
      <c r="DE5">
        <f>INDEX('over time prices'!CZ:DA,MATCH($A5,'over time prices'!DA:DA,0),1)</f>
        <v>7.04</v>
      </c>
      <c r="DF5" s="8">
        <f>DE5/$D5-1</f>
        <v>0.15220949263502459</v>
      </c>
      <c r="DG5" s="13">
        <f>DE5*$C5</f>
        <v>1936</v>
      </c>
      <c r="DH5">
        <f>INDEX('over time prices'!DC:DD,MATCH($A5,'over time prices'!DD:DD,0),1)</f>
        <v>6.95</v>
      </c>
      <c r="DI5" s="8">
        <f>DH5/$D5-1</f>
        <v>0.13747954173486088</v>
      </c>
      <c r="DJ5" s="13">
        <f>DH5*$C5</f>
        <v>1911.25</v>
      </c>
      <c r="DK5">
        <f>INDEX('over time prices'!DF:DG,MATCH($A5,'over time prices'!DG:DG,0),1)</f>
        <v>7.01</v>
      </c>
      <c r="DL5" s="8">
        <f>DK5/$D5-1</f>
        <v>0.14729950900163646</v>
      </c>
      <c r="DM5" s="13">
        <f>DK5*$C5</f>
        <v>1927.75</v>
      </c>
      <c r="DN5">
        <f>INDEX('over time prices'!DI:DJ,MATCH($A5,'over time prices'!DJ:DJ,0),1)</f>
        <v>6.89</v>
      </c>
      <c r="DO5" s="8">
        <f>DN5/$D5-1</f>
        <v>0.12765957446808507</v>
      </c>
      <c r="DP5" s="13">
        <f>DN5*$C5</f>
        <v>1894.75</v>
      </c>
      <c r="DQ5">
        <f>INDEX('over time prices'!DL:DM,MATCH($A5,'over time prices'!DM:DM,0),1)</f>
        <v>6.78</v>
      </c>
      <c r="DR5" s="8">
        <f>DQ5/$D5-1</f>
        <v>0.10965630114566283</v>
      </c>
      <c r="DS5" s="13">
        <f>DQ5*$C5</f>
        <v>1864.5</v>
      </c>
      <c r="DT5">
        <f>INDEX('over time prices'!DO:DP,MATCH($A5,'over time prices'!DP:DP,0),1)</f>
        <v>6.64</v>
      </c>
      <c r="DU5" s="8">
        <f>DT5/$D5-1</f>
        <v>8.6743044189852681E-2</v>
      </c>
      <c r="DV5" s="13">
        <f>DT5*$C5</f>
        <v>1826</v>
      </c>
      <c r="DW5">
        <f>INDEX('over time prices'!DR:DS,MATCH($A5,'over time prices'!DS:DS,0),1)</f>
        <v>7.53</v>
      </c>
      <c r="DX5" s="8">
        <f>DW5/$D5-1</f>
        <v>0.23240589198035999</v>
      </c>
      <c r="DY5" s="13">
        <f>DW5*$C5</f>
        <v>2070.75</v>
      </c>
      <c r="DZ5">
        <f>INDEX('over time prices'!DU:DV,MATCH($A5,'over time prices'!DV:DV,0),1)</f>
        <v>7.08</v>
      </c>
      <c r="EA5" s="8">
        <f>DZ5/$D5-1</f>
        <v>0.15875613747954165</v>
      </c>
      <c r="EB5" s="13">
        <f>DZ5*$C5</f>
        <v>1947</v>
      </c>
      <c r="EC5">
        <f>INDEX('over time prices'!DX:DY,MATCH($A5,'over time prices'!DY:DY,0),1)</f>
        <v>6.96</v>
      </c>
      <c r="ED5" s="8">
        <f>EC5/$D5-1</f>
        <v>0.13911620294599003</v>
      </c>
      <c r="EE5" s="13">
        <f>EC5*$C5</f>
        <v>1914</v>
      </c>
      <c r="EF5">
        <f>INDEX('over time prices'!EA:EB,MATCH($A5,'over time prices'!EB:EB,0),1)</f>
        <v>6.99</v>
      </c>
      <c r="EG5" s="8">
        <f>EF5/$D5-1</f>
        <v>0.14402618657937794</v>
      </c>
      <c r="EH5" s="13">
        <f>EF5*$C5</f>
        <v>1922.25</v>
      </c>
      <c r="EI5">
        <f>INDEX('over time prices'!ED:EE,MATCH($A5,'over time prices'!EE:EE,0),1)</f>
        <v>7.05</v>
      </c>
      <c r="EJ5" s="8">
        <f>EI5/$D5-1</f>
        <v>0.15384615384615374</v>
      </c>
      <c r="EK5" s="13">
        <f>EI5*$C5</f>
        <v>1938.75</v>
      </c>
      <c r="EL5">
        <f>INDEX('over time prices'!EG:EH,MATCH($A5,'over time prices'!EH:EH,0),1)</f>
        <v>7.2</v>
      </c>
      <c r="EM5" s="8">
        <f t="shared" si="1"/>
        <v>0.17839607201309327</v>
      </c>
      <c r="EN5" s="13">
        <f t="shared" si="2"/>
        <v>1980</v>
      </c>
      <c r="EO5">
        <f>INDEX('over time prices'!EJ:EK,MATCH($A5,'over time prices'!EK:EK,0),1)</f>
        <v>7.22</v>
      </c>
      <c r="EP5" s="8">
        <f t="shared" si="3"/>
        <v>0.18166939443535179</v>
      </c>
      <c r="EQ5" s="13">
        <f t="shared" si="4"/>
        <v>1985.5</v>
      </c>
    </row>
    <row r="6" spans="1:147">
      <c r="A6" t="s">
        <v>747</v>
      </c>
      <c r="B6" s="11">
        <v>45705</v>
      </c>
      <c r="C6">
        <v>16</v>
      </c>
      <c r="D6">
        <f>51.81-0.25</f>
        <v>51.56</v>
      </c>
      <c r="E6" s="13">
        <f t="shared" si="0"/>
        <v>824.96</v>
      </c>
      <c r="G6" s="8"/>
      <c r="H6" s="13"/>
      <c r="J6" s="8"/>
      <c r="K6" s="13"/>
      <c r="M6" s="8"/>
      <c r="N6" s="13"/>
      <c r="P6" s="8"/>
      <c r="Q6" s="13"/>
      <c r="S6" s="8"/>
      <c r="T6" s="13"/>
      <c r="V6" s="8"/>
      <c r="W6" s="13"/>
      <c r="Y6" s="8"/>
      <c r="Z6" s="13"/>
      <c r="AB6" s="8"/>
      <c r="AC6" s="13"/>
      <c r="AE6" s="8"/>
      <c r="AF6" s="13"/>
      <c r="AH6" s="8"/>
      <c r="AI6" s="13"/>
      <c r="AK6" s="8"/>
      <c r="AL6" s="13"/>
      <c r="AN6" s="8"/>
      <c r="AO6" s="13"/>
      <c r="AQ6" s="8"/>
      <c r="AR6" s="13"/>
      <c r="AT6" s="8"/>
      <c r="AU6" s="13"/>
      <c r="AW6" s="8"/>
      <c r="AX6" s="13"/>
      <c r="AZ6" s="8"/>
      <c r="BA6" s="13"/>
      <c r="BC6" s="8"/>
      <c r="BD6" s="13"/>
      <c r="BF6" s="8"/>
      <c r="BG6" s="13"/>
      <c r="BI6" s="8"/>
      <c r="BJ6" s="13"/>
      <c r="BL6" s="8"/>
      <c r="BM6" s="13"/>
      <c r="BO6" s="8"/>
      <c r="BP6" s="13"/>
      <c r="BR6" s="8"/>
      <c r="BS6" s="13"/>
      <c r="BU6" s="8"/>
      <c r="BV6" s="13"/>
      <c r="BW6" s="12"/>
      <c r="BX6">
        <f>INDEX('over time prices'!BS:BT,MATCH($A6,'over time prices'!BT:BT,0),1)</f>
        <v>51.79</v>
      </c>
      <c r="BY6" s="8">
        <f>BX6/$D6-1</f>
        <v>4.4608223429014604E-3</v>
      </c>
      <c r="BZ6" s="13">
        <f>BX6*$C6</f>
        <v>828.64</v>
      </c>
      <c r="CA6">
        <f>INDEX('over time prices'!BV:BW,MATCH($A6,'over time prices'!BW:BW,0),1)</f>
        <v>50.77</v>
      </c>
      <c r="CB6" s="8">
        <f>CA6/$D6-1</f>
        <v>-1.5321955003879006E-2</v>
      </c>
      <c r="CC6" s="13">
        <f>CA6*$C6</f>
        <v>812.32</v>
      </c>
      <c r="CD6">
        <f>INDEX('over time prices'!BY:BZ,MATCH($A6,'over time prices'!BZ:BZ,0),1)</f>
        <v>51</v>
      </c>
      <c r="CE6" s="8">
        <f>CD6/$D6-1</f>
        <v>-1.0861132660977546E-2</v>
      </c>
      <c r="CF6" s="13">
        <f>CD6*$C6</f>
        <v>816</v>
      </c>
      <c r="CG6">
        <f>INDEX('over time prices'!CB:CC,MATCH($A6,'over time prices'!CC:CC,0),1)</f>
        <v>51.39</v>
      </c>
      <c r="CH6" s="8">
        <f>CG6/$D6-1</f>
        <v>-3.2971295577968185E-3</v>
      </c>
      <c r="CI6" s="13">
        <f>CG6*$C6</f>
        <v>822.24</v>
      </c>
      <c r="CJ6">
        <f>INDEX('over time prices'!CE:CF,MATCH($A6,'over time prices'!CF:CF,0),1)</f>
        <v>51.89</v>
      </c>
      <c r="CK6" s="8">
        <f>CJ6/$D6-1</f>
        <v>6.4003103180760856E-3</v>
      </c>
      <c r="CL6" s="13">
        <f>CJ6*$C6</f>
        <v>830.24</v>
      </c>
      <c r="CM6">
        <f>INDEX('over time prices'!CH:CI,MATCH($A6,'over time prices'!CI:CI,0),1)</f>
        <v>51.5</v>
      </c>
      <c r="CN6" s="8">
        <f>CM6/$D6-1</f>
        <v>-1.1636927851047529E-3</v>
      </c>
      <c r="CO6" s="13">
        <f>CM6*$C6</f>
        <v>824</v>
      </c>
      <c r="CP6">
        <f>INDEX('over time prices'!CK:CL,MATCH($A6,'over time prices'!CL:CL,0),1)</f>
        <v>51.3</v>
      </c>
      <c r="CQ6" s="8">
        <f>CP6/$D6-1</f>
        <v>-5.0426687354538924E-3</v>
      </c>
      <c r="CR6" s="13">
        <f>CP6*$C6</f>
        <v>820.8</v>
      </c>
      <c r="CS6">
        <f>INDEX('over time prices'!CN:CO,MATCH($A6,'over time prices'!CO:CO,0),1)</f>
        <v>50.76</v>
      </c>
      <c r="CT6" s="8">
        <f>CS6/$D6-1</f>
        <v>-1.5515903801396558E-2</v>
      </c>
      <c r="CU6" s="13">
        <f>CS6*$C6</f>
        <v>812.16</v>
      </c>
      <c r="CV6">
        <f>INDEX('over time prices'!CQ:CR,MATCH($A6,'over time prices'!CR:CR,0),1)</f>
        <v>54</v>
      </c>
      <c r="CW6" s="8">
        <f>CV6/$D6-1</f>
        <v>4.7323506594258991E-2</v>
      </c>
      <c r="CX6" s="13">
        <f>CV6*$C6</f>
        <v>864</v>
      </c>
      <c r="CY6">
        <f>INDEX('over time prices'!CT:CU,MATCH($A6,'over time prices'!CU:CU,0),1)</f>
        <v>53.61</v>
      </c>
      <c r="CZ6" s="8">
        <f>CY6/$D6-1</f>
        <v>3.9759503491078263E-2</v>
      </c>
      <c r="DA6" s="13">
        <f>CY6*$C6</f>
        <v>857.76</v>
      </c>
      <c r="DB6">
        <f>INDEX('over time prices'!CW:CX,MATCH($A6,'over time prices'!CX:CX,0),1)</f>
        <v>52.88</v>
      </c>
      <c r="DC6" s="8">
        <f>DB6/$D6-1</f>
        <v>2.560124127230412E-2</v>
      </c>
      <c r="DD6" s="13">
        <f>DB6*$C6</f>
        <v>846.08</v>
      </c>
      <c r="DE6">
        <f>INDEX('over time prices'!CZ:DA,MATCH($A6,'over time prices'!DA:DA,0),1)</f>
        <v>53.11</v>
      </c>
      <c r="DF6" s="8">
        <f>DE6/$D6-1</f>
        <v>3.0062063615205581E-2</v>
      </c>
      <c r="DG6" s="13">
        <f>DE6*$C6</f>
        <v>849.76</v>
      </c>
      <c r="DH6">
        <f>INDEX('over time prices'!DC:DD,MATCH($A6,'over time prices'!DD:DD,0),1)</f>
        <v>53.53</v>
      </c>
      <c r="DI6" s="8">
        <f>DH6/$D6-1</f>
        <v>3.820791311093874E-2</v>
      </c>
      <c r="DJ6" s="13">
        <f>DH6*$C6</f>
        <v>856.48</v>
      </c>
      <c r="DK6">
        <f>INDEX('over time prices'!DF:DG,MATCH($A6,'over time prices'!DG:DG,0),1)</f>
        <v>54</v>
      </c>
      <c r="DL6" s="8">
        <f>DK6/$D6-1</f>
        <v>4.7323506594258991E-2</v>
      </c>
      <c r="DM6" s="13">
        <f>DK6*$C6</f>
        <v>864</v>
      </c>
      <c r="DN6">
        <f>INDEX('over time prices'!DI:DJ,MATCH($A6,'over time prices'!DJ:DJ,0),1)</f>
        <v>53.09</v>
      </c>
      <c r="DO6" s="8">
        <f>DN6/$D6-1</f>
        <v>2.96741660201707E-2</v>
      </c>
      <c r="DP6" s="13">
        <f>DN6*$C6</f>
        <v>849.44</v>
      </c>
      <c r="DQ6">
        <f>INDEX('over time prices'!DL:DM,MATCH($A6,'over time prices'!DM:DM,0),1)</f>
        <v>49.6</v>
      </c>
      <c r="DR6" s="8">
        <f>DQ6/$D6-1</f>
        <v>-3.80139643134213E-2</v>
      </c>
      <c r="DS6" s="13">
        <f>DQ6*$C6</f>
        <v>793.6</v>
      </c>
      <c r="DT6">
        <f>INDEX('over time prices'!DO:DP,MATCH($A6,'over time prices'!DP:DP,0),1)</f>
        <v>46.9</v>
      </c>
      <c r="DU6" s="8">
        <f>DT6/$D6-1</f>
        <v>-9.0380139643134294E-2</v>
      </c>
      <c r="DV6" s="13">
        <f>DT6*$C6</f>
        <v>750.4</v>
      </c>
      <c r="DW6">
        <f>INDEX('over time prices'!DR:DS,MATCH($A6,'over time prices'!DS:DS,0),1)</f>
        <v>51.93</v>
      </c>
      <c r="DX6" s="8">
        <f>DW6/$D6-1</f>
        <v>7.1761055081458469E-3</v>
      </c>
      <c r="DY6" s="13">
        <f>DW6*$C6</f>
        <v>830.88</v>
      </c>
      <c r="DZ6">
        <f>INDEX('over time prices'!DU:DV,MATCH($A6,'over time prices'!DV:DV,0),1)</f>
        <v>52.99</v>
      </c>
      <c r="EA6" s="8">
        <f>DZ6/$D6-1</f>
        <v>2.7734678044996075E-2</v>
      </c>
      <c r="EB6" s="13">
        <f>DZ6*$C6</f>
        <v>847.84</v>
      </c>
      <c r="EC6">
        <f>INDEX('over time prices'!DX:DY,MATCH($A6,'over time prices'!DY:DY,0),1)</f>
        <v>51</v>
      </c>
      <c r="ED6" s="8">
        <f>EC6/$D6-1</f>
        <v>-1.0861132660977546E-2</v>
      </c>
      <c r="EE6" s="13">
        <f>EC6*$C6</f>
        <v>816</v>
      </c>
      <c r="EF6">
        <f>INDEX('over time prices'!EA:EB,MATCH($A6,'over time prices'!EB:EB,0),1)</f>
        <v>51.13</v>
      </c>
      <c r="EG6" s="8">
        <f>EF6/$D6-1</f>
        <v>-8.3397982932505998E-3</v>
      </c>
      <c r="EH6" s="13">
        <f>EF6*$C6</f>
        <v>818.08</v>
      </c>
      <c r="EI6">
        <f>INDEX('over time prices'!ED:EE,MATCH($A6,'over time prices'!EE:EE,0),1)</f>
        <v>55</v>
      </c>
      <c r="EJ6" s="8">
        <f>EI6/$D6-1</f>
        <v>6.6718386346004577E-2</v>
      </c>
      <c r="EK6" s="13">
        <f>EI6*$C6</f>
        <v>880</v>
      </c>
      <c r="EL6">
        <f>INDEX('over time prices'!EG:EH,MATCH($A6,'over time prices'!EH:EH,0),1)</f>
        <v>55</v>
      </c>
      <c r="EM6" s="8">
        <f t="shared" si="1"/>
        <v>6.6718386346004577E-2</v>
      </c>
      <c r="EN6" s="13">
        <f t="shared" si="2"/>
        <v>880</v>
      </c>
      <c r="EO6">
        <f>INDEX('over time prices'!EJ:EK,MATCH($A6,'over time prices'!EK:EK,0),1)</f>
        <v>56.58</v>
      </c>
      <c r="EP6" s="8">
        <f t="shared" si="3"/>
        <v>9.736229635376259E-2</v>
      </c>
      <c r="EQ6" s="13">
        <f t="shared" si="4"/>
        <v>905.28</v>
      </c>
    </row>
    <row r="7" spans="1:147">
      <c r="A7" s="45" t="s">
        <v>730</v>
      </c>
      <c r="B7" s="11">
        <v>45840</v>
      </c>
      <c r="C7">
        <v>90</v>
      </c>
      <c r="D7">
        <f>14.17-0.5714174238/2-1.142/2</f>
        <v>13.3132912881</v>
      </c>
      <c r="E7" s="13">
        <f t="shared" si="0"/>
        <v>1198.1962159290001</v>
      </c>
      <c r="G7" s="8"/>
      <c r="H7" s="13"/>
      <c r="J7" s="8"/>
      <c r="K7" s="13"/>
      <c r="M7" s="8"/>
      <c r="N7" s="13"/>
      <c r="P7" s="8"/>
      <c r="Q7" s="13"/>
      <c r="S7" s="8"/>
      <c r="T7" s="13"/>
      <c r="V7" s="8"/>
      <c r="W7" s="13"/>
      <c r="Y7" s="8"/>
      <c r="Z7" s="13"/>
      <c r="AB7" s="8"/>
      <c r="AC7" s="13"/>
      <c r="AE7" s="8"/>
      <c r="AF7" s="13"/>
      <c r="AH7" s="8"/>
      <c r="AI7" s="13"/>
      <c r="AK7" s="8"/>
      <c r="AL7" s="13"/>
      <c r="AN7" s="8"/>
      <c r="AO7" s="13"/>
      <c r="AQ7" s="8"/>
      <c r="AR7" s="13"/>
      <c r="AT7" s="8"/>
      <c r="AU7" s="13"/>
      <c r="AW7" s="8"/>
      <c r="AX7" s="13"/>
      <c r="AZ7" s="8"/>
      <c r="BA7" s="13"/>
      <c r="BC7" s="8"/>
      <c r="BD7" s="13"/>
      <c r="BF7" s="8"/>
      <c r="BG7" s="13"/>
      <c r="BI7" s="8"/>
      <c r="BJ7" s="13"/>
      <c r="BL7" s="8"/>
      <c r="BM7" s="13"/>
      <c r="BO7" s="8"/>
      <c r="BP7" s="13"/>
      <c r="BR7" s="8"/>
      <c r="BS7" s="13"/>
      <c r="BU7" s="8"/>
      <c r="BV7" s="13"/>
      <c r="BY7" s="8"/>
      <c r="BZ7" s="13"/>
      <c r="CB7" s="8"/>
      <c r="CC7" s="13"/>
      <c r="CE7" s="8"/>
      <c r="CF7" s="13"/>
      <c r="CH7" s="8"/>
      <c r="CI7" s="13"/>
      <c r="CK7" s="8"/>
      <c r="CL7" s="13"/>
      <c r="CN7" s="8"/>
      <c r="CO7" s="13"/>
      <c r="CQ7" s="8"/>
      <c r="CR7" s="13"/>
      <c r="CT7" s="8"/>
      <c r="CU7" s="13"/>
      <c r="CW7" s="8"/>
      <c r="CX7" s="13"/>
      <c r="CZ7" s="8"/>
      <c r="DA7" s="13"/>
      <c r="DC7" s="8"/>
      <c r="DD7" s="13"/>
      <c r="DF7" s="8"/>
      <c r="DG7" s="13"/>
      <c r="DI7" s="8"/>
      <c r="DJ7" s="13"/>
      <c r="DL7" s="8"/>
      <c r="DM7" s="13"/>
      <c r="DO7" s="8"/>
      <c r="DP7" s="13"/>
      <c r="DR7" s="8"/>
      <c r="DS7" s="13"/>
      <c r="DU7" s="8"/>
      <c r="DV7" s="13"/>
      <c r="DX7" s="8"/>
      <c r="DY7" s="13"/>
      <c r="EA7" s="8"/>
      <c r="EB7" s="13"/>
      <c r="ED7" s="8"/>
      <c r="EE7" s="13"/>
      <c r="EG7" s="8"/>
      <c r="EH7" s="13"/>
      <c r="EJ7" s="8"/>
      <c r="EK7" s="13"/>
      <c r="EL7">
        <f>INDEX('over time prices'!EG:EH,MATCH($A7,'over time prices'!EH:EH,0),1)</f>
        <v>12.81</v>
      </c>
      <c r="EM7" s="8">
        <f t="shared" si="1"/>
        <v>-3.780367132430007E-2</v>
      </c>
      <c r="EN7" s="13">
        <f t="shared" si="2"/>
        <v>1152.9000000000001</v>
      </c>
      <c r="EO7">
        <f>INDEX('over time prices'!EJ:EK,MATCH($A7,'over time prices'!EK:EK,0),1)</f>
        <v>13.69</v>
      </c>
      <c r="EP7" s="8">
        <f t="shared" si="3"/>
        <v>2.8295686149128141E-2</v>
      </c>
      <c r="EQ7" s="13">
        <f t="shared" si="4"/>
        <v>1232.0999999999999</v>
      </c>
    </row>
    <row r="8" spans="1:147">
      <c r="A8" t="s">
        <v>911</v>
      </c>
      <c r="B8" s="11">
        <v>45840</v>
      </c>
      <c r="C8">
        <v>62</v>
      </c>
      <c r="D8">
        <f>(62*53.94-7.5*27)/62</f>
        <v>50.673870967741934</v>
      </c>
      <c r="E8" s="13">
        <f t="shared" si="0"/>
        <v>3141.7799999999997</v>
      </c>
      <c r="G8" s="8"/>
      <c r="H8" s="13"/>
      <c r="J8" s="8"/>
      <c r="K8" s="13"/>
      <c r="M8" s="8"/>
      <c r="N8" s="13"/>
      <c r="P8" s="8"/>
      <c r="Q8" s="13"/>
      <c r="S8" s="8"/>
      <c r="T8" s="13"/>
      <c r="V8" s="8"/>
      <c r="W8" s="13"/>
      <c r="Y8" s="8"/>
      <c r="Z8" s="13"/>
      <c r="AB8" s="8"/>
      <c r="AC8" s="13"/>
      <c r="AE8" s="8"/>
      <c r="AF8" s="13"/>
      <c r="AH8" s="8"/>
      <c r="AI8" s="13"/>
      <c r="AK8" s="8"/>
      <c r="AL8" s="13"/>
      <c r="AN8" s="8"/>
      <c r="AO8" s="13"/>
      <c r="AQ8" s="8"/>
      <c r="AR8" s="13"/>
      <c r="AT8" s="8"/>
      <c r="AU8" s="13"/>
      <c r="AW8" s="8"/>
      <c r="AX8" s="13"/>
      <c r="AZ8" s="8"/>
      <c r="BA8" s="13"/>
      <c r="BC8" s="8"/>
      <c r="BD8" s="13"/>
      <c r="BF8" s="8"/>
      <c r="BG8" s="13"/>
      <c r="BI8" s="8"/>
      <c r="BJ8" s="13"/>
      <c r="BL8" s="8"/>
      <c r="BM8" s="13"/>
      <c r="BO8" s="8"/>
      <c r="BP8" s="13"/>
      <c r="BR8" s="8"/>
      <c r="BS8" s="13"/>
      <c r="BU8" s="8"/>
      <c r="BV8" s="13"/>
      <c r="BY8" s="8"/>
      <c r="BZ8" s="13"/>
      <c r="CB8" s="8"/>
      <c r="CC8" s="13"/>
      <c r="CE8" s="8"/>
      <c r="CF8" s="13"/>
      <c r="CH8" s="8"/>
      <c r="CI8" s="13"/>
      <c r="CK8" s="8"/>
      <c r="CL8" s="13"/>
      <c r="CN8" s="8"/>
      <c r="CO8" s="13"/>
      <c r="CQ8" s="8"/>
      <c r="CR8" s="13"/>
      <c r="CT8" s="8"/>
      <c r="CU8" s="13"/>
      <c r="CW8" s="8"/>
      <c r="CX8" s="13"/>
      <c r="CZ8" s="8"/>
      <c r="DA8" s="13"/>
      <c r="DC8" s="8"/>
      <c r="DD8" s="13"/>
      <c r="DF8" s="8"/>
      <c r="DG8" s="13"/>
      <c r="DI8" s="8"/>
      <c r="DJ8" s="13"/>
      <c r="DL8" s="8"/>
      <c r="DM8" s="13"/>
      <c r="DO8" s="8"/>
      <c r="DP8" s="13"/>
      <c r="DR8" s="8"/>
      <c r="DS8" s="13"/>
      <c r="DU8" s="8"/>
      <c r="DV8" s="13"/>
      <c r="DX8" s="8"/>
      <c r="DY8" s="13"/>
      <c r="EA8" s="8"/>
      <c r="EB8" s="13"/>
      <c r="ED8" s="8"/>
      <c r="EE8" s="13"/>
      <c r="EG8" s="8"/>
      <c r="EH8" s="13"/>
      <c r="EJ8" s="8"/>
      <c r="EK8" s="13"/>
      <c r="EL8">
        <f>INDEX('over time prices'!EG:EH,MATCH($A8,'over time prices'!EH:EH,0),1)</f>
        <v>49</v>
      </c>
      <c r="EM8" s="8">
        <f t="shared" si="1"/>
        <v>-3.3032230137056029E-2</v>
      </c>
      <c r="EN8" s="13">
        <f t="shared" si="2"/>
        <v>3038</v>
      </c>
      <c r="EO8">
        <f>INDEX('over time prices'!EJ:EK,MATCH($A8,'over time prices'!EK:EK,0),1)</f>
        <v>50.25</v>
      </c>
      <c r="EP8" s="8">
        <f t="shared" si="3"/>
        <v>-8.3646849874911E-3</v>
      </c>
      <c r="EQ8" s="13">
        <f t="shared" si="4"/>
        <v>3115.5</v>
      </c>
    </row>
    <row r="9" spans="1:147">
      <c r="A9" t="s">
        <v>761</v>
      </c>
      <c r="B9" s="11">
        <v>45646</v>
      </c>
      <c r="C9">
        <v>190</v>
      </c>
      <c r="D9">
        <f>4.04-0.2</f>
        <v>3.84</v>
      </c>
      <c r="E9" s="13">
        <f t="shared" si="0"/>
        <v>729.6</v>
      </c>
      <c r="G9" s="8"/>
      <c r="J9" s="8"/>
      <c r="L9">
        <f>INDEX('over time prices'!H:I,MATCH($A9,'over time prices'!I:I,0),1)</f>
        <v>3.65</v>
      </c>
      <c r="M9" s="8">
        <f>L9/$D9-1</f>
        <v>-4.947916666666663E-2</v>
      </c>
      <c r="N9" s="13">
        <f>L9*$C9</f>
        <v>693.5</v>
      </c>
      <c r="O9">
        <f>INDEX('over time prices'!K:L,MATCH($A9,'over time prices'!L:L,0),1)</f>
        <v>3.6</v>
      </c>
      <c r="P9" s="8">
        <f>O9/$D9-1</f>
        <v>-6.2499999999999889E-2</v>
      </c>
      <c r="Q9" s="13">
        <f>O9*$C9</f>
        <v>684</v>
      </c>
      <c r="R9">
        <f>INDEX('over time prices'!N:O,MATCH($A9,'over time prices'!O:O,0),1)</f>
        <v>3.41</v>
      </c>
      <c r="S9" s="8">
        <f>R9/$D9-1</f>
        <v>-0.11197916666666663</v>
      </c>
      <c r="T9" s="13">
        <f>R9*$C9</f>
        <v>647.9</v>
      </c>
      <c r="U9">
        <f>INDEX('over time prices'!Q:R,MATCH($A9,'over time prices'!R:R,0),1)</f>
        <v>3.38</v>
      </c>
      <c r="V9" s="8">
        <f>U9/$D9-1</f>
        <v>-0.11979166666666663</v>
      </c>
      <c r="W9" s="13">
        <f>U9*$C9</f>
        <v>642.19999999999993</v>
      </c>
      <c r="X9">
        <f>INDEX('over time prices'!T:U,MATCH($A9,'over time prices'!U:U,0),1)</f>
        <v>3.37</v>
      </c>
      <c r="Y9" s="8">
        <f>X9/$D9-1</f>
        <v>-0.12239583333333326</v>
      </c>
      <c r="Z9" s="13">
        <f>X9*$C9</f>
        <v>640.30000000000007</v>
      </c>
      <c r="AA9">
        <f>INDEX('over time prices'!W:X,MATCH($A9,'over time prices'!X:X,0),1)</f>
        <v>3.21</v>
      </c>
      <c r="AB9" s="8">
        <f>AA9/$D9-1</f>
        <v>-0.1640625</v>
      </c>
      <c r="AC9" s="13">
        <f>AA9*$C9</f>
        <v>609.9</v>
      </c>
      <c r="AD9">
        <f>INDEX('over time prices'!Z:AA,MATCH($A9,'over time prices'!AA:AA,0),1)</f>
        <v>3.32</v>
      </c>
      <c r="AE9" s="8">
        <f>AD9/$D9-1</f>
        <v>-0.13541666666666663</v>
      </c>
      <c r="AF9" s="13">
        <f>AD9*$C9</f>
        <v>630.79999999999995</v>
      </c>
      <c r="AG9">
        <f>INDEX('over time prices'!AC:AD,MATCH($A9,'over time prices'!AD:AD,0),1)</f>
        <v>3.37</v>
      </c>
      <c r="AH9" s="8">
        <f>AG9/$D9-1</f>
        <v>-0.12239583333333326</v>
      </c>
      <c r="AI9" s="13">
        <f>AG9*$C9</f>
        <v>640.30000000000007</v>
      </c>
      <c r="AJ9">
        <f>INDEX('over time prices'!AF:AG,MATCH($A9,'over time prices'!AG:AG,0),1)</f>
        <v>3.36</v>
      </c>
      <c r="AK9" s="8">
        <f>AJ9/$D9-1</f>
        <v>-0.125</v>
      </c>
      <c r="AL9" s="13">
        <f>AJ9*$C9</f>
        <v>638.4</v>
      </c>
      <c r="AM9">
        <f>INDEX('over time prices'!AI:AJ,MATCH($A9,'over time prices'!AJ:AJ,0),1)</f>
        <v>3.32</v>
      </c>
      <c r="AN9" s="8">
        <f>AM9/$D9-1</f>
        <v>-0.13541666666666663</v>
      </c>
      <c r="AO9" s="13">
        <f>AM9*$C9</f>
        <v>630.79999999999995</v>
      </c>
      <c r="AP9">
        <f>INDEX('over time prices'!AL:AM,MATCH($A9,'over time prices'!AM:AM,0),1)</f>
        <v>3.26</v>
      </c>
      <c r="AQ9" s="8">
        <f>AP9/$D9-1</f>
        <v>-0.15104166666666674</v>
      </c>
      <c r="AR9" s="13">
        <f>AP9*$C9</f>
        <v>619.4</v>
      </c>
      <c r="AS9">
        <f>INDEX('over time prices'!AO:AP,MATCH($A9,'over time prices'!AP:AP,0),1)</f>
        <v>3.14</v>
      </c>
      <c r="AT9" s="8">
        <f>AS9/$D9-1</f>
        <v>-0.18229166666666663</v>
      </c>
      <c r="AU9" s="13">
        <f>AS9*$C9</f>
        <v>596.6</v>
      </c>
      <c r="AV9">
        <f>INDEX('over time prices'!AR:AS,MATCH($A9,'over time prices'!AS:AS,0),1)</f>
        <v>3.28</v>
      </c>
      <c r="AW9" s="8">
        <f>AV9/$D9-1</f>
        <v>-0.14583333333333337</v>
      </c>
      <c r="AX9" s="13">
        <f>AV9*$C9</f>
        <v>623.19999999999993</v>
      </c>
      <c r="AY9">
        <f>INDEX('over time prices'!AU:AV,MATCH($A9,'over time prices'!AV:AV,0),1)</f>
        <v>3.32</v>
      </c>
      <c r="AZ9" s="8">
        <f>AY9/$D9-1</f>
        <v>-0.13541666666666663</v>
      </c>
      <c r="BA9" s="13">
        <f>AY9*$C9</f>
        <v>630.79999999999995</v>
      </c>
      <c r="BB9">
        <f>INDEX('over time prices'!AX:AY,MATCH($A9,'over time prices'!AY:AY,0),1)</f>
        <v>3.36</v>
      </c>
      <c r="BC9" s="8">
        <f>BB9/$D9-1</f>
        <v>-0.125</v>
      </c>
      <c r="BD9" s="13">
        <f>BB9*$C9</f>
        <v>638.4</v>
      </c>
      <c r="BE9">
        <f>INDEX('over time prices'!BA:BB,MATCH($A9,'over time prices'!BB:BB,0),1)</f>
        <v>3.38</v>
      </c>
      <c r="BF9" s="8">
        <f>BE9/$D9-1</f>
        <v>-0.11979166666666663</v>
      </c>
      <c r="BG9" s="13">
        <f>BE9*$C9</f>
        <v>642.19999999999993</v>
      </c>
      <c r="BH9">
        <f>INDEX('over time prices'!BD:BE,MATCH($A9,'over time prices'!BE:BE,0),1)</f>
        <v>3.4</v>
      </c>
      <c r="BI9" s="8">
        <f>BH9/$D9-1</f>
        <v>-0.11458333333333337</v>
      </c>
      <c r="BJ9" s="13">
        <f>BH9*$C9</f>
        <v>646</v>
      </c>
      <c r="BK9">
        <f>INDEX('over time prices'!BG:BH,MATCH($A9,'over time prices'!BH:BH,0),1)</f>
        <v>3.34</v>
      </c>
      <c r="BL9" s="8">
        <f>BK9/$D9-1</f>
        <v>-0.13020833333333337</v>
      </c>
      <c r="BM9" s="13">
        <f>BK9*$C9</f>
        <v>634.6</v>
      </c>
      <c r="BN9">
        <f>INDEX('over time prices'!BJ:BK,MATCH($A9,'over time prices'!BK:BK,0),1)</f>
        <v>3.38</v>
      </c>
      <c r="BO9" s="8">
        <f>BN9/$D9-1</f>
        <v>-0.11979166666666663</v>
      </c>
      <c r="BP9" s="13">
        <f>BN9*$C9</f>
        <v>642.19999999999993</v>
      </c>
      <c r="BQ9">
        <f>INDEX('over time prices'!BM:BN,MATCH($A9,'over time prices'!BN:BN,0),1)</f>
        <v>3.26</v>
      </c>
      <c r="BR9" s="8">
        <f>BQ9/$D9-1</f>
        <v>-0.15104166666666674</v>
      </c>
      <c r="BS9" s="13">
        <f>BQ9*$C9</f>
        <v>619.4</v>
      </c>
      <c r="BT9">
        <f>INDEX('over time prices'!BP:BQ,MATCH($A9,'over time prices'!BQ:BQ,0),1)</f>
        <v>3.24</v>
      </c>
      <c r="BU9" s="8">
        <f>BT9/$D9-1</f>
        <v>-0.15624999999999989</v>
      </c>
      <c r="BV9" s="13">
        <f>BT9*$C9</f>
        <v>615.6</v>
      </c>
      <c r="BW9" s="12"/>
      <c r="BX9">
        <f>INDEX('over time prices'!BS:BT,MATCH($A9,'over time prices'!BT:BT,0),1)</f>
        <v>3.39</v>
      </c>
      <c r="BY9" s="8">
        <f>BX9/$D9-1</f>
        <v>-0.11718749999999989</v>
      </c>
      <c r="BZ9" s="13">
        <f>BX9*$C9</f>
        <v>644.1</v>
      </c>
      <c r="CA9">
        <f>INDEX('over time prices'!BV:BW,MATCH($A9,'over time prices'!BW:BW,0),1)</f>
        <v>3.36</v>
      </c>
      <c r="CB9" s="8">
        <f>CA9/$D9-1</f>
        <v>-0.125</v>
      </c>
      <c r="CC9" s="13">
        <f>CA9*$C9</f>
        <v>638.4</v>
      </c>
      <c r="CD9">
        <f>INDEX('over time prices'!BY:BZ,MATCH($A9,'over time prices'!BZ:BZ,0),1)</f>
        <v>3.36</v>
      </c>
      <c r="CE9" s="8">
        <f>CD9/$D9-1</f>
        <v>-0.125</v>
      </c>
      <c r="CF9" s="13">
        <f>CD9*$C9</f>
        <v>638.4</v>
      </c>
      <c r="CG9">
        <f>INDEX('over time prices'!CB:CC,MATCH($A9,'over time prices'!CC:CC,0),1)</f>
        <v>3.34</v>
      </c>
      <c r="CH9" s="8">
        <f>CG9/$D9-1</f>
        <v>-0.13020833333333337</v>
      </c>
      <c r="CI9" s="13">
        <f>CG9*$C9</f>
        <v>634.6</v>
      </c>
      <c r="CJ9">
        <f>INDEX('over time prices'!CE:CF,MATCH($A9,'over time prices'!CF:CF,0),1)</f>
        <v>3.35</v>
      </c>
      <c r="CK9" s="8">
        <f>CJ9/$D9-1</f>
        <v>-0.12760416666666663</v>
      </c>
      <c r="CL9" s="13">
        <f>CJ9*$C9</f>
        <v>636.5</v>
      </c>
      <c r="CM9">
        <f>INDEX('over time prices'!CH:CI,MATCH($A9,'over time prices'!CI:CI,0),1)</f>
        <v>3.36</v>
      </c>
      <c r="CN9" s="8">
        <f>CM9/$D9-1</f>
        <v>-0.125</v>
      </c>
      <c r="CO9" s="13">
        <f>CM9*$C9</f>
        <v>638.4</v>
      </c>
      <c r="CP9">
        <f>INDEX('over time prices'!CK:CL,MATCH($A9,'over time prices'!CL:CL,0),1)</f>
        <v>3.35</v>
      </c>
      <c r="CQ9" s="8">
        <f>CP9/$D9-1</f>
        <v>-0.12760416666666663</v>
      </c>
      <c r="CR9" s="13">
        <f>CP9*$C9</f>
        <v>636.5</v>
      </c>
      <c r="CS9">
        <f>INDEX('over time prices'!CN:CO,MATCH($A9,'over time prices'!CO:CO,0),1)</f>
        <v>3.31</v>
      </c>
      <c r="CT9" s="8">
        <f>CS9/$D9-1</f>
        <v>-0.13802083333333326</v>
      </c>
      <c r="CU9" s="13">
        <f>CS9*$C9</f>
        <v>628.9</v>
      </c>
      <c r="CV9">
        <f>INDEX('over time prices'!CQ:CR,MATCH($A9,'over time prices'!CR:CR,0),1)</f>
        <v>3.31</v>
      </c>
      <c r="CW9" s="8">
        <f>CV9/$D9-1</f>
        <v>-0.13802083333333326</v>
      </c>
      <c r="CX9" s="13">
        <f>CV9*$C9</f>
        <v>628.9</v>
      </c>
      <c r="CY9">
        <f>INDEX('over time prices'!CT:CU,MATCH($A9,'over time prices'!CU:CU,0),1)</f>
        <v>3.34</v>
      </c>
      <c r="CZ9" s="8">
        <f>CY9/$D9-1</f>
        <v>-0.13020833333333337</v>
      </c>
      <c r="DA9" s="13">
        <f>CY9*$C9</f>
        <v>634.6</v>
      </c>
      <c r="DB9">
        <f>INDEX('over time prices'!CW:CX,MATCH($A9,'over time prices'!CX:CX,0),1)</f>
        <v>3.27</v>
      </c>
      <c r="DC9" s="8">
        <f>DB9/$D9-1</f>
        <v>-0.1484375</v>
      </c>
      <c r="DD9" s="13">
        <f>DB9*$C9</f>
        <v>621.29999999999995</v>
      </c>
      <c r="DE9">
        <f>INDEX('over time prices'!CZ:DA,MATCH($A9,'over time prices'!DA:DA,0),1)</f>
        <v>3.28</v>
      </c>
      <c r="DF9" s="8">
        <f>DE9/$D9-1</f>
        <v>-0.14583333333333337</v>
      </c>
      <c r="DG9" s="13">
        <f>DE9*$C9</f>
        <v>623.19999999999993</v>
      </c>
      <c r="DH9">
        <f>INDEX('over time prices'!DC:DD,MATCH($A9,'over time prices'!DD:DD,0),1)</f>
        <v>3.3</v>
      </c>
      <c r="DI9" s="8">
        <f>DH9/$D9-1</f>
        <v>-0.140625</v>
      </c>
      <c r="DJ9" s="13">
        <f>DH9*$C9</f>
        <v>627</v>
      </c>
      <c r="DK9">
        <f>INDEX('over time prices'!DF:DG,MATCH($A9,'over time prices'!DG:DG,0),1)</f>
        <v>3.3</v>
      </c>
      <c r="DL9" s="8">
        <f>DK9/$D9-1</f>
        <v>-0.140625</v>
      </c>
      <c r="DM9" s="13">
        <f>DK9*$C9</f>
        <v>627</v>
      </c>
      <c r="DN9">
        <f>INDEX('over time prices'!DI:DJ,MATCH($A9,'over time prices'!DJ:DJ,0),1)</f>
        <v>3.44</v>
      </c>
      <c r="DO9" s="8">
        <f>DN9/$D9-1</f>
        <v>-0.10416666666666663</v>
      </c>
      <c r="DP9" s="13">
        <f>DN9*$C9</f>
        <v>653.6</v>
      </c>
      <c r="DQ9">
        <f>INDEX('over time prices'!DL:DM,MATCH($A9,'over time prices'!DM:DM,0),1)</f>
        <v>3.22</v>
      </c>
      <c r="DR9" s="8">
        <f>DQ9/$D9-1</f>
        <v>-0.16145833333333326</v>
      </c>
      <c r="DS9" s="13">
        <f>DQ9*$C9</f>
        <v>611.80000000000007</v>
      </c>
      <c r="DT9">
        <f>INDEX('over time prices'!DO:DP,MATCH($A9,'over time prices'!DP:DP,0),1)</f>
        <v>3.55</v>
      </c>
      <c r="DU9" s="8">
        <f>DT9/$D9-1</f>
        <v>-7.552083333333337E-2</v>
      </c>
      <c r="DV9" s="13">
        <f>DT9*$C9</f>
        <v>674.5</v>
      </c>
      <c r="DW9">
        <f>INDEX('over time prices'!DR:DS,MATCH($A9,'over time prices'!DS:DS,0),1)</f>
        <v>3.65</v>
      </c>
      <c r="DX9" s="8">
        <f>DW9/$D9-1</f>
        <v>-4.947916666666663E-2</v>
      </c>
      <c r="DY9" s="13">
        <f>DW9*$C9</f>
        <v>693.5</v>
      </c>
      <c r="DZ9">
        <f>INDEX('over time prices'!DU:DV,MATCH($A9,'over time prices'!DV:DV,0),1)</f>
        <v>3.51</v>
      </c>
      <c r="EA9" s="8">
        <f>DZ9/$D9-1</f>
        <v>-8.59375E-2</v>
      </c>
      <c r="EB9" s="13">
        <f>DZ9*$C9</f>
        <v>666.9</v>
      </c>
      <c r="EC9">
        <f>INDEX('over time prices'!DX:DY,MATCH($A9,'over time prices'!DY:DY,0),1)</f>
        <v>3.42</v>
      </c>
      <c r="ED9" s="8">
        <f>EC9/$D9-1</f>
        <v>-0.109375</v>
      </c>
      <c r="EE9" s="13">
        <f>EC9*$C9</f>
        <v>649.79999999999995</v>
      </c>
      <c r="EF9">
        <f>INDEX('over time prices'!EA:EB,MATCH($A9,'over time prices'!EB:EB,0),1)</f>
        <v>3.63</v>
      </c>
      <c r="EG9" s="8">
        <f>EF9/$D9-1</f>
        <v>-5.46875E-2</v>
      </c>
      <c r="EH9" s="13">
        <f>EF9*$C9</f>
        <v>689.69999999999993</v>
      </c>
      <c r="EI9">
        <f>INDEX('over time prices'!ED:EE,MATCH($A9,'over time prices'!EE:EE,0),1)</f>
        <v>3.61</v>
      </c>
      <c r="EJ9" s="8">
        <f>EI9/$D9-1</f>
        <v>-5.989583333333337E-2</v>
      </c>
      <c r="EK9" s="13">
        <f>EI9*$C9</f>
        <v>685.9</v>
      </c>
      <c r="EL9">
        <f>INDEX('over time prices'!EG:EH,MATCH($A9,'over time prices'!EH:EH,0),1)</f>
        <v>3.55</v>
      </c>
      <c r="EM9" s="8">
        <f t="shared" si="1"/>
        <v>-7.552083333333337E-2</v>
      </c>
      <c r="EN9" s="13">
        <f t="shared" si="2"/>
        <v>674.5</v>
      </c>
      <c r="EO9">
        <f>INDEX('over time prices'!EJ:EK,MATCH($A9,'over time prices'!EK:EK,0),1)</f>
        <v>3.76</v>
      </c>
      <c r="EP9" s="8">
        <f t="shared" si="3"/>
        <v>-2.083333333333337E-2</v>
      </c>
      <c r="EQ9" s="13">
        <f t="shared" si="4"/>
        <v>714.4</v>
      </c>
    </row>
    <row r="10" spans="1:147">
      <c r="A10" t="s">
        <v>837</v>
      </c>
      <c r="B10" s="11">
        <v>45750</v>
      </c>
      <c r="C10">
        <v>57</v>
      </c>
      <c r="D10" s="12">
        <f>(57*30.78-24*4)/57</f>
        <v>29.09578947368421</v>
      </c>
      <c r="E10" s="13">
        <f t="shared" si="0"/>
        <v>1658.46</v>
      </c>
      <c r="G10" s="8"/>
      <c r="H10" s="13"/>
      <c r="J10" s="8"/>
      <c r="K10" s="13"/>
      <c r="M10" s="8"/>
      <c r="N10" s="13"/>
      <c r="P10" s="8"/>
      <c r="Q10" s="13"/>
      <c r="S10" s="8"/>
      <c r="T10" s="13"/>
      <c r="V10" s="8"/>
      <c r="W10" s="13"/>
      <c r="Y10" s="8"/>
      <c r="Z10" s="13"/>
      <c r="AB10" s="8"/>
      <c r="AC10" s="13"/>
      <c r="AE10" s="8"/>
      <c r="AF10" s="13"/>
      <c r="AH10" s="8"/>
      <c r="AI10" s="13"/>
      <c r="AK10" s="8"/>
      <c r="AL10" s="13"/>
      <c r="AN10" s="8"/>
      <c r="AO10" s="13"/>
      <c r="AQ10" s="8"/>
      <c r="AR10" s="13"/>
      <c r="AT10" s="8"/>
      <c r="AU10" s="13"/>
      <c r="AW10" s="8"/>
      <c r="AX10" s="13"/>
      <c r="AZ10" s="8"/>
      <c r="BA10" s="13"/>
      <c r="BC10" s="8"/>
      <c r="BD10" s="13"/>
      <c r="BF10" s="8"/>
      <c r="BG10" s="13"/>
      <c r="BI10" s="8"/>
      <c r="BJ10" s="13"/>
      <c r="BL10" s="8"/>
      <c r="BM10" s="13"/>
      <c r="BO10" s="8"/>
      <c r="BP10" s="13"/>
      <c r="BR10" s="8"/>
      <c r="BS10" s="13"/>
      <c r="BU10" s="8"/>
      <c r="BV10" s="13"/>
      <c r="BY10" s="8"/>
      <c r="BZ10" s="13"/>
      <c r="CB10" s="8"/>
      <c r="CC10" s="13"/>
      <c r="CE10" s="8"/>
      <c r="CF10" s="13"/>
      <c r="CH10" s="8"/>
      <c r="CI10" s="13"/>
      <c r="CK10" s="8"/>
      <c r="CL10" s="13"/>
      <c r="CN10" s="8"/>
      <c r="CO10" s="13"/>
      <c r="CQ10" s="8"/>
      <c r="CR10" s="13"/>
      <c r="CT10" s="8"/>
      <c r="CU10" s="13"/>
      <c r="CW10" s="8"/>
      <c r="CX10" s="13"/>
      <c r="CZ10" s="8"/>
      <c r="DA10" s="13"/>
      <c r="DC10" s="8"/>
      <c r="DD10" s="13"/>
      <c r="DF10" s="8"/>
      <c r="DG10" s="13"/>
      <c r="DI10" s="8"/>
      <c r="DJ10" s="13"/>
      <c r="DL10" s="8"/>
      <c r="DM10" s="13"/>
      <c r="DO10" s="8"/>
      <c r="DP10" s="13"/>
      <c r="DQ10">
        <f>INDEX('over time prices'!DL:DM,MATCH($A10,'over time prices'!DM:DM,0),1)</f>
        <v>26.25</v>
      </c>
      <c r="DR10" s="8">
        <f>DQ10/$D10-1</f>
        <v>-9.7807604645273272E-2</v>
      </c>
      <c r="DS10" s="13">
        <f>DQ10*$C10</f>
        <v>1496.25</v>
      </c>
      <c r="DT10">
        <f>INDEX('over time prices'!DO:DP,MATCH($A10,'over time prices'!DP:DP,0),1)</f>
        <v>26.12</v>
      </c>
      <c r="DU10" s="8">
        <f>DT10/$D10-1</f>
        <v>-0.10227560507941091</v>
      </c>
      <c r="DV10" s="13">
        <f>DT10*$C10</f>
        <v>1488.8400000000001</v>
      </c>
      <c r="DW10">
        <f>INDEX('over time prices'!DR:DS,MATCH($A10,'over time prices'!DS:DS,0),1)</f>
        <v>27.86</v>
      </c>
      <c r="DX10" s="8">
        <f>DW10/$D10-1</f>
        <v>-4.2473137730183463E-2</v>
      </c>
      <c r="DY10" s="13">
        <f>DW10*$C10</f>
        <v>1588.02</v>
      </c>
      <c r="DZ10">
        <f>INDEX('over time prices'!DU:DV,MATCH($A10,'over time prices'!DV:DV,0),1)</f>
        <v>27.59</v>
      </c>
      <c r="EA10" s="8">
        <f>DZ10/$D10-1</f>
        <v>-5.1752830939546302E-2</v>
      </c>
      <c r="EB10" s="13">
        <f>DZ10*$C10</f>
        <v>1572.6299999999999</v>
      </c>
      <c r="EC10">
        <f>INDEX('over time prices'!DX:DY,MATCH($A10,'over time prices'!DY:DY,0),1)</f>
        <v>26.85</v>
      </c>
      <c r="ED10" s="8">
        <f>EC10/$D10-1</f>
        <v>-7.7186064180022385E-2</v>
      </c>
      <c r="EE10" s="13">
        <f>EC10*$C10</f>
        <v>1530.45</v>
      </c>
      <c r="EF10">
        <f>INDEX('over time prices'!EA:EB,MATCH($A10,'over time prices'!EB:EB,0),1)</f>
        <v>26.66</v>
      </c>
      <c r="EG10" s="8">
        <f>EF10/$D10-1</f>
        <v>-8.3716218660685238E-2</v>
      </c>
      <c r="EH10" s="13">
        <f>EF10*$C10</f>
        <v>1519.6200000000001</v>
      </c>
      <c r="EI10">
        <f>INDEX('over time prices'!ED:EE,MATCH($A10,'over time prices'!EE:EE,0),1)</f>
        <v>26.41</v>
      </c>
      <c r="EJ10" s="8">
        <f>EI10/$D10-1</f>
        <v>-9.230852718787308E-2</v>
      </c>
      <c r="EK10" s="13">
        <f>EI10*$C10</f>
        <v>1505.3700000000001</v>
      </c>
      <c r="EL10">
        <f>INDEX('over time prices'!EG:EH,MATCH($A10,'over time prices'!EH:EH,0),1)</f>
        <v>27.08</v>
      </c>
      <c r="EM10" s="8">
        <f t="shared" si="1"/>
        <v>-6.928114033500965E-2</v>
      </c>
      <c r="EN10" s="13">
        <f t="shared" si="2"/>
        <v>1543.56</v>
      </c>
      <c r="EO10">
        <f>INDEX('over time prices'!EJ:EK,MATCH($A10,'over time prices'!EK:EK,0),1)</f>
        <v>28.03</v>
      </c>
      <c r="EP10" s="8">
        <f t="shared" si="3"/>
        <v>-3.6630367931695607E-2</v>
      </c>
      <c r="EQ10" s="13">
        <f t="shared" si="4"/>
        <v>1597.71</v>
      </c>
    </row>
    <row r="11" spans="1:147">
      <c r="A11" t="s">
        <v>729</v>
      </c>
      <c r="B11" s="11">
        <v>45739</v>
      </c>
      <c r="C11">
        <v>54</v>
      </c>
      <c r="D11">
        <f>29.74-0.035*50</f>
        <v>27.99</v>
      </c>
      <c r="E11" s="13">
        <f t="shared" si="0"/>
        <v>1511.4599999999998</v>
      </c>
      <c r="G11" s="8"/>
      <c r="H11" s="13"/>
      <c r="J11" s="8"/>
      <c r="K11" s="13"/>
      <c r="M11" s="8"/>
      <c r="N11" s="13"/>
      <c r="P11" s="8"/>
      <c r="Q11" s="13"/>
      <c r="S11" s="8"/>
      <c r="T11" s="13"/>
      <c r="V11" s="8"/>
      <c r="W11" s="13"/>
      <c r="Y11" s="8"/>
      <c r="Z11" s="13"/>
      <c r="AB11" s="8"/>
      <c r="AC11" s="13"/>
      <c r="AE11" s="8"/>
      <c r="AF11" s="13"/>
      <c r="AH11" s="8"/>
      <c r="AI11" s="13"/>
      <c r="AK11" s="8"/>
      <c r="AL11" s="13"/>
      <c r="AN11" s="8"/>
      <c r="AO11" s="13"/>
      <c r="AQ11" s="8"/>
      <c r="AR11" s="13"/>
      <c r="AT11" s="8"/>
      <c r="AU11" s="13"/>
      <c r="AW11" s="8"/>
      <c r="AX11" s="13"/>
      <c r="AZ11" s="8"/>
      <c r="BA11" s="13"/>
      <c r="BC11" s="8"/>
      <c r="BD11" s="13"/>
      <c r="BF11" s="8"/>
      <c r="BG11" s="13"/>
      <c r="BI11" s="8"/>
      <c r="BJ11" s="13"/>
      <c r="BL11" s="8"/>
      <c r="BM11" s="13"/>
      <c r="BO11" s="8"/>
      <c r="BP11" s="13"/>
      <c r="BR11" s="8"/>
      <c r="BS11" s="13"/>
      <c r="BU11" s="8"/>
      <c r="BV11" s="13"/>
      <c r="BY11" s="8"/>
      <c r="BZ11" s="13"/>
      <c r="CB11" s="8"/>
      <c r="CC11" s="13"/>
      <c r="CE11" s="8"/>
      <c r="CF11" s="13"/>
      <c r="CH11" s="8"/>
      <c r="CI11" s="13"/>
      <c r="CK11" s="8"/>
      <c r="CL11" s="13"/>
      <c r="CN11" s="8"/>
      <c r="CO11" s="13"/>
      <c r="CQ11" s="8"/>
      <c r="CR11" s="13"/>
      <c r="CT11" s="8"/>
      <c r="CU11" s="13"/>
      <c r="CW11" s="8"/>
      <c r="CX11" s="13"/>
      <c r="CZ11" s="8"/>
      <c r="DA11" s="13"/>
      <c r="DC11" s="8"/>
      <c r="DD11" s="13"/>
      <c r="DF11" s="8"/>
      <c r="DG11" s="13"/>
      <c r="DI11" s="8"/>
      <c r="DJ11" s="13"/>
      <c r="DL11" s="8"/>
      <c r="DM11" s="13"/>
      <c r="DN11">
        <f>INDEX('over time prices'!DI:DJ,MATCH($A11,'over time prices'!DJ:DJ,0),1)</f>
        <v>28.96</v>
      </c>
      <c r="DO11" s="8">
        <f>DN11/$D11-1</f>
        <v>3.4655234012147318E-2</v>
      </c>
      <c r="DP11" s="13">
        <f>DN11*$C11</f>
        <v>1563.8400000000001</v>
      </c>
      <c r="DQ11">
        <f>INDEX('over time prices'!DL:DM,MATCH($A11,'over time prices'!DM:DM,0),1)</f>
        <v>28.25</v>
      </c>
      <c r="DR11" s="8">
        <f>DQ11/$D11-1</f>
        <v>9.2890317970704128E-3</v>
      </c>
      <c r="DS11" s="13">
        <f>DQ11*$C11</f>
        <v>1525.5</v>
      </c>
      <c r="DT11">
        <f>INDEX('over time prices'!DO:DP,MATCH($A11,'over time prices'!DP:DP,0),1)</f>
        <v>27.61</v>
      </c>
      <c r="DU11" s="8">
        <f>DT11/$D11-1</f>
        <v>-1.3576277241872048E-2</v>
      </c>
      <c r="DV11" s="13">
        <f>DT11*$C11</f>
        <v>1490.94</v>
      </c>
      <c r="DW11">
        <f>INDEX('over time prices'!DR:DS,MATCH($A11,'over time prices'!DS:DS,0),1)</f>
        <v>27.7</v>
      </c>
      <c r="DX11" s="8">
        <f>DW11/$D11-1</f>
        <v>-1.0360843158270794E-2</v>
      </c>
      <c r="DY11" s="13">
        <f>DW11*$C11</f>
        <v>1495.8</v>
      </c>
      <c r="DZ11">
        <f>INDEX('over time prices'!DU:DV,MATCH($A11,'over time prices'!DV:DV,0),1)</f>
        <v>26.87</v>
      </c>
      <c r="EA11" s="8">
        <f>DZ11/$D11-1</f>
        <v>-4.0014290818149223E-2</v>
      </c>
      <c r="EB11" s="13">
        <f>DZ11*$C11</f>
        <v>1450.98</v>
      </c>
      <c r="EC11">
        <f>INDEX('over time prices'!DX:DY,MATCH($A11,'over time prices'!DY:DY,0),1)</f>
        <v>25.5</v>
      </c>
      <c r="ED11" s="8">
        <f>EC11/$D11-1</f>
        <v>-8.8960342979635509E-2</v>
      </c>
      <c r="EE11" s="13">
        <f>EC11*$C11</f>
        <v>1377</v>
      </c>
      <c r="EF11">
        <f>INDEX('over time prices'!EA:EB,MATCH($A11,'over time prices'!EB:EB,0),1)</f>
        <v>25.7</v>
      </c>
      <c r="EG11" s="8">
        <f>EF11/$D11-1</f>
        <v>-8.1814933904966081E-2</v>
      </c>
      <c r="EH11" s="13">
        <f>EF11*$C11</f>
        <v>1387.8</v>
      </c>
      <c r="EI11">
        <f>INDEX('over time prices'!ED:EE,MATCH($A11,'over time prices'!EE:EE,0),1)</f>
        <v>25.83</v>
      </c>
      <c r="EJ11" s="8">
        <f>EI11/$D11-1</f>
        <v>-7.7170418006430874E-2</v>
      </c>
      <c r="EK11" s="13">
        <f>EI11*$C11</f>
        <v>1394.82</v>
      </c>
      <c r="EL11">
        <f>INDEX('over time prices'!EG:EH,MATCH($A11,'over time prices'!EH:EH,0),1)</f>
        <v>24.9</v>
      </c>
      <c r="EM11" s="8">
        <f t="shared" si="1"/>
        <v>-0.11039657020364413</v>
      </c>
      <c r="EN11" s="13">
        <f t="shared" si="2"/>
        <v>1344.6</v>
      </c>
      <c r="EO11">
        <f>INDEX('over time prices'!EJ:EK,MATCH($A11,'over time prices'!EK:EK,0),1)</f>
        <v>26.6</v>
      </c>
      <c r="EP11" s="8">
        <f t="shared" si="3"/>
        <v>-4.9660593068953096E-2</v>
      </c>
      <c r="EQ11" s="13">
        <f t="shared" si="4"/>
        <v>1436.4</v>
      </c>
    </row>
    <row r="12" spans="1:147">
      <c r="A12" t="s">
        <v>796</v>
      </c>
      <c r="B12" s="11">
        <v>45700</v>
      </c>
      <c r="C12">
        <v>480</v>
      </c>
      <c r="D12">
        <v>1.69</v>
      </c>
      <c r="E12" s="13">
        <f t="shared" si="0"/>
        <v>811.19999999999993</v>
      </c>
      <c r="G12" s="8"/>
      <c r="H12" s="13"/>
      <c r="J12" s="8"/>
      <c r="K12" s="13"/>
      <c r="M12" s="8"/>
      <c r="N12" s="13"/>
      <c r="P12" s="8"/>
      <c r="Q12" s="13"/>
      <c r="S12" s="8"/>
      <c r="T12" s="13"/>
      <c r="V12" s="8"/>
      <c r="W12" s="13"/>
      <c r="Y12" s="8"/>
      <c r="Z12" s="13"/>
      <c r="AB12" s="8"/>
      <c r="AC12" s="13"/>
      <c r="AE12" s="8"/>
      <c r="AF12" s="13"/>
      <c r="AH12" s="8"/>
      <c r="AI12" s="13"/>
      <c r="AK12" s="8"/>
      <c r="AL12" s="13"/>
      <c r="AN12" s="8"/>
      <c r="AO12" s="13"/>
      <c r="AQ12" s="8"/>
      <c r="AR12" s="13"/>
      <c r="AT12" s="8"/>
      <c r="AU12" s="13"/>
      <c r="AW12" s="8"/>
      <c r="AX12" s="13"/>
      <c r="AZ12" s="8"/>
      <c r="BA12" s="13"/>
      <c r="BC12" s="8"/>
      <c r="BD12" s="13"/>
      <c r="BF12" s="8"/>
      <c r="BG12" s="13"/>
      <c r="BI12" s="8"/>
      <c r="BJ12" s="13"/>
      <c r="BL12" s="8"/>
      <c r="BM12" s="13"/>
      <c r="BO12" s="8"/>
      <c r="BP12" s="13"/>
      <c r="BQ12">
        <f>INDEX('over time prices'!BM:BN,MATCH($A12,'over time prices'!BN:BN,0),1)</f>
        <v>1.67</v>
      </c>
      <c r="BR12" s="8">
        <f>BQ12/$D12-1</f>
        <v>-1.1834319526627279E-2</v>
      </c>
      <c r="BS12" s="13">
        <f>BQ12*$C12</f>
        <v>801.59999999999991</v>
      </c>
      <c r="BT12">
        <f>INDEX('over time prices'!BP:BQ,MATCH($A12,'over time prices'!BQ:BQ,0),1)</f>
        <v>1.63</v>
      </c>
      <c r="BU12" s="8">
        <f>BT12/$D12-1</f>
        <v>-3.5502958579881727E-2</v>
      </c>
      <c r="BV12" s="13">
        <f>BT12*$C12</f>
        <v>782.4</v>
      </c>
      <c r="BX12">
        <f>INDEX('over time prices'!BS:BT,MATCH($A12,'over time prices'!BT:BT,0),1)</f>
        <v>1.64</v>
      </c>
      <c r="BY12" s="8">
        <f>BX12/$D12-1</f>
        <v>-2.9585798816568087E-2</v>
      </c>
      <c r="BZ12" s="13">
        <f>BX12*$C12</f>
        <v>787.19999999999993</v>
      </c>
      <c r="CA12">
        <f>INDEX('over time prices'!BV:BW,MATCH($A12,'over time prices'!BW:BW,0),1)</f>
        <v>1.62</v>
      </c>
      <c r="CB12" s="8">
        <f>CA12/$D12-1</f>
        <v>-4.1420118343195145E-2</v>
      </c>
      <c r="CC12" s="13">
        <f>CA12*$C12</f>
        <v>777.6</v>
      </c>
      <c r="CD12">
        <f>INDEX('over time prices'!BY:BZ,MATCH($A12,'over time prices'!BZ:BZ,0),1)</f>
        <v>1.61</v>
      </c>
      <c r="CE12" s="8">
        <f>CD12/$D12-1</f>
        <v>-4.7337278106508784E-2</v>
      </c>
      <c r="CF12" s="13">
        <f>CD12*$C12</f>
        <v>772.80000000000007</v>
      </c>
      <c r="CG12">
        <f>INDEX('over time prices'!CB:CC,MATCH($A12,'over time prices'!CC:CC,0),1)</f>
        <v>1.6</v>
      </c>
      <c r="CH12" s="8">
        <f>CG12/$D12-1</f>
        <v>-5.3254437869822424E-2</v>
      </c>
      <c r="CI12" s="13">
        <f>CG12*$C12</f>
        <v>768</v>
      </c>
      <c r="CJ12">
        <f>INDEX('over time prices'!CE:CF,MATCH($A12,'over time prices'!CF:CF,0),1)</f>
        <v>1.57</v>
      </c>
      <c r="CK12" s="8">
        <f>CJ12/$D12-1</f>
        <v>-7.1005917159763232E-2</v>
      </c>
      <c r="CL12" s="13">
        <f>CJ12*$C12</f>
        <v>753.6</v>
      </c>
      <c r="CM12">
        <f>INDEX('over time prices'!CH:CI,MATCH($A12,'over time prices'!CI:CI,0),1)</f>
        <v>1.58</v>
      </c>
      <c r="CN12" s="8">
        <f>CM12/$D12-1</f>
        <v>-6.5088757396449592E-2</v>
      </c>
      <c r="CO12" s="13">
        <f>CM12*$C12</f>
        <v>758.40000000000009</v>
      </c>
      <c r="CP12">
        <f>INDEX('over time prices'!CK:CL,MATCH($A12,'over time prices'!CL:CL,0),1)</f>
        <v>1.6</v>
      </c>
      <c r="CQ12" s="8">
        <f>CP12/$D12-1</f>
        <v>-5.3254437869822424E-2</v>
      </c>
      <c r="CR12" s="13">
        <f>CP12*$C12</f>
        <v>768</v>
      </c>
      <c r="CS12">
        <f>INDEX('over time prices'!CN:CO,MATCH($A12,'over time prices'!CO:CO,0),1)</f>
        <v>1.57</v>
      </c>
      <c r="CT12" s="8">
        <f>CS12/$D12-1</f>
        <v>-7.1005917159763232E-2</v>
      </c>
      <c r="CU12" s="13">
        <f>CS12*$C12</f>
        <v>753.6</v>
      </c>
      <c r="CV12">
        <f>INDEX('over time prices'!CQ:CR,MATCH($A12,'over time prices'!CR:CR,0),1)</f>
        <v>1.52</v>
      </c>
      <c r="CW12" s="8">
        <f>CV12/$D12-1</f>
        <v>-0.10059171597633132</v>
      </c>
      <c r="CX12" s="13">
        <f>CV12*$C12</f>
        <v>729.6</v>
      </c>
      <c r="CY12">
        <f>INDEX('over time prices'!CT:CU,MATCH($A12,'over time prices'!CU:CU,0),1)</f>
        <v>1.58</v>
      </c>
      <c r="CZ12" s="8">
        <f>CY12/$D12-1</f>
        <v>-6.5088757396449592E-2</v>
      </c>
      <c r="DA12" s="13">
        <f>CY12*$C12</f>
        <v>758.40000000000009</v>
      </c>
      <c r="DB12">
        <f>INDEX('over time prices'!CW:CX,MATCH($A12,'over time prices'!CX:CX,0),1)</f>
        <v>1.56</v>
      </c>
      <c r="DC12" s="8">
        <f>DB12/$D12-1</f>
        <v>-7.6923076923076872E-2</v>
      </c>
      <c r="DD12" s="13">
        <f>DB12*$C12</f>
        <v>748.80000000000007</v>
      </c>
      <c r="DE12">
        <f>INDEX('over time prices'!CZ:DA,MATCH($A12,'over time prices'!DA:DA,0),1)</f>
        <v>1.55</v>
      </c>
      <c r="DF12" s="8">
        <f>DE12/$D12-1</f>
        <v>-8.2840236686390512E-2</v>
      </c>
      <c r="DG12" s="13">
        <f>DE12*$C12</f>
        <v>744</v>
      </c>
      <c r="DH12">
        <f>INDEX('over time prices'!DC:DD,MATCH($A12,'over time prices'!DD:DD,0),1)</f>
        <v>1.6</v>
      </c>
      <c r="DI12" s="8">
        <f>DH12/$D12-1</f>
        <v>-5.3254437869822424E-2</v>
      </c>
      <c r="DJ12" s="13">
        <f>DH12*$C12</f>
        <v>768</v>
      </c>
      <c r="DK12">
        <f>INDEX('over time prices'!DF:DG,MATCH($A12,'over time prices'!DG:DG,0),1)</f>
        <v>1.57</v>
      </c>
      <c r="DL12" s="8">
        <f>DK12/$D12-1</f>
        <v>-7.1005917159763232E-2</v>
      </c>
      <c r="DM12" s="13">
        <f>DK12*$C12</f>
        <v>753.6</v>
      </c>
      <c r="DN12">
        <f>INDEX('over time prices'!DI:DJ,MATCH($A12,'over time prices'!DJ:DJ,0),1)</f>
        <v>1.55</v>
      </c>
      <c r="DO12" s="8">
        <f>DN12/$D12-1</f>
        <v>-8.2840236686390512E-2</v>
      </c>
      <c r="DP12" s="13">
        <f>DN12*$C12</f>
        <v>744</v>
      </c>
      <c r="DQ12">
        <f>INDEX('over time prices'!DL:DM,MATCH($A12,'over time prices'!DM:DM,0),1)</f>
        <v>1.55</v>
      </c>
      <c r="DR12" s="8">
        <f>DQ12/$D12-1</f>
        <v>-8.2840236686390512E-2</v>
      </c>
      <c r="DS12" s="13">
        <f>DQ12*$C12</f>
        <v>744</v>
      </c>
      <c r="DT12">
        <f>INDEX('over time prices'!DO:DP,MATCH($A12,'over time prices'!DP:DP,0),1)</f>
        <v>1.56</v>
      </c>
      <c r="DU12" s="8">
        <f>DT12/$D12-1</f>
        <v>-7.6923076923076872E-2</v>
      </c>
      <c r="DV12" s="13">
        <f>DT12*$C12</f>
        <v>748.80000000000007</v>
      </c>
      <c r="DW12">
        <f>INDEX('over time prices'!DR:DS,MATCH($A12,'over time prices'!DS:DS,0),1)</f>
        <v>1.67</v>
      </c>
      <c r="DX12" s="8">
        <f>DW12/$D12-1</f>
        <v>-1.1834319526627279E-2</v>
      </c>
      <c r="DY12" s="13">
        <f>DW12*$C12</f>
        <v>801.59999999999991</v>
      </c>
      <c r="DZ12">
        <f>INDEX('over time prices'!DU:DV,MATCH($A12,'over time prices'!DV:DV,0),1)</f>
        <v>1.58</v>
      </c>
      <c r="EA12" s="8">
        <f>DZ12/$D12-1</f>
        <v>-6.5088757396449592E-2</v>
      </c>
      <c r="EB12" s="13">
        <f>DZ12*$C12</f>
        <v>758.40000000000009</v>
      </c>
      <c r="EC12">
        <f>INDEX('over time prices'!DX:DY,MATCH($A12,'over time prices'!DY:DY,0),1)</f>
        <v>1.57</v>
      </c>
      <c r="ED12" s="8">
        <f>EC12/$D12-1</f>
        <v>-7.1005917159763232E-2</v>
      </c>
      <c r="EE12" s="13">
        <f>EC12*$C12</f>
        <v>753.6</v>
      </c>
      <c r="EF12">
        <f>INDEX('over time prices'!EA:EB,MATCH($A12,'over time prices'!EB:EB,0),1)</f>
        <v>1.66</v>
      </c>
      <c r="EG12" s="8">
        <f>EF12/$D12-1</f>
        <v>-1.7751479289940808E-2</v>
      </c>
      <c r="EH12" s="13">
        <f>EF12*$C12</f>
        <v>796.8</v>
      </c>
      <c r="EI12">
        <f>INDEX('over time prices'!ED:EE,MATCH($A12,'over time prices'!EE:EE,0),1)</f>
        <v>1.59</v>
      </c>
      <c r="EJ12" s="8">
        <f>EI12/$D12-1</f>
        <v>-5.9171597633136064E-2</v>
      </c>
      <c r="EK12" s="13">
        <f>EI12*$C12</f>
        <v>763.2</v>
      </c>
      <c r="EL12">
        <f>INDEX('over time prices'!EG:EH,MATCH($A12,'over time prices'!EH:EH,0),1)</f>
        <v>1.48</v>
      </c>
      <c r="EM12" s="8">
        <f t="shared" si="1"/>
        <v>-0.12426035502958577</v>
      </c>
      <c r="EN12" s="13">
        <f t="shared" si="2"/>
        <v>710.4</v>
      </c>
      <c r="EO12">
        <f>INDEX('over time prices'!EJ:EK,MATCH($A12,'over time prices'!EK:EK,0),1)</f>
        <v>1.51</v>
      </c>
      <c r="EP12" s="8">
        <f t="shared" si="3"/>
        <v>-0.10650887573964496</v>
      </c>
      <c r="EQ12" s="13">
        <f t="shared" si="4"/>
        <v>724.8</v>
      </c>
    </row>
    <row r="13" spans="1:147" hidden="1">
      <c r="A13" t="s">
        <v>761</v>
      </c>
      <c r="B13" s="11">
        <v>45644</v>
      </c>
      <c r="C13">
        <v>100</v>
      </c>
      <c r="D13">
        <v>7.63</v>
      </c>
      <c r="E13" s="13">
        <f t="shared" ref="E13:E29" si="5">C13*D13</f>
        <v>763</v>
      </c>
      <c r="F13">
        <f>INDEX('over time prices'!B:C,MATCH($A13,'over time prices'!C:C,0),1)</f>
        <v>7.16</v>
      </c>
      <c r="G13" s="8">
        <f>F13/$D13-1</f>
        <v>-6.1598951507208399E-2</v>
      </c>
      <c r="H13" s="13">
        <f>F13*$C13</f>
        <v>716</v>
      </c>
      <c r="I13">
        <f>INDEX('over time prices'!E:F,MATCH($A13,'over time prices'!F:F,0),1)</f>
        <v>7.12</v>
      </c>
      <c r="J13" s="8">
        <f>I13/$D13-1</f>
        <v>-6.6841415465268672E-2</v>
      </c>
      <c r="K13" s="13">
        <f>I13*$C13</f>
        <v>712</v>
      </c>
      <c r="M13" s="8"/>
      <c r="N13" s="13"/>
      <c r="P13" s="8"/>
      <c r="Q13" s="13"/>
      <c r="S13" s="8"/>
      <c r="T13" s="13"/>
      <c r="V13" s="8"/>
      <c r="W13" s="13"/>
      <c r="Y13" s="8"/>
      <c r="Z13" s="13"/>
      <c r="AB13" s="8"/>
      <c r="AC13" s="13"/>
      <c r="AE13" s="8"/>
      <c r="AF13" s="13"/>
      <c r="AH13" s="8"/>
      <c r="AI13" s="13"/>
      <c r="AK13" s="8"/>
      <c r="AL13" s="13"/>
      <c r="AN13" s="8"/>
      <c r="AO13" s="13"/>
      <c r="AQ13" s="8"/>
      <c r="AR13" s="13"/>
      <c r="AT13" s="8"/>
      <c r="AU13" s="13"/>
      <c r="AW13" s="8"/>
      <c r="AX13" s="13"/>
      <c r="AZ13" s="8"/>
      <c r="BA13" s="13"/>
      <c r="BC13" s="8"/>
      <c r="BD13" s="13"/>
      <c r="BF13" s="8"/>
      <c r="BG13" s="13"/>
      <c r="BI13" s="8"/>
      <c r="BJ13" s="13"/>
      <c r="BL13" s="8"/>
      <c r="BM13" s="13"/>
      <c r="BO13" s="8"/>
      <c r="BP13" s="13"/>
      <c r="BR13" s="8"/>
      <c r="BS13" s="13"/>
      <c r="BU13" s="8"/>
      <c r="BV13" s="13"/>
      <c r="BY13" s="8"/>
      <c r="BZ13" s="13"/>
      <c r="CB13" s="8"/>
      <c r="CC13" s="13"/>
      <c r="CE13" s="8"/>
      <c r="CF13" s="13"/>
      <c r="CH13" s="8"/>
      <c r="CI13" s="13"/>
      <c r="CK13" s="8"/>
      <c r="CL13" s="13"/>
      <c r="CN13" s="8"/>
      <c r="CO13" s="13"/>
      <c r="CQ13" s="8"/>
      <c r="CR13" s="13"/>
      <c r="CT13" s="8"/>
      <c r="CU13" s="13"/>
      <c r="CW13" s="8"/>
      <c r="CX13" s="13"/>
      <c r="CZ13" s="8"/>
      <c r="DA13" s="13"/>
      <c r="DC13" s="8"/>
      <c r="DD13" s="13"/>
      <c r="DF13" s="8"/>
      <c r="DG13" s="13"/>
      <c r="DI13" s="8"/>
      <c r="DJ13" s="13"/>
      <c r="DL13" s="8"/>
      <c r="DM13" s="13"/>
      <c r="DO13" s="8"/>
      <c r="DP13" s="13"/>
      <c r="DR13" s="8"/>
      <c r="DS13" s="13"/>
      <c r="DU13" s="8"/>
      <c r="DV13" s="13"/>
      <c r="DX13" s="8"/>
      <c r="DY13" s="13"/>
      <c r="EA13" s="8"/>
      <c r="EB13" s="13"/>
      <c r="ED13" s="8"/>
      <c r="EE13" s="13"/>
      <c r="EG13" s="8"/>
      <c r="EH13" s="13"/>
      <c r="EJ13" s="8"/>
      <c r="EK13" s="13"/>
      <c r="EM13" s="8"/>
      <c r="EN13" s="13"/>
      <c r="EP13" s="8"/>
      <c r="EQ13" s="13"/>
    </row>
    <row r="14" spans="1:147" hidden="1">
      <c r="A14" t="s">
        <v>741</v>
      </c>
      <c r="B14" s="11">
        <v>45644</v>
      </c>
      <c r="C14">
        <v>1196</v>
      </c>
      <c r="D14">
        <v>2.5099999999999998</v>
      </c>
      <c r="E14" s="13">
        <f t="shared" si="5"/>
        <v>3001.9599999999996</v>
      </c>
      <c r="F14">
        <f>INDEX('over time prices'!B:C,MATCH($A14,'over time prices'!C:C,0),1)</f>
        <v>2.35</v>
      </c>
      <c r="G14" s="8">
        <f>F14/$D14-1</f>
        <v>-6.3745019920318557E-2</v>
      </c>
      <c r="H14" s="13">
        <f>F14*$C14</f>
        <v>2810.6</v>
      </c>
      <c r="I14">
        <f>INDEX('over time prices'!E:F,MATCH($A14,'over time prices'!F:F,0),1)</f>
        <v>2.2999999999999998</v>
      </c>
      <c r="J14" s="8">
        <f>I14/$D14-1</f>
        <v>-8.3665338645418363E-2</v>
      </c>
      <c r="K14" s="13">
        <f>I14*$C14</f>
        <v>2750.7999999999997</v>
      </c>
      <c r="L14">
        <f>INDEX('over time prices'!H:I,MATCH($A14,'over time prices'!I:I,0),1)</f>
        <v>2.2799999999999998</v>
      </c>
      <c r="M14" s="8">
        <f>L14/$D14-1</f>
        <v>-9.1633466135458197E-2</v>
      </c>
      <c r="N14" s="13">
        <f>L14*$C14</f>
        <v>2726.8799999999997</v>
      </c>
      <c r="O14">
        <f>INDEX('over time prices'!K:L,MATCH($A14,'over time prices'!L:L,0),1)</f>
        <v>2.29</v>
      </c>
      <c r="P14" s="8">
        <f>O14/$D14-1</f>
        <v>-8.7649402390438169E-2</v>
      </c>
      <c r="Q14" s="13">
        <f>O14*$C14</f>
        <v>2738.84</v>
      </c>
      <c r="R14">
        <f>INDEX('over time prices'!N:O,MATCH($A14,'over time prices'!O:O,0),1)</f>
        <v>2.19</v>
      </c>
      <c r="S14" s="8">
        <f>R14/$D14-1</f>
        <v>-0.12749003984063745</v>
      </c>
      <c r="T14" s="13">
        <f>R14*$C14</f>
        <v>2619.2399999999998</v>
      </c>
      <c r="U14">
        <f>INDEX('over time prices'!Q:R,MATCH($A14,'over time prices'!R:R,0),1)</f>
        <v>2.23</v>
      </c>
      <c r="V14" s="8">
        <f>U14/$D14-1</f>
        <v>-0.11155378486055767</v>
      </c>
      <c r="W14" s="13">
        <f>U14*$C14</f>
        <v>2667.08</v>
      </c>
      <c r="X14">
        <f>INDEX('over time prices'!T:U,MATCH($A14,'over time prices'!U:U,0),1)</f>
        <v>2.2200000000000002</v>
      </c>
      <c r="Y14" s="8">
        <f>X14/$D14-1</f>
        <v>-0.11553784860557759</v>
      </c>
      <c r="Z14" s="13">
        <f>X14*$C14</f>
        <v>2655.1200000000003</v>
      </c>
      <c r="AA14">
        <f>INDEX('over time prices'!W:X,MATCH($A14,'over time prices'!X:X,0),1)</f>
        <v>2.25</v>
      </c>
      <c r="AB14" s="8">
        <f>AA14/$D14-1</f>
        <v>-0.10358565737051784</v>
      </c>
      <c r="AC14" s="13">
        <f>AA14*$C14</f>
        <v>2691</v>
      </c>
      <c r="AD14">
        <f>INDEX('over time prices'!Z:AA,MATCH($A14,'over time prices'!AA:AA,0),1)</f>
        <v>2.33</v>
      </c>
      <c r="AE14" s="8">
        <f>AD14/$D14-1</f>
        <v>-7.1713147410358502E-2</v>
      </c>
      <c r="AF14" s="13">
        <f>AD14*$C14</f>
        <v>2786.6800000000003</v>
      </c>
      <c r="AG14">
        <f>INDEX('over time prices'!AC:AD,MATCH($A14,'over time prices'!AD:AD,0),1)</f>
        <v>2.39</v>
      </c>
      <c r="AH14" s="8">
        <f>AG14/$D14-1</f>
        <v>-4.780876494023889E-2</v>
      </c>
      <c r="AI14" s="13">
        <f>AG14*$C14</f>
        <v>2858.44</v>
      </c>
      <c r="AJ14">
        <f>INDEX('over time prices'!AF:AG,MATCH($A14,'over time prices'!AG:AG,0),1)</f>
        <v>2.46</v>
      </c>
      <c r="AK14" s="8">
        <f>AJ14/$D14-1</f>
        <v>-1.9920318725099584E-2</v>
      </c>
      <c r="AL14" s="13">
        <f>AJ14*$C14</f>
        <v>2942.16</v>
      </c>
      <c r="AM14">
        <f>INDEX('over time prices'!AI:AJ,MATCH($A14,'over time prices'!AJ:AJ,0),1)</f>
        <v>2.56</v>
      </c>
      <c r="AN14" s="8">
        <f>AM14/$D14-1</f>
        <v>1.9920318725099806E-2</v>
      </c>
      <c r="AO14" s="13">
        <f>AM14*$C14</f>
        <v>3061.76</v>
      </c>
      <c r="AP14">
        <f>INDEX('over time prices'!AL:AM,MATCH($A14,'over time prices'!AM:AM,0),1)</f>
        <v>2.4500000000000002</v>
      </c>
      <c r="AQ14" s="8">
        <f>AP14/$D14-1</f>
        <v>-2.390438247011939E-2</v>
      </c>
      <c r="AR14" s="13">
        <f>AP14*$C14</f>
        <v>2930.2000000000003</v>
      </c>
      <c r="AS14">
        <f>INDEX('over time prices'!AO:AP,MATCH($A14,'over time prices'!AP:AP,0),1)</f>
        <v>2.44</v>
      </c>
      <c r="AT14" s="8">
        <f>AS14/$D14-1</f>
        <v>-2.7888446215139417E-2</v>
      </c>
      <c r="AU14" s="13">
        <f>AS14*$C14</f>
        <v>2918.24</v>
      </c>
      <c r="AV14">
        <f>INDEX('over time prices'!AR:AS,MATCH($A14,'over time prices'!AS:AS,0),1)</f>
        <v>2.5299999999999998</v>
      </c>
      <c r="AW14" s="8">
        <f>AV14/$D14-1</f>
        <v>7.9681274900398336E-3</v>
      </c>
      <c r="AX14" s="13">
        <f>AV14*$C14</f>
        <v>3025.8799999999997</v>
      </c>
      <c r="AY14">
        <f>INDEX('over time prices'!AU:AV,MATCH($A14,'over time prices'!AV:AV,0),1)</f>
        <v>2.66</v>
      </c>
      <c r="AZ14" s="8">
        <f>AY14/$D14-1</f>
        <v>5.9760956175298974E-2</v>
      </c>
      <c r="BA14" s="13">
        <f>AY14*$C14</f>
        <v>3181.36</v>
      </c>
      <c r="BB14">
        <f>INDEX('over time prices'!AX:AY,MATCH($A14,'over time prices'!AY:AY,0),1)</f>
        <v>2.59</v>
      </c>
      <c r="BC14" s="8">
        <f>BB14/$D14-1</f>
        <v>3.1872509960159334E-2</v>
      </c>
      <c r="BD14" s="13">
        <f>BB14*$C14</f>
        <v>3097.64</v>
      </c>
      <c r="BE14">
        <f>INDEX('over time prices'!BA:BB,MATCH($A14,'over time prices'!BB:BB,0),1)</f>
        <v>2.59</v>
      </c>
      <c r="BF14" s="8">
        <f>BE14/$D14-1</f>
        <v>3.1872509960159334E-2</v>
      </c>
      <c r="BG14" s="13">
        <f>BE14*$C14</f>
        <v>3097.64</v>
      </c>
      <c r="BH14">
        <f>INDEX('over time prices'!BD:BE,MATCH($A14,'over time prices'!BE:BE,0),1)</f>
        <v>2.7</v>
      </c>
      <c r="BI14" s="8">
        <f>BH14/$D14-1</f>
        <v>7.5697211155378641E-2</v>
      </c>
      <c r="BJ14" s="13">
        <f>BH14*$C14</f>
        <v>3229.2000000000003</v>
      </c>
      <c r="BK14">
        <f>INDEX('over time prices'!BG:BH,MATCH($A14,'over time prices'!BH:BH,0),1)</f>
        <v>2.65</v>
      </c>
      <c r="BL14" s="8">
        <f>BK14/$D14-1</f>
        <v>5.5776892430278835E-2</v>
      </c>
      <c r="BM14" s="13">
        <f>BK14*$C14</f>
        <v>3169.4</v>
      </c>
      <c r="BN14">
        <f>INDEX('over time prices'!BJ:BK,MATCH($A14,'over time prices'!BK:BK,0),1)</f>
        <v>2.68</v>
      </c>
      <c r="BO14" s="8">
        <f>BN14/$D14-1</f>
        <v>6.7729083665338807E-2</v>
      </c>
      <c r="BP14" s="13">
        <f>BN14*$C14</f>
        <v>3205.28</v>
      </c>
      <c r="BR14" s="8"/>
      <c r="BS14" s="13"/>
      <c r="BU14" s="8"/>
      <c r="BV14" s="13"/>
      <c r="BY14" s="8"/>
      <c r="BZ14" s="13"/>
      <c r="CB14" s="8"/>
      <c r="CC14" s="13"/>
      <c r="CE14" s="8"/>
      <c r="CF14" s="13"/>
      <c r="CH14" s="8"/>
      <c r="CI14" s="13"/>
      <c r="CK14" s="8"/>
      <c r="CL14" s="13"/>
      <c r="CN14" s="8"/>
      <c r="CO14" s="13"/>
      <c r="CQ14" s="8"/>
      <c r="CR14" s="13"/>
      <c r="CT14" s="8"/>
      <c r="CU14" s="13"/>
      <c r="CW14" s="8"/>
      <c r="CX14" s="13"/>
      <c r="CZ14" s="8"/>
      <c r="DA14" s="13"/>
      <c r="DC14" s="8"/>
      <c r="DD14" s="13"/>
      <c r="DF14" s="8"/>
      <c r="DG14" s="13"/>
      <c r="DI14" s="8"/>
      <c r="DJ14" s="13"/>
      <c r="DL14" s="8"/>
      <c r="DM14" s="13"/>
      <c r="DO14" s="8"/>
      <c r="DP14" s="13"/>
      <c r="DR14" s="8"/>
      <c r="DS14" s="13"/>
      <c r="DU14" s="8"/>
      <c r="DV14" s="13"/>
      <c r="DX14" s="8"/>
      <c r="DY14" s="13"/>
      <c r="EA14" s="8"/>
      <c r="EB14" s="13"/>
      <c r="ED14" s="8"/>
      <c r="EE14" s="13"/>
      <c r="EG14" s="8"/>
      <c r="EH14" s="13"/>
      <c r="EJ14" s="8"/>
      <c r="EK14" s="13"/>
      <c r="EM14" s="8"/>
      <c r="EN14" s="13"/>
      <c r="EP14" s="8"/>
      <c r="EQ14" s="13"/>
    </row>
    <row r="15" spans="1:147" hidden="1">
      <c r="A15" t="s">
        <v>784</v>
      </c>
      <c r="B15" s="11">
        <v>45644</v>
      </c>
      <c r="C15">
        <v>43</v>
      </c>
      <c r="D15">
        <v>21.35</v>
      </c>
      <c r="E15" s="13">
        <f t="shared" si="5"/>
        <v>918.05000000000007</v>
      </c>
      <c r="F15">
        <f>INDEX('over time prices'!B:C,MATCH($A15,'over time prices'!C:C,0),1)</f>
        <v>21.22</v>
      </c>
      <c r="G15" s="8">
        <f>F15/$D15-1</f>
        <v>-6.0889929742390381E-3</v>
      </c>
      <c r="H15" s="13">
        <f>F15*$C15</f>
        <v>912.45999999999992</v>
      </c>
      <c r="I15">
        <f>INDEX('over time prices'!E:F,MATCH($A15,'over time prices'!F:F,0),1)</f>
        <v>20.66</v>
      </c>
      <c r="J15" s="8">
        <f>I15/$D15-1</f>
        <v>-3.2318501170960245E-2</v>
      </c>
      <c r="K15" s="13">
        <f>I15*$C15</f>
        <v>888.38</v>
      </c>
      <c r="L15">
        <f>INDEX('over time prices'!H:I,MATCH($A15,'over time prices'!I:I,0),1)</f>
        <v>20.95</v>
      </c>
      <c r="M15" s="8">
        <f>L15/$D15-1</f>
        <v>-1.8735362997658211E-2</v>
      </c>
      <c r="N15" s="13">
        <f>L15*$C15</f>
        <v>900.85</v>
      </c>
      <c r="O15">
        <f>INDEX('over time prices'!K:L,MATCH($A15,'over time prices'!L:L,0),1)</f>
        <v>20.65</v>
      </c>
      <c r="P15" s="8">
        <f>O15/$D15-1</f>
        <v>-3.2786885245901787E-2</v>
      </c>
      <c r="Q15" s="13">
        <f>O15*$C15</f>
        <v>887.94999999999993</v>
      </c>
      <c r="R15">
        <f>INDEX('over time prices'!N:O,MATCH($A15,'over time prices'!O:O,0),1)</f>
        <v>20.11</v>
      </c>
      <c r="S15" s="8">
        <f>R15/$D15-1</f>
        <v>-5.8079625292740134E-2</v>
      </c>
      <c r="T15" s="13">
        <f>R15*$C15</f>
        <v>864.73</v>
      </c>
      <c r="U15">
        <f>INDEX('over time prices'!Q:R,MATCH($A15,'over time prices'!R:R,0),1)</f>
        <v>20.53</v>
      </c>
      <c r="V15" s="8">
        <f>U15/$D15-1</f>
        <v>-3.8407494145199061E-2</v>
      </c>
      <c r="W15" s="13">
        <f>U15*$C15</f>
        <v>882.79000000000008</v>
      </c>
      <c r="X15">
        <f>INDEX('over time prices'!T:U,MATCH($A15,'over time prices'!U:U,0),1)</f>
        <v>20.399999999999999</v>
      </c>
      <c r="Y15" s="8">
        <f>X15/$D15-1</f>
        <v>-4.44964871194381E-2</v>
      </c>
      <c r="Z15" s="13">
        <f>X15*$C15</f>
        <v>877.19999999999993</v>
      </c>
      <c r="AA15">
        <f>INDEX('over time prices'!W:X,MATCH($A15,'over time prices'!X:X,0),1)</f>
        <v>20.7</v>
      </c>
      <c r="AB15" s="8">
        <f>AA15/$D15-1</f>
        <v>-3.0444964871194524E-2</v>
      </c>
      <c r="AC15" s="13">
        <f>AA15*$C15</f>
        <v>890.1</v>
      </c>
      <c r="AD15">
        <f>INDEX('over time prices'!Z:AA,MATCH($A15,'over time prices'!AA:AA,0),1)</f>
        <v>20.93</v>
      </c>
      <c r="AE15" s="8">
        <f>AD15/$D15-1</f>
        <v>-1.9672131147541072E-2</v>
      </c>
      <c r="AF15" s="13">
        <f>AD15*$C15</f>
        <v>899.99</v>
      </c>
      <c r="AG15">
        <f>INDEX('over time prices'!AC:AD,MATCH($A15,'over time prices'!AD:AD,0),1)</f>
        <v>20.63</v>
      </c>
      <c r="AH15" s="8">
        <f>AG15/$D15-1</f>
        <v>-3.3723653395784647E-2</v>
      </c>
      <c r="AI15" s="13">
        <f>AG15*$C15</f>
        <v>887.08999999999992</v>
      </c>
      <c r="AJ15">
        <f>INDEX('over time prices'!AF:AG,MATCH($A15,'over time prices'!AG:AG,0),1)</f>
        <v>20.8</v>
      </c>
      <c r="AK15" s="8">
        <f>AJ15/$D15-1</f>
        <v>-2.5761124121779888E-2</v>
      </c>
      <c r="AL15" s="13">
        <f>AJ15*$C15</f>
        <v>894.4</v>
      </c>
      <c r="AM15">
        <f>INDEX('over time prices'!AI:AJ,MATCH($A15,'over time prices'!AJ:AJ,0),1)</f>
        <v>20.7</v>
      </c>
      <c r="AN15" s="8">
        <f>AM15/$D15-1</f>
        <v>-3.0444964871194524E-2</v>
      </c>
      <c r="AO15" s="13">
        <f>AM15*$C15</f>
        <v>890.1</v>
      </c>
      <c r="AP15">
        <f>INDEX('over time prices'!AL:AM,MATCH($A15,'over time prices'!AM:AM,0),1)</f>
        <v>20.3</v>
      </c>
      <c r="AQ15" s="8">
        <f>AP15/$D15-1</f>
        <v>-4.9180327868852514E-2</v>
      </c>
      <c r="AR15" s="13">
        <f>AP15*$C15</f>
        <v>872.9</v>
      </c>
      <c r="AS15">
        <f>INDEX('over time prices'!AO:AP,MATCH($A15,'over time prices'!AP:AP,0),1)</f>
        <v>19.45</v>
      </c>
      <c r="AT15" s="8">
        <f>AS15/$D15-1</f>
        <v>-8.8992974238875977E-2</v>
      </c>
      <c r="AU15" s="13">
        <f>AS15*$C15</f>
        <v>836.35</v>
      </c>
      <c r="AV15">
        <f>INDEX('over time prices'!AR:AS,MATCH($A15,'over time prices'!AS:AS,0),1)</f>
        <v>20.12</v>
      </c>
      <c r="AW15" s="8">
        <f>AV15/$D15-1</f>
        <v>-5.7611241217798592E-2</v>
      </c>
      <c r="AX15" s="13">
        <f>AV15*$C15</f>
        <v>865.16000000000008</v>
      </c>
      <c r="AY15">
        <f>INDEX('over time prices'!AU:AV,MATCH($A15,'over time prices'!AV:AV,0),1)</f>
        <v>20</v>
      </c>
      <c r="AZ15" s="8">
        <f>AY15/$D15-1</f>
        <v>-6.3231850117096089E-2</v>
      </c>
      <c r="BA15" s="13">
        <f>AY15*$C15</f>
        <v>860</v>
      </c>
      <c r="BB15">
        <f>INDEX('over time prices'!AX:AY,MATCH($A15,'over time prices'!AY:AY,0),1)</f>
        <v>20.45</v>
      </c>
      <c r="BC15" s="8">
        <f>BB15/$D15-1</f>
        <v>-4.2154566744730726E-2</v>
      </c>
      <c r="BD15" s="13">
        <f>BB15*$C15</f>
        <v>879.35</v>
      </c>
      <c r="BE15">
        <f>INDEX('over time prices'!BA:BB,MATCH($A15,'over time prices'!BB:BB,0),1)</f>
        <v>20.52</v>
      </c>
      <c r="BF15" s="8">
        <f>BE15/$D15-1</f>
        <v>-3.8875878220140603E-2</v>
      </c>
      <c r="BG15" s="13">
        <f>BE15*$C15</f>
        <v>882.36</v>
      </c>
      <c r="BH15">
        <f>INDEX('over time prices'!BD:BE,MATCH($A15,'over time prices'!BE:BE,0),1)</f>
        <v>21.7</v>
      </c>
      <c r="BI15" s="8">
        <f>BH15/$D15-1</f>
        <v>1.6393442622950616E-2</v>
      </c>
      <c r="BJ15" s="13">
        <f>BH15*$C15</f>
        <v>933.1</v>
      </c>
      <c r="BK15">
        <f>INDEX('over time prices'!BG:BH,MATCH($A15,'over time prices'!BH:BH,0),1)</f>
        <v>21.65</v>
      </c>
      <c r="BL15" s="8">
        <f>BK15/$D15-1</f>
        <v>1.4051522248243353E-2</v>
      </c>
      <c r="BM15" s="13">
        <f>BK15*$C15</f>
        <v>930.94999999999993</v>
      </c>
      <c r="BN15">
        <f>INDEX('over time prices'!BJ:BK,MATCH($A15,'over time prices'!BK:BK,0),1)</f>
        <v>21.99</v>
      </c>
      <c r="BO15" s="8">
        <f>BN15/$D15-1</f>
        <v>2.9976580796252872E-2</v>
      </c>
      <c r="BP15" s="13">
        <f>BN15*$C15</f>
        <v>945.56999999999994</v>
      </c>
      <c r="BQ15">
        <f>INDEX('over time prices'!BM:BN,MATCH($A15,'over time prices'!BN:BN,0),1)</f>
        <v>21.6</v>
      </c>
      <c r="BR15" s="8">
        <f>BQ15/$D15-1</f>
        <v>1.1709601873536313E-2</v>
      </c>
      <c r="BS15" s="13">
        <f>BQ15*$C15</f>
        <v>928.80000000000007</v>
      </c>
      <c r="BU15" s="8"/>
      <c r="BV15" s="13"/>
      <c r="BY15" s="8"/>
      <c r="BZ15" s="13"/>
      <c r="CB15" s="8"/>
      <c r="CC15" s="13"/>
      <c r="CE15" s="8"/>
      <c r="CF15" s="13"/>
      <c r="CH15" s="8"/>
      <c r="CI15" s="13"/>
      <c r="CK15" s="8"/>
      <c r="CL15" s="13"/>
      <c r="CN15" s="8"/>
      <c r="CO15" s="13"/>
      <c r="CQ15" s="8"/>
      <c r="CR15" s="13"/>
      <c r="CT15" s="8"/>
      <c r="CU15" s="13"/>
      <c r="CW15" s="8"/>
      <c r="CX15" s="13"/>
      <c r="CZ15" s="8"/>
      <c r="DA15" s="13"/>
      <c r="DC15" s="8"/>
      <c r="DD15" s="13"/>
      <c r="DF15" s="8"/>
      <c r="DG15" s="13"/>
      <c r="DI15" s="8"/>
      <c r="DJ15" s="13"/>
      <c r="DL15" s="8"/>
      <c r="DM15" s="13"/>
      <c r="DO15" s="8"/>
      <c r="DP15" s="13"/>
      <c r="DR15" s="8"/>
      <c r="DS15" s="13"/>
      <c r="DU15" s="8"/>
      <c r="DV15" s="13"/>
      <c r="DX15" s="8"/>
      <c r="DY15" s="13"/>
      <c r="EA15" s="8"/>
      <c r="EB15" s="13"/>
      <c r="ED15" s="8"/>
      <c r="EE15" s="13"/>
      <c r="EG15" s="8"/>
      <c r="EH15" s="13"/>
      <c r="EJ15" s="8"/>
      <c r="EK15" s="13"/>
      <c r="EM15" s="8"/>
      <c r="EN15" s="13"/>
      <c r="EP15" s="8"/>
      <c r="EQ15" s="13"/>
    </row>
    <row r="16" spans="1:147" hidden="1">
      <c r="A16" t="s">
        <v>782</v>
      </c>
      <c r="B16" s="11">
        <v>45644</v>
      </c>
      <c r="C16">
        <v>100</v>
      </c>
      <c r="D16" s="12">
        <f>21.7-0.1973658091</f>
        <v>21.5026341909</v>
      </c>
      <c r="E16" s="13">
        <f t="shared" si="5"/>
        <v>2150.2634190899998</v>
      </c>
      <c r="F16">
        <f>INDEX('over time prices'!B:C,MATCH($A16,'over time prices'!C:C,0),1)</f>
        <v>19.670000000000002</v>
      </c>
      <c r="G16" s="8">
        <f>F16/$D16-1</f>
        <v>-8.5228357355192186E-2</v>
      </c>
      <c r="H16" s="13">
        <f>F16*$C16</f>
        <v>1967.0000000000002</v>
      </c>
      <c r="I16">
        <f>INDEX('over time prices'!E:F,MATCH($A16,'over time prices'!F:F,0),1)</f>
        <v>20.399999999999999</v>
      </c>
      <c r="J16" s="8">
        <f>I16/$D16-1</f>
        <v>-5.1279028472085542E-2</v>
      </c>
      <c r="K16" s="13">
        <f>I16*$C16</f>
        <v>2039.9999999999998</v>
      </c>
      <c r="L16">
        <f>INDEX('over time prices'!H:I,MATCH($A16,'over time prices'!I:I,0),1)</f>
        <v>19.98</v>
      </c>
      <c r="M16" s="8">
        <f>L16/$D16-1</f>
        <v>-7.0811519062366046E-2</v>
      </c>
      <c r="N16" s="13">
        <f>L16*$C16</f>
        <v>1998</v>
      </c>
      <c r="O16">
        <f>INDEX('over time prices'!K:L,MATCH($A16,'over time prices'!L:L,0),1)</f>
        <v>19.489999999999998</v>
      </c>
      <c r="P16" s="8">
        <f>O16/$D16-1</f>
        <v>-9.3599424751026894E-2</v>
      </c>
      <c r="Q16" s="13">
        <f>O16*$C16</f>
        <v>1948.9999999999998</v>
      </c>
      <c r="R16">
        <f>INDEX('over time prices'!N:O,MATCH($A16,'over time prices'!O:O,0),1)</f>
        <v>19.010000000000002</v>
      </c>
      <c r="S16" s="8">
        <f>R16/$D16-1</f>
        <v>-0.11592227113991882</v>
      </c>
      <c r="T16" s="13">
        <f>R16*$C16</f>
        <v>1901.0000000000002</v>
      </c>
      <c r="U16">
        <f>INDEX('over time prices'!Q:R,MATCH($A16,'over time prices'!R:R,0),1)</f>
        <v>19</v>
      </c>
      <c r="V16" s="8">
        <f>U16/$D16-1</f>
        <v>-0.11638733043968752</v>
      </c>
      <c r="W16" s="13">
        <f>U16*$C16</f>
        <v>1900</v>
      </c>
      <c r="X16">
        <f>INDEX('over time prices'!T:U,MATCH($A16,'over time prices'!U:U,0),1)</f>
        <v>18.899999999999999</v>
      </c>
      <c r="Y16" s="8">
        <f>X16/$D16-1</f>
        <v>-0.12103792343737341</v>
      </c>
      <c r="Z16" s="13">
        <f>X16*$C16</f>
        <v>1889.9999999999998</v>
      </c>
      <c r="AA16">
        <f>INDEX('over time prices'!W:X,MATCH($A16,'over time prices'!X:X,0),1)</f>
        <v>18.73</v>
      </c>
      <c r="AB16" s="8">
        <f>AA16/$D16-1</f>
        <v>-0.1289439315334393</v>
      </c>
      <c r="AC16" s="13">
        <f>AA16*$C16</f>
        <v>1873</v>
      </c>
      <c r="AD16">
        <f>INDEX('over time prices'!Z:AA,MATCH($A16,'over time prices'!AA:AA,0),1)</f>
        <v>18.91</v>
      </c>
      <c r="AE16" s="8">
        <f>AD16/$D16-1</f>
        <v>-0.12057286413760471</v>
      </c>
      <c r="AF16" s="13">
        <f>AD16*$C16</f>
        <v>1891</v>
      </c>
      <c r="AG16">
        <f>INDEX('over time prices'!AC:AD,MATCH($A16,'over time prices'!AD:AD,0),1)</f>
        <v>18.89</v>
      </c>
      <c r="AH16" s="8">
        <f>AG16/$D16-1</f>
        <v>-0.12150298273714188</v>
      </c>
      <c r="AI16" s="13">
        <f>AG16*$C16</f>
        <v>1889</v>
      </c>
      <c r="AJ16">
        <f>INDEX('over time prices'!AF:AG,MATCH($A16,'over time prices'!AG:AG,0),1)</f>
        <v>18.8</v>
      </c>
      <c r="AK16" s="8">
        <f>AJ16/$D16-1</f>
        <v>-0.12568851643505918</v>
      </c>
      <c r="AL16" s="13">
        <f>AJ16*$C16</f>
        <v>1880</v>
      </c>
      <c r="AM16">
        <f>INDEX('over time prices'!AI:AJ,MATCH($A16,'over time prices'!AJ:AJ,0),1)</f>
        <v>18.600000000000001</v>
      </c>
      <c r="AN16" s="8">
        <f>AM16/$D16-1</f>
        <v>-0.13498970243043085</v>
      </c>
      <c r="AO16" s="13">
        <f>AM16*$C16</f>
        <v>1860.0000000000002</v>
      </c>
      <c r="AP16">
        <f>INDEX('over time prices'!AL:AM,MATCH($A16,'over time prices'!AM:AM,0),1)</f>
        <v>18.239999999999998</v>
      </c>
      <c r="AQ16" s="8">
        <f>AP16/$D16-1</f>
        <v>-0.15173183722210004</v>
      </c>
      <c r="AR16" s="13">
        <f>AP16*$C16</f>
        <v>1823.9999999999998</v>
      </c>
      <c r="AS16">
        <f>INDEX('over time prices'!AO:AP,MATCH($A16,'over time prices'!AP:AP,0),1)</f>
        <v>17.48</v>
      </c>
      <c r="AT16" s="8">
        <f>AS16/$D16-1</f>
        <v>-0.18707634400451245</v>
      </c>
      <c r="AU16" s="13">
        <f>AS16*$C16</f>
        <v>1748</v>
      </c>
      <c r="AV16">
        <f>INDEX('over time prices'!AR:AS,MATCH($A16,'over time prices'!AS:AS,0),1)</f>
        <v>17.61</v>
      </c>
      <c r="AW16" s="8">
        <f>AV16/$D16-1</f>
        <v>-0.18103057310752091</v>
      </c>
      <c r="AX16" s="13">
        <f>AV16*$C16</f>
        <v>1761</v>
      </c>
      <c r="AY16">
        <f>INDEX('over time prices'!AU:AV,MATCH($A16,'over time prices'!AV:AV,0),1)</f>
        <v>17.78</v>
      </c>
      <c r="AZ16" s="8">
        <f>AY16/$D16-1</f>
        <v>-0.1731245650114549</v>
      </c>
      <c r="BA16" s="13">
        <f>AY16*$C16</f>
        <v>1778</v>
      </c>
      <c r="BB16">
        <f>INDEX('over time prices'!AX:AY,MATCH($A16,'over time prices'!AY:AY,0),1)</f>
        <v>18.8</v>
      </c>
      <c r="BC16" s="8">
        <f>BB16/$D16-1</f>
        <v>-0.12568851643505918</v>
      </c>
      <c r="BD16" s="13">
        <f>BB16*$C16</f>
        <v>1880</v>
      </c>
      <c r="BE16">
        <f>INDEX('over time prices'!BA:BB,MATCH($A16,'over time prices'!BB:BB,0),1)</f>
        <v>18.22</v>
      </c>
      <c r="BF16" s="8">
        <f>BE16/$D16-1</f>
        <v>-0.15266195582163722</v>
      </c>
      <c r="BG16" s="13">
        <f>BE16*$C16</f>
        <v>1822</v>
      </c>
      <c r="BH16">
        <f>INDEX('over time prices'!BD:BE,MATCH($A16,'over time prices'!BE:BE,0),1)</f>
        <v>18</v>
      </c>
      <c r="BI16" s="8">
        <f>BH16/$D16-1</f>
        <v>-0.16289326041654606</v>
      </c>
      <c r="BJ16" s="13">
        <f>BH16*$C16</f>
        <v>1800</v>
      </c>
      <c r="BK16">
        <f>INDEX('over time prices'!BG:BH,MATCH($A16,'over time prices'!BH:BH,0),1)</f>
        <v>17.600000000000001</v>
      </c>
      <c r="BL16" s="8">
        <f>BK16/$D16-1</f>
        <v>-0.18149563240728939</v>
      </c>
      <c r="BM16" s="13">
        <f>BK16*$C16</f>
        <v>1760.0000000000002</v>
      </c>
      <c r="BN16">
        <f>INDEX('over time prices'!BJ:BK,MATCH($A16,'over time prices'!BK:BK,0),1)</f>
        <v>17.53</v>
      </c>
      <c r="BO16" s="8">
        <f>BN16/$D16-1</f>
        <v>-0.18475104750566951</v>
      </c>
      <c r="BP16" s="13">
        <f>BN16*$C16</f>
        <v>1753</v>
      </c>
      <c r="BQ16">
        <f>INDEX('over time prices'!BM:BN,MATCH($A16,'over time prices'!BN:BN,0),1)</f>
        <v>16.600000000000001</v>
      </c>
      <c r="BR16" s="8">
        <f>BQ16/$D16-1</f>
        <v>-0.22800156238414793</v>
      </c>
      <c r="BS16" s="13">
        <f>BQ16*$C16</f>
        <v>1660.0000000000002</v>
      </c>
      <c r="BT16">
        <f>INDEX('over time prices'!BP:BQ,MATCH($A16,'over time prices'!BQ:BQ,0),1)</f>
        <v>16.61</v>
      </c>
      <c r="BU16" s="8">
        <f>BT16/$D16-1</f>
        <v>-0.22753650308437945</v>
      </c>
      <c r="BV16" s="13">
        <f>BT16*$C16</f>
        <v>1661</v>
      </c>
      <c r="BW16" s="12">
        <f>BV16-E16</f>
        <v>-489.26341908999984</v>
      </c>
      <c r="BY16" s="8"/>
      <c r="BZ16" s="13"/>
      <c r="CB16" s="8"/>
      <c r="CC16" s="13"/>
      <c r="CE16" s="8"/>
      <c r="CF16" s="13"/>
      <c r="CH16" s="8"/>
      <c r="CI16" s="13"/>
      <c r="CK16" s="8"/>
      <c r="CL16" s="13"/>
      <c r="CN16" s="8"/>
      <c r="CO16" s="13"/>
      <c r="CQ16" s="8"/>
      <c r="CR16" s="13"/>
      <c r="CT16" s="8"/>
      <c r="CU16" s="13"/>
      <c r="CW16" s="8"/>
      <c r="CX16" s="13"/>
      <c r="CZ16" s="8"/>
      <c r="DA16" s="13"/>
      <c r="DC16" s="8"/>
      <c r="DD16" s="13"/>
      <c r="DF16" s="8"/>
      <c r="DG16" s="13"/>
      <c r="DI16" s="8"/>
      <c r="DJ16" s="13"/>
      <c r="DL16" s="8"/>
      <c r="DM16" s="13"/>
      <c r="DO16" s="8"/>
      <c r="DP16" s="13"/>
      <c r="DR16" s="8"/>
      <c r="DS16" s="13"/>
      <c r="DU16" s="8"/>
      <c r="DV16" s="13"/>
      <c r="DX16" s="8"/>
      <c r="DY16" s="13"/>
      <c r="EA16" s="8"/>
      <c r="EB16" s="13"/>
      <c r="ED16" s="8"/>
      <c r="EE16" s="13"/>
      <c r="EG16" s="8"/>
      <c r="EH16" s="13"/>
      <c r="EJ16" s="8"/>
      <c r="EK16" s="13"/>
      <c r="EM16" s="8"/>
      <c r="EN16" s="13"/>
      <c r="EP16" s="8"/>
      <c r="EQ16" s="13"/>
    </row>
    <row r="17" spans="1:147" hidden="1">
      <c r="A17" t="s">
        <v>760</v>
      </c>
      <c r="B17" s="11">
        <v>45644</v>
      </c>
      <c r="C17">
        <v>34</v>
      </c>
      <c r="D17">
        <v>32.200000000000003</v>
      </c>
      <c r="E17" s="13">
        <f t="shared" si="5"/>
        <v>1094.8000000000002</v>
      </c>
      <c r="F17">
        <f>INDEX('over time prices'!B:C,MATCH($A17,'over time prices'!C:C,0),1)</f>
        <v>33.97</v>
      </c>
      <c r="G17" s="8">
        <f>F17/$D17-1</f>
        <v>5.4968944099378803E-2</v>
      </c>
      <c r="H17" s="13">
        <f>F17*$C17</f>
        <v>1154.98</v>
      </c>
      <c r="I17">
        <f>INDEX('over time prices'!E:F,MATCH($A17,'over time prices'!F:F,0),1)</f>
        <v>32.85</v>
      </c>
      <c r="J17" s="8">
        <f>I17/$D17-1</f>
        <v>2.0186335403726607E-2</v>
      </c>
      <c r="K17" s="13">
        <f>I17*$C17</f>
        <v>1116.9000000000001</v>
      </c>
      <c r="L17">
        <f>INDEX('over time prices'!H:I,MATCH($A17,'over time prices'!I:I,0),1)</f>
        <v>32.56</v>
      </c>
      <c r="M17" s="8">
        <f>L17/$D17-1</f>
        <v>1.1180124223602483E-2</v>
      </c>
      <c r="N17" s="13">
        <f>L17*$C17</f>
        <v>1107.04</v>
      </c>
      <c r="O17">
        <f>INDEX('over time prices'!K:L,MATCH($A17,'over time prices'!L:L,0),1)</f>
        <v>32.18</v>
      </c>
      <c r="P17" s="8">
        <f>O17/$D17-1</f>
        <v>-6.2111801242248355E-4</v>
      </c>
      <c r="Q17" s="13">
        <f>O17*$C17</f>
        <v>1094.1199999999999</v>
      </c>
      <c r="R17">
        <f>INDEX('over time prices'!N:O,MATCH($A17,'over time prices'!O:O,0),1)</f>
        <v>30.9</v>
      </c>
      <c r="S17" s="8">
        <f>R17/$D17-1</f>
        <v>-4.0372670807453548E-2</v>
      </c>
      <c r="T17" s="13">
        <f>R17*$C17</f>
        <v>1050.5999999999999</v>
      </c>
      <c r="U17">
        <f>INDEX('over time prices'!Q:R,MATCH($A17,'over time prices'!R:R,0),1)</f>
        <v>30.03</v>
      </c>
      <c r="V17" s="8">
        <f>U17/$D17-1</f>
        <v>-6.7391304347826142E-2</v>
      </c>
      <c r="W17" s="13">
        <f>U17*$C17</f>
        <v>1021.02</v>
      </c>
      <c r="X17">
        <f>INDEX('over time prices'!T:U,MATCH($A17,'over time prices'!U:U,0),1)</f>
        <v>30.42</v>
      </c>
      <c r="Y17" s="8">
        <f>X17/$D17-1</f>
        <v>-5.5279503105590044E-2</v>
      </c>
      <c r="Z17" s="13">
        <f>X17*$C17</f>
        <v>1034.28</v>
      </c>
      <c r="AA17">
        <f>INDEX('over time prices'!W:X,MATCH($A17,'over time prices'!X:X,0),1)</f>
        <v>29.06</v>
      </c>
      <c r="AB17" s="8">
        <f>AA17/$D17-1</f>
        <v>-9.751552795031071E-2</v>
      </c>
      <c r="AC17" s="13">
        <f>AA17*$C17</f>
        <v>988.04</v>
      </c>
      <c r="AD17">
        <f>INDEX('over time prices'!Z:AA,MATCH($A17,'over time prices'!AA:AA,0),1)</f>
        <v>30.01</v>
      </c>
      <c r="AE17" s="8">
        <f>AD17/$D17-1</f>
        <v>-6.8012422360248515E-2</v>
      </c>
      <c r="AF17" s="13">
        <f>AD17*$C17</f>
        <v>1020.34</v>
      </c>
      <c r="AG17">
        <f>INDEX('over time prices'!AC:AD,MATCH($A17,'over time prices'!AD:AD,0),1)</f>
        <v>30.39</v>
      </c>
      <c r="AH17" s="8">
        <f>AG17/$D17-1</f>
        <v>-5.6211180124223659E-2</v>
      </c>
      <c r="AI17" s="13">
        <f>AG17*$C17</f>
        <v>1033.26</v>
      </c>
      <c r="AJ17">
        <f>INDEX('over time prices'!AF:AG,MATCH($A17,'over time prices'!AG:AG,0),1)</f>
        <v>29.72</v>
      </c>
      <c r="AK17" s="8">
        <f>AJ17/$D17-1</f>
        <v>-7.701863354037275E-2</v>
      </c>
      <c r="AL17" s="13">
        <f>AJ17*$C17</f>
        <v>1010.48</v>
      </c>
      <c r="AM17">
        <f>INDEX('over time prices'!AI:AJ,MATCH($A17,'over time prices'!AJ:AJ,0),1)</f>
        <v>29.71</v>
      </c>
      <c r="AN17" s="8">
        <f>AM17/$D17-1</f>
        <v>-7.732919254658388E-2</v>
      </c>
      <c r="AO17" s="13">
        <f>AM17*$C17</f>
        <v>1010.14</v>
      </c>
      <c r="AP17">
        <f>INDEX('over time prices'!AL:AM,MATCH($A17,'over time prices'!AM:AM,0),1)</f>
        <v>28.51</v>
      </c>
      <c r="AQ17" s="8">
        <f>AP17/$D17-1</f>
        <v>-0.11459627329192545</v>
      </c>
      <c r="AR17" s="13">
        <f>AP17*$C17</f>
        <v>969.34</v>
      </c>
      <c r="AS17">
        <f>INDEX('over time prices'!AO:AP,MATCH($A17,'over time prices'!AP:AP,0),1)</f>
        <v>28</v>
      </c>
      <c r="AT17" s="8">
        <f>AS17/$D17-1</f>
        <v>-0.13043478260869568</v>
      </c>
      <c r="AU17" s="13">
        <f>AS17*$C17</f>
        <v>952</v>
      </c>
      <c r="AV17">
        <f>INDEX('over time prices'!AR:AS,MATCH($A17,'over time prices'!AS:AS,0),1)</f>
        <v>29.25</v>
      </c>
      <c r="AW17" s="8">
        <f>AV17/$D17-1</f>
        <v>-9.1614906832298226E-2</v>
      </c>
      <c r="AX17" s="13">
        <f>AV17*$C17</f>
        <v>994.5</v>
      </c>
      <c r="AY17">
        <f>INDEX('over time prices'!AU:AV,MATCH($A17,'over time prices'!AV:AV,0),1)</f>
        <v>29.71</v>
      </c>
      <c r="AZ17" s="8">
        <f>AY17/$D17-1</f>
        <v>-7.732919254658388E-2</v>
      </c>
      <c r="BA17" s="13">
        <f>AY17*$C17</f>
        <v>1010.14</v>
      </c>
      <c r="BB17">
        <f>INDEX('over time prices'!AX:AY,MATCH($A17,'over time prices'!AY:AY,0),1)</f>
        <v>29.87</v>
      </c>
      <c r="BC17" s="8">
        <f>BB17/$D17-1</f>
        <v>-7.2360248447205011E-2</v>
      </c>
      <c r="BD17" s="13">
        <f>BB17*$C17</f>
        <v>1015.58</v>
      </c>
      <c r="BE17">
        <f>INDEX('over time prices'!BA:BB,MATCH($A17,'over time prices'!BB:BB,0),1)</f>
        <v>29.37</v>
      </c>
      <c r="BF17" s="8">
        <f>BE17/$D17-1</f>
        <v>-8.7888198757763991E-2</v>
      </c>
      <c r="BG17" s="13">
        <f>BE17*$C17</f>
        <v>998.58</v>
      </c>
      <c r="BH17">
        <f>INDEX('over time prices'!BD:BE,MATCH($A17,'over time prices'!BE:BE,0),1)</f>
        <v>29.25</v>
      </c>
      <c r="BI17" s="8">
        <f>BH17/$D17-1</f>
        <v>-9.1614906832298226E-2</v>
      </c>
      <c r="BJ17" s="13">
        <f>BH17*$C17</f>
        <v>994.5</v>
      </c>
      <c r="BK17">
        <f>INDEX('over time prices'!BG:BH,MATCH($A17,'over time prices'!BH:BH,0),1)</f>
        <v>28.73</v>
      </c>
      <c r="BL17" s="8">
        <f>BK17/$D17-1</f>
        <v>-0.10776397515527958</v>
      </c>
      <c r="BM17" s="13">
        <f>BK17*$C17</f>
        <v>976.82</v>
      </c>
      <c r="BN17">
        <f>INDEX('over time prices'!BJ:BK,MATCH($A17,'over time prices'!BK:BK,0),1)</f>
        <v>28.79</v>
      </c>
      <c r="BO17" s="8">
        <f>BN17/$D17-1</f>
        <v>-0.10590062111801257</v>
      </c>
      <c r="BP17" s="13">
        <f>BN17*$C17</f>
        <v>978.86</v>
      </c>
      <c r="BQ17">
        <f>INDEX('over time prices'!BM:BN,MATCH($A17,'over time prices'!BN:BN,0),1)</f>
        <v>27.7</v>
      </c>
      <c r="BR17" s="8">
        <f>BQ17/$D17-1</f>
        <v>-0.13975155279503115</v>
      </c>
      <c r="BS17" s="13">
        <f>BQ17*$C17</f>
        <v>941.8</v>
      </c>
      <c r="BT17">
        <f>INDEX('over time prices'!BP:BQ,MATCH($A17,'over time prices'!BQ:BQ,0),1)</f>
        <v>27.14</v>
      </c>
      <c r="BU17" s="8">
        <f>BT17/$D17-1</f>
        <v>-0.15714285714285725</v>
      </c>
      <c r="BV17" s="13">
        <f>BT17*$C17</f>
        <v>922.76</v>
      </c>
      <c r="BW17" s="12">
        <f>BV17-E17</f>
        <v>-172.04000000000019</v>
      </c>
      <c r="BY17" s="8"/>
      <c r="BZ17" s="13"/>
      <c r="CB17" s="8"/>
      <c r="CC17" s="13"/>
      <c r="CE17" s="8"/>
      <c r="CF17" s="13"/>
      <c r="CH17" s="8"/>
      <c r="CI17" s="13"/>
      <c r="CK17" s="8"/>
      <c r="CL17" s="13"/>
      <c r="CN17" s="8"/>
      <c r="CO17" s="13"/>
      <c r="CQ17" s="8"/>
      <c r="CR17" s="13"/>
      <c r="CT17" s="8"/>
      <c r="CU17" s="13"/>
      <c r="CW17" s="8"/>
      <c r="CX17" s="13"/>
      <c r="CZ17" s="8"/>
      <c r="DA17" s="13"/>
      <c r="DC17" s="8"/>
      <c r="DD17" s="13"/>
      <c r="DF17" s="8"/>
      <c r="DG17" s="13"/>
      <c r="DI17" s="8"/>
      <c r="DJ17" s="13"/>
      <c r="DL17" s="8"/>
      <c r="DM17" s="13"/>
      <c r="DO17" s="8"/>
      <c r="DP17" s="13"/>
      <c r="DR17" s="8"/>
      <c r="DS17" s="13"/>
      <c r="DU17" s="8"/>
      <c r="DV17" s="13"/>
      <c r="DX17" s="8"/>
      <c r="DY17" s="13"/>
      <c r="EA17" s="8"/>
      <c r="EB17" s="13"/>
      <c r="ED17" s="8"/>
      <c r="EE17" s="13"/>
      <c r="EG17" s="8"/>
      <c r="EH17" s="13"/>
      <c r="EJ17" s="8"/>
      <c r="EK17" s="13"/>
      <c r="EM17" s="8"/>
      <c r="EN17" s="13"/>
      <c r="EP17" s="8"/>
      <c r="EQ17" s="13"/>
    </row>
    <row r="18" spans="1:147" hidden="1">
      <c r="A18" t="s">
        <v>1008</v>
      </c>
      <c r="B18" s="11">
        <v>45705</v>
      </c>
      <c r="C18">
        <v>690</v>
      </c>
      <c r="D18">
        <v>1.18</v>
      </c>
      <c r="E18" s="13">
        <f t="shared" si="5"/>
        <v>814.19999999999993</v>
      </c>
      <c r="G18" s="8"/>
      <c r="H18" s="13"/>
      <c r="J18" s="8"/>
      <c r="K18" s="13"/>
      <c r="M18" s="8"/>
      <c r="N18" s="13"/>
      <c r="P18" s="8"/>
      <c r="Q18" s="13"/>
      <c r="S18" s="8"/>
      <c r="T18" s="13"/>
      <c r="V18" s="8"/>
      <c r="W18" s="13"/>
      <c r="Y18" s="8"/>
      <c r="Z18" s="13"/>
      <c r="AB18" s="8"/>
      <c r="AC18" s="13"/>
      <c r="AE18" s="8"/>
      <c r="AF18" s="13"/>
      <c r="AH18" s="8"/>
      <c r="AI18" s="13"/>
      <c r="AK18" s="8"/>
      <c r="AL18" s="13"/>
      <c r="AN18" s="8"/>
      <c r="AO18" s="13"/>
      <c r="AQ18" s="8"/>
      <c r="AR18" s="13"/>
      <c r="AT18" s="8"/>
      <c r="AU18" s="13"/>
      <c r="AW18" s="8"/>
      <c r="AX18" s="13"/>
      <c r="AZ18" s="8"/>
      <c r="BA18" s="13"/>
      <c r="BC18" s="8"/>
      <c r="BD18" s="13"/>
      <c r="BF18" s="8"/>
      <c r="BG18" s="13"/>
      <c r="BI18" s="8"/>
      <c r="BJ18" s="13"/>
      <c r="BL18" s="8"/>
      <c r="BM18" s="13"/>
      <c r="BO18" s="8"/>
      <c r="BP18" s="13"/>
      <c r="BR18" s="8"/>
      <c r="BS18" s="13"/>
      <c r="BU18" s="8"/>
      <c r="BV18" s="13"/>
      <c r="BW18" s="12"/>
      <c r="BX18">
        <f>INDEX('over time prices'!BS:BT,MATCH($A18,'over time prices'!BT:BT,0),1)</f>
        <v>1.17</v>
      </c>
      <c r="BY18" s="8">
        <f>BX18/$D18-1</f>
        <v>-8.4745762711864181E-3</v>
      </c>
      <c r="BZ18" s="13">
        <f>BX18*$C18</f>
        <v>807.3</v>
      </c>
      <c r="CA18">
        <f>INDEX('over time prices'!BV:BW,MATCH($A18,'over time prices'!BW:BW,0),1)</f>
        <v>1.22</v>
      </c>
      <c r="CB18" s="8">
        <f>CA18/$D18-1</f>
        <v>3.3898305084745894E-2</v>
      </c>
      <c r="CC18" s="13">
        <f>CA18*$C18</f>
        <v>841.8</v>
      </c>
      <c r="CD18">
        <f>INDEX('over time prices'!BY:BZ,MATCH($A18,'over time prices'!BZ:BZ,0),1)</f>
        <v>1.22</v>
      </c>
      <c r="CE18" s="8">
        <f>CD18/$D18-1</f>
        <v>3.3898305084745894E-2</v>
      </c>
      <c r="CF18" s="13">
        <f>CD18*$C18</f>
        <v>841.8</v>
      </c>
      <c r="CG18">
        <f>INDEX('over time prices'!CB:CC,MATCH($A18,'over time prices'!CC:CC,0),1)</f>
        <v>1.22</v>
      </c>
      <c r="CH18" s="8">
        <f>CG18/$D18-1</f>
        <v>3.3898305084745894E-2</v>
      </c>
      <c r="CI18" s="13">
        <f>CG18*$C18</f>
        <v>841.8</v>
      </c>
      <c r="CJ18">
        <f>INDEX('over time prices'!CE:CF,MATCH($A18,'over time prices'!CF:CF,0),1)</f>
        <v>1.25</v>
      </c>
      <c r="CK18" s="8">
        <f>CJ18/$D18-1</f>
        <v>5.9322033898305149E-2</v>
      </c>
      <c r="CL18" s="13">
        <f>CJ18*$C18</f>
        <v>862.5</v>
      </c>
      <c r="CM18">
        <f>INDEX('over time prices'!CH:CI,MATCH($A18,'over time prices'!CI:CI,0),1)</f>
        <v>1.26</v>
      </c>
      <c r="CN18" s="8">
        <f>CM18/$D18-1</f>
        <v>6.7796610169491567E-2</v>
      </c>
      <c r="CO18" s="13">
        <f>CM18*$C18</f>
        <v>869.4</v>
      </c>
      <c r="CQ18" s="8"/>
      <c r="CR18" s="13"/>
      <c r="CT18" s="8"/>
      <c r="CU18" s="13"/>
      <c r="CW18" s="8"/>
      <c r="CX18" s="13"/>
      <c r="CZ18" s="8"/>
      <c r="DA18" s="13"/>
      <c r="DC18" s="8"/>
      <c r="DD18" s="13"/>
      <c r="DF18" s="8"/>
      <c r="DG18" s="13"/>
      <c r="DI18" s="8"/>
      <c r="DJ18" s="13"/>
      <c r="DL18" s="8"/>
      <c r="DM18" s="13"/>
      <c r="DO18" s="8"/>
      <c r="DP18" s="13"/>
      <c r="DR18" s="8"/>
      <c r="DS18" s="13"/>
      <c r="DU18" s="8"/>
      <c r="DV18" s="13"/>
      <c r="DX18" s="8"/>
      <c r="DY18" s="13"/>
      <c r="EA18" s="8"/>
      <c r="EB18" s="13"/>
      <c r="ED18" s="8"/>
      <c r="EE18" s="13"/>
      <c r="EG18" s="8"/>
      <c r="EH18" s="13"/>
      <c r="EJ18" s="8"/>
      <c r="EK18" s="13"/>
      <c r="EM18" s="8"/>
      <c r="EN18" s="13"/>
      <c r="EP18" s="8"/>
      <c r="EQ18" s="13"/>
    </row>
    <row r="19" spans="1:147" hidden="1">
      <c r="A19" t="s">
        <v>779</v>
      </c>
      <c r="B19" s="11">
        <v>45712</v>
      </c>
      <c r="C19">
        <v>24</v>
      </c>
      <c r="D19">
        <v>34.42</v>
      </c>
      <c r="E19" s="13">
        <f t="shared" si="5"/>
        <v>826.08</v>
      </c>
      <c r="G19" s="8"/>
      <c r="H19" s="13"/>
      <c r="J19" s="8"/>
      <c r="K19" s="13"/>
      <c r="M19" s="8"/>
      <c r="N19" s="13"/>
      <c r="P19" s="8"/>
      <c r="Q19" s="13"/>
      <c r="S19" s="8"/>
      <c r="T19" s="13"/>
      <c r="V19" s="8"/>
      <c r="W19" s="13"/>
      <c r="Y19" s="8"/>
      <c r="Z19" s="13"/>
      <c r="AB19" s="8"/>
      <c r="AC19" s="13"/>
      <c r="AE19" s="8"/>
      <c r="AF19" s="13"/>
      <c r="AH19" s="8"/>
      <c r="AI19" s="13"/>
      <c r="AK19" s="8"/>
      <c r="AL19" s="13"/>
      <c r="AN19" s="8"/>
      <c r="AO19" s="13"/>
      <c r="AQ19" s="8"/>
      <c r="AR19" s="13"/>
      <c r="AT19" s="8"/>
      <c r="AU19" s="13"/>
      <c r="AW19" s="8"/>
      <c r="AX19" s="13"/>
      <c r="AZ19" s="8"/>
      <c r="BA19" s="13"/>
      <c r="BC19" s="8"/>
      <c r="BD19" s="13"/>
      <c r="BF19" s="8"/>
      <c r="BG19" s="13"/>
      <c r="BI19" s="8"/>
      <c r="BJ19" s="13"/>
      <c r="BL19" s="8"/>
      <c r="BM19" s="13"/>
      <c r="BO19" s="8"/>
      <c r="BP19" s="13"/>
      <c r="BR19" s="8"/>
      <c r="BS19" s="13"/>
      <c r="BU19" s="8"/>
      <c r="BV19" s="13"/>
      <c r="BY19" s="8"/>
      <c r="BZ19" s="13"/>
      <c r="CB19" s="8"/>
      <c r="CC19" s="13"/>
      <c r="CE19" s="8"/>
      <c r="CF19" s="13"/>
      <c r="CH19" s="8"/>
      <c r="CI19" s="13"/>
      <c r="CK19" s="8"/>
      <c r="CL19" s="13"/>
      <c r="CN19" s="8"/>
      <c r="CO19" s="13"/>
      <c r="CP19">
        <f>INDEX('over time prices'!CK:CL,MATCH($A19,'over time prices'!CL:CL,0),1)</f>
        <v>34</v>
      </c>
      <c r="CQ19" s="8">
        <f>CP19/$D19-1</f>
        <v>-1.2202208018593841E-2</v>
      </c>
      <c r="CR19" s="13">
        <f>CP19*$C19</f>
        <v>816</v>
      </c>
      <c r="CS19">
        <f>INDEX('over time prices'!CN:CO,MATCH($A19,'over time prices'!CO:CO,0),1)</f>
        <v>33.770000000000003</v>
      </c>
      <c r="CT19" s="8">
        <f>CS19/$D19-1</f>
        <v>-1.8884369552585656E-2</v>
      </c>
      <c r="CU19" s="13">
        <f>CS19*$C19</f>
        <v>810.48</v>
      </c>
      <c r="CV19">
        <f>INDEX('over time prices'!CQ:CR,MATCH($A19,'over time prices'!CR:CR,0),1)</f>
        <v>33.65</v>
      </c>
      <c r="CW19" s="8">
        <f>CV19/$D19-1</f>
        <v>-2.2370714700755467E-2</v>
      </c>
      <c r="CX19" s="13">
        <f>CV19*$C19</f>
        <v>807.59999999999991</v>
      </c>
      <c r="CY19">
        <f>INDEX('over time prices'!CT:CU,MATCH($A19,'over time prices'!CU:CU,0),1)</f>
        <v>33.76</v>
      </c>
      <c r="CZ19" s="8">
        <f>CY19/$D19-1</f>
        <v>-1.9174898314933242E-2</v>
      </c>
      <c r="DA19" s="13">
        <f>CY19*$C19</f>
        <v>810.24</v>
      </c>
      <c r="DB19">
        <f>INDEX('over time prices'!CW:CX,MATCH($A19,'over time prices'!CX:CX,0),1)</f>
        <v>33.4</v>
      </c>
      <c r="DC19" s="8">
        <f>DB19/$D19-1</f>
        <v>-2.9633933759442233E-2</v>
      </c>
      <c r="DD19" s="13">
        <f>DB19*$C19</f>
        <v>801.59999999999991</v>
      </c>
      <c r="DF19" s="8"/>
      <c r="DG19" s="13"/>
      <c r="DI19" s="8"/>
      <c r="DJ19" s="13"/>
      <c r="DL19" s="8"/>
      <c r="DM19" s="13"/>
      <c r="DO19" s="8"/>
      <c r="DP19" s="13"/>
      <c r="DR19" s="8"/>
      <c r="DS19" s="13"/>
      <c r="DU19" s="8"/>
      <c r="DV19" s="13"/>
      <c r="DX19" s="8"/>
      <c r="DY19" s="13"/>
      <c r="EA19" s="8"/>
      <c r="EB19" s="13"/>
      <c r="ED19" s="8"/>
      <c r="EE19" s="13"/>
      <c r="EG19" s="8"/>
      <c r="EH19" s="13"/>
      <c r="EJ19" s="8"/>
      <c r="EK19" s="13"/>
      <c r="EM19" s="8"/>
      <c r="EN19" s="13"/>
      <c r="EP19" s="8"/>
      <c r="EQ19" s="13"/>
    </row>
    <row r="20" spans="1:147" hidden="1">
      <c r="A20" t="s">
        <v>986</v>
      </c>
      <c r="B20" s="11">
        <v>45728</v>
      </c>
      <c r="C20">
        <v>850</v>
      </c>
      <c r="D20">
        <v>0.95799999999999996</v>
      </c>
      <c r="E20" s="13">
        <f t="shared" si="5"/>
        <v>814.3</v>
      </c>
      <c r="G20" s="8"/>
      <c r="H20" s="13"/>
      <c r="J20" s="8"/>
      <c r="K20" s="13"/>
      <c r="M20" s="8"/>
      <c r="N20" s="13"/>
      <c r="P20" s="8"/>
      <c r="Q20" s="13"/>
      <c r="S20" s="8"/>
      <c r="T20" s="13"/>
      <c r="V20" s="8"/>
      <c r="W20" s="13"/>
      <c r="Y20" s="8"/>
      <c r="Z20" s="13"/>
      <c r="AB20" s="8"/>
      <c r="AC20" s="13"/>
      <c r="AE20" s="8"/>
      <c r="AF20" s="13"/>
      <c r="AH20" s="8"/>
      <c r="AI20" s="13"/>
      <c r="AK20" s="8"/>
      <c r="AL20" s="13"/>
      <c r="AN20" s="8"/>
      <c r="AO20" s="13"/>
      <c r="AQ20" s="8"/>
      <c r="AR20" s="13"/>
      <c r="AT20" s="8"/>
      <c r="AU20" s="13"/>
      <c r="AW20" s="8"/>
      <c r="AX20" s="13"/>
      <c r="AZ20" s="8"/>
      <c r="BA20" s="13"/>
      <c r="BC20" s="8"/>
      <c r="BD20" s="13"/>
      <c r="BF20" s="8"/>
      <c r="BG20" s="13"/>
      <c r="BI20" s="8"/>
      <c r="BJ20" s="13"/>
      <c r="BL20" s="8"/>
      <c r="BM20" s="13"/>
      <c r="BO20" s="8"/>
      <c r="BP20" s="13"/>
      <c r="BR20" s="8"/>
      <c r="BS20" s="13"/>
      <c r="BU20" s="8"/>
      <c r="BV20" s="13"/>
      <c r="BY20" s="8"/>
      <c r="BZ20" s="13"/>
      <c r="CB20" s="8"/>
      <c r="CC20" s="13"/>
      <c r="CE20" s="8"/>
      <c r="CF20" s="13"/>
      <c r="CH20" s="8"/>
      <c r="CI20" s="13"/>
      <c r="CK20" s="8"/>
      <c r="CL20" s="13"/>
      <c r="CN20" s="8"/>
      <c r="CO20" s="13"/>
      <c r="CQ20" s="8"/>
      <c r="CR20" s="13"/>
      <c r="CT20" s="8"/>
      <c r="CU20" s="13"/>
      <c r="CW20" s="8"/>
      <c r="CX20" s="13"/>
      <c r="CZ20" s="8"/>
      <c r="DA20" s="13"/>
      <c r="DC20" s="8"/>
      <c r="DD20" s="13"/>
      <c r="DF20" s="8"/>
      <c r="DG20" s="13"/>
      <c r="DH20">
        <f>INDEX('over time prices'!DC:DD,MATCH($A20,'over time prices'!DD:DD,0),1)</f>
        <v>1.01</v>
      </c>
      <c r="DI20" s="8">
        <f t="shared" ref="DI20:DI26" si="6">DH20/$D20-1</f>
        <v>5.4279749478079342E-2</v>
      </c>
      <c r="DJ20" s="13">
        <f t="shared" ref="DJ20:DJ26" si="7">DH20*$C20</f>
        <v>858.5</v>
      </c>
      <c r="DK20">
        <f>INDEX('over time prices'!DF:DG,MATCH($A20,'over time prices'!DG:DG,0),1)</f>
        <v>1.05</v>
      </c>
      <c r="DL20" s="8">
        <f t="shared" ref="DL20:DL26" si="8">DK20/$D20-1</f>
        <v>9.6033402922755862E-2</v>
      </c>
      <c r="DM20" s="13">
        <f t="shared" ref="DM20:DM26" si="9">DK20*$C20</f>
        <v>892.5</v>
      </c>
      <c r="DO20" s="8"/>
      <c r="DP20" s="13"/>
      <c r="DR20" s="8"/>
      <c r="DS20" s="13"/>
      <c r="DU20" s="8"/>
      <c r="DV20" s="13"/>
      <c r="DX20" s="8"/>
      <c r="DY20" s="13"/>
      <c r="EA20" s="8"/>
      <c r="EB20" s="13"/>
      <c r="ED20" s="8"/>
      <c r="EE20" s="13"/>
      <c r="EG20" s="8"/>
      <c r="EH20" s="13"/>
      <c r="EJ20" s="8"/>
      <c r="EK20" s="13"/>
      <c r="EM20" s="8"/>
      <c r="EN20" s="13"/>
      <c r="EP20" s="8"/>
      <c r="EQ20" s="13"/>
    </row>
    <row r="21" spans="1:147" hidden="1">
      <c r="A21" t="s">
        <v>897</v>
      </c>
      <c r="B21" s="11">
        <v>45705</v>
      </c>
      <c r="C21">
        <v>242</v>
      </c>
      <c r="D21">
        <v>3.36</v>
      </c>
      <c r="E21" s="13">
        <f t="shared" si="5"/>
        <v>813.12</v>
      </c>
      <c r="G21" s="8"/>
      <c r="H21" s="13"/>
      <c r="J21" s="8"/>
      <c r="K21" s="13"/>
      <c r="M21" s="8"/>
      <c r="N21" s="13"/>
      <c r="P21" s="8"/>
      <c r="Q21" s="13"/>
      <c r="S21" s="8"/>
      <c r="T21" s="13"/>
      <c r="V21" s="8"/>
      <c r="W21" s="13"/>
      <c r="Y21" s="8"/>
      <c r="Z21" s="13"/>
      <c r="AB21" s="8"/>
      <c r="AC21" s="13"/>
      <c r="AE21" s="8"/>
      <c r="AF21" s="13"/>
      <c r="AH21" s="8"/>
      <c r="AI21" s="13"/>
      <c r="AK21" s="8"/>
      <c r="AL21" s="13"/>
      <c r="AN21" s="8"/>
      <c r="AO21" s="13"/>
      <c r="AQ21" s="8"/>
      <c r="AR21" s="13"/>
      <c r="AT21" s="8"/>
      <c r="AU21" s="13"/>
      <c r="AW21" s="8"/>
      <c r="AX21" s="13"/>
      <c r="AZ21" s="8"/>
      <c r="BA21" s="13"/>
      <c r="BC21" s="8"/>
      <c r="BD21" s="13"/>
      <c r="BF21" s="8"/>
      <c r="BG21" s="13"/>
      <c r="BI21" s="8"/>
      <c r="BJ21" s="13"/>
      <c r="BL21" s="8"/>
      <c r="BM21" s="13"/>
      <c r="BO21" s="8"/>
      <c r="BP21" s="13"/>
      <c r="BR21" s="8"/>
      <c r="BS21" s="13"/>
      <c r="BU21" s="8"/>
      <c r="BV21" s="13"/>
      <c r="BW21" s="12"/>
      <c r="BX21">
        <f>INDEX('over time prices'!BS:BT,MATCH($A21,'over time prices'!BT:BT,0),1)</f>
        <v>3.27</v>
      </c>
      <c r="BY21" s="8">
        <f t="shared" ref="BY21:BY26" si="10">BX21/$D21-1</f>
        <v>-2.6785714285714191E-2</v>
      </c>
      <c r="BZ21" s="13">
        <f t="shared" ref="BZ21:BZ26" si="11">BX21*$C21</f>
        <v>791.34</v>
      </c>
      <c r="CA21">
        <f>INDEX('over time prices'!BV:BW,MATCH($A21,'over time prices'!BW:BW,0),1)</f>
        <v>3.28</v>
      </c>
      <c r="CB21" s="8">
        <f t="shared" ref="CB21:CB26" si="12">CA21/$D21-1</f>
        <v>-2.3809523809523836E-2</v>
      </c>
      <c r="CC21" s="13">
        <f t="shared" ref="CC21:CC26" si="13">CA21*$C21</f>
        <v>793.76</v>
      </c>
      <c r="CD21">
        <f>INDEX('over time prices'!BY:BZ,MATCH($A21,'over time prices'!BZ:BZ,0),1)</f>
        <v>3.32</v>
      </c>
      <c r="CE21" s="8">
        <f t="shared" ref="CE21:CE26" si="14">CD21/$D21-1</f>
        <v>-1.1904761904761862E-2</v>
      </c>
      <c r="CF21" s="13">
        <f t="shared" ref="CF21:CF26" si="15">CD21*$C21</f>
        <v>803.43999999999994</v>
      </c>
      <c r="CG21">
        <f>INDEX('over time prices'!CB:CC,MATCH($A21,'over time prices'!CC:CC,0),1)</f>
        <v>3.31</v>
      </c>
      <c r="CH21" s="8">
        <f t="shared" ref="CH21:CH26" si="16">CG21/$D21-1</f>
        <v>-1.4880952380952328E-2</v>
      </c>
      <c r="CI21" s="13">
        <f t="shared" ref="CI21:CI26" si="17">CG21*$C21</f>
        <v>801.02</v>
      </c>
      <c r="CJ21">
        <f>INDEX('over time prices'!CE:CF,MATCH($A21,'over time prices'!CF:CF,0),1)</f>
        <v>3.32</v>
      </c>
      <c r="CK21" s="8">
        <f t="shared" ref="CK21:CK26" si="18">CJ21/$D21-1</f>
        <v>-1.1904761904761862E-2</v>
      </c>
      <c r="CL21" s="13">
        <f t="shared" ref="CL21:CL26" si="19">CJ21*$C21</f>
        <v>803.43999999999994</v>
      </c>
      <c r="CM21">
        <f>INDEX('over time prices'!CH:CI,MATCH($A21,'over time prices'!CI:CI,0),1)</f>
        <v>3.35</v>
      </c>
      <c r="CN21" s="8">
        <f t="shared" ref="CN21:CN26" si="20">CM21/$D21-1</f>
        <v>-2.9761904761904656E-3</v>
      </c>
      <c r="CO21" s="13">
        <f t="shared" ref="CO21:CO26" si="21">CM21*$C21</f>
        <v>810.7</v>
      </c>
      <c r="CP21">
        <f>INDEX('over time prices'!CK:CL,MATCH($A21,'over time prices'!CL:CL,0),1)</f>
        <v>3.33</v>
      </c>
      <c r="CQ21" s="8">
        <f t="shared" ref="CQ21:CQ26" si="22">CP21/$D21-1</f>
        <v>-8.9285714285713969E-3</v>
      </c>
      <c r="CR21" s="13">
        <f t="shared" ref="CR21:CR26" si="23">CP21*$C21</f>
        <v>805.86</v>
      </c>
      <c r="CS21">
        <f>INDEX('over time prices'!CN:CO,MATCH($A21,'over time prices'!CO:CO,0),1)</f>
        <v>3.3</v>
      </c>
      <c r="CT21" s="8">
        <f t="shared" ref="CT21:CT26" si="24">CS21/$D21-1</f>
        <v>-1.7857142857142905E-2</v>
      </c>
      <c r="CU21" s="13">
        <f t="shared" ref="CU21:CU26" si="25">CS21*$C21</f>
        <v>798.59999999999991</v>
      </c>
      <c r="CV21">
        <f>INDEX('over time prices'!CQ:CR,MATCH($A21,'over time prices'!CR:CR,0),1)</f>
        <v>3.3</v>
      </c>
      <c r="CW21" s="8">
        <f t="shared" ref="CW21:CW26" si="26">CV21/$D21-1</f>
        <v>-1.7857142857142905E-2</v>
      </c>
      <c r="CX21" s="13">
        <f t="shared" ref="CX21:CX26" si="27">CV21*$C21</f>
        <v>798.59999999999991</v>
      </c>
      <c r="CY21">
        <f>INDEX('over time prices'!CT:CU,MATCH($A21,'over time prices'!CU:CU,0),1)</f>
        <v>3.29</v>
      </c>
      <c r="CZ21" s="8">
        <f t="shared" ref="CZ21:CZ26" si="28">CY21/$D21-1</f>
        <v>-2.0833333333333259E-2</v>
      </c>
      <c r="DA21" s="13">
        <f t="shared" ref="DA21:DA26" si="29">CY21*$C21</f>
        <v>796.18000000000006</v>
      </c>
      <c r="DB21">
        <f>INDEX('over time prices'!CW:CX,MATCH($A21,'over time prices'!CX:CX,0),1)</f>
        <v>3.21</v>
      </c>
      <c r="DC21" s="8">
        <f t="shared" ref="DC21:DC26" si="30">DB21/$D21-1</f>
        <v>-4.4642857142857095E-2</v>
      </c>
      <c r="DD21" s="13">
        <f t="shared" ref="DD21:DD26" si="31">DB21*$C21</f>
        <v>776.81999999999994</v>
      </c>
      <c r="DE21">
        <f>INDEX('over time prices'!CZ:DA,MATCH($A21,'over time prices'!DA:DA,0),1)</f>
        <v>3.25</v>
      </c>
      <c r="DF21" s="8">
        <f t="shared" ref="DF21:DF26" si="32">DE21/$D21-1</f>
        <v>-3.2738095238095233E-2</v>
      </c>
      <c r="DG21" s="13">
        <f t="shared" ref="DG21:DG26" si="33">DE21*$C21</f>
        <v>786.5</v>
      </c>
      <c r="DH21">
        <f>INDEX('over time prices'!DC:DD,MATCH($A21,'over time prices'!DD:DD,0),1)</f>
        <v>3.37</v>
      </c>
      <c r="DI21" s="8">
        <f t="shared" si="6"/>
        <v>2.9761904761904656E-3</v>
      </c>
      <c r="DJ21" s="13">
        <f t="shared" si="7"/>
        <v>815.54000000000008</v>
      </c>
      <c r="DK21">
        <f>INDEX('over time prices'!DF:DG,MATCH($A21,'over time prices'!DG:DG,0),1)</f>
        <v>3.27</v>
      </c>
      <c r="DL21" s="8">
        <f t="shared" si="8"/>
        <v>-2.6785714285714191E-2</v>
      </c>
      <c r="DM21" s="13">
        <f t="shared" si="9"/>
        <v>791.34</v>
      </c>
      <c r="DN21">
        <f>INDEX('over time prices'!DI:DJ,MATCH($A21,'over time prices'!DJ:DJ,0),1)</f>
        <v>3.38</v>
      </c>
      <c r="DO21" s="8">
        <f t="shared" ref="DO21:DO26" si="34">DN21/$D21-1</f>
        <v>5.9523809523809312E-3</v>
      </c>
      <c r="DP21" s="13">
        <f t="shared" ref="DP21:DP26" si="35">DN21*$C21</f>
        <v>817.95999999999992</v>
      </c>
      <c r="DR21" s="8"/>
      <c r="DS21" s="13"/>
      <c r="DU21" s="8"/>
      <c r="DV21" s="13"/>
      <c r="DX21" s="8"/>
      <c r="DY21" s="13"/>
      <c r="EA21" s="8"/>
      <c r="EB21" s="13"/>
      <c r="ED21" s="8"/>
      <c r="EE21" s="13"/>
      <c r="EG21" s="8"/>
      <c r="EH21" s="13"/>
      <c r="EJ21" s="8"/>
      <c r="EK21" s="13"/>
      <c r="EM21" s="8"/>
      <c r="EN21" s="13"/>
      <c r="EP21" s="8"/>
      <c r="EQ21" s="13"/>
    </row>
    <row r="22" spans="1:147" hidden="1">
      <c r="A22" t="s">
        <v>837</v>
      </c>
      <c r="B22" s="11">
        <v>45644</v>
      </c>
      <c r="C22">
        <v>24</v>
      </c>
      <c r="D22">
        <f>35.66-4</f>
        <v>31.659999999999997</v>
      </c>
      <c r="E22" s="13">
        <f t="shared" si="5"/>
        <v>759.83999999999992</v>
      </c>
      <c r="F22">
        <f>INDEX('over time prices'!B:C,MATCH($A22,'over time prices'!C:C,0),1)</f>
        <v>29.89</v>
      </c>
      <c r="G22" s="8">
        <f>F22/$D22-1</f>
        <v>-5.590650663297525E-2</v>
      </c>
      <c r="H22" s="13">
        <f>F22*$C22</f>
        <v>717.36</v>
      </c>
      <c r="I22">
        <f>INDEX('over time prices'!E:F,MATCH($A22,'over time prices'!F:F,0),1)</f>
        <v>29.06</v>
      </c>
      <c r="J22" s="8">
        <f>I22/$D22-1</f>
        <v>-8.2122552116234981E-2</v>
      </c>
      <c r="K22" s="13">
        <f>I22*$C22</f>
        <v>697.43999999999994</v>
      </c>
      <c r="L22">
        <f>INDEX('over time prices'!H:I,MATCH($A22,'over time prices'!I:I,0),1)</f>
        <v>29.33</v>
      </c>
      <c r="M22" s="8">
        <f>L22/$D22-1</f>
        <v>-7.3594440934933614E-2</v>
      </c>
      <c r="N22" s="13">
        <f>L22*$C22</f>
        <v>703.92</v>
      </c>
      <c r="O22">
        <f>INDEX('over time prices'!K:L,MATCH($A22,'over time prices'!L:L,0),1)</f>
        <v>29.45</v>
      </c>
      <c r="P22" s="8">
        <f>O22/$D22-1</f>
        <v>-6.9804169298799623E-2</v>
      </c>
      <c r="Q22" s="13">
        <f>O22*$C22</f>
        <v>706.8</v>
      </c>
      <c r="R22">
        <f>INDEX('over time prices'!N:O,MATCH($A22,'over time prices'!O:O,0),1)</f>
        <v>29.24</v>
      </c>
      <c r="S22" s="8">
        <f>R22/$D22-1</f>
        <v>-7.6437144662034107E-2</v>
      </c>
      <c r="T22" s="13">
        <f>R22*$C22</f>
        <v>701.76</v>
      </c>
      <c r="U22">
        <f>INDEX('over time prices'!Q:R,MATCH($A22,'over time prices'!R:R,0),1)</f>
        <v>28.95</v>
      </c>
      <c r="V22" s="8">
        <f>U22/$D22-1</f>
        <v>-8.5596967782690991E-2</v>
      </c>
      <c r="W22" s="13">
        <f>U22*$C22</f>
        <v>694.8</v>
      </c>
      <c r="X22">
        <f>INDEX('over time prices'!T:U,MATCH($A22,'over time prices'!U:U,0),1)</f>
        <v>28.5</v>
      </c>
      <c r="Y22" s="8">
        <f>X22/$D22-1</f>
        <v>-9.9810486418193234E-2</v>
      </c>
      <c r="Z22" s="13">
        <f>X22*$C22</f>
        <v>684</v>
      </c>
      <c r="AA22">
        <f>INDEX('over time prices'!W:X,MATCH($A22,'over time prices'!X:X,0),1)</f>
        <v>26.67</v>
      </c>
      <c r="AB22" s="8">
        <f>AA22/$D22-1</f>
        <v>-0.15761212886923548</v>
      </c>
      <c r="AC22" s="13">
        <f>AA22*$C22</f>
        <v>640.08000000000004</v>
      </c>
      <c r="AD22">
        <f>INDEX('over time prices'!Z:AA,MATCH($A22,'over time prices'!AA:AA,0),1)</f>
        <v>27.22</v>
      </c>
      <c r="AE22" s="8">
        <f>AD22/$D22-1</f>
        <v>-0.1402400505369551</v>
      </c>
      <c r="AF22" s="13">
        <f>AD22*$C22</f>
        <v>653.28</v>
      </c>
      <c r="AG22">
        <f>INDEX('over time prices'!AC:AD,MATCH($A22,'over time prices'!AD:AD,0),1)</f>
        <v>26.9</v>
      </c>
      <c r="AH22" s="8">
        <f>AG22/$D22-1</f>
        <v>-0.15034744156664559</v>
      </c>
      <c r="AI22" s="13">
        <f>AG22*$C22</f>
        <v>645.59999999999991</v>
      </c>
      <c r="AJ22">
        <f>INDEX('over time prices'!AF:AG,MATCH($A22,'over time prices'!AG:AG,0),1)</f>
        <v>26.62</v>
      </c>
      <c r="AK22" s="8">
        <f>AJ22/$D22-1</f>
        <v>-0.15919140871762461</v>
      </c>
      <c r="AL22" s="13">
        <f>AJ22*$C22</f>
        <v>638.88</v>
      </c>
      <c r="AM22">
        <f>INDEX('over time prices'!AI:AJ,MATCH($A22,'over time prices'!AJ:AJ,0),1)</f>
        <v>26.93</v>
      </c>
      <c r="AN22" s="8">
        <f>AM22/$D22-1</f>
        <v>-0.14939987365761209</v>
      </c>
      <c r="AO22" s="13">
        <f>AM22*$C22</f>
        <v>646.31999999999994</v>
      </c>
      <c r="AP22">
        <f>INDEX('over time prices'!AL:AM,MATCH($A22,'over time prices'!AM:AM,0),1)</f>
        <v>26.42</v>
      </c>
      <c r="AQ22" s="8">
        <f>AP22/$D22-1</f>
        <v>-0.16550852811118111</v>
      </c>
      <c r="AR22" s="13">
        <f>AP22*$C22</f>
        <v>634.08000000000004</v>
      </c>
      <c r="AS22">
        <f>INDEX('over time prices'!AO:AP,MATCH($A22,'over time prices'!AP:AP,0),1)</f>
        <v>26.55</v>
      </c>
      <c r="AT22" s="8">
        <f>AS22/$D22-1</f>
        <v>-0.16140240050536947</v>
      </c>
      <c r="AU22" s="13">
        <f>AS22*$C22</f>
        <v>637.20000000000005</v>
      </c>
      <c r="AV22">
        <f>INDEX('over time prices'!AR:AS,MATCH($A22,'over time prices'!AS:AS,0),1)</f>
        <v>28.37</v>
      </c>
      <c r="AW22" s="8">
        <f>AV22/$D22-1</f>
        <v>-0.10391661402400487</v>
      </c>
      <c r="AX22" s="13">
        <f>AV22*$C22</f>
        <v>680.88</v>
      </c>
      <c r="AY22">
        <f>INDEX('over time prices'!AU:AV,MATCH($A22,'over time prices'!AV:AV,0),1)</f>
        <v>27.81</v>
      </c>
      <c r="AZ22" s="8">
        <f>AY22/$D22-1</f>
        <v>-0.12160454832596335</v>
      </c>
      <c r="BA22" s="13">
        <f>AY22*$C22</f>
        <v>667.43999999999994</v>
      </c>
      <c r="BB22">
        <f>INDEX('over time prices'!AX:AY,MATCH($A22,'over time prices'!AY:AY,0),1)</f>
        <v>29.94</v>
      </c>
      <c r="BC22" s="8">
        <f>BB22/$D22-1</f>
        <v>-5.4327226784586125E-2</v>
      </c>
      <c r="BD22" s="13">
        <f>BB22*$C22</f>
        <v>718.56000000000006</v>
      </c>
      <c r="BE22">
        <f>INDEX('over time prices'!BA:BB,MATCH($A22,'over time prices'!BB:BB,0),1)</f>
        <v>28.98</v>
      </c>
      <c r="BF22" s="8">
        <f>BE22/$D22-1</f>
        <v>-8.4649399873657494E-2</v>
      </c>
      <c r="BG22" s="13">
        <f>BE22*$C22</f>
        <v>695.52</v>
      </c>
      <c r="BH22">
        <f>INDEX('over time prices'!BD:BE,MATCH($A22,'over time prices'!BE:BE,0),1)</f>
        <v>28.78</v>
      </c>
      <c r="BI22" s="8">
        <f>BH22/$D22-1</f>
        <v>-9.0966519267213997E-2</v>
      </c>
      <c r="BJ22" s="13">
        <f>BH22*$C22</f>
        <v>690.72</v>
      </c>
      <c r="BK22">
        <f>INDEX('over time prices'!BG:BH,MATCH($A22,'over time prices'!BH:BH,0),1)</f>
        <v>27.6</v>
      </c>
      <c r="BL22" s="8">
        <f>BK22/$D22-1</f>
        <v>-0.12823752368919761</v>
      </c>
      <c r="BM22" s="13">
        <f>BK22*$C22</f>
        <v>662.40000000000009</v>
      </c>
      <c r="BN22">
        <f>INDEX('over time prices'!BJ:BK,MATCH($A22,'over time prices'!BK:BK,0),1)</f>
        <v>27.93</v>
      </c>
      <c r="BO22" s="8">
        <f>BN22/$D22-1</f>
        <v>-0.11781427668982936</v>
      </c>
      <c r="BP22" s="13">
        <f>BN22*$C22</f>
        <v>670.31999999999994</v>
      </c>
      <c r="BQ22">
        <f>INDEX('over time prices'!BM:BN,MATCH($A22,'over time prices'!BN:BN,0),1)</f>
        <v>27.29</v>
      </c>
      <c r="BR22" s="8">
        <f>BQ22/$D22-1</f>
        <v>-0.13802905874921034</v>
      </c>
      <c r="BS22" s="13">
        <f>BQ22*$C22</f>
        <v>654.96</v>
      </c>
      <c r="BT22">
        <f>INDEX('over time prices'!BP:BQ,MATCH($A22,'over time prices'!BQ:BQ,0),1)</f>
        <v>26.95</v>
      </c>
      <c r="BU22" s="8">
        <f>BT22/$D22-1</f>
        <v>-0.14876816171825635</v>
      </c>
      <c r="BV22" s="13">
        <f>BT22*$C22</f>
        <v>646.79999999999995</v>
      </c>
      <c r="BW22" s="12"/>
      <c r="BX22">
        <f>INDEX('over time prices'!BS:BT,MATCH($A22,'over time prices'!BT:BT,0),1)</f>
        <v>27.25</v>
      </c>
      <c r="BY22" s="8">
        <f t="shared" si="10"/>
        <v>-0.1392924826279216</v>
      </c>
      <c r="BZ22" s="13">
        <f t="shared" si="11"/>
        <v>654</v>
      </c>
      <c r="CA22">
        <f>INDEX('over time prices'!BV:BW,MATCH($A22,'over time prices'!BW:BW,0),1)</f>
        <v>26.97</v>
      </c>
      <c r="CB22" s="8">
        <f t="shared" si="12"/>
        <v>-0.14813644977890073</v>
      </c>
      <c r="CC22" s="13">
        <f t="shared" si="13"/>
        <v>647.28</v>
      </c>
      <c r="CD22">
        <f>INDEX('over time prices'!BY:BZ,MATCH($A22,'over time prices'!BZ:BZ,0),1)</f>
        <v>27.02</v>
      </c>
      <c r="CE22" s="8">
        <f t="shared" si="14"/>
        <v>-0.1465571699305116</v>
      </c>
      <c r="CF22" s="13">
        <f t="shared" si="15"/>
        <v>648.48</v>
      </c>
      <c r="CG22">
        <f>INDEX('over time prices'!CB:CC,MATCH($A22,'over time prices'!CC:CC,0),1)</f>
        <v>28</v>
      </c>
      <c r="CH22" s="8">
        <f t="shared" si="16"/>
        <v>-0.1156032849020846</v>
      </c>
      <c r="CI22" s="13">
        <f t="shared" si="17"/>
        <v>672</v>
      </c>
      <c r="CJ22">
        <f>INDEX('over time prices'!CE:CF,MATCH($A22,'over time prices'!CF:CF,0),1)</f>
        <v>27.69</v>
      </c>
      <c r="CK22" s="8">
        <f t="shared" si="18"/>
        <v>-0.12539481996209711</v>
      </c>
      <c r="CL22" s="13">
        <f t="shared" si="19"/>
        <v>664.56000000000006</v>
      </c>
      <c r="CM22">
        <f>INDEX('over time prices'!CH:CI,MATCH($A22,'over time prices'!CI:CI,0),1)</f>
        <v>27.89</v>
      </c>
      <c r="CN22" s="8">
        <f t="shared" si="20"/>
        <v>-0.11907770056854061</v>
      </c>
      <c r="CO22" s="13">
        <f t="shared" si="21"/>
        <v>669.36</v>
      </c>
      <c r="CP22">
        <f>INDEX('over time prices'!CK:CL,MATCH($A22,'over time prices'!CL:CL,0),1)</f>
        <v>27.56</v>
      </c>
      <c r="CQ22" s="8">
        <f t="shared" si="22"/>
        <v>-0.12950094756790897</v>
      </c>
      <c r="CR22" s="13">
        <f t="shared" si="23"/>
        <v>661.43999999999994</v>
      </c>
      <c r="CS22">
        <f>INDEX('over time prices'!CN:CO,MATCH($A22,'over time prices'!CO:CO,0),1)</f>
        <v>27.25</v>
      </c>
      <c r="CT22" s="8">
        <f t="shared" si="24"/>
        <v>-0.1392924826279216</v>
      </c>
      <c r="CU22" s="13">
        <f t="shared" si="25"/>
        <v>654</v>
      </c>
      <c r="CV22">
        <f>INDEX('over time prices'!CQ:CR,MATCH($A22,'over time prices'!CR:CR,0),1)</f>
        <v>26.75</v>
      </c>
      <c r="CW22" s="8">
        <f t="shared" si="26"/>
        <v>-0.15508528111181297</v>
      </c>
      <c r="CX22" s="13">
        <f t="shared" si="27"/>
        <v>642</v>
      </c>
      <c r="CY22">
        <f>INDEX('over time prices'!CT:CU,MATCH($A22,'over time prices'!CU:CU,0),1)</f>
        <v>26.85</v>
      </c>
      <c r="CZ22" s="8">
        <f t="shared" si="28"/>
        <v>-0.1519267214150346</v>
      </c>
      <c r="DA22" s="13">
        <f t="shared" si="29"/>
        <v>644.40000000000009</v>
      </c>
      <c r="DB22">
        <f>INDEX('over time prices'!CW:CX,MATCH($A22,'over time prices'!CX:CX,0),1)</f>
        <v>26.53</v>
      </c>
      <c r="DC22" s="8">
        <f t="shared" si="30"/>
        <v>-0.1620341124447251</v>
      </c>
      <c r="DD22" s="13">
        <f t="shared" si="31"/>
        <v>636.72</v>
      </c>
      <c r="DE22">
        <f>INDEX('over time prices'!CZ:DA,MATCH($A22,'over time prices'!DA:DA,0),1)</f>
        <v>26.7</v>
      </c>
      <c r="DF22" s="8">
        <f t="shared" si="32"/>
        <v>-0.15666456096020209</v>
      </c>
      <c r="DG22" s="13">
        <f t="shared" si="33"/>
        <v>640.79999999999995</v>
      </c>
      <c r="DH22">
        <f>INDEX('over time prices'!DC:DD,MATCH($A22,'over time prices'!DD:DD,0),1)</f>
        <v>26.63</v>
      </c>
      <c r="DI22" s="8">
        <f t="shared" si="6"/>
        <v>-0.15887555274794685</v>
      </c>
      <c r="DJ22" s="13">
        <f t="shared" si="7"/>
        <v>639.12</v>
      </c>
      <c r="DK22">
        <f>INDEX('over time prices'!DF:DG,MATCH($A22,'over time prices'!DG:DG,0),1)</f>
        <v>26.76</v>
      </c>
      <c r="DL22" s="8">
        <f t="shared" si="8"/>
        <v>-0.1547694251421351</v>
      </c>
      <c r="DM22" s="13">
        <f t="shared" si="9"/>
        <v>642.24</v>
      </c>
      <c r="DN22">
        <f>INDEX('over time prices'!DI:DJ,MATCH($A22,'over time prices'!DJ:DJ,0),1)</f>
        <v>26.5</v>
      </c>
      <c r="DO22" s="8">
        <f t="shared" si="34"/>
        <v>-0.1629816803537586</v>
      </c>
      <c r="DP22" s="13">
        <f t="shared" si="35"/>
        <v>636</v>
      </c>
      <c r="DR22" s="8"/>
      <c r="DS22" s="13"/>
      <c r="DU22" s="8"/>
      <c r="DV22" s="13"/>
      <c r="DX22" s="8"/>
      <c r="DY22" s="13"/>
      <c r="EA22" s="8"/>
      <c r="EB22" s="13"/>
      <c r="ED22" s="8"/>
      <c r="EE22" s="13"/>
      <c r="EG22" s="8"/>
      <c r="EH22" s="13"/>
      <c r="EJ22" s="8"/>
      <c r="EK22" s="13"/>
      <c r="EM22" s="8"/>
      <c r="EN22" s="13"/>
      <c r="EP22" s="8"/>
      <c r="EQ22" s="13"/>
    </row>
    <row r="23" spans="1:147" hidden="1">
      <c r="A23" t="s">
        <v>851</v>
      </c>
      <c r="B23" s="11">
        <v>45700</v>
      </c>
      <c r="C23">
        <v>1900</v>
      </c>
      <c r="D23">
        <v>0.435</v>
      </c>
      <c r="E23" s="13">
        <f t="shared" si="5"/>
        <v>826.5</v>
      </c>
      <c r="G23" s="8"/>
      <c r="H23" s="13"/>
      <c r="J23" s="8"/>
      <c r="K23" s="13"/>
      <c r="M23" s="8"/>
      <c r="N23" s="13"/>
      <c r="P23" s="8"/>
      <c r="Q23" s="13"/>
      <c r="S23" s="8"/>
      <c r="T23" s="13"/>
      <c r="V23" s="8"/>
      <c r="W23" s="13"/>
      <c r="Y23" s="8"/>
      <c r="Z23" s="13"/>
      <c r="AB23" s="8"/>
      <c r="AC23" s="13"/>
      <c r="AE23" s="8"/>
      <c r="AF23" s="13"/>
      <c r="AH23" s="8"/>
      <c r="AI23" s="13"/>
      <c r="AK23" s="8"/>
      <c r="AL23" s="13"/>
      <c r="AN23" s="8"/>
      <c r="AO23" s="13"/>
      <c r="AQ23" s="8"/>
      <c r="AR23" s="13"/>
      <c r="AT23" s="8"/>
      <c r="AU23" s="13"/>
      <c r="AW23" s="8"/>
      <c r="AX23" s="13"/>
      <c r="AZ23" s="8"/>
      <c r="BA23" s="13"/>
      <c r="BC23" s="8"/>
      <c r="BD23" s="13"/>
      <c r="BF23" s="8"/>
      <c r="BG23" s="13"/>
      <c r="BI23" s="8"/>
      <c r="BJ23" s="13"/>
      <c r="BL23" s="8"/>
      <c r="BM23" s="13"/>
      <c r="BO23" s="8"/>
      <c r="BP23" s="13"/>
      <c r="BQ23">
        <f>INDEX('over time prices'!BM:BN,MATCH($A23,'over time prices'!BN:BN,0),1)</f>
        <v>0.4</v>
      </c>
      <c r="BR23" s="8">
        <f>BQ23/$D23-1</f>
        <v>-8.045977011494243E-2</v>
      </c>
      <c r="BS23" s="13">
        <f>BQ23*$C23</f>
        <v>760</v>
      </c>
      <c r="BT23">
        <f>INDEX('over time prices'!BP:BQ,MATCH($A23,'over time prices'!BQ:BQ,0),1)</f>
        <v>0.42</v>
      </c>
      <c r="BU23" s="8">
        <f>BT23/$D23-1</f>
        <v>-3.4482758620689724E-2</v>
      </c>
      <c r="BV23" s="13">
        <f>BT23*$C23</f>
        <v>798</v>
      </c>
      <c r="BX23">
        <f>INDEX('over time prices'!BS:BT,MATCH($A23,'over time prices'!BT:BT,0),1)</f>
        <v>0.42</v>
      </c>
      <c r="BY23" s="8">
        <f t="shared" si="10"/>
        <v>-3.4482758620689724E-2</v>
      </c>
      <c r="BZ23" s="13">
        <f t="shared" si="11"/>
        <v>798</v>
      </c>
      <c r="CA23">
        <f>INDEX('over time prices'!BV:BW,MATCH($A23,'over time prices'!BW:BW,0),1)</f>
        <v>0.42</v>
      </c>
      <c r="CB23" s="8">
        <f t="shared" si="12"/>
        <v>-3.4482758620689724E-2</v>
      </c>
      <c r="CC23" s="13">
        <f t="shared" si="13"/>
        <v>798</v>
      </c>
      <c r="CD23">
        <f>INDEX('over time prices'!BY:BZ,MATCH($A23,'over time prices'!BZ:BZ,0),1)</f>
        <v>0.42</v>
      </c>
      <c r="CE23" s="8">
        <f t="shared" si="14"/>
        <v>-3.4482758620689724E-2</v>
      </c>
      <c r="CF23" s="13">
        <f t="shared" si="15"/>
        <v>798</v>
      </c>
      <c r="CG23">
        <f>INDEX('over time prices'!CB:CC,MATCH($A23,'over time prices'!CC:CC,0),1)</f>
        <v>0.42</v>
      </c>
      <c r="CH23" s="8">
        <f t="shared" si="16"/>
        <v>-3.4482758620689724E-2</v>
      </c>
      <c r="CI23" s="13">
        <f t="shared" si="17"/>
        <v>798</v>
      </c>
      <c r="CJ23">
        <f>INDEX('over time prices'!CE:CF,MATCH($A23,'over time prices'!CF:CF,0),1)</f>
        <v>0.42</v>
      </c>
      <c r="CK23" s="8">
        <f t="shared" si="18"/>
        <v>-3.4482758620689724E-2</v>
      </c>
      <c r="CL23" s="13">
        <f t="shared" si="19"/>
        <v>798</v>
      </c>
      <c r="CM23">
        <f>INDEX('over time prices'!CH:CI,MATCH($A23,'over time prices'!CI:CI,0),1)</f>
        <v>0.44</v>
      </c>
      <c r="CN23" s="8">
        <f t="shared" si="20"/>
        <v>1.1494252873563315E-2</v>
      </c>
      <c r="CO23" s="13">
        <f t="shared" si="21"/>
        <v>836</v>
      </c>
      <c r="CP23">
        <f>INDEX('over time prices'!CK:CL,MATCH($A23,'over time prices'!CL:CL,0),1)</f>
        <v>0.44</v>
      </c>
      <c r="CQ23" s="8">
        <f t="shared" si="22"/>
        <v>1.1494252873563315E-2</v>
      </c>
      <c r="CR23" s="13">
        <f t="shared" si="23"/>
        <v>836</v>
      </c>
      <c r="CS23">
        <f>INDEX('over time prices'!CN:CO,MATCH($A23,'over time prices'!CO:CO,0),1)</f>
        <v>0.43</v>
      </c>
      <c r="CT23" s="8">
        <f t="shared" si="24"/>
        <v>-1.1494252873563204E-2</v>
      </c>
      <c r="CU23" s="13">
        <f t="shared" si="25"/>
        <v>817</v>
      </c>
      <c r="CV23">
        <f>INDEX('over time prices'!CQ:CR,MATCH($A23,'over time prices'!CR:CR,0),1)</f>
        <v>0.42</v>
      </c>
      <c r="CW23" s="8">
        <f t="shared" si="26"/>
        <v>-3.4482758620689724E-2</v>
      </c>
      <c r="CX23" s="13">
        <f t="shared" si="27"/>
        <v>798</v>
      </c>
      <c r="CY23">
        <f>INDEX('over time prices'!CT:CU,MATCH($A23,'over time prices'!CU:CU,0),1)</f>
        <v>0.42</v>
      </c>
      <c r="CZ23" s="8">
        <f t="shared" si="28"/>
        <v>-3.4482758620689724E-2</v>
      </c>
      <c r="DA23" s="13">
        <f t="shared" si="29"/>
        <v>798</v>
      </c>
      <c r="DB23">
        <f>INDEX('over time prices'!CW:CX,MATCH($A23,'over time prices'!CX:CX,0),1)</f>
        <v>0.39</v>
      </c>
      <c r="DC23" s="8">
        <f t="shared" si="30"/>
        <v>-0.10344827586206895</v>
      </c>
      <c r="DD23" s="13">
        <f t="shared" si="31"/>
        <v>741</v>
      </c>
      <c r="DE23">
        <f>INDEX('over time prices'!CZ:DA,MATCH($A23,'over time prices'!DA:DA,0),1)</f>
        <v>0.39</v>
      </c>
      <c r="DF23" s="8">
        <f t="shared" si="32"/>
        <v>-0.10344827586206895</v>
      </c>
      <c r="DG23" s="13">
        <f t="shared" si="33"/>
        <v>741</v>
      </c>
      <c r="DH23">
        <f>INDEX('over time prices'!DC:DD,MATCH($A23,'over time prices'!DD:DD,0),1)</f>
        <v>0.39</v>
      </c>
      <c r="DI23" s="8">
        <f t="shared" si="6"/>
        <v>-0.10344827586206895</v>
      </c>
      <c r="DJ23" s="13">
        <f t="shared" si="7"/>
        <v>741</v>
      </c>
      <c r="DK23">
        <f>INDEX('over time prices'!DF:DG,MATCH($A23,'over time prices'!DG:DG,0),1)</f>
        <v>0.38</v>
      </c>
      <c r="DL23" s="8">
        <f t="shared" si="8"/>
        <v>-0.12643678160919536</v>
      </c>
      <c r="DM23" s="13">
        <f t="shared" si="9"/>
        <v>722</v>
      </c>
      <c r="DN23">
        <f>INDEX('over time prices'!DI:DJ,MATCH($A23,'over time prices'!DJ:DJ,0),1)</f>
        <v>0.46</v>
      </c>
      <c r="DO23" s="8">
        <f t="shared" si="34"/>
        <v>5.7471264367816133E-2</v>
      </c>
      <c r="DP23" s="13">
        <f t="shared" si="35"/>
        <v>874</v>
      </c>
      <c r="DQ23">
        <f>INDEX('over time prices'!DL:DM,MATCH($A23,'over time prices'!DM:DM,0),1)</f>
        <v>0.41</v>
      </c>
      <c r="DR23" s="8">
        <f>DQ23/$D23-1</f>
        <v>-5.7471264367816133E-2</v>
      </c>
      <c r="DS23" s="13">
        <f>DQ23*$C23</f>
        <v>779</v>
      </c>
      <c r="DT23">
        <f>INDEX('over time prices'!DO:DP,MATCH($A23,'over time prices'!DP:DP,0),1)</f>
        <v>0.4</v>
      </c>
      <c r="DU23" s="8">
        <f>DT23/$D23-1</f>
        <v>-8.045977011494243E-2</v>
      </c>
      <c r="DV23" s="13">
        <f>DT23*$C23</f>
        <v>760</v>
      </c>
      <c r="DX23" s="8"/>
      <c r="DY23" s="13"/>
      <c r="EA23" s="8"/>
      <c r="EB23" s="13"/>
      <c r="ED23" s="8"/>
      <c r="EE23" s="13"/>
      <c r="EG23" s="8"/>
      <c r="EH23" s="13"/>
      <c r="EJ23" s="8"/>
      <c r="EK23" s="13"/>
      <c r="EM23" s="8"/>
      <c r="EN23" s="13"/>
      <c r="EP23" s="8"/>
      <c r="EQ23" s="13"/>
    </row>
    <row r="24" spans="1:147" hidden="1">
      <c r="A24" t="s">
        <v>808</v>
      </c>
      <c r="B24" s="11">
        <v>45644</v>
      </c>
      <c r="C24">
        <v>29</v>
      </c>
      <c r="D24">
        <v>25.13</v>
      </c>
      <c r="E24" s="13">
        <f t="shared" si="5"/>
        <v>728.77</v>
      </c>
      <c r="F24">
        <f>INDEX('over time prices'!B:C,MATCH($A24,'over time prices'!C:C,0),1)</f>
        <v>25.19</v>
      </c>
      <c r="G24" s="8">
        <f>F24/$D24-1</f>
        <v>2.3875845602865375E-3</v>
      </c>
      <c r="H24" s="13">
        <f>F24*$C24</f>
        <v>730.51</v>
      </c>
      <c r="I24">
        <f>INDEX('over time prices'!E:F,MATCH($A24,'over time prices'!F:F,0),1)</f>
        <v>24.92</v>
      </c>
      <c r="J24" s="8">
        <f>I24/$D24-1</f>
        <v>-8.3565459610026593E-3</v>
      </c>
      <c r="K24" s="13">
        <f>I24*$C24</f>
        <v>722.68000000000006</v>
      </c>
      <c r="L24">
        <f>INDEX('over time prices'!H:I,MATCH($A24,'over time prices'!I:I,0),1)</f>
        <v>25.05</v>
      </c>
      <c r="M24" s="8">
        <f>L24/$D24-1</f>
        <v>-3.183446080381902E-3</v>
      </c>
      <c r="N24" s="13">
        <f>L24*$C24</f>
        <v>726.45</v>
      </c>
      <c r="O24">
        <f>INDEX('over time prices'!K:L,MATCH($A24,'over time prices'!L:L,0),1)</f>
        <v>25.02</v>
      </c>
      <c r="P24" s="8">
        <f>O24/$D24-1</f>
        <v>-4.3772383605252818E-3</v>
      </c>
      <c r="Q24" s="13">
        <f>O24*$C24</f>
        <v>725.58</v>
      </c>
      <c r="R24">
        <f>INDEX('over time prices'!N:O,MATCH($A24,'over time prices'!O:O,0),1)</f>
        <v>24.76</v>
      </c>
      <c r="S24" s="8">
        <f>R24/$D24-1</f>
        <v>-1.4723438121766685E-2</v>
      </c>
      <c r="T24" s="13">
        <f>R24*$C24</f>
        <v>718.04000000000008</v>
      </c>
      <c r="U24">
        <f>INDEX('over time prices'!Q:R,MATCH($A24,'over time prices'!R:R,0),1)</f>
        <v>24.61</v>
      </c>
      <c r="V24" s="8">
        <f>U24/$D24-1</f>
        <v>-2.0692399522483029E-2</v>
      </c>
      <c r="W24" s="13">
        <f>U24*$C24</f>
        <v>713.68999999999994</v>
      </c>
      <c r="X24">
        <f>INDEX('over time prices'!T:U,MATCH($A24,'over time prices'!U:U,0),1)</f>
        <v>24.58</v>
      </c>
      <c r="Y24" s="8">
        <f>X24/$D24-1</f>
        <v>-2.1886191802626409E-2</v>
      </c>
      <c r="Z24" s="13">
        <f>X24*$C24</f>
        <v>712.81999999999994</v>
      </c>
      <c r="AA24">
        <f>INDEX('over time prices'!W:X,MATCH($A24,'over time prices'!X:X,0),1)</f>
        <v>24.9</v>
      </c>
      <c r="AB24" s="8">
        <f>AA24/$D24-1</f>
        <v>-9.1524074810983569E-3</v>
      </c>
      <c r="AC24" s="13">
        <f>AA24*$C24</f>
        <v>722.09999999999991</v>
      </c>
      <c r="AD24">
        <f>INDEX('over time prices'!Z:AA,MATCH($A24,'over time prices'!AA:AA,0),1)</f>
        <v>25.16</v>
      </c>
      <c r="AE24" s="8">
        <f>AD24/$D24-1</f>
        <v>1.1937922801432688E-3</v>
      </c>
      <c r="AF24" s="13">
        <f>AD24*$C24</f>
        <v>729.64</v>
      </c>
      <c r="AG24">
        <f>INDEX('over time prices'!AC:AD,MATCH($A24,'over time prices'!AD:AD,0),1)</f>
        <v>24.84</v>
      </c>
      <c r="AH24" s="8">
        <f>AG24/$D24-1</f>
        <v>-1.1539992041384783E-2</v>
      </c>
      <c r="AI24" s="13">
        <f>AG24*$C24</f>
        <v>720.36</v>
      </c>
      <c r="AJ24">
        <f>INDEX('over time prices'!AF:AG,MATCH($A24,'over time prices'!AG:AG,0),1)</f>
        <v>25.17</v>
      </c>
      <c r="AK24" s="8">
        <f>AJ24/$D24-1</f>
        <v>1.5917230401911731E-3</v>
      </c>
      <c r="AL24" s="13">
        <f>AJ24*$C24</f>
        <v>729.93000000000006</v>
      </c>
      <c r="AM24">
        <f>INDEX('over time prices'!AI:AJ,MATCH($A24,'over time prices'!AJ:AJ,0),1)</f>
        <v>25.1</v>
      </c>
      <c r="AN24" s="8">
        <f>AM24/$D24-1</f>
        <v>-1.1937922801431577E-3</v>
      </c>
      <c r="AO24" s="13">
        <f>AM24*$C24</f>
        <v>727.90000000000009</v>
      </c>
      <c r="AP24">
        <f>INDEX('over time prices'!AL:AM,MATCH($A24,'over time prices'!AM:AM,0),1)</f>
        <v>25.18</v>
      </c>
      <c r="AQ24" s="8">
        <f>AP24/$D24-1</f>
        <v>1.9896538002388553E-3</v>
      </c>
      <c r="AR24" s="13">
        <f>AP24*$C24</f>
        <v>730.22</v>
      </c>
      <c r="AS24">
        <f>INDEX('over time prices'!AO:AP,MATCH($A24,'over time prices'!AP:AP,0),1)</f>
        <v>25</v>
      </c>
      <c r="AT24" s="8">
        <f>AS24/$D24-1</f>
        <v>-5.1730998806207573E-3</v>
      </c>
      <c r="AU24" s="13">
        <f>AS24*$C24</f>
        <v>725</v>
      </c>
      <c r="AV24">
        <f>INDEX('over time prices'!AR:AS,MATCH($A24,'over time prices'!AS:AS,0),1)</f>
        <v>25.09</v>
      </c>
      <c r="AW24" s="8">
        <f>AV24/$D24-1</f>
        <v>-1.591723040190951E-3</v>
      </c>
      <c r="AX24" s="13">
        <f>AV24*$C24</f>
        <v>727.61</v>
      </c>
      <c r="AY24">
        <f>INDEX('over time prices'!AU:AV,MATCH($A24,'over time prices'!AV:AV,0),1)</f>
        <v>25</v>
      </c>
      <c r="AZ24" s="8">
        <f>AY24/$D24-1</f>
        <v>-5.1730998806207573E-3</v>
      </c>
      <c r="BA24" s="13">
        <f>AY24*$C24</f>
        <v>725</v>
      </c>
      <c r="BB24">
        <f>INDEX('over time prices'!AX:AY,MATCH($A24,'over time prices'!AY:AY,0),1)</f>
        <v>26.35</v>
      </c>
      <c r="BC24" s="8">
        <f>BB24/$D24-1</f>
        <v>4.8547552725825893E-2</v>
      </c>
      <c r="BD24" s="13">
        <f>BB24*$C24</f>
        <v>764.15000000000009</v>
      </c>
      <c r="BE24">
        <f>INDEX('over time prices'!BA:BB,MATCH($A24,'over time prices'!BB:BB,0),1)</f>
        <v>25.55</v>
      </c>
      <c r="BF24" s="8">
        <f>BE24/$D24-1</f>
        <v>1.6713091922005541E-2</v>
      </c>
      <c r="BG24" s="13">
        <f>BE24*$C24</f>
        <v>740.95</v>
      </c>
      <c r="BH24">
        <f>INDEX('over time prices'!BD:BE,MATCH($A24,'over time prices'!BE:BE,0),1)</f>
        <v>23.8</v>
      </c>
      <c r="BI24" s="8">
        <f>BH24/$D24-1</f>
        <v>-5.2924791086350953E-2</v>
      </c>
      <c r="BJ24" s="13">
        <f>BH24*$C24</f>
        <v>690.2</v>
      </c>
      <c r="BK24">
        <f>INDEX('over time prices'!BG:BH,MATCH($A24,'over time prices'!BH:BH,0),1)</f>
        <v>23.41</v>
      </c>
      <c r="BL24" s="8">
        <f>BK24/$D24-1</f>
        <v>-6.8444090728213225E-2</v>
      </c>
      <c r="BM24" s="13">
        <f>BK24*$C24</f>
        <v>678.89</v>
      </c>
      <c r="BN24">
        <f>INDEX('over time prices'!BJ:BK,MATCH($A24,'over time prices'!BK:BK,0),1)</f>
        <v>23.49</v>
      </c>
      <c r="BO24" s="8">
        <f>BN24/$D24-1</f>
        <v>-6.5260644647831323E-2</v>
      </c>
      <c r="BP24" s="13">
        <f>BN24*$C24</f>
        <v>681.20999999999992</v>
      </c>
      <c r="BQ24">
        <f>INDEX('over time prices'!BM:BN,MATCH($A24,'over time prices'!BN:BN,0),1)</f>
        <v>22.49</v>
      </c>
      <c r="BR24" s="8">
        <f>BQ24/$D24-1</f>
        <v>-0.10505372065260643</v>
      </c>
      <c r="BS24" s="13">
        <f>BQ24*$C24</f>
        <v>652.20999999999992</v>
      </c>
      <c r="BT24">
        <f>INDEX('over time prices'!BP:BQ,MATCH($A24,'over time prices'!BQ:BQ,0),1)</f>
        <v>22.51</v>
      </c>
      <c r="BU24" s="8">
        <f>BT24/$D24-1</f>
        <v>-0.10425785913251084</v>
      </c>
      <c r="BV24" s="13">
        <f>BT24*$C24</f>
        <v>652.79000000000008</v>
      </c>
      <c r="BX24">
        <f>INDEX('over time prices'!BS:BT,MATCH($A24,'over time prices'!BT:BT,0),1)</f>
        <v>22.85</v>
      </c>
      <c r="BY24" s="8">
        <f t="shared" si="10"/>
        <v>-9.0728213290887316E-2</v>
      </c>
      <c r="BZ24" s="13">
        <f t="shared" si="11"/>
        <v>662.65000000000009</v>
      </c>
      <c r="CA24">
        <f>INDEX('over time prices'!BV:BW,MATCH($A24,'over time prices'!BW:BW,0),1)</f>
        <v>23.61</v>
      </c>
      <c r="CB24" s="8">
        <f t="shared" si="12"/>
        <v>-6.0485475527258248E-2</v>
      </c>
      <c r="CC24" s="13">
        <f t="shared" si="13"/>
        <v>684.68999999999994</v>
      </c>
      <c r="CD24">
        <f>INDEX('over time prices'!BY:BZ,MATCH($A24,'over time prices'!BZ:BZ,0),1)</f>
        <v>23.02</v>
      </c>
      <c r="CE24" s="8">
        <f t="shared" si="14"/>
        <v>-8.3963390370075608E-2</v>
      </c>
      <c r="CF24" s="13">
        <f t="shared" si="15"/>
        <v>667.58</v>
      </c>
      <c r="CG24">
        <f>INDEX('over time prices'!CB:CC,MATCH($A24,'over time prices'!CC:CC,0),1)</f>
        <v>22.9</v>
      </c>
      <c r="CH24" s="8">
        <f t="shared" si="16"/>
        <v>-8.8738559490648683E-2</v>
      </c>
      <c r="CI24" s="13">
        <f t="shared" si="17"/>
        <v>664.09999999999991</v>
      </c>
      <c r="CJ24">
        <f>INDEX('over time prices'!CE:CF,MATCH($A24,'over time prices'!CF:CF,0),1)</f>
        <v>23.04</v>
      </c>
      <c r="CK24" s="8">
        <f t="shared" si="18"/>
        <v>-8.3167528849980132E-2</v>
      </c>
      <c r="CL24" s="13">
        <f t="shared" si="19"/>
        <v>668.16</v>
      </c>
      <c r="CM24">
        <f>INDEX('over time prices'!CH:CI,MATCH($A24,'over time prices'!CI:CI,0),1)</f>
        <v>22.85</v>
      </c>
      <c r="CN24" s="8">
        <f t="shared" si="20"/>
        <v>-9.0728213290887316E-2</v>
      </c>
      <c r="CO24" s="13">
        <f t="shared" si="21"/>
        <v>662.65000000000009</v>
      </c>
      <c r="CP24">
        <f>INDEX('over time prices'!CK:CL,MATCH($A24,'over time prices'!CL:CL,0),1)</f>
        <v>22.63</v>
      </c>
      <c r="CQ24" s="8">
        <f t="shared" si="22"/>
        <v>-9.948269001193788E-2</v>
      </c>
      <c r="CR24" s="13">
        <f t="shared" si="23"/>
        <v>656.27</v>
      </c>
      <c r="CS24">
        <f>INDEX('over time prices'!CN:CO,MATCH($A24,'over time prices'!CO:CO,0),1)</f>
        <v>22.78</v>
      </c>
      <c r="CT24" s="8">
        <f t="shared" si="24"/>
        <v>-9.3513728611221536E-2</v>
      </c>
      <c r="CU24" s="13">
        <f t="shared" si="25"/>
        <v>660.62</v>
      </c>
      <c r="CV24">
        <f>INDEX('over time prices'!CQ:CR,MATCH($A24,'over time prices'!CR:CR,0),1)</f>
        <v>22.3</v>
      </c>
      <c r="CW24" s="8">
        <f t="shared" si="26"/>
        <v>-0.11261440509351361</v>
      </c>
      <c r="CX24" s="13">
        <f t="shared" si="27"/>
        <v>646.70000000000005</v>
      </c>
      <c r="CY24">
        <f>INDEX('over time prices'!CT:CU,MATCH($A24,'over time prices'!CU:CU,0),1)</f>
        <v>22.71</v>
      </c>
      <c r="CZ24" s="8">
        <f t="shared" si="28"/>
        <v>-9.6299243931555867E-2</v>
      </c>
      <c r="DA24" s="13">
        <f t="shared" si="29"/>
        <v>658.59</v>
      </c>
      <c r="DB24">
        <f>INDEX('over time prices'!CW:CX,MATCH($A24,'over time prices'!CX:CX,0),1)</f>
        <v>22.5</v>
      </c>
      <c r="DC24" s="8">
        <f t="shared" si="30"/>
        <v>-0.10465578989255864</v>
      </c>
      <c r="DD24" s="13">
        <f t="shared" si="31"/>
        <v>652.5</v>
      </c>
      <c r="DE24">
        <f>INDEX('over time prices'!CZ:DA,MATCH($A24,'over time prices'!DA:DA,0),1)</f>
        <v>22.4</v>
      </c>
      <c r="DF24" s="8">
        <f t="shared" si="32"/>
        <v>-0.10863509749303624</v>
      </c>
      <c r="DG24" s="13">
        <f t="shared" si="33"/>
        <v>649.59999999999991</v>
      </c>
      <c r="DH24">
        <f>INDEX('over time prices'!DC:DD,MATCH($A24,'over time prices'!DD:DD,0),1)</f>
        <v>22.8</v>
      </c>
      <c r="DI24" s="8">
        <f t="shared" si="6"/>
        <v>-9.2717867091126061E-2</v>
      </c>
      <c r="DJ24" s="13">
        <f t="shared" si="7"/>
        <v>661.2</v>
      </c>
      <c r="DK24">
        <f>INDEX('over time prices'!DF:DG,MATCH($A24,'over time prices'!DG:DG,0),1)</f>
        <v>22.98</v>
      </c>
      <c r="DL24" s="8">
        <f t="shared" si="8"/>
        <v>-8.5555113410266559E-2</v>
      </c>
      <c r="DM24" s="13">
        <f t="shared" si="9"/>
        <v>666.42</v>
      </c>
      <c r="DN24">
        <f>INDEX('over time prices'!DI:DJ,MATCH($A24,'over time prices'!DJ:DJ,0),1)</f>
        <v>22.67</v>
      </c>
      <c r="DO24" s="8">
        <f t="shared" si="34"/>
        <v>-9.7890966971746818E-2</v>
      </c>
      <c r="DP24" s="13">
        <f t="shared" si="35"/>
        <v>657.43000000000006</v>
      </c>
      <c r="DQ24">
        <f>INDEX('over time prices'!DL:DM,MATCH($A24,'over time prices'!DM:DM,0),1)</f>
        <v>22</v>
      </c>
      <c r="DR24" s="8">
        <f>DQ24/$D24-1</f>
        <v>-0.12455232789494619</v>
      </c>
      <c r="DS24" s="13">
        <f>DQ24*$C24</f>
        <v>638</v>
      </c>
      <c r="DT24">
        <f>INDEX('over time prices'!DO:DP,MATCH($A24,'over time prices'!DP:DP,0),1)</f>
        <v>21.13</v>
      </c>
      <c r="DU24" s="8">
        <f>DT24/$D24-1</f>
        <v>-0.15917230401910065</v>
      </c>
      <c r="DV24" s="13">
        <f>DT24*$C24</f>
        <v>612.77</v>
      </c>
      <c r="DW24">
        <f>INDEX('over time prices'!DR:DS,MATCH($A24,'over time prices'!DS:DS,0),1)</f>
        <v>24.3</v>
      </c>
      <c r="DX24" s="8">
        <f>DW24/$D24-1</f>
        <v>-3.3028253083963288E-2</v>
      </c>
      <c r="DY24" s="13">
        <f>DW24*$C24</f>
        <v>704.7</v>
      </c>
      <c r="DZ24">
        <f>INDEX('over time prices'!DU:DV,MATCH($A24,'over time prices'!DV:DV,0),1)</f>
        <v>27.01</v>
      </c>
      <c r="EA24" s="8">
        <f>DZ24/$D24-1</f>
        <v>7.4810982888977362E-2</v>
      </c>
      <c r="EB24" s="13">
        <f>DZ24*$C24</f>
        <v>783.29000000000008</v>
      </c>
      <c r="EC24">
        <f>INDEX('over time prices'!DX:DY,MATCH($A24,'over time prices'!DY:DY,0),1)</f>
        <v>26.77</v>
      </c>
      <c r="ED24" s="8">
        <f>EC24/$D24-1</f>
        <v>6.5260644647831212E-2</v>
      </c>
      <c r="EE24" s="13">
        <f>EC24*$C24</f>
        <v>776.33</v>
      </c>
      <c r="EF24">
        <f>INDEX('over time prices'!EA:EB,MATCH($A24,'over time prices'!EB:EB,0),1)</f>
        <v>28</v>
      </c>
      <c r="EG24" s="8">
        <f>EF24/$D24-1</f>
        <v>0.11420612813370479</v>
      </c>
      <c r="EH24" s="13">
        <f>EF24*$C24</f>
        <v>812</v>
      </c>
      <c r="EJ24" s="8"/>
      <c r="EK24" s="13"/>
      <c r="EM24" s="8"/>
      <c r="EN24" s="13"/>
      <c r="EP24" s="8"/>
      <c r="EQ24" s="13"/>
    </row>
    <row r="25" spans="1:147" hidden="1">
      <c r="A25" t="s">
        <v>742</v>
      </c>
      <c r="B25" s="11">
        <v>45700</v>
      </c>
      <c r="C25">
        <v>76</v>
      </c>
      <c r="D25">
        <v>10.71</v>
      </c>
      <c r="E25" s="13">
        <f t="shared" si="5"/>
        <v>813.96</v>
      </c>
      <c r="G25" s="8"/>
      <c r="H25" s="13"/>
      <c r="J25" s="8"/>
      <c r="K25" s="13"/>
      <c r="M25" s="8"/>
      <c r="N25" s="13"/>
      <c r="P25" s="8"/>
      <c r="Q25" s="13"/>
      <c r="S25" s="8"/>
      <c r="T25" s="13"/>
      <c r="V25" s="8"/>
      <c r="W25" s="13"/>
      <c r="Y25" s="8"/>
      <c r="Z25" s="13"/>
      <c r="AB25" s="8"/>
      <c r="AC25" s="13"/>
      <c r="AE25" s="8"/>
      <c r="AF25" s="13"/>
      <c r="AH25" s="8"/>
      <c r="AI25" s="13"/>
      <c r="AK25" s="8"/>
      <c r="AL25" s="13"/>
      <c r="AN25" s="8"/>
      <c r="AO25" s="13"/>
      <c r="AQ25" s="8"/>
      <c r="AR25" s="13"/>
      <c r="AT25" s="8"/>
      <c r="AU25" s="13"/>
      <c r="AW25" s="8"/>
      <c r="AX25" s="13"/>
      <c r="AZ25" s="8"/>
      <c r="BA25" s="13"/>
      <c r="BC25" s="8"/>
      <c r="BD25" s="13"/>
      <c r="BF25" s="8"/>
      <c r="BG25" s="13"/>
      <c r="BI25" s="8"/>
      <c r="BJ25" s="13"/>
      <c r="BL25" s="8"/>
      <c r="BM25" s="13"/>
      <c r="BO25" s="8"/>
      <c r="BP25" s="13"/>
      <c r="BQ25">
        <f>INDEX('over time prices'!BM:BN,MATCH($A25,'over time prices'!BN:BN,0),1)</f>
        <v>10.06</v>
      </c>
      <c r="BR25" s="8">
        <f>BQ25/$D25-1</f>
        <v>-6.0690943043884227E-2</v>
      </c>
      <c r="BS25" s="13">
        <f>BQ25*$C25</f>
        <v>764.56000000000006</v>
      </c>
      <c r="BT25">
        <f>INDEX('over time prices'!BP:BQ,MATCH($A25,'over time prices'!BQ:BQ,0),1)</f>
        <v>10.210000000000001</v>
      </c>
      <c r="BU25" s="8">
        <f>BT25/$D25-1</f>
        <v>-4.6685340802987807E-2</v>
      </c>
      <c r="BV25" s="13">
        <f>BT25*$C25</f>
        <v>775.96</v>
      </c>
      <c r="BX25">
        <f>INDEX('over time prices'!BS:BT,MATCH($A25,'over time prices'!BT:BT,0),1)</f>
        <v>10.33</v>
      </c>
      <c r="BY25" s="8">
        <f t="shared" si="10"/>
        <v>-3.5480859010270871E-2</v>
      </c>
      <c r="BZ25" s="13">
        <f t="shared" si="11"/>
        <v>785.08</v>
      </c>
      <c r="CA25">
        <f>INDEX('over time prices'!BV:BW,MATCH($A25,'over time prices'!BW:BW,0),1)</f>
        <v>10.36</v>
      </c>
      <c r="CB25" s="8">
        <f t="shared" si="12"/>
        <v>-3.2679738562091609E-2</v>
      </c>
      <c r="CC25" s="13">
        <f t="shared" si="13"/>
        <v>787.3599999999999</v>
      </c>
      <c r="CD25">
        <f>INDEX('over time prices'!BY:BZ,MATCH($A25,'over time prices'!BZ:BZ,0),1)</f>
        <v>10.37</v>
      </c>
      <c r="CE25" s="8">
        <f t="shared" si="14"/>
        <v>-3.1746031746031855E-2</v>
      </c>
      <c r="CF25" s="13">
        <f t="shared" si="15"/>
        <v>788.11999999999989</v>
      </c>
      <c r="CG25">
        <f>INDEX('over time prices'!CB:CC,MATCH($A25,'over time prices'!CC:CC,0),1)</f>
        <v>10.56</v>
      </c>
      <c r="CH25" s="8">
        <f t="shared" si="16"/>
        <v>-1.400560224089642E-2</v>
      </c>
      <c r="CI25" s="13">
        <f t="shared" si="17"/>
        <v>802.56000000000006</v>
      </c>
      <c r="CJ25">
        <f>INDEX('over time prices'!CE:CF,MATCH($A25,'over time prices'!CF:CF,0),1)</f>
        <v>10.67</v>
      </c>
      <c r="CK25" s="8">
        <f t="shared" si="18"/>
        <v>-3.7348272642391267E-3</v>
      </c>
      <c r="CL25" s="13">
        <f t="shared" si="19"/>
        <v>810.92</v>
      </c>
      <c r="CM25">
        <f>INDEX('over time prices'!CH:CI,MATCH($A25,'over time prices'!CI:CI,0),1)</f>
        <v>10.65</v>
      </c>
      <c r="CN25" s="8">
        <f t="shared" si="20"/>
        <v>-5.6022408963586345E-3</v>
      </c>
      <c r="CO25" s="13">
        <f t="shared" si="21"/>
        <v>809.4</v>
      </c>
      <c r="CP25">
        <f>INDEX('over time prices'!CK:CL,MATCH($A25,'over time prices'!CL:CL,0),1)</f>
        <v>10.57</v>
      </c>
      <c r="CQ25" s="8">
        <f t="shared" si="22"/>
        <v>-1.3071895424836666E-2</v>
      </c>
      <c r="CR25" s="13">
        <f t="shared" si="23"/>
        <v>803.32</v>
      </c>
      <c r="CS25">
        <f>INDEX('over time prices'!CN:CO,MATCH($A25,'over time prices'!CO:CO,0),1)</f>
        <v>10.36</v>
      </c>
      <c r="CT25" s="8">
        <f t="shared" si="24"/>
        <v>-3.2679738562091609E-2</v>
      </c>
      <c r="CU25" s="13">
        <f t="shared" si="25"/>
        <v>787.3599999999999</v>
      </c>
      <c r="CV25">
        <f>INDEX('over time prices'!CQ:CR,MATCH($A25,'over time prices'!CR:CR,0),1)</f>
        <v>10.3</v>
      </c>
      <c r="CW25" s="8">
        <f t="shared" si="26"/>
        <v>-3.8281979458450022E-2</v>
      </c>
      <c r="CX25" s="13">
        <f t="shared" si="27"/>
        <v>782.80000000000007</v>
      </c>
      <c r="CY25">
        <f>INDEX('over time prices'!CT:CU,MATCH($A25,'over time prices'!CU:CU,0),1)</f>
        <v>10.78</v>
      </c>
      <c r="CZ25" s="8">
        <f t="shared" si="28"/>
        <v>6.5359477124180554E-3</v>
      </c>
      <c r="DA25" s="13">
        <f t="shared" si="29"/>
        <v>819.28</v>
      </c>
      <c r="DB25">
        <f>INDEX('over time prices'!CW:CX,MATCH($A25,'over time prices'!CX:CX,0),1)</f>
        <v>10.59</v>
      </c>
      <c r="DC25" s="8">
        <f t="shared" si="30"/>
        <v>-1.1204481792717158E-2</v>
      </c>
      <c r="DD25" s="13">
        <f t="shared" si="31"/>
        <v>804.84</v>
      </c>
      <c r="DE25">
        <f>INDEX('over time prices'!CZ:DA,MATCH($A25,'over time prices'!DA:DA,0),1)</f>
        <v>10.66</v>
      </c>
      <c r="DF25" s="8">
        <f t="shared" si="32"/>
        <v>-4.6685340802988806E-3</v>
      </c>
      <c r="DG25" s="13">
        <f t="shared" si="33"/>
        <v>810.16</v>
      </c>
      <c r="DH25">
        <f>INDEX('over time prices'!DC:DD,MATCH($A25,'over time prices'!DD:DD,0),1)</f>
        <v>10.78</v>
      </c>
      <c r="DI25" s="8">
        <f t="shared" si="6"/>
        <v>6.5359477124180554E-3</v>
      </c>
      <c r="DJ25" s="13">
        <f t="shared" si="7"/>
        <v>819.28</v>
      </c>
      <c r="DK25">
        <f>INDEX('over time prices'!DF:DG,MATCH($A25,'over time prices'!DG:DG,0),1)</f>
        <v>11.1</v>
      </c>
      <c r="DL25" s="8">
        <f t="shared" si="8"/>
        <v>3.6414565826330403E-2</v>
      </c>
      <c r="DM25" s="13">
        <f t="shared" si="9"/>
        <v>843.6</v>
      </c>
      <c r="DN25">
        <f>INDEX('over time prices'!DI:DJ,MATCH($A25,'over time prices'!DJ:DJ,0),1)</f>
        <v>10.87</v>
      </c>
      <c r="DO25" s="8">
        <f t="shared" si="34"/>
        <v>1.4939309056956063E-2</v>
      </c>
      <c r="DP25" s="13">
        <f t="shared" si="35"/>
        <v>826.11999999999989</v>
      </c>
      <c r="DQ25">
        <f>INDEX('over time prices'!DL:DM,MATCH($A25,'over time prices'!DM:DM,0),1)</f>
        <v>11.48</v>
      </c>
      <c r="DR25" s="8">
        <f>DQ25/$D25-1</f>
        <v>7.1895424836601274E-2</v>
      </c>
      <c r="DS25" s="13">
        <f>DQ25*$C25</f>
        <v>872.48</v>
      </c>
      <c r="DT25">
        <f>INDEX('over time prices'!DO:DP,MATCH($A25,'over time prices'!DP:DP,0),1)</f>
        <v>10.75</v>
      </c>
      <c r="DU25" s="8">
        <f>DT25/$D25-1</f>
        <v>3.7348272642390157E-3</v>
      </c>
      <c r="DV25" s="13">
        <f>DT25*$C25</f>
        <v>817</v>
      </c>
      <c r="DW25">
        <f>INDEX('over time prices'!DR:DS,MATCH($A25,'over time prices'!DS:DS,0),1)</f>
        <v>11.15</v>
      </c>
      <c r="DX25" s="8">
        <f>DW25/$D25-1</f>
        <v>4.1083099906629172E-2</v>
      </c>
      <c r="DY25" s="13">
        <f>DW25*$C25</f>
        <v>847.4</v>
      </c>
      <c r="DZ25">
        <f>INDEX('over time prices'!DU:DV,MATCH($A25,'over time prices'!DV:DV,0),1)</f>
        <v>11.15</v>
      </c>
      <c r="EA25" s="8">
        <f>DZ25/$D25-1</f>
        <v>4.1083099906629172E-2</v>
      </c>
      <c r="EB25" s="13">
        <f>DZ25*$C25</f>
        <v>847.4</v>
      </c>
      <c r="EC25">
        <f>INDEX('over time prices'!DX:DY,MATCH($A25,'over time prices'!DY:DY,0),1)</f>
        <v>11.1</v>
      </c>
      <c r="ED25" s="8">
        <f>EC25/$D25-1</f>
        <v>3.6414565826330403E-2</v>
      </c>
      <c r="EE25" s="13">
        <f>EC25*$C25</f>
        <v>843.6</v>
      </c>
      <c r="EF25">
        <f>INDEX('over time prices'!EA:EB,MATCH($A25,'over time prices'!EB:EB,0),1)</f>
        <v>11.72</v>
      </c>
      <c r="EG25" s="8">
        <f>EF25/$D25-1</f>
        <v>9.4304388422035368E-2</v>
      </c>
      <c r="EH25" s="13">
        <f>EF25*$C25</f>
        <v>890.72</v>
      </c>
      <c r="EJ25" s="8"/>
      <c r="EK25" s="13"/>
      <c r="EM25" s="8"/>
      <c r="EN25" s="13"/>
      <c r="EP25" s="8"/>
      <c r="EQ25" s="13"/>
    </row>
    <row r="26" spans="1:147" hidden="1">
      <c r="A26" t="s">
        <v>769</v>
      </c>
      <c r="B26" s="11">
        <v>45644</v>
      </c>
      <c r="C26">
        <v>2230</v>
      </c>
      <c r="D26">
        <v>0.54100000000000004</v>
      </c>
      <c r="E26" s="13">
        <f t="shared" si="5"/>
        <v>1206.43</v>
      </c>
      <c r="F26">
        <f>INDEX('over time prices'!B:C,MATCH($A26,'over time prices'!C:C,0),1)</f>
        <v>0.54</v>
      </c>
      <c r="G26" s="8">
        <f>F26/$D26-1</f>
        <v>-1.848428835489857E-3</v>
      </c>
      <c r="H26" s="13">
        <f>F26*$C26</f>
        <v>1204.2</v>
      </c>
      <c r="I26">
        <f>INDEX('over time prices'!E:F,MATCH($A26,'over time prices'!F:F,0),1)</f>
        <v>0.52</v>
      </c>
      <c r="J26" s="8">
        <f>I26/$D26-1</f>
        <v>-3.8817005545286554E-2</v>
      </c>
      <c r="K26" s="13">
        <f>I26*$C26</f>
        <v>1159.6000000000001</v>
      </c>
      <c r="L26">
        <f>INDEX('over time prices'!H:I,MATCH($A26,'over time prices'!I:I,0),1)</f>
        <v>0.51</v>
      </c>
      <c r="M26" s="8">
        <f>L26/$D26-1</f>
        <v>-5.7301293900184902E-2</v>
      </c>
      <c r="N26" s="13">
        <f>L26*$C26</f>
        <v>1137.3</v>
      </c>
      <c r="O26">
        <f>INDEX('over time prices'!K:L,MATCH($A26,'over time prices'!L:L,0),1)</f>
        <v>0.52</v>
      </c>
      <c r="P26" s="8">
        <f>O26/$D26-1</f>
        <v>-3.8817005545286554E-2</v>
      </c>
      <c r="Q26" s="13">
        <f>O26*$C26</f>
        <v>1159.6000000000001</v>
      </c>
      <c r="R26">
        <f>INDEX('over time prices'!N:O,MATCH($A26,'over time prices'!O:O,0),1)</f>
        <v>0.51</v>
      </c>
      <c r="S26" s="8">
        <f>R26/$D26-1</f>
        <v>-5.7301293900184902E-2</v>
      </c>
      <c r="T26" s="13">
        <f>R26*$C26</f>
        <v>1137.3</v>
      </c>
      <c r="U26">
        <f>INDEX('over time prices'!Q:R,MATCH($A26,'over time prices'!R:R,0),1)</f>
        <v>0.51</v>
      </c>
      <c r="V26" s="8">
        <f>U26/$D26-1</f>
        <v>-5.7301293900184902E-2</v>
      </c>
      <c r="W26" s="13">
        <f>U26*$C26</f>
        <v>1137.3</v>
      </c>
      <c r="X26">
        <f>INDEX('over time prices'!T:U,MATCH($A26,'over time prices'!U:U,0),1)</f>
        <v>0.55000000000000004</v>
      </c>
      <c r="Y26" s="8">
        <f>X26/$D26-1</f>
        <v>1.6635859519408491E-2</v>
      </c>
      <c r="Z26" s="13">
        <f>X26*$C26</f>
        <v>1226.5</v>
      </c>
      <c r="AA26">
        <f>INDEX('over time prices'!W:X,MATCH($A26,'over time prices'!X:X,0),1)</f>
        <v>0.54</v>
      </c>
      <c r="AB26" s="8">
        <f>AA26/$D26-1</f>
        <v>-1.848428835489857E-3</v>
      </c>
      <c r="AC26" s="13">
        <f>AA26*$C26</f>
        <v>1204.2</v>
      </c>
      <c r="AD26">
        <f>INDEX('over time prices'!Z:AA,MATCH($A26,'over time prices'!AA:AA,0),1)</f>
        <v>0.56000000000000005</v>
      </c>
      <c r="AE26" s="8">
        <f>AD26/$D26-1</f>
        <v>3.512014787430684E-2</v>
      </c>
      <c r="AF26" s="13">
        <f>AD26*$C26</f>
        <v>1248.8000000000002</v>
      </c>
      <c r="AG26">
        <f>INDEX('over time prices'!AC:AD,MATCH($A26,'over time prices'!AD:AD,0),1)</f>
        <v>0.55000000000000004</v>
      </c>
      <c r="AH26" s="8">
        <f>AG26/$D26-1</f>
        <v>1.6635859519408491E-2</v>
      </c>
      <c r="AI26" s="13">
        <f>AG26*$C26</f>
        <v>1226.5</v>
      </c>
      <c r="AJ26">
        <f>INDEX('over time prices'!AF:AG,MATCH($A26,'over time prices'!AG:AG,0),1)</f>
        <v>0.54</v>
      </c>
      <c r="AK26" s="8">
        <f>AJ26/$D26-1</f>
        <v>-1.848428835489857E-3</v>
      </c>
      <c r="AL26" s="13">
        <f>AJ26*$C26</f>
        <v>1204.2</v>
      </c>
      <c r="AM26">
        <f>INDEX('over time prices'!AI:AJ,MATCH($A26,'over time prices'!AJ:AJ,0),1)</f>
        <v>0.53</v>
      </c>
      <c r="AN26" s="8">
        <f>AM26/$D26-1</f>
        <v>-2.0332717190388205E-2</v>
      </c>
      <c r="AO26" s="13">
        <f>AM26*$C26</f>
        <v>1181.9000000000001</v>
      </c>
      <c r="AP26">
        <f>INDEX('over time prices'!AL:AM,MATCH($A26,'over time prices'!AM:AM,0),1)</f>
        <v>0.52</v>
      </c>
      <c r="AQ26" s="8">
        <f>AP26/$D26-1</f>
        <v>-3.8817005545286554E-2</v>
      </c>
      <c r="AR26" s="13">
        <f>AP26*$C26</f>
        <v>1159.6000000000001</v>
      </c>
      <c r="AS26">
        <f>INDEX('over time prices'!AO:AP,MATCH($A26,'over time prices'!AP:AP,0),1)</f>
        <v>0.5</v>
      </c>
      <c r="AT26" s="8">
        <f>AS26/$D26-1</f>
        <v>-7.578558225508325E-2</v>
      </c>
      <c r="AU26" s="13">
        <f>AS26*$C26</f>
        <v>1115</v>
      </c>
      <c r="AV26">
        <f>INDEX('over time prices'!AR:AS,MATCH($A26,'over time prices'!AS:AS,0),1)</f>
        <v>0.51</v>
      </c>
      <c r="AW26" s="8">
        <f>AV26/$D26-1</f>
        <v>-5.7301293900184902E-2</v>
      </c>
      <c r="AX26" s="13">
        <f>AV26*$C26</f>
        <v>1137.3</v>
      </c>
      <c r="AY26">
        <f>INDEX('over time prices'!AU:AV,MATCH($A26,'over time prices'!AV:AV,0),1)</f>
        <v>0.51</v>
      </c>
      <c r="AZ26" s="8">
        <f>AY26/$D26-1</f>
        <v>-5.7301293900184902E-2</v>
      </c>
      <c r="BA26" s="13">
        <f>AY26*$C26</f>
        <v>1137.3</v>
      </c>
      <c r="BB26">
        <f>INDEX('over time prices'!AX:AY,MATCH($A26,'over time prices'!AY:AY,0),1)</f>
        <v>0.53</v>
      </c>
      <c r="BC26" s="8">
        <f>BB26/$D26-1</f>
        <v>-2.0332717190388205E-2</v>
      </c>
      <c r="BD26" s="13">
        <f>BB26*$C26</f>
        <v>1181.9000000000001</v>
      </c>
      <c r="BE26">
        <f>INDEX('over time prices'!BA:BB,MATCH($A26,'over time prices'!BB:BB,0),1)</f>
        <v>0.54</v>
      </c>
      <c r="BF26" s="8">
        <f>BE26/$D26-1</f>
        <v>-1.848428835489857E-3</v>
      </c>
      <c r="BG26" s="13">
        <f>BE26*$C26</f>
        <v>1204.2</v>
      </c>
      <c r="BH26">
        <f>INDEX('over time prices'!BD:BE,MATCH($A26,'over time prices'!BE:BE,0),1)</f>
        <v>0.52</v>
      </c>
      <c r="BI26" s="8">
        <f>BH26/$D26-1</f>
        <v>-3.8817005545286554E-2</v>
      </c>
      <c r="BJ26" s="13">
        <f>BH26*$C26</f>
        <v>1159.6000000000001</v>
      </c>
      <c r="BK26">
        <f>INDEX('over time prices'!BG:BH,MATCH($A26,'over time prices'!BH:BH,0),1)</f>
        <v>0.52</v>
      </c>
      <c r="BL26" s="8">
        <f>BK26/$D26-1</f>
        <v>-3.8817005545286554E-2</v>
      </c>
      <c r="BM26" s="13">
        <f>BK26*$C26</f>
        <v>1159.6000000000001</v>
      </c>
      <c r="BN26">
        <f>INDEX('over time prices'!BJ:BK,MATCH($A26,'over time prices'!BK:BK,0),1)</f>
        <v>0.54</v>
      </c>
      <c r="BO26" s="8">
        <f>BN26/$D26-1</f>
        <v>-1.848428835489857E-3</v>
      </c>
      <c r="BP26" s="13">
        <f>BN26*$C26</f>
        <v>1204.2</v>
      </c>
      <c r="BQ26">
        <f>INDEX('over time prices'!BM:BN,MATCH($A26,'over time prices'!BN:BN,0),1)</f>
        <v>0.55000000000000004</v>
      </c>
      <c r="BR26" s="8">
        <f>BQ26/$D26-1</f>
        <v>1.6635859519408491E-2</v>
      </c>
      <c r="BS26" s="13">
        <f>BQ26*$C26</f>
        <v>1226.5</v>
      </c>
      <c r="BT26">
        <f>INDEX('over time prices'!BP:BQ,MATCH($A26,'over time prices'!BQ:BQ,0),1)</f>
        <v>0.54</v>
      </c>
      <c r="BU26" s="8">
        <f>BT26/$D26-1</f>
        <v>-1.848428835489857E-3</v>
      </c>
      <c r="BV26" s="13">
        <f>BT26*$C26</f>
        <v>1204.2</v>
      </c>
      <c r="BX26">
        <f>INDEX('over time prices'!BS:BT,MATCH($A26,'over time prices'!BT:BT,0),1)</f>
        <v>0.55000000000000004</v>
      </c>
      <c r="BY26" s="8">
        <f t="shared" si="10"/>
        <v>1.6635859519408491E-2</v>
      </c>
      <c r="BZ26" s="13">
        <f t="shared" si="11"/>
        <v>1226.5</v>
      </c>
      <c r="CA26">
        <f>INDEX('over time prices'!BV:BW,MATCH($A26,'over time prices'!BW:BW,0),1)</f>
        <v>0.54</v>
      </c>
      <c r="CB26" s="8">
        <f t="shared" si="12"/>
        <v>-1.848428835489857E-3</v>
      </c>
      <c r="CC26" s="13">
        <f t="shared" si="13"/>
        <v>1204.2</v>
      </c>
      <c r="CD26">
        <f>INDEX('over time prices'!BY:BZ,MATCH($A26,'over time prices'!BZ:BZ,0),1)</f>
        <v>0.54</v>
      </c>
      <c r="CE26" s="8">
        <f t="shared" si="14"/>
        <v>-1.848428835489857E-3</v>
      </c>
      <c r="CF26" s="13">
        <f t="shared" si="15"/>
        <v>1204.2</v>
      </c>
      <c r="CG26">
        <f>INDEX('over time prices'!CB:CC,MATCH($A26,'over time prices'!CC:CC,0),1)</f>
        <v>0.54</v>
      </c>
      <c r="CH26" s="8">
        <f t="shared" si="16"/>
        <v>-1.848428835489857E-3</v>
      </c>
      <c r="CI26" s="13">
        <f t="shared" si="17"/>
        <v>1204.2</v>
      </c>
      <c r="CJ26">
        <f>INDEX('over time prices'!CE:CF,MATCH($A26,'over time prices'!CF:CF,0),1)</f>
        <v>0.53</v>
      </c>
      <c r="CK26" s="8">
        <f t="shared" si="18"/>
        <v>-2.0332717190388205E-2</v>
      </c>
      <c r="CL26" s="13">
        <f t="shared" si="19"/>
        <v>1181.9000000000001</v>
      </c>
      <c r="CM26">
        <f>INDEX('over time prices'!CH:CI,MATCH($A26,'over time prices'!CI:CI,0),1)</f>
        <v>0.54</v>
      </c>
      <c r="CN26" s="8">
        <f t="shared" si="20"/>
        <v>-1.848428835489857E-3</v>
      </c>
      <c r="CO26" s="13">
        <f t="shared" si="21"/>
        <v>1204.2</v>
      </c>
      <c r="CP26">
        <f>INDEX('over time prices'!CK:CL,MATCH($A26,'over time prices'!CL:CL,0),1)</f>
        <v>0.53</v>
      </c>
      <c r="CQ26" s="8">
        <f t="shared" si="22"/>
        <v>-2.0332717190388205E-2</v>
      </c>
      <c r="CR26" s="13">
        <f t="shared" si="23"/>
        <v>1181.9000000000001</v>
      </c>
      <c r="CS26">
        <f>INDEX('over time prices'!CN:CO,MATCH($A26,'over time prices'!CO:CO,0),1)</f>
        <v>0.52</v>
      </c>
      <c r="CT26" s="8">
        <f t="shared" si="24"/>
        <v>-3.8817005545286554E-2</v>
      </c>
      <c r="CU26" s="13">
        <f t="shared" si="25"/>
        <v>1159.6000000000001</v>
      </c>
      <c r="CV26">
        <f>INDEX('over time prices'!CQ:CR,MATCH($A26,'over time prices'!CR:CR,0),1)</f>
        <v>0.52</v>
      </c>
      <c r="CW26" s="8">
        <f t="shared" si="26"/>
        <v>-3.8817005545286554E-2</v>
      </c>
      <c r="CX26" s="13">
        <f t="shared" si="27"/>
        <v>1159.6000000000001</v>
      </c>
      <c r="CY26">
        <f>INDEX('over time prices'!CT:CU,MATCH($A26,'over time prices'!CU:CU,0),1)</f>
        <v>0.52</v>
      </c>
      <c r="CZ26" s="8">
        <f t="shared" si="28"/>
        <v>-3.8817005545286554E-2</v>
      </c>
      <c r="DA26" s="13">
        <f t="shared" si="29"/>
        <v>1159.6000000000001</v>
      </c>
      <c r="DB26">
        <f>INDEX('over time prices'!CW:CX,MATCH($A26,'over time prices'!CX:CX,0),1)</f>
        <v>0.51</v>
      </c>
      <c r="DC26" s="8">
        <f t="shared" si="30"/>
        <v>-5.7301293900184902E-2</v>
      </c>
      <c r="DD26" s="13">
        <f t="shared" si="31"/>
        <v>1137.3</v>
      </c>
      <c r="DE26">
        <f>INDEX('over time prices'!CZ:DA,MATCH($A26,'over time prices'!DA:DA,0),1)</f>
        <v>0.52</v>
      </c>
      <c r="DF26" s="8">
        <f t="shared" si="32"/>
        <v>-3.8817005545286554E-2</v>
      </c>
      <c r="DG26" s="13">
        <f t="shared" si="33"/>
        <v>1159.6000000000001</v>
      </c>
      <c r="DH26">
        <f>INDEX('over time prices'!DC:DD,MATCH($A26,'over time prices'!DD:DD,0),1)</f>
        <v>0.52</v>
      </c>
      <c r="DI26" s="8">
        <f t="shared" si="6"/>
        <v>-3.8817005545286554E-2</v>
      </c>
      <c r="DJ26" s="13">
        <f t="shared" si="7"/>
        <v>1159.6000000000001</v>
      </c>
      <c r="DK26">
        <f>INDEX('over time prices'!DF:DG,MATCH($A26,'over time prices'!DG:DG,0),1)</f>
        <v>0.52</v>
      </c>
      <c r="DL26" s="8">
        <f t="shared" si="8"/>
        <v>-3.8817005545286554E-2</v>
      </c>
      <c r="DM26" s="13">
        <f t="shared" si="9"/>
        <v>1159.6000000000001</v>
      </c>
      <c r="DN26">
        <f>INDEX('over time prices'!DI:DJ,MATCH($A26,'over time prices'!DJ:DJ,0),1)</f>
        <v>0.53</v>
      </c>
      <c r="DO26" s="8">
        <f t="shared" si="34"/>
        <v>-2.0332717190388205E-2</v>
      </c>
      <c r="DP26" s="13">
        <f t="shared" si="35"/>
        <v>1181.9000000000001</v>
      </c>
      <c r="DQ26">
        <f>INDEX('over time prices'!DL:DM,MATCH($A26,'over time prices'!DM:DM,0),1)</f>
        <v>0.49</v>
      </c>
      <c r="DR26" s="8">
        <f>DQ26/$D26-1</f>
        <v>-9.4269870609981599E-2</v>
      </c>
      <c r="DS26" s="13">
        <f>DQ26*$C26</f>
        <v>1092.7</v>
      </c>
      <c r="DT26">
        <f>INDEX('over time prices'!DO:DP,MATCH($A26,'over time prices'!DP:DP,0),1)</f>
        <v>0.48</v>
      </c>
      <c r="DU26" s="8">
        <f>DT26/$D26-1</f>
        <v>-0.11275415896487995</v>
      </c>
      <c r="DV26" s="13">
        <f>DT26*$C26</f>
        <v>1070.3999999999999</v>
      </c>
      <c r="DW26">
        <f>INDEX('over time prices'!DR:DS,MATCH($A26,'over time prices'!DS:DS,0),1)</f>
        <v>0.53</v>
      </c>
      <c r="DX26" s="8">
        <f>DW26/$D26-1</f>
        <v>-2.0332717190388205E-2</v>
      </c>
      <c r="DY26" s="13">
        <f>DW26*$C26</f>
        <v>1181.9000000000001</v>
      </c>
      <c r="DZ26">
        <f>INDEX('over time prices'!DU:DV,MATCH($A26,'over time prices'!DV:DV,0),1)</f>
        <v>0.54</v>
      </c>
      <c r="EA26" s="8">
        <f>DZ26/$D26-1</f>
        <v>-1.848428835489857E-3</v>
      </c>
      <c r="EB26" s="13">
        <f>DZ26*$C26</f>
        <v>1204.2</v>
      </c>
      <c r="EC26">
        <f>INDEX('over time prices'!DX:DY,MATCH($A26,'over time prices'!DY:DY,0),1)</f>
        <v>0.53</v>
      </c>
      <c r="ED26" s="8">
        <f>EC26/$D26-1</f>
        <v>-2.0332717190388205E-2</v>
      </c>
      <c r="EE26" s="13">
        <f>EC26*$C26</f>
        <v>1181.9000000000001</v>
      </c>
      <c r="EF26">
        <f>INDEX('over time prices'!EA:EB,MATCH($A26,'over time prices'!EB:EB,0),1)</f>
        <v>0.53</v>
      </c>
      <c r="EG26" s="8">
        <f>EF26/$D26-1</f>
        <v>-2.0332717190388205E-2</v>
      </c>
      <c r="EH26" s="13">
        <f>EF26*$C26</f>
        <v>1181.9000000000001</v>
      </c>
      <c r="EI26">
        <f>INDEX('over time prices'!ED:EE,MATCH($A26,'over time prices'!EE:EE,0),1)</f>
        <v>0.53</v>
      </c>
      <c r="EJ26" s="8">
        <f>EI26/$D26-1</f>
        <v>-2.0332717190388205E-2</v>
      </c>
      <c r="EK26" s="13">
        <f>EI26*$C26</f>
        <v>1181.9000000000001</v>
      </c>
      <c r="EM26" s="8"/>
      <c r="EN26" s="13"/>
      <c r="EP26" s="8"/>
      <c r="EQ26" s="13"/>
    </row>
    <row r="27" spans="1:147" hidden="1">
      <c r="A27" t="s">
        <v>746</v>
      </c>
      <c r="B27" s="11">
        <v>45805</v>
      </c>
      <c r="C27">
        <v>357</v>
      </c>
      <c r="D27">
        <v>2.75</v>
      </c>
      <c r="E27" s="13">
        <f t="shared" si="5"/>
        <v>981.75</v>
      </c>
      <c r="G27" s="8"/>
      <c r="H27" s="13"/>
      <c r="J27" s="8"/>
      <c r="K27" s="13"/>
      <c r="M27" s="8"/>
      <c r="N27" s="13"/>
      <c r="P27" s="8"/>
      <c r="Q27" s="13"/>
      <c r="S27" s="8"/>
      <c r="T27" s="13"/>
      <c r="V27" s="8"/>
      <c r="W27" s="13"/>
      <c r="Y27" s="8"/>
      <c r="Z27" s="13"/>
      <c r="AB27" s="8"/>
      <c r="AC27" s="13"/>
      <c r="AE27" s="8"/>
      <c r="AF27" s="13"/>
      <c r="AH27" s="8"/>
      <c r="AI27" s="13"/>
      <c r="AK27" s="8"/>
      <c r="AL27" s="13"/>
      <c r="AN27" s="8"/>
      <c r="AO27" s="13"/>
      <c r="AQ27" s="8"/>
      <c r="AR27" s="13"/>
      <c r="AT27" s="8"/>
      <c r="AU27" s="13"/>
      <c r="AW27" s="8"/>
      <c r="AX27" s="13"/>
      <c r="AZ27" s="8"/>
      <c r="BA27" s="13"/>
      <c r="BC27" s="8"/>
      <c r="BD27" s="13"/>
      <c r="BF27" s="8"/>
      <c r="BG27" s="13"/>
      <c r="BI27" s="8"/>
      <c r="BJ27" s="13"/>
      <c r="BL27" s="8"/>
      <c r="BM27" s="13"/>
      <c r="BO27" s="8"/>
      <c r="BP27" s="13"/>
      <c r="BR27" s="8"/>
      <c r="BS27" s="13"/>
      <c r="BU27" s="8"/>
      <c r="BV27" s="13"/>
      <c r="BY27" s="8"/>
      <c r="BZ27" s="13"/>
      <c r="CB27" s="8"/>
      <c r="CC27" s="13"/>
      <c r="CE27" s="8"/>
      <c r="CF27" s="13"/>
      <c r="CH27" s="8"/>
      <c r="CI27" s="13"/>
      <c r="CK27" s="8"/>
      <c r="CL27" s="13"/>
      <c r="CN27" s="8"/>
      <c r="CO27" s="13"/>
      <c r="CQ27" s="8"/>
      <c r="CR27" s="13"/>
      <c r="CT27" s="8"/>
      <c r="CU27" s="13"/>
      <c r="CW27" s="8"/>
      <c r="CX27" s="13"/>
      <c r="CZ27" s="8"/>
      <c r="DA27" s="13"/>
      <c r="DC27" s="8"/>
      <c r="DD27" s="13"/>
      <c r="DF27" s="8"/>
      <c r="DG27" s="13"/>
      <c r="DI27" s="8"/>
      <c r="DJ27" s="13"/>
      <c r="DL27" s="8"/>
      <c r="DM27" s="13"/>
      <c r="DO27" s="8"/>
      <c r="DP27" s="13"/>
      <c r="DR27" s="8"/>
      <c r="DS27" s="13"/>
      <c r="DU27" s="8"/>
      <c r="DV27" s="13"/>
      <c r="DX27" s="8"/>
      <c r="DY27" s="13"/>
      <c r="EA27" s="8"/>
      <c r="EB27" s="13"/>
      <c r="ED27" s="8"/>
      <c r="EE27" s="13"/>
      <c r="EG27" s="8"/>
      <c r="EH27" s="13"/>
      <c r="EI27">
        <f>INDEX('over time prices'!ED:EE,MATCH($A27,'over time prices'!EE:EE,0),1)</f>
        <v>2.74</v>
      </c>
      <c r="EJ27" s="8">
        <f>EI27/$D27-1</f>
        <v>-3.6363636363635488E-3</v>
      </c>
      <c r="EK27" s="13">
        <f>EI27*$C27</f>
        <v>978.18000000000006</v>
      </c>
      <c r="EM27" s="8"/>
      <c r="EN27" s="13"/>
      <c r="EP27" s="8"/>
      <c r="EQ27" s="13"/>
    </row>
    <row r="28" spans="1:147" hidden="1">
      <c r="A28" t="s">
        <v>783</v>
      </c>
      <c r="B28" s="11">
        <v>45704</v>
      </c>
      <c r="C28">
        <v>22</v>
      </c>
      <c r="D28">
        <v>39.020000000000003</v>
      </c>
      <c r="E28" s="13">
        <f t="shared" si="5"/>
        <v>858.44</v>
      </c>
      <c r="G28" s="8"/>
      <c r="H28" s="13"/>
      <c r="J28" s="8"/>
      <c r="K28" s="13"/>
      <c r="M28" s="8"/>
      <c r="N28" s="13"/>
      <c r="P28" s="8"/>
      <c r="Q28" s="13"/>
      <c r="S28" s="8"/>
      <c r="T28" s="13"/>
      <c r="V28" s="8"/>
      <c r="W28" s="13"/>
      <c r="Y28" s="8"/>
      <c r="Z28" s="13"/>
      <c r="AB28" s="8"/>
      <c r="AC28" s="13"/>
      <c r="AE28" s="8"/>
      <c r="AF28" s="13"/>
      <c r="AH28" s="8"/>
      <c r="AI28" s="13"/>
      <c r="AK28" s="8"/>
      <c r="AL28" s="13"/>
      <c r="AN28" s="8"/>
      <c r="AO28" s="13"/>
      <c r="AQ28" s="8"/>
      <c r="AR28" s="13"/>
      <c r="AT28" s="8"/>
      <c r="AU28" s="13"/>
      <c r="AW28" s="8"/>
      <c r="AX28" s="13"/>
      <c r="AZ28" s="8"/>
      <c r="BA28" s="13"/>
      <c r="BC28" s="8"/>
      <c r="BD28" s="13"/>
      <c r="BF28" s="8"/>
      <c r="BG28" s="13"/>
      <c r="BI28" s="8"/>
      <c r="BJ28" s="13"/>
      <c r="BL28" s="8"/>
      <c r="BM28" s="13"/>
      <c r="BO28" s="8"/>
      <c r="BP28" s="13"/>
      <c r="BR28" s="8"/>
      <c r="BS28" s="13"/>
      <c r="BT28">
        <f>INDEX('over time prices'!BP:BQ,MATCH($A28,'over time prices'!BQ:BQ,0),1)</f>
        <v>38.51</v>
      </c>
      <c r="BU28" s="8">
        <f>BT28/$D28-1</f>
        <v>-1.3070220399795107E-2</v>
      </c>
      <c r="BV28" s="13">
        <f>BT28*$C28</f>
        <v>847.21999999999991</v>
      </c>
      <c r="BX28">
        <f>INDEX('over time prices'!BS:BT,MATCH($A28,'over time prices'!BT:BT,0),1)</f>
        <v>39.229999999999997</v>
      </c>
      <c r="BY28" s="8">
        <f>BX28/$D28-1</f>
        <v>5.3818554587390377E-3</v>
      </c>
      <c r="BZ28" s="13">
        <f>BX28*$C28</f>
        <v>863.06</v>
      </c>
      <c r="CA28">
        <f>INDEX('over time prices'!BV:BW,MATCH($A28,'over time prices'!BW:BW,0),1)</f>
        <v>40.909999999999997</v>
      </c>
      <c r="CB28" s="8">
        <f>CA28/$D28-1</f>
        <v>4.8436699128651783E-2</v>
      </c>
      <c r="CC28" s="13">
        <f>CA28*$C28</f>
        <v>900.02</v>
      </c>
      <c r="CD28">
        <f>INDEX('over time prices'!BY:BZ,MATCH($A28,'over time prices'!BZ:BZ,0),1)</f>
        <v>41.01</v>
      </c>
      <c r="CE28" s="8">
        <f>CD28/$D28-1</f>
        <v>5.0999487442337177E-2</v>
      </c>
      <c r="CF28" s="13">
        <f>CD28*$C28</f>
        <v>902.21999999999991</v>
      </c>
      <c r="CG28">
        <f>INDEX('over time prices'!CB:CC,MATCH($A28,'over time prices'!CC:CC,0),1)</f>
        <v>41.11</v>
      </c>
      <c r="CH28" s="8">
        <f>CG28/$D28-1</f>
        <v>5.3562275756022348E-2</v>
      </c>
      <c r="CI28" s="13">
        <f>CG28*$C28</f>
        <v>904.42</v>
      </c>
      <c r="CJ28">
        <f>INDEX('over time prices'!CE:CF,MATCH($A28,'over time prices'!CF:CF,0),1)</f>
        <v>40.64</v>
      </c>
      <c r="CK28" s="8">
        <f>CJ28/$D28-1</f>
        <v>4.1517170681701687E-2</v>
      </c>
      <c r="CL28" s="13">
        <f>CJ28*$C28</f>
        <v>894.08</v>
      </c>
      <c r="CM28">
        <f>INDEX('over time prices'!CH:CI,MATCH($A28,'over time prices'!CI:CI,0),1)</f>
        <v>40.79</v>
      </c>
      <c r="CN28" s="8">
        <f>CM28/$D28-1</f>
        <v>4.5361353152229444E-2</v>
      </c>
      <c r="CO28" s="13">
        <f>CM28*$C28</f>
        <v>897.38</v>
      </c>
      <c r="CP28">
        <f>INDEX('over time prices'!CK:CL,MATCH($A28,'over time prices'!CL:CL,0),1)</f>
        <v>41.09</v>
      </c>
      <c r="CQ28" s="8">
        <f>CP28/$D28-1</f>
        <v>5.3049718093285403E-2</v>
      </c>
      <c r="CR28" s="13">
        <f>CP28*$C28</f>
        <v>903.98</v>
      </c>
      <c r="CS28">
        <f>INDEX('over time prices'!CN:CO,MATCH($A28,'over time prices'!CO:CO,0),1)</f>
        <v>41.89</v>
      </c>
      <c r="CT28" s="8">
        <f>CS28/$D28-1</f>
        <v>7.3552024602767663E-2</v>
      </c>
      <c r="CU28" s="13">
        <f>CS28*$C28</f>
        <v>921.58</v>
      </c>
      <c r="CV28">
        <f>INDEX('over time prices'!CQ:CR,MATCH($A28,'over time prices'!CR:CR,0),1)</f>
        <v>41.51</v>
      </c>
      <c r="CW28" s="8">
        <f>CV28/$D28-1</f>
        <v>6.3813429010763478E-2</v>
      </c>
      <c r="CX28" s="13">
        <f>CV28*$C28</f>
        <v>913.21999999999991</v>
      </c>
      <c r="CY28">
        <f>INDEX('over time prices'!CT:CU,MATCH($A28,'over time prices'!CU:CU,0),1)</f>
        <v>40.840000000000003</v>
      </c>
      <c r="CZ28" s="8">
        <f>CY28/$D28-1</f>
        <v>4.6642747309072252E-2</v>
      </c>
      <c r="DA28" s="13">
        <f>CY28*$C28</f>
        <v>898.48</v>
      </c>
      <c r="DB28">
        <f>INDEX('over time prices'!CW:CX,MATCH($A28,'over time prices'!CX:CX,0),1)</f>
        <v>40.99</v>
      </c>
      <c r="DC28" s="8">
        <f>DB28/$D28-1</f>
        <v>5.0486929779600231E-2</v>
      </c>
      <c r="DD28" s="13">
        <f>DB28*$C28</f>
        <v>901.78000000000009</v>
      </c>
      <c r="DE28">
        <f>INDEX('over time prices'!CZ:DA,MATCH($A28,'over time prices'!DA:DA,0),1)</f>
        <v>41.7</v>
      </c>
      <c r="DF28" s="8">
        <f>DE28/$D28-1</f>
        <v>6.8682726806765793E-2</v>
      </c>
      <c r="DG28" s="13">
        <f>DE28*$C28</f>
        <v>917.40000000000009</v>
      </c>
      <c r="DH28">
        <f>INDEX('over time prices'!DC:DD,MATCH($A28,'over time prices'!DD:DD,0),1)</f>
        <v>42.57</v>
      </c>
      <c r="DI28" s="8">
        <f>DH28/$D28-1</f>
        <v>9.0978985135827806E-2</v>
      </c>
      <c r="DJ28" s="13">
        <f>DH28*$C28</f>
        <v>936.54</v>
      </c>
      <c r="DK28">
        <f>INDEX('over time prices'!DF:DG,MATCH($A28,'over time prices'!DG:DG,0),1)</f>
        <v>43.2</v>
      </c>
      <c r="DL28" s="8">
        <f>DK28/$D28-1</f>
        <v>0.10712455151204514</v>
      </c>
      <c r="DM28" s="13">
        <f>DK28*$C28</f>
        <v>950.40000000000009</v>
      </c>
      <c r="DN28">
        <f>INDEX('over time prices'!DI:DJ,MATCH($A28,'over time prices'!DJ:DJ,0),1)</f>
        <v>43.78</v>
      </c>
      <c r="DO28" s="8">
        <f>DN28/$D28-1</f>
        <v>0.12198872373141967</v>
      </c>
      <c r="DP28" s="13">
        <f>DN28*$C28</f>
        <v>963.16000000000008</v>
      </c>
      <c r="DQ28">
        <f>INDEX('over time prices'!DL:DM,MATCH($A28,'over time prices'!DM:DM,0),1)</f>
        <v>41</v>
      </c>
      <c r="DR28" s="8">
        <f>DQ28/$D28-1</f>
        <v>5.0743208610968704E-2</v>
      </c>
      <c r="DS28" s="13">
        <f>DQ28*$C28</f>
        <v>902</v>
      </c>
      <c r="DT28">
        <f>INDEX('over time prices'!DO:DP,MATCH($A28,'over time prices'!DP:DP,0),1)</f>
        <v>39.79</v>
      </c>
      <c r="DU28" s="8">
        <f>DT28/$D28-1</f>
        <v>1.973347001537662E-2</v>
      </c>
      <c r="DV28" s="13">
        <f>DT28*$C28</f>
        <v>875.38</v>
      </c>
      <c r="DW28">
        <f>INDEX('over time prices'!DR:DS,MATCH($A28,'over time prices'!DS:DS,0),1)</f>
        <v>41.42</v>
      </c>
      <c r="DX28" s="8">
        <f>DW28/$D28-1</f>
        <v>6.1506919528447002E-2</v>
      </c>
      <c r="DY28" s="13">
        <f>DW28*$C28</f>
        <v>911.24</v>
      </c>
      <c r="DZ28">
        <f>INDEX('over time prices'!DU:DV,MATCH($A28,'over time prices'!DV:DV,0),1)</f>
        <v>40.700000000000003</v>
      </c>
      <c r="EA28" s="8">
        <f>DZ28/$D28-1</f>
        <v>4.3054843669912746E-2</v>
      </c>
      <c r="EB28" s="13">
        <f>DZ28*$C28</f>
        <v>895.40000000000009</v>
      </c>
      <c r="EC28">
        <f>INDEX('over time prices'!DX:DY,MATCH($A28,'over time prices'!DY:DY,0),1)</f>
        <v>41.25</v>
      </c>
      <c r="ED28" s="8">
        <f>EC28/$D28-1</f>
        <v>5.7150179395181855E-2</v>
      </c>
      <c r="EE28" s="13">
        <f>EC28*$C28</f>
        <v>907.5</v>
      </c>
      <c r="EF28">
        <f>INDEX('over time prices'!EA:EB,MATCH($A28,'over time prices'!EB:EB,0),1)</f>
        <v>41.95</v>
      </c>
      <c r="EG28" s="8">
        <f>EF28/$D28-1</f>
        <v>7.5089697590978943E-2</v>
      </c>
      <c r="EH28" s="13">
        <f>EF28*$C28</f>
        <v>922.90000000000009</v>
      </c>
      <c r="EI28">
        <f>INDEX('over time prices'!ED:EE,MATCH($A28,'over time prices'!EE:EE,0),1)</f>
        <v>43.15</v>
      </c>
      <c r="EJ28" s="8">
        <f>EI28/$D28-1</f>
        <v>0.10584315735520233</v>
      </c>
      <c r="EK28" s="13">
        <f>EI28*$C28</f>
        <v>949.3</v>
      </c>
      <c r="EM28" s="8"/>
      <c r="EN28" s="13"/>
      <c r="EP28" s="8"/>
      <c r="EQ28" s="13"/>
    </row>
    <row r="29" spans="1:147" hidden="1">
      <c r="A29" s="45" t="s">
        <v>730</v>
      </c>
      <c r="B29" s="11">
        <v>45644</v>
      </c>
      <c r="C29">
        <v>45</v>
      </c>
      <c r="D29" s="12">
        <f>28.33-0.5714174238-1.142</f>
        <v>26.616582576199999</v>
      </c>
      <c r="E29" s="13">
        <f t="shared" si="5"/>
        <v>1197.7462159289998</v>
      </c>
      <c r="F29">
        <f>INDEX('over time prices'!B:C,MATCH($A29,'over time prices'!C:C,0),1)</f>
        <v>27.94</v>
      </c>
      <c r="G29" s="8">
        <f>F29/$D29-1</f>
        <v>4.9721538067902582E-2</v>
      </c>
      <c r="H29" s="13">
        <f>F29*$C29</f>
        <v>1257.3</v>
      </c>
      <c r="I29">
        <f>INDEX('over time prices'!E:F,MATCH($A29,'over time prices'!F:F,0),1)</f>
        <v>27.15</v>
      </c>
      <c r="J29" s="8">
        <f>I29/$D29-1</f>
        <v>2.0040793076004038E-2</v>
      </c>
      <c r="K29" s="13">
        <f>I29*$C29</f>
        <v>1221.75</v>
      </c>
      <c r="L29">
        <f>INDEX('over time prices'!H:I,MATCH($A29,'over time prices'!I:I,0),1)</f>
        <v>28.29</v>
      </c>
      <c r="M29" s="8">
        <f>L29/$D29-1</f>
        <v>6.2871235216211963E-2</v>
      </c>
      <c r="N29" s="13">
        <f>L29*$C29</f>
        <v>1273.05</v>
      </c>
      <c r="O29">
        <f>INDEX('over time prices'!K:L,MATCH($A29,'over time prices'!L:L,0),1)</f>
        <v>27.9</v>
      </c>
      <c r="P29" s="8">
        <f>O29/$D29-1</f>
        <v>4.8218715536667123E-2</v>
      </c>
      <c r="Q29" s="13">
        <f>O29*$C29</f>
        <v>1255.5</v>
      </c>
      <c r="R29">
        <f>INDEX('over time prices'!N:O,MATCH($A29,'over time prices'!O:O,0),1)</f>
        <v>27.65</v>
      </c>
      <c r="S29" s="8">
        <f>R29/$D29-1</f>
        <v>3.8826074716446168E-2</v>
      </c>
      <c r="T29" s="13">
        <f>R29*$C29</f>
        <v>1244.25</v>
      </c>
      <c r="U29">
        <f>INDEX('over time prices'!Q:R,MATCH($A29,'over time prices'!R:R,0),1)</f>
        <v>27.36</v>
      </c>
      <c r="V29" s="8">
        <f>U29/$D29-1</f>
        <v>2.7930611364989755E-2</v>
      </c>
      <c r="W29" s="13">
        <f>U29*$C29</f>
        <v>1231.2</v>
      </c>
      <c r="X29">
        <f>INDEX('over time prices'!T:U,MATCH($A29,'over time prices'!U:U,0),1)</f>
        <v>27.54</v>
      </c>
      <c r="Y29" s="8">
        <f>X29/$D29-1</f>
        <v>3.4693312755548877E-2</v>
      </c>
      <c r="Z29" s="13">
        <f>X29*$C29</f>
        <v>1239.3</v>
      </c>
      <c r="AA29">
        <f>INDEX('over time prices'!W:X,MATCH($A29,'over time prices'!X:X,0),1)</f>
        <v>27.12</v>
      </c>
      <c r="AB29" s="8">
        <f>AA29/$D29-1</f>
        <v>1.8913676177577665E-2</v>
      </c>
      <c r="AC29" s="13">
        <f>AA29*$C29</f>
        <v>1220.4000000000001</v>
      </c>
      <c r="AD29">
        <f>INDEX('over time prices'!Z:AA,MATCH($A29,'over time prices'!AA:AA,0),1)</f>
        <v>28</v>
      </c>
      <c r="AE29" s="8">
        <f>AD29/$D29-1</f>
        <v>5.1975771864755549E-2</v>
      </c>
      <c r="AF29" s="13">
        <f>AD29*$C29</f>
        <v>1260</v>
      </c>
      <c r="AG29">
        <f>INDEX('over time prices'!AC:AD,MATCH($A29,'over time prices'!AD:AD,0),1)</f>
        <v>28.5</v>
      </c>
      <c r="AH29" s="8">
        <f>AG29/$D29-1</f>
        <v>7.076105350519768E-2</v>
      </c>
      <c r="AI29" s="13">
        <f>AG29*$C29</f>
        <v>1282.5</v>
      </c>
      <c r="AJ29">
        <f>INDEX('over time prices'!AF:AG,MATCH($A29,'over time prices'!AG:AG,0),1)</f>
        <v>28.01</v>
      </c>
      <c r="AK29" s="8">
        <f>AJ29/$D29-1</f>
        <v>5.2351477497564636E-2</v>
      </c>
      <c r="AL29" s="13">
        <f>AJ29*$C29</f>
        <v>1260.45</v>
      </c>
      <c r="AM29">
        <f>INDEX('over time prices'!AI:AJ,MATCH($A29,'over time prices'!AJ:AJ,0),1)</f>
        <v>27.29</v>
      </c>
      <c r="AN29" s="8">
        <f>AM29/$D29-1</f>
        <v>2.5300671935327923E-2</v>
      </c>
      <c r="AO29" s="13">
        <f>AM29*$C29</f>
        <v>1228.05</v>
      </c>
      <c r="AP29">
        <f>INDEX('over time prices'!AL:AM,MATCH($A29,'over time prices'!AM:AM,0),1)</f>
        <v>27.4</v>
      </c>
      <c r="AQ29" s="8">
        <f>AP29/$D29-1</f>
        <v>2.9433433896225214E-2</v>
      </c>
      <c r="AR29" s="13">
        <f>AP29*$C29</f>
        <v>1233</v>
      </c>
      <c r="AS29">
        <f>INDEX('over time prices'!AO:AP,MATCH($A29,'over time prices'!AP:AP,0),1)</f>
        <v>27.23</v>
      </c>
      <c r="AT29" s="8">
        <f>AS29/$D29-1</f>
        <v>2.3046438138474956E-2</v>
      </c>
      <c r="AU29" s="13">
        <f>AS29*$C29</f>
        <v>1225.3499999999999</v>
      </c>
      <c r="AV29">
        <f>INDEX('over time prices'!AR:AS,MATCH($A29,'over time prices'!AS:AS,0),1)</f>
        <v>27.65</v>
      </c>
      <c r="AW29" s="8">
        <f>AV29/$D29-1</f>
        <v>3.8826074716446168E-2</v>
      </c>
      <c r="AX29" s="13">
        <f>AV29*$C29</f>
        <v>1244.25</v>
      </c>
      <c r="AY29">
        <f>INDEX('over time prices'!AU:AV,MATCH($A29,'over time prices'!AV:AV,0),1)</f>
        <v>28.62</v>
      </c>
      <c r="AZ29" s="8">
        <f>AY29/$D29-1</f>
        <v>7.5269521098903835E-2</v>
      </c>
      <c r="BA29" s="13">
        <f>AY29*$C29</f>
        <v>1287.9000000000001</v>
      </c>
      <c r="BB29">
        <f>INDEX('over time prices'!AX:AY,MATCH($A29,'over time prices'!AY:AY,0),1)</f>
        <v>28.5</v>
      </c>
      <c r="BC29" s="8">
        <f>BB29/$D29-1</f>
        <v>7.076105350519768E-2</v>
      </c>
      <c r="BD29" s="13">
        <f>BB29*$C29</f>
        <v>1282.5</v>
      </c>
      <c r="BE29">
        <f>INDEX('over time prices'!BA:BB,MATCH($A29,'over time prices'!BB:BB,0),1)</f>
        <v>28.58</v>
      </c>
      <c r="BF29" s="8">
        <f>BE29/$D29-1</f>
        <v>7.3766698567668376E-2</v>
      </c>
      <c r="BG29" s="13">
        <f>BE29*$C29</f>
        <v>1286.0999999999999</v>
      </c>
      <c r="BH29">
        <f>INDEX('over time prices'!BD:BE,MATCH($A29,'over time prices'!BE:BE,0),1)</f>
        <v>27.78</v>
      </c>
      <c r="BI29" s="8">
        <f>BH29/$D29-1</f>
        <v>4.3710247942961189E-2</v>
      </c>
      <c r="BJ29" s="13">
        <f>BH29*$C29</f>
        <v>1250.1000000000001</v>
      </c>
      <c r="BK29">
        <f>INDEX('over time prices'!BG:BH,MATCH($A29,'over time prices'!BH:BH,0),1)</f>
        <v>27.73</v>
      </c>
      <c r="BL29" s="8">
        <f>BK29/$D29-1</f>
        <v>4.1831719778916865E-2</v>
      </c>
      <c r="BM29" s="13">
        <f>BK29*$C29</f>
        <v>1247.8499999999999</v>
      </c>
      <c r="BN29">
        <f>INDEX('over time prices'!BJ:BK,MATCH($A29,'over time prices'!BK:BK,0),1)</f>
        <v>27.58</v>
      </c>
      <c r="BO29" s="8">
        <f>BN29/$D29-1</f>
        <v>3.6196135286784337E-2</v>
      </c>
      <c r="BP29" s="13">
        <f>BN29*$C29</f>
        <v>1241.0999999999999</v>
      </c>
      <c r="BQ29">
        <f>INDEX('over time prices'!BM:BN,MATCH($A29,'over time prices'!BN:BN,0),1)</f>
        <v>27.36</v>
      </c>
      <c r="BR29" s="8">
        <f>BQ29/$D29-1</f>
        <v>2.7930611364989755E-2</v>
      </c>
      <c r="BS29" s="13">
        <f>BQ29*$C29</f>
        <v>1231.2</v>
      </c>
      <c r="BT29">
        <f>INDEX('over time prices'!BP:BQ,MATCH($A29,'over time prices'!BQ:BQ,0),1)</f>
        <v>27.2</v>
      </c>
      <c r="BU29" s="8">
        <f>BT29/$D29-1</f>
        <v>2.1919321240048362E-2</v>
      </c>
      <c r="BV29" s="13">
        <f>BT29*$C29</f>
        <v>1224</v>
      </c>
      <c r="BX29">
        <f>INDEX('over time prices'!BS:BT,MATCH($A29,'over time prices'!BT:BT,0),1)</f>
        <v>27.5</v>
      </c>
      <c r="BY29" s="8">
        <f>BX29/$D29-1</f>
        <v>3.319049022431364E-2</v>
      </c>
      <c r="BZ29" s="13">
        <f>BX29*$C29</f>
        <v>1237.5</v>
      </c>
      <c r="CA29">
        <f>INDEX('over time prices'!BV:BW,MATCH($A29,'over time prices'!BW:BW,0),1)</f>
        <v>28</v>
      </c>
      <c r="CB29" s="8">
        <f>CA29/$D29-1</f>
        <v>5.1975771864755549E-2</v>
      </c>
      <c r="CC29" s="13">
        <f>CA29*$C29</f>
        <v>1260</v>
      </c>
      <c r="CD29">
        <f>INDEX('over time prices'!BY:BZ,MATCH($A29,'over time prices'!BZ:BZ,0),1)</f>
        <v>28</v>
      </c>
      <c r="CE29" s="8">
        <f>CD29/$D29-1</f>
        <v>5.1975771864755549E-2</v>
      </c>
      <c r="CF29" s="13">
        <f>CD29*$C29</f>
        <v>1260</v>
      </c>
      <c r="CG29">
        <f>INDEX('over time prices'!CB:CC,MATCH($A29,'over time prices'!CC:CC,0),1)</f>
        <v>28</v>
      </c>
      <c r="CH29" s="8">
        <f>CG29/$D29-1</f>
        <v>5.1975771864755549E-2</v>
      </c>
      <c r="CI29" s="13">
        <f>CG29*$C29</f>
        <v>1260</v>
      </c>
      <c r="CJ29">
        <f>INDEX('over time prices'!CE:CF,MATCH($A29,'over time prices'!CF:CF,0),1)</f>
        <v>27.9</v>
      </c>
      <c r="CK29" s="8">
        <f>CJ29/$D29-1</f>
        <v>4.8218715536667123E-2</v>
      </c>
      <c r="CL29" s="13">
        <f>CJ29*$C29</f>
        <v>1255.5</v>
      </c>
      <c r="CM29">
        <f>INDEX('over time prices'!CH:CI,MATCH($A29,'over time prices'!CI:CI,0),1)</f>
        <v>28.05</v>
      </c>
      <c r="CN29" s="8">
        <f>CM29/$D29-1</f>
        <v>5.3854300028799873E-2</v>
      </c>
      <c r="CO29" s="13">
        <f>CM29*$C29</f>
        <v>1262.25</v>
      </c>
      <c r="CP29">
        <f>INDEX('over time prices'!CK:CL,MATCH($A29,'over time prices'!CL:CL,0),1)</f>
        <v>28.04</v>
      </c>
      <c r="CQ29" s="8">
        <f>CP29/$D29-1</f>
        <v>5.3478594395991008E-2</v>
      </c>
      <c r="CR29" s="13">
        <f>CP29*$C29</f>
        <v>1261.8</v>
      </c>
      <c r="CS29">
        <f>INDEX('over time prices'!CN:CO,MATCH($A29,'over time prices'!CO:CO,0),1)</f>
        <v>29</v>
      </c>
      <c r="CT29" s="8">
        <f>CS29/$D29-1</f>
        <v>8.954633514563981E-2</v>
      </c>
      <c r="CU29" s="13">
        <f>CS29*$C29</f>
        <v>1305</v>
      </c>
      <c r="CV29">
        <f>INDEX('over time prices'!CQ:CR,MATCH($A29,'over time prices'!CR:CR,0),1)</f>
        <v>28.5</v>
      </c>
      <c r="CW29" s="8">
        <f>CV29/$D29-1</f>
        <v>7.076105350519768E-2</v>
      </c>
      <c r="CX29" s="13">
        <f>CV29*$C29</f>
        <v>1282.5</v>
      </c>
      <c r="CY29">
        <f>INDEX('over time prices'!CT:CU,MATCH($A29,'over time prices'!CU:CU,0),1)</f>
        <v>27.98</v>
      </c>
      <c r="CZ29" s="8">
        <f>CY29/$D29-1</f>
        <v>5.1224360599138041E-2</v>
      </c>
      <c r="DA29" s="13">
        <f>CY29*$C29</f>
        <v>1259.0999999999999</v>
      </c>
      <c r="DB29">
        <f>INDEX('over time prices'!CW:CX,MATCH($A29,'over time prices'!CX:CX,0),1)</f>
        <v>27.65</v>
      </c>
      <c r="DC29" s="8">
        <f>DB29/$D29-1</f>
        <v>3.8826074716446168E-2</v>
      </c>
      <c r="DD29" s="13">
        <f>DB29*$C29</f>
        <v>1244.25</v>
      </c>
      <c r="DE29">
        <f>INDEX('over time prices'!CZ:DA,MATCH($A29,'over time prices'!DA:DA,0),1)</f>
        <v>27.65</v>
      </c>
      <c r="DF29" s="8">
        <f>DE29/$D29-1</f>
        <v>3.8826074716446168E-2</v>
      </c>
      <c r="DG29" s="13">
        <f>DE29*$C29</f>
        <v>1244.25</v>
      </c>
      <c r="DH29">
        <f>INDEX('over time prices'!DC:DD,MATCH($A29,'over time prices'!DD:DD,0),1)</f>
        <v>27.66</v>
      </c>
      <c r="DI29" s="8">
        <f>DH29/$D29-1</f>
        <v>3.9201780349255033E-2</v>
      </c>
      <c r="DJ29" s="13">
        <f>DH29*$C29</f>
        <v>1244.7</v>
      </c>
      <c r="DK29">
        <f>INDEX('over time prices'!DF:DG,MATCH($A29,'over time prices'!DG:DG,0),1)</f>
        <v>27.55</v>
      </c>
      <c r="DL29" s="8">
        <f>DK29/$D29-1</f>
        <v>3.5069018388357742E-2</v>
      </c>
      <c r="DM29" s="13">
        <f>DK29*$C29</f>
        <v>1239.75</v>
      </c>
      <c r="DN29">
        <f>INDEX('over time prices'!DI:DJ,MATCH($A29,'over time prices'!DJ:DJ,0),1)</f>
        <v>27.76</v>
      </c>
      <c r="DO29" s="8">
        <f>DN29/$D29-1</f>
        <v>4.2958836677343459E-2</v>
      </c>
      <c r="DP29" s="13">
        <f>DN29*$C29</f>
        <v>1249.2</v>
      </c>
      <c r="DQ29">
        <f>INDEX('over time prices'!DL:DM,MATCH($A29,'over time prices'!DM:DM,0),1)</f>
        <v>27.3</v>
      </c>
      <c r="DR29" s="8">
        <f>DQ29/$D29-1</f>
        <v>2.5676377568136788E-2</v>
      </c>
      <c r="DS29" s="13">
        <f>DQ29*$C29</f>
        <v>1228.5</v>
      </c>
      <c r="DT29">
        <f>INDEX('over time prices'!DO:DP,MATCH($A29,'over time prices'!DP:DP,0),1)</f>
        <v>26.95</v>
      </c>
      <c r="DU29" s="8">
        <f>DT29/$D29-1</f>
        <v>1.2526680419827185E-2</v>
      </c>
      <c r="DV29" s="13">
        <f>DT29*$C29</f>
        <v>1212.75</v>
      </c>
      <c r="DW29">
        <f>INDEX('over time prices'!DR:DS,MATCH($A29,'over time prices'!DS:DS,0),1)</f>
        <v>27.15</v>
      </c>
      <c r="DX29" s="8">
        <f>DW29/$D29-1</f>
        <v>2.0040793076004038E-2</v>
      </c>
      <c r="DY29" s="13">
        <f>DW29*$C29</f>
        <v>1221.75</v>
      </c>
      <c r="DZ29">
        <f>INDEX('over time prices'!DU:DV,MATCH($A29,'over time prices'!DV:DV,0),1)</f>
        <v>26.96</v>
      </c>
      <c r="EA29" s="8">
        <f>DZ29/$D29-1</f>
        <v>1.2902386052636272E-2</v>
      </c>
      <c r="EB29" s="13">
        <f>DZ29*$C29</f>
        <v>1213.2</v>
      </c>
      <c r="EC29">
        <f>INDEX('over time prices'!DX:DY,MATCH($A29,'over time prices'!DY:DY,0),1)</f>
        <v>26.65</v>
      </c>
      <c r="ED29" s="8">
        <f>EC29/$D29-1</f>
        <v>1.2555114355619068E-3</v>
      </c>
      <c r="EE29" s="13">
        <f>EC29*$C29</f>
        <v>1199.25</v>
      </c>
      <c r="EF29">
        <f>INDEX('over time prices'!EA:EB,MATCH($A29,'over time prices'!EB:EB,0),1)</f>
        <v>27.25</v>
      </c>
      <c r="EG29" s="8">
        <f>EF29/$D29-1</f>
        <v>2.3797849404092464E-2</v>
      </c>
      <c r="EH29" s="13">
        <f>EF29*$C29</f>
        <v>1226.25</v>
      </c>
      <c r="EI29">
        <f>INDEX('over time prices'!ED:EE,MATCH($A29,'over time prices'!EE:EE,0),1)</f>
        <v>26.22</v>
      </c>
      <c r="EJ29" s="8">
        <f>EI29/$D29-1</f>
        <v>-1.489983077521817E-2</v>
      </c>
      <c r="EK29" s="13">
        <f>EI29*$C29</f>
        <v>1179.8999999999999</v>
      </c>
      <c r="EM29" s="8"/>
      <c r="EN29" s="13"/>
      <c r="EP29" s="8"/>
      <c r="EQ29" s="13"/>
    </row>
    <row r="30" spans="1:147" hidden="1">
      <c r="A30" s="45" t="s">
        <v>911</v>
      </c>
      <c r="B30" s="11">
        <v>45644</v>
      </c>
      <c r="C30">
        <v>27</v>
      </c>
      <c r="D30">
        <f>60.69-7.5</f>
        <v>53.19</v>
      </c>
      <c r="E30" s="13">
        <f>C30*D30</f>
        <v>1436.1299999999999</v>
      </c>
      <c r="F30">
        <f>INDEX('over time prices'!B:C,MATCH($A30,'over time prices'!C:C,0),1)</f>
        <v>49.55</v>
      </c>
      <c r="G30" s="8">
        <f>F30/$D30-1</f>
        <v>-6.8433916149652219E-2</v>
      </c>
      <c r="H30" s="13">
        <f>F30*$C30</f>
        <v>1337.85</v>
      </c>
      <c r="I30">
        <f>INDEX('over time prices'!E:F,MATCH($A30,'over time prices'!F:F,0),1)</f>
        <v>48.99</v>
      </c>
      <c r="J30" s="8">
        <f>I30/$D30-1</f>
        <v>-7.8962210941906252E-2</v>
      </c>
      <c r="K30" s="13">
        <f>I30*$C30</f>
        <v>1322.73</v>
      </c>
      <c r="L30">
        <f>INDEX('over time prices'!H:I,MATCH($A30,'over time prices'!I:I,0),1)</f>
        <v>50.51</v>
      </c>
      <c r="M30" s="8">
        <f>L30/$D30-1</f>
        <v>-5.0385410791502161E-2</v>
      </c>
      <c r="N30" s="13">
        <f>L30*$C30</f>
        <v>1363.77</v>
      </c>
      <c r="O30">
        <f>INDEX('over time prices'!K:L,MATCH($A30,'over time prices'!L:L,0),1)</f>
        <v>49.62</v>
      </c>
      <c r="P30" s="8">
        <f>O30/$D30-1</f>
        <v>-6.7117879300620409E-2</v>
      </c>
      <c r="Q30" s="13">
        <f>O30*$C30</f>
        <v>1339.74</v>
      </c>
      <c r="R30">
        <f>INDEX('over time prices'!N:O,MATCH($A30,'over time prices'!O:O,0),1)</f>
        <v>48.9</v>
      </c>
      <c r="S30" s="8">
        <f>R30/$D30-1</f>
        <v>-8.0654258319232897E-2</v>
      </c>
      <c r="T30" s="13">
        <f>R30*$C30</f>
        <v>1320.3</v>
      </c>
      <c r="U30">
        <f>INDEX('over time prices'!Q:R,MATCH($A30,'over time prices'!R:R,0),1)</f>
        <v>49.15</v>
      </c>
      <c r="V30" s="8">
        <f>U30/$D30-1</f>
        <v>-7.595412671554802E-2</v>
      </c>
      <c r="W30" s="13">
        <f>U30*$C30</f>
        <v>1327.05</v>
      </c>
      <c r="X30">
        <f>INDEX('over time prices'!T:U,MATCH($A30,'over time prices'!U:U,0),1)</f>
        <v>49.08</v>
      </c>
      <c r="Y30" s="8">
        <f>X30/$D30-1</f>
        <v>-7.727016356457983E-2</v>
      </c>
      <c r="Z30" s="13">
        <f>X30*$C30</f>
        <v>1325.1599999999999</v>
      </c>
      <c r="AA30">
        <f>INDEX('over time prices'!W:X,MATCH($A30,'over time prices'!X:X,0),1)</f>
        <v>48.91</v>
      </c>
      <c r="AB30" s="8">
        <f>AA30/$D30-1</f>
        <v>-8.046625305508559E-2</v>
      </c>
      <c r="AC30" s="13">
        <f>AA30*$C30</f>
        <v>1320.57</v>
      </c>
      <c r="AD30">
        <f>INDEX('over time prices'!Z:AA,MATCH($A30,'over time prices'!AA:AA,0),1)</f>
        <v>49.96</v>
      </c>
      <c r="AE30" s="8">
        <f>AD30/$D30-1</f>
        <v>-6.0725700319608888E-2</v>
      </c>
      <c r="AF30" s="13">
        <f>AD30*$C30</f>
        <v>1348.92</v>
      </c>
      <c r="AG30">
        <f>INDEX('over time prices'!AC:AD,MATCH($A30,'over time prices'!AD:AD,0),1)</f>
        <v>49.24</v>
      </c>
      <c r="AH30" s="8">
        <f>AG30/$D30-1</f>
        <v>-7.4262079338221376E-2</v>
      </c>
      <c r="AI30" s="13">
        <f>AG30*$C30</f>
        <v>1329.48</v>
      </c>
      <c r="AJ30">
        <f>INDEX('over time prices'!AF:AG,MATCH($A30,'over time prices'!AG:AG,0),1)</f>
        <v>48.65</v>
      </c>
      <c r="AK30" s="8">
        <f>AJ30/$D30-1</f>
        <v>-8.5354389922917884E-2</v>
      </c>
      <c r="AL30" s="13">
        <f>AJ30*$C30</f>
        <v>1313.55</v>
      </c>
      <c r="AM30">
        <f>INDEX('over time prices'!AI:AJ,MATCH($A30,'over time prices'!AJ:AJ,0),1)</f>
        <v>48.12</v>
      </c>
      <c r="AN30" s="8">
        <f>AM30/$D30-1</f>
        <v>-9.5318668922729888E-2</v>
      </c>
      <c r="AO30" s="13">
        <f>AM30*$C30</f>
        <v>1299.24</v>
      </c>
      <c r="AP30">
        <f>INDEX('over time prices'!AL:AM,MATCH($A30,'over time prices'!AM:AM,0),1)</f>
        <v>51</v>
      </c>
      <c r="AQ30" s="8">
        <f>AP30/$D30-1</f>
        <v>-4.1173152848279715E-2</v>
      </c>
      <c r="AR30" s="13">
        <f>AP30*$C30</f>
        <v>1377</v>
      </c>
      <c r="AS30">
        <f>INDEX('over time prices'!AO:AP,MATCH($A30,'over time prices'!AP:AP,0),1)</f>
        <v>53.13</v>
      </c>
      <c r="AT30" s="8">
        <f>AS30/$D30-1</f>
        <v>-1.1280315848842815E-3</v>
      </c>
      <c r="AU30" s="13">
        <f>AS30*$C30</f>
        <v>1434.51</v>
      </c>
      <c r="AV30">
        <f>INDEX('over time prices'!AR:AS,MATCH($A30,'over time prices'!AS:AS,0),1)</f>
        <v>56.08</v>
      </c>
      <c r="AW30" s="8">
        <f>AV30/$D30-1</f>
        <v>5.433352133859759E-2</v>
      </c>
      <c r="AX30" s="13">
        <f>AV30*$C30</f>
        <v>1514.1599999999999</v>
      </c>
      <c r="AY30">
        <f>INDEX('over time prices'!AU:AV,MATCH($A30,'over time prices'!AV:AV,0),1)</f>
        <v>56.04</v>
      </c>
      <c r="AZ30" s="8">
        <f>AY30/$D30-1</f>
        <v>5.3581500282007921E-2</v>
      </c>
      <c r="BA30" s="13">
        <f>AY30*$C30</f>
        <v>1513.08</v>
      </c>
      <c r="BB30">
        <f>INDEX('over time prices'!AX:AY,MATCH($A30,'over time prices'!AY:AY,0),1)</f>
        <v>54</v>
      </c>
      <c r="BC30" s="8">
        <f>BB30/$D30-1</f>
        <v>1.5228426395939021E-2</v>
      </c>
      <c r="BD30" s="13">
        <f>BB30*$C30</f>
        <v>1458</v>
      </c>
      <c r="BE30">
        <f>INDEX('over time prices'!BA:BB,MATCH($A30,'over time prices'!BB:BB,0),1)</f>
        <v>54.55</v>
      </c>
      <c r="BF30" s="8">
        <f>BE30/$D30-1</f>
        <v>2.5568715924045859E-2</v>
      </c>
      <c r="BG30" s="13">
        <f>BE30*$C30</f>
        <v>1472.85</v>
      </c>
      <c r="BH30">
        <f>INDEX('over time prices'!BD:BE,MATCH($A30,'over time prices'!BE:BE,0),1)</f>
        <v>55.7</v>
      </c>
      <c r="BI30" s="8">
        <f>BH30/$D30-1</f>
        <v>4.7189321300996623E-2</v>
      </c>
      <c r="BJ30" s="13">
        <f>BH30*$C30</f>
        <v>1503.9</v>
      </c>
      <c r="BK30">
        <f>INDEX('over time prices'!BG:BH,MATCH($A30,'over time prices'!BH:BH,0),1)</f>
        <v>55.19</v>
      </c>
      <c r="BL30" s="8">
        <f>BK30/$D30-1</f>
        <v>3.7601052829479231E-2</v>
      </c>
      <c r="BM30" s="13">
        <f>BK30*$C30</f>
        <v>1490.1299999999999</v>
      </c>
      <c r="BN30">
        <f>INDEX('over time prices'!BJ:BK,MATCH($A30,'over time prices'!BK:BK,0),1)</f>
        <v>55.75</v>
      </c>
      <c r="BO30" s="8">
        <f>BN30/$D30-1</f>
        <v>4.8129347621733487E-2</v>
      </c>
      <c r="BP30" s="13">
        <f>BN30*$C30</f>
        <v>1505.25</v>
      </c>
      <c r="BQ30">
        <f>INDEX('over time prices'!BM:BN,MATCH($A30,'over time prices'!BN:BN,0),1)</f>
        <v>57.5</v>
      </c>
      <c r="BR30" s="8">
        <f>BQ30/$D30-1</f>
        <v>8.1030268847527731E-2</v>
      </c>
      <c r="BS30" s="13">
        <f>BQ30*$C30</f>
        <v>1552.5</v>
      </c>
      <c r="BT30">
        <f>INDEX('over time prices'!BP:BQ,MATCH($A30,'over time prices'!BQ:BQ,0),1)</f>
        <v>56.5</v>
      </c>
      <c r="BU30" s="8">
        <f>BT30/$D30-1</f>
        <v>6.2229742432788226E-2</v>
      </c>
      <c r="BV30" s="13">
        <f>BT30*$C30</f>
        <v>1525.5</v>
      </c>
      <c r="BX30">
        <f>INDEX('over time prices'!BS:BT,MATCH($A30,'over time prices'!BT:BT,0),1)</f>
        <v>57.9</v>
      </c>
      <c r="BY30" s="8">
        <f>BX30/$D30-1</f>
        <v>8.8550479413423533E-2</v>
      </c>
      <c r="BZ30" s="13">
        <f>BX30*$C30</f>
        <v>1563.3</v>
      </c>
      <c r="CA30">
        <f>INDEX('over time prices'!BV:BW,MATCH($A30,'over time prices'!BW:BW,0),1)</f>
        <v>57.4</v>
      </c>
      <c r="CB30" s="8">
        <f>CA30/$D30-1</f>
        <v>7.9150216206053781E-2</v>
      </c>
      <c r="CC30" s="13">
        <f>CA30*$C30</f>
        <v>1549.8</v>
      </c>
      <c r="CD30">
        <f>INDEX('over time prices'!BY:BZ,MATCH($A30,'over time prices'!BZ:BZ,0),1)</f>
        <v>58</v>
      </c>
      <c r="CE30" s="8">
        <f>CD30/$D30-1</f>
        <v>9.0430532054897483E-2</v>
      </c>
      <c r="CF30" s="13">
        <f>CD30*$C30</f>
        <v>1566</v>
      </c>
      <c r="CG30">
        <f>INDEX('over time prices'!CB:CC,MATCH($A30,'over time prices'!CC:CC,0),1)</f>
        <v>59.35</v>
      </c>
      <c r="CH30" s="8">
        <f>CG30/$D30-1</f>
        <v>0.11581124271479615</v>
      </c>
      <c r="CI30" s="13">
        <f>CG30*$C30</f>
        <v>1602.45</v>
      </c>
      <c r="CJ30">
        <f>INDEX('over time prices'!CE:CF,MATCH($A30,'over time prices'!CF:CF,0),1)</f>
        <v>59</v>
      </c>
      <c r="CK30" s="8">
        <f>CJ30/$D30-1</f>
        <v>0.10923105846963721</v>
      </c>
      <c r="CL30" s="13">
        <f>CJ30*$C30</f>
        <v>1593</v>
      </c>
      <c r="CM30">
        <f>INDEX('over time prices'!CH:CI,MATCH($A30,'over time prices'!CI:CI,0),1)</f>
        <v>58.51</v>
      </c>
      <c r="CN30" s="8">
        <f>CM30/$D30-1</f>
        <v>0.10001880052641465</v>
      </c>
      <c r="CO30" s="13">
        <f>CM30*$C30</f>
        <v>1579.77</v>
      </c>
      <c r="CP30">
        <f>INDEX('over time prices'!CK:CL,MATCH($A30,'over time prices'!CL:CL,0),1)</f>
        <v>58.5</v>
      </c>
      <c r="CQ30" s="8">
        <f>CP30/$D30-1</f>
        <v>9.9830795262267458E-2</v>
      </c>
      <c r="CR30" s="13">
        <f>CP30*$C30</f>
        <v>1579.5</v>
      </c>
      <c r="CS30">
        <f>INDEX('over time prices'!CN:CO,MATCH($A30,'over time prices'!CO:CO,0),1)</f>
        <v>57.48</v>
      </c>
      <c r="CT30" s="8">
        <f>CS30/$D30-1</f>
        <v>8.0654258319232897E-2</v>
      </c>
      <c r="CU30" s="13">
        <f>CS30*$C30</f>
        <v>1551.9599999999998</v>
      </c>
      <c r="CV30">
        <f>INDEX('over time prices'!CQ:CR,MATCH($A30,'over time prices'!CR:CR,0),1)</f>
        <v>58.8</v>
      </c>
      <c r="CW30" s="8">
        <f>CV30/$D30-1</f>
        <v>0.10547095318668931</v>
      </c>
      <c r="CX30" s="13">
        <f>CV30*$C30</f>
        <v>1587.6</v>
      </c>
      <c r="CY30">
        <f>INDEX('over time prices'!CT:CU,MATCH($A30,'over time prices'!CU:CU,0),1)</f>
        <v>61</v>
      </c>
      <c r="CZ30" s="8">
        <f>CY30/$D30-1</f>
        <v>0.14683211129911644</v>
      </c>
      <c r="DA30" s="13">
        <f>CY30*$C30</f>
        <v>1647</v>
      </c>
      <c r="DB30">
        <f>INDEX('over time prices'!CW:CX,MATCH($A30,'over time prices'!CX:CX,0),1)</f>
        <v>60.94</v>
      </c>
      <c r="DC30" s="8">
        <f>DB30/$D30-1</f>
        <v>0.14570407971423194</v>
      </c>
      <c r="DD30" s="13">
        <f>DB30*$C30</f>
        <v>1645.3799999999999</v>
      </c>
      <c r="DE30">
        <f>INDEX('over time prices'!CZ:DA,MATCH($A30,'over time prices'!DA:DA,0),1)</f>
        <v>59.99</v>
      </c>
      <c r="DF30" s="8">
        <f>DE30/$D30-1</f>
        <v>0.12784357962022952</v>
      </c>
      <c r="DG30" s="13">
        <f>DE30*$C30</f>
        <v>1619.73</v>
      </c>
      <c r="DH30">
        <f>INDEX('over time prices'!DC:DD,MATCH($A30,'over time prices'!DD:DD,0),1)</f>
        <v>58.73</v>
      </c>
      <c r="DI30" s="8">
        <f>DH30/$D30-1</f>
        <v>0.10415491633765739</v>
      </c>
      <c r="DJ30" s="13">
        <f>DH30*$C30</f>
        <v>1585.7099999999998</v>
      </c>
      <c r="DK30">
        <f>INDEX('over time prices'!DF:DG,MATCH($A30,'over time prices'!DG:DG,0),1)</f>
        <v>59.2</v>
      </c>
      <c r="DL30" s="8">
        <f>DK30/$D30-1</f>
        <v>0.11299116375258511</v>
      </c>
      <c r="DM30" s="13">
        <f>DK30*$C30</f>
        <v>1598.4</v>
      </c>
      <c r="DN30">
        <f>INDEX('over time prices'!DI:DJ,MATCH($A30,'over time prices'!DJ:DJ,0),1)</f>
        <v>55.26</v>
      </c>
      <c r="DO30" s="8">
        <f>DN30/$D30-1</f>
        <v>3.891708967851093E-2</v>
      </c>
      <c r="DP30" s="13">
        <f>DN30*$C30</f>
        <v>1492.02</v>
      </c>
      <c r="DQ30">
        <f>INDEX('over time prices'!DL:DM,MATCH($A30,'over time prices'!DM:DM,0),1)</f>
        <v>54.3</v>
      </c>
      <c r="DR30" s="8">
        <f>DQ30/$D30-1</f>
        <v>2.0868584320360872E-2</v>
      </c>
      <c r="DS30" s="13">
        <f>DQ30*$C30</f>
        <v>1466.1</v>
      </c>
      <c r="DT30">
        <f>INDEX('over time prices'!DO:DP,MATCH($A30,'over time prices'!DP:DP,0),1)</f>
        <v>51.21</v>
      </c>
      <c r="DU30" s="8">
        <f>DT30/$D30-1</f>
        <v>-3.7225042301184397E-2</v>
      </c>
      <c r="DV30" s="13">
        <f>DT30*$C30</f>
        <v>1382.67</v>
      </c>
      <c r="DW30">
        <f>INDEX('over time prices'!DR:DS,MATCH($A30,'over time prices'!DS:DS,0),1)</f>
        <v>53.97</v>
      </c>
      <c r="DX30" s="8">
        <f>DW30/$D30-1</f>
        <v>1.4664410603496991E-2</v>
      </c>
      <c r="DY30" s="13">
        <f>DW30*$C30</f>
        <v>1457.19</v>
      </c>
      <c r="DZ30">
        <f>INDEX('over time prices'!DU:DV,MATCH($A30,'over time prices'!DV:DV,0),1)</f>
        <v>52.8</v>
      </c>
      <c r="EA30" s="8">
        <f>DZ30/$D30-1</f>
        <v>-7.3322053017484956E-3</v>
      </c>
      <c r="EB30" s="13">
        <f>DZ30*$C30</f>
        <v>1425.6</v>
      </c>
      <c r="EC30">
        <f>INDEX('over time prices'!DX:DY,MATCH($A30,'over time prices'!DY:DY,0),1)</f>
        <v>49.81</v>
      </c>
      <c r="ED30" s="8">
        <f>EC30/$D30-1</f>
        <v>-6.3545779281819814E-2</v>
      </c>
      <c r="EE30" s="13">
        <f>EC30*$C30</f>
        <v>1344.8700000000001</v>
      </c>
      <c r="EF30">
        <f>INDEX('over time prices'!EA:EB,MATCH($A30,'over time prices'!EB:EB,0),1)</f>
        <v>49</v>
      </c>
      <c r="EG30" s="8">
        <f>EF30/$D30-1</f>
        <v>-7.8774205677758946E-2</v>
      </c>
      <c r="EH30" s="13">
        <f>EF30*$C30</f>
        <v>1323</v>
      </c>
      <c r="EI30">
        <f>INDEX('over time prices'!ED:EE,MATCH($A30,'over time prices'!EE:EE,0),1)</f>
        <v>48.32</v>
      </c>
      <c r="EJ30" s="8">
        <f>EI30/$D30-1</f>
        <v>-9.1558563639781876E-2</v>
      </c>
      <c r="EK30" s="13">
        <f>EI30*$C30</f>
        <v>1304.6400000000001</v>
      </c>
      <c r="EM30" s="8"/>
      <c r="EN30" s="13"/>
      <c r="EP30" s="8"/>
      <c r="EQ30" s="13"/>
    </row>
    <row r="31" spans="1:147">
      <c r="B31" s="11"/>
      <c r="E31" s="13"/>
    </row>
    <row r="32" spans="1:147">
      <c r="H32" s="12">
        <f>SUM(H2:H31)</f>
        <v>17140.099999999999</v>
      </c>
      <c r="K32" s="12">
        <f>SUM(K2:K31)</f>
        <v>16796.78</v>
      </c>
      <c r="N32" s="12">
        <f>SUM(N2:N31)</f>
        <v>16828.169999999998</v>
      </c>
      <c r="Q32" s="12">
        <f>SUM(Q2:Q31)</f>
        <v>16734.070000000003</v>
      </c>
      <c r="T32" s="12">
        <f>SUM(T2:T31)</f>
        <v>16317.97</v>
      </c>
      <c r="W32" s="12">
        <f>SUM(W2:W31)</f>
        <v>16366.93</v>
      </c>
      <c r="Z32" s="12">
        <f>SUM(Z2:Z31)</f>
        <v>16423.18</v>
      </c>
      <c r="AC32" s="12">
        <f>SUM(AC2:AC31)</f>
        <v>16362.390000000001</v>
      </c>
      <c r="AF32" s="12">
        <f>SUM(AF2:AF31)</f>
        <v>16670.900000000001</v>
      </c>
      <c r="AI32" s="12">
        <f>SUM(AI2:AI31)</f>
        <v>16758.230000000003</v>
      </c>
      <c r="AL32" s="12">
        <f>SUM(AL2:AL31)</f>
        <v>16722.45</v>
      </c>
      <c r="AO32" s="12">
        <f>SUM(AO2:AO31)</f>
        <v>16779.43</v>
      </c>
      <c r="AR32" s="12">
        <f>SUM(AR2:AR31)</f>
        <v>16485.54</v>
      </c>
      <c r="AU32" s="12">
        <f>SUM(AU2:AU31)</f>
        <v>16128.340000000002</v>
      </c>
      <c r="AX32" s="12">
        <f>SUM(AX2:AX31)</f>
        <v>16662.86</v>
      </c>
      <c r="BA32" s="12">
        <f>SUM(BA2:BA31)</f>
        <v>16878.269999999997</v>
      </c>
      <c r="BD32" s="12">
        <f>SUM(BD2:BD31)</f>
        <v>16993.449999999997</v>
      </c>
      <c r="BG32" s="12">
        <f>SUM(BG2:BG31)</f>
        <v>16835.300000000003</v>
      </c>
      <c r="BJ32" s="12">
        <f>SUM(BJ2:BJ31)</f>
        <v>16921.280000000002</v>
      </c>
      <c r="BM32" s="12">
        <f>SUM(BM2:BM31)</f>
        <v>16745.04</v>
      </c>
      <c r="BP32" s="12">
        <f>SUM(BP2:BP31)</f>
        <v>16846.57</v>
      </c>
      <c r="BS32" s="12">
        <f>SUM(BS2:BS31)</f>
        <v>15692.289999999999</v>
      </c>
      <c r="BV32" s="12">
        <f>SUM(BV2:BV31)</f>
        <v>16363.53</v>
      </c>
      <c r="BZ32" s="12">
        <f>SUM(BZ2:BZ31)</f>
        <v>16470.93</v>
      </c>
      <c r="CC32" s="12">
        <f>SUM(CC2:CC31)</f>
        <v>16556.490000000002</v>
      </c>
      <c r="CF32" s="12">
        <f>SUM(CF2:CF31)</f>
        <v>16552.47</v>
      </c>
      <c r="CI32" s="12">
        <f>SUM(CI2:CI31)</f>
        <v>16790.2</v>
      </c>
      <c r="CL32" s="12">
        <f>SUM(CL2:CL31)</f>
        <v>16828.580000000002</v>
      </c>
      <c r="CO32" s="12">
        <f>SUM(CO2:CO31)</f>
        <v>16880.059999999998</v>
      </c>
      <c r="CR32" s="12">
        <f>SUM(CR2:CR31)</f>
        <v>16941.91</v>
      </c>
      <c r="CU32" s="12">
        <f>SUM(CU2:CU31)</f>
        <v>16799.670000000002</v>
      </c>
      <c r="CX32" s="12">
        <f>SUM(CX2:CX31)</f>
        <v>16915.759999999998</v>
      </c>
      <c r="DA32" s="12">
        <f>SUM(DA2:DA31)</f>
        <v>17122.420000000002</v>
      </c>
      <c r="DD32" s="12">
        <f>SUM(DD2:DD31)</f>
        <v>17049.37</v>
      </c>
      <c r="DG32" s="12">
        <f>SUM(DG2:DG31)</f>
        <v>16405.82</v>
      </c>
      <c r="DJ32" s="12">
        <f>SUM(DJ2:DJ31)</f>
        <v>17462.320000000003</v>
      </c>
      <c r="DM32" s="12">
        <f>SUM(DM2:DM31)</f>
        <v>17467.440000000002</v>
      </c>
      <c r="DP32" s="12">
        <f>SUM(DP2:DP31)</f>
        <v>18086.079999999998</v>
      </c>
      <c r="DS32" s="12">
        <f>SUM(DS2:DS31)</f>
        <v>17582.43</v>
      </c>
      <c r="DV32" s="12">
        <f>SUM(DV2:DV31)</f>
        <v>17133.449999999997</v>
      </c>
      <c r="DY32" s="12">
        <f>SUM(DY2:DY31)</f>
        <v>17516.27</v>
      </c>
      <c r="EB32" s="12">
        <f>SUM(EB2:EB31)</f>
        <v>17191.900000000001</v>
      </c>
      <c r="EE32" s="12">
        <f>SUM(EE2:EE31)</f>
        <v>16818.400000000001</v>
      </c>
      <c r="EH32" s="12">
        <f>SUM(EH2:EH31)</f>
        <v>17103.46</v>
      </c>
      <c r="EK32" s="12">
        <f>SUM(EK2:EK31)</f>
        <v>16440.939999999999</v>
      </c>
      <c r="EN32" s="12">
        <f>SUM(EN2:EN31)</f>
        <v>15286.98</v>
      </c>
      <c r="EQ32" s="12">
        <f>SUM(EQ2:EQ31)</f>
        <v>15765.189999999997</v>
      </c>
    </row>
    <row r="33" spans="5:149">
      <c r="H33">
        <v>15.75</v>
      </c>
      <c r="K33">
        <v>15.75</v>
      </c>
      <c r="N33">
        <v>15.75</v>
      </c>
      <c r="Q33">
        <v>15.75</v>
      </c>
      <c r="T33">
        <v>15.75</v>
      </c>
      <c r="W33">
        <v>15.75</v>
      </c>
      <c r="Z33">
        <v>15.75</v>
      </c>
      <c r="AC33">
        <v>110</v>
      </c>
      <c r="AF33">
        <v>110</v>
      </c>
      <c r="AI33">
        <v>110</v>
      </c>
      <c r="AL33">
        <v>110</v>
      </c>
      <c r="AO33">
        <v>110</v>
      </c>
      <c r="AR33">
        <v>110</v>
      </c>
      <c r="AU33">
        <v>110</v>
      </c>
      <c r="AX33">
        <v>110</v>
      </c>
      <c r="BA33">
        <v>110</v>
      </c>
      <c r="BD33">
        <v>110</v>
      </c>
      <c r="BG33">
        <v>110</v>
      </c>
      <c r="BJ33">
        <v>110</v>
      </c>
      <c r="BM33">
        <v>110</v>
      </c>
      <c r="BP33">
        <v>110</v>
      </c>
      <c r="BS33">
        <v>988.29</v>
      </c>
      <c r="BV33">
        <v>280.75</v>
      </c>
      <c r="BZ33">
        <v>417.16</v>
      </c>
      <c r="CC33">
        <v>417.16</v>
      </c>
      <c r="CF33">
        <v>417.16</v>
      </c>
      <c r="CI33">
        <v>417.16</v>
      </c>
      <c r="CL33">
        <v>417.16</v>
      </c>
      <c r="CO33">
        <v>417.16</v>
      </c>
      <c r="CR33">
        <v>484.02</v>
      </c>
      <c r="CU33">
        <v>484.02</v>
      </c>
      <c r="CX33">
        <v>484.02</v>
      </c>
      <c r="DA33">
        <v>484.02</v>
      </c>
      <c r="DD33">
        <v>484.02</v>
      </c>
      <c r="DG33">
        <v>1412.88</v>
      </c>
      <c r="DJ33">
        <v>647.04999999999995</v>
      </c>
      <c r="DM33">
        <v>647.04999999999995</v>
      </c>
      <c r="DP33">
        <v>8.59</v>
      </c>
      <c r="DS33">
        <v>25.3</v>
      </c>
      <c r="DV33">
        <v>25.3</v>
      </c>
      <c r="DY33">
        <v>949.37</v>
      </c>
      <c r="EB33">
        <v>991.87</v>
      </c>
      <c r="EE33">
        <v>991.87</v>
      </c>
      <c r="EH33">
        <v>991.87</v>
      </c>
      <c r="EK33">
        <v>1742.34</v>
      </c>
      <c r="EN33">
        <v>3088.03</v>
      </c>
      <c r="EQ33">
        <v>3088.03</v>
      </c>
    </row>
    <row r="35" spans="5:149">
      <c r="E35" s="13"/>
      <c r="F35" s="13"/>
      <c r="G35" s="13"/>
      <c r="H35" s="13">
        <f t="shared" ref="H35" si="36">H32+H33</f>
        <v>17155.849999999999</v>
      </c>
      <c r="I35" s="13"/>
      <c r="J35" s="13"/>
      <c r="K35" s="13">
        <f t="shared" ref="K35" si="37">K32+K33</f>
        <v>16812.53</v>
      </c>
      <c r="L35" s="13"/>
      <c r="M35" s="13"/>
      <c r="N35" s="13">
        <f t="shared" ref="N35" si="38">N32+N33</f>
        <v>16843.919999999998</v>
      </c>
      <c r="O35" s="13"/>
      <c r="P35" s="13"/>
      <c r="Q35" s="13">
        <f t="shared" ref="Q35" si="39">Q32+Q33</f>
        <v>16749.820000000003</v>
      </c>
      <c r="R35" s="13"/>
      <c r="S35" s="13"/>
      <c r="T35" s="13">
        <f t="shared" ref="T35" si="40">T32+T33</f>
        <v>16333.72</v>
      </c>
      <c r="U35" s="13"/>
      <c r="V35" s="13"/>
      <c r="W35" s="13">
        <f t="shared" ref="W35" si="41">W32+W33</f>
        <v>16382.68</v>
      </c>
      <c r="X35" s="13"/>
      <c r="Y35" s="13"/>
      <c r="Z35" s="13">
        <f t="shared" ref="Z35" si="42">Z32+Z33</f>
        <v>16438.93</v>
      </c>
      <c r="AA35" s="13"/>
      <c r="AB35" s="13"/>
      <c r="AC35" s="13">
        <f t="shared" ref="AC35" si="43">AC32+AC33</f>
        <v>16472.39</v>
      </c>
      <c r="AD35" s="13"/>
      <c r="AE35" s="13"/>
      <c r="AF35" s="13">
        <f t="shared" ref="AF35" si="44">AF32+AF33</f>
        <v>16780.900000000001</v>
      </c>
      <c r="AG35" s="13"/>
      <c r="AH35" s="13"/>
      <c r="AI35" s="13">
        <f t="shared" ref="AI35" si="45">AI32+AI33</f>
        <v>16868.230000000003</v>
      </c>
      <c r="AJ35" s="13"/>
      <c r="AK35" s="13"/>
      <c r="AL35" s="13">
        <f t="shared" ref="AL35" si="46">AL32+AL33</f>
        <v>16832.45</v>
      </c>
      <c r="AM35" s="13"/>
      <c r="AN35" s="13"/>
      <c r="AO35" s="13">
        <f t="shared" ref="AO35" si="47">AO32+AO33</f>
        <v>16889.43</v>
      </c>
      <c r="AP35" s="13"/>
      <c r="AQ35" s="13"/>
      <c r="AR35" s="13">
        <f t="shared" ref="AR35" si="48">AR32+AR33</f>
        <v>16595.54</v>
      </c>
      <c r="AS35" s="13"/>
      <c r="AT35" s="13"/>
      <c r="AU35" s="13">
        <f t="shared" ref="AU35" si="49">AU32+AU33</f>
        <v>16238.340000000002</v>
      </c>
      <c r="AV35" s="13"/>
      <c r="AW35" s="13"/>
      <c r="AX35" s="13">
        <f t="shared" ref="AX35" si="50">AX32+AX33</f>
        <v>16772.86</v>
      </c>
      <c r="AY35" s="13"/>
      <c r="AZ35" s="13"/>
      <c r="BA35" s="13">
        <f t="shared" ref="BA35" si="51">BA32+BA33</f>
        <v>16988.269999999997</v>
      </c>
      <c r="BB35" s="13"/>
      <c r="BC35" s="13"/>
      <c r="BD35" s="13">
        <f t="shared" ref="BD35" si="52">BD32+BD33</f>
        <v>17103.449999999997</v>
      </c>
      <c r="BE35" s="13"/>
      <c r="BF35" s="13"/>
      <c r="BG35" s="13">
        <f t="shared" ref="BG35" si="53">BG32+BG33</f>
        <v>16945.300000000003</v>
      </c>
      <c r="BH35" s="13"/>
      <c r="BI35" s="13"/>
      <c r="BJ35" s="13">
        <f t="shared" ref="BJ35" si="54">BJ32+BJ33</f>
        <v>17031.280000000002</v>
      </c>
      <c r="BK35" s="13"/>
      <c r="BL35" s="13"/>
      <c r="BM35" s="13">
        <f t="shared" ref="BM35" si="55">BM32+BM33</f>
        <v>16855.04</v>
      </c>
      <c r="BN35" s="13"/>
      <c r="BO35" s="13"/>
      <c r="BP35" s="13">
        <f t="shared" ref="BP35" si="56">BP32+BP33</f>
        <v>16956.57</v>
      </c>
      <c r="BQ35" s="13"/>
      <c r="BR35" s="13"/>
      <c r="BS35" s="13">
        <f t="shared" ref="BS35" si="57">BS32+BS33</f>
        <v>16680.579999999998</v>
      </c>
      <c r="BT35" s="13"/>
      <c r="BU35" s="13"/>
      <c r="BV35" s="13">
        <f t="shared" ref="BV35" si="58">BV32+BV33</f>
        <v>16644.28</v>
      </c>
      <c r="BX35" s="13"/>
      <c r="BY35" s="13"/>
      <c r="BZ35" s="13">
        <f t="shared" ref="BZ35" si="59">BZ32+BZ33</f>
        <v>16888.09</v>
      </c>
      <c r="CA35" s="13"/>
      <c r="CB35" s="13"/>
      <c r="CC35" s="13">
        <f t="shared" ref="CC35" si="60">CC32+CC33</f>
        <v>16973.650000000001</v>
      </c>
      <c r="CD35" s="13"/>
      <c r="CE35" s="13"/>
      <c r="CF35" s="13">
        <f t="shared" ref="CF35" si="61">CF32+CF33</f>
        <v>16969.63</v>
      </c>
      <c r="CG35" s="13"/>
      <c r="CH35" s="13"/>
      <c r="CI35" s="13">
        <f t="shared" ref="CI35" si="62">CI32+CI33</f>
        <v>17207.36</v>
      </c>
      <c r="CJ35" s="13"/>
      <c r="CK35" s="13"/>
      <c r="CL35" s="13">
        <f t="shared" ref="CL35" si="63">CL32+CL33</f>
        <v>17245.740000000002</v>
      </c>
      <c r="CM35" s="13"/>
      <c r="CN35" s="13"/>
      <c r="CO35" s="13">
        <f t="shared" ref="CO35" si="64">CO32+CO33</f>
        <v>17297.219999999998</v>
      </c>
      <c r="CP35" s="13"/>
      <c r="CQ35" s="13"/>
      <c r="CR35" s="13">
        <f t="shared" ref="CR35" si="65">CR32+CR33</f>
        <v>17425.93</v>
      </c>
      <c r="CS35" s="13"/>
      <c r="CT35" s="13"/>
      <c r="CU35" s="13">
        <f t="shared" ref="CU35" si="66">CU32+CU33</f>
        <v>17283.690000000002</v>
      </c>
      <c r="CV35" s="13"/>
      <c r="CW35" s="13"/>
      <c r="CX35" s="13">
        <f t="shared" ref="CX35" si="67">CX32+CX33</f>
        <v>17399.78</v>
      </c>
      <c r="CY35" s="13"/>
      <c r="CZ35" s="13"/>
      <c r="DA35" s="13">
        <f t="shared" ref="DA35" si="68">DA32+DA33</f>
        <v>17606.440000000002</v>
      </c>
      <c r="DB35" s="13"/>
      <c r="DC35" s="13"/>
      <c r="DD35" s="13">
        <f t="shared" ref="DD35" si="69">DD32+DD33</f>
        <v>17533.39</v>
      </c>
      <c r="DE35" s="13"/>
      <c r="DF35" s="13"/>
      <c r="DG35" s="13">
        <f t="shared" ref="DG35" si="70">DG32+DG33</f>
        <v>17818.7</v>
      </c>
      <c r="DH35" s="13"/>
      <c r="DI35" s="13"/>
      <c r="DJ35" s="13">
        <f t="shared" ref="DJ35" si="71">DJ32+DJ33</f>
        <v>18109.370000000003</v>
      </c>
      <c r="DK35" s="13"/>
      <c r="DL35" s="13"/>
      <c r="DM35" s="13">
        <f t="shared" ref="DM35" si="72">DM32+DM33</f>
        <v>18114.490000000002</v>
      </c>
      <c r="DN35" s="13"/>
      <c r="DO35" s="13"/>
      <c r="DP35" s="13">
        <f t="shared" ref="DP35" si="73">DP32+DP33</f>
        <v>18094.669999999998</v>
      </c>
      <c r="DQ35" s="13"/>
      <c r="DR35" s="13"/>
      <c r="DS35" s="13">
        <f t="shared" ref="DS35" si="74">DS32+DS33</f>
        <v>17607.73</v>
      </c>
      <c r="DT35" s="13"/>
      <c r="DU35" s="13"/>
      <c r="DV35" s="13">
        <f t="shared" ref="DV35" si="75">DV32+DV33</f>
        <v>17158.749999999996</v>
      </c>
      <c r="DW35" s="13"/>
      <c r="DX35" s="13"/>
      <c r="DY35" s="13">
        <f t="shared" ref="DY35" si="76">DY32+DY33</f>
        <v>18465.64</v>
      </c>
      <c r="DZ35" s="13"/>
      <c r="EA35" s="13"/>
      <c r="EB35" s="13">
        <f t="shared" ref="EB35" si="77">EB32+EB33</f>
        <v>18183.77</v>
      </c>
      <c r="EC35" s="13"/>
      <c r="ED35" s="13"/>
      <c r="EE35" s="13">
        <f t="shared" ref="EE35" si="78">EE32+EE33</f>
        <v>17810.27</v>
      </c>
      <c r="EF35" s="13"/>
      <c r="EG35" s="13"/>
      <c r="EH35" s="13">
        <f t="shared" ref="EH35" si="79">EH32+EH33</f>
        <v>18095.329999999998</v>
      </c>
      <c r="EI35" s="13"/>
      <c r="EJ35" s="13"/>
      <c r="EK35" s="13">
        <f t="shared" ref="EK35" si="80">EK32+EK33</f>
        <v>18183.28</v>
      </c>
      <c r="EL35" s="13"/>
      <c r="EM35" s="13"/>
      <c r="EN35" s="13">
        <f t="shared" ref="EN35" si="81">EN32+EN33</f>
        <v>18375.009999999998</v>
      </c>
      <c r="EO35" s="13"/>
      <c r="EP35" s="13"/>
      <c r="EQ35" s="13">
        <f t="shared" ref="EQ35" si="82">EQ32+EQ33</f>
        <v>18853.219999999998</v>
      </c>
    </row>
    <row r="36" spans="5:149">
      <c r="E36" s="13"/>
      <c r="F36" s="13"/>
      <c r="G36" s="13"/>
      <c r="H36" s="13">
        <v>30601</v>
      </c>
      <c r="I36" s="13"/>
      <c r="J36" s="13"/>
      <c r="K36" s="13">
        <v>30503</v>
      </c>
      <c r="L36" s="13"/>
      <c r="M36" s="13"/>
      <c r="N36" s="13">
        <v>30526</v>
      </c>
      <c r="O36" s="13"/>
      <c r="P36" s="13"/>
      <c r="Q36" s="13">
        <v>30372</v>
      </c>
      <c r="R36" s="13"/>
      <c r="S36" s="13"/>
      <c r="T36" s="13">
        <v>30118</v>
      </c>
      <c r="U36" s="13"/>
      <c r="V36" s="13"/>
      <c r="W36" s="13">
        <v>29973</v>
      </c>
      <c r="X36" s="13"/>
      <c r="Y36" s="13"/>
      <c r="Z36" s="13">
        <v>30005</v>
      </c>
      <c r="AA36" s="13"/>
      <c r="AB36" s="13"/>
      <c r="AC36" s="13">
        <v>29740</v>
      </c>
      <c r="AD36" s="13"/>
      <c r="AE36" s="13"/>
      <c r="AF36" s="13">
        <v>30060</v>
      </c>
      <c r="AG36" s="13"/>
      <c r="AH36" s="13"/>
      <c r="AI36" s="13">
        <v>29929</v>
      </c>
      <c r="AJ36" s="13"/>
      <c r="AK36" s="13"/>
      <c r="AL36" s="13">
        <v>29785</v>
      </c>
      <c r="AM36" s="13"/>
      <c r="AN36" s="13"/>
      <c r="AO36" s="13">
        <v>29444</v>
      </c>
      <c r="AP36" s="13"/>
      <c r="AQ36" s="13"/>
      <c r="AR36" s="13">
        <v>29277</v>
      </c>
      <c r="AS36" s="13"/>
      <c r="AT36" s="13"/>
      <c r="AU36" s="13">
        <v>28967</v>
      </c>
      <c r="AV36" s="13"/>
      <c r="AW36" s="13"/>
      <c r="AX36" s="13">
        <v>29605</v>
      </c>
      <c r="AY36" s="13"/>
      <c r="AZ36" s="13"/>
      <c r="BA36" s="13">
        <v>29728</v>
      </c>
      <c r="BB36" s="13"/>
      <c r="BC36" s="13"/>
      <c r="BD36" s="13">
        <v>29826</v>
      </c>
      <c r="BE36" s="13"/>
      <c r="BF36" s="13"/>
      <c r="BG36" s="13">
        <v>30034</v>
      </c>
      <c r="BH36" s="13"/>
      <c r="BI36" s="13"/>
      <c r="BJ36" s="13">
        <v>29917</v>
      </c>
      <c r="BK36" s="13"/>
      <c r="BL36" s="13"/>
      <c r="BM36" s="13">
        <v>30011</v>
      </c>
      <c r="BN36" s="13"/>
      <c r="BO36" s="13"/>
      <c r="BP36" s="13">
        <v>30014</v>
      </c>
      <c r="BQ36" s="13"/>
      <c r="BR36" s="13"/>
      <c r="BS36" s="13">
        <v>29564</v>
      </c>
      <c r="BT36" s="13"/>
      <c r="BU36" s="13"/>
      <c r="BV36" s="13">
        <v>29967</v>
      </c>
      <c r="BX36" s="13"/>
      <c r="BY36" s="13"/>
      <c r="BZ36" s="13">
        <v>30453</v>
      </c>
      <c r="CA36" s="13"/>
      <c r="CB36" s="13"/>
      <c r="CC36" s="13">
        <v>30436</v>
      </c>
      <c r="CD36" s="13"/>
      <c r="CE36" s="13"/>
      <c r="CF36" s="13">
        <v>30587</v>
      </c>
      <c r="CG36" s="13"/>
      <c r="CH36" s="13"/>
      <c r="CI36" s="13">
        <v>30875</v>
      </c>
      <c r="CJ36" s="13"/>
      <c r="CK36" s="13"/>
      <c r="CL36" s="13">
        <v>30914</v>
      </c>
      <c r="CM36" s="13"/>
      <c r="CN36" s="13"/>
      <c r="CO36" s="13">
        <v>31010</v>
      </c>
      <c r="CP36" s="13"/>
      <c r="CQ36" s="13"/>
      <c r="CR36" s="13">
        <v>30825</v>
      </c>
      <c r="CS36" s="13"/>
      <c r="CT36" s="13"/>
      <c r="CU36" s="13">
        <v>30654</v>
      </c>
      <c r="CV36" s="13"/>
      <c r="CW36" s="13"/>
      <c r="CX36" s="13">
        <v>30610</v>
      </c>
      <c r="CY36" s="13"/>
      <c r="CZ36" s="13"/>
      <c r="DA36" s="13">
        <v>30988</v>
      </c>
      <c r="DB36" s="13"/>
      <c r="DC36" s="13"/>
      <c r="DD36" s="13">
        <v>30876</v>
      </c>
      <c r="DE36" s="13"/>
      <c r="DF36" s="13"/>
      <c r="DG36" s="13">
        <v>31130</v>
      </c>
      <c r="DH36" s="13"/>
      <c r="DI36" s="13"/>
      <c r="DJ36" s="13">
        <v>31290</v>
      </c>
      <c r="DK36" s="13"/>
      <c r="DL36" s="13"/>
      <c r="DM36" s="13">
        <v>31338</v>
      </c>
      <c r="DN36" s="13"/>
      <c r="DO36" s="13"/>
      <c r="DP36" s="13">
        <v>31761</v>
      </c>
      <c r="DQ36" s="13"/>
      <c r="DR36" s="13"/>
      <c r="DS36" s="13">
        <v>30639</v>
      </c>
      <c r="DT36" s="13"/>
      <c r="DU36" s="13"/>
      <c r="DV36" s="13">
        <v>30079</v>
      </c>
      <c r="DW36" s="13"/>
      <c r="DX36" s="13"/>
      <c r="DY36" s="13">
        <v>32126</v>
      </c>
      <c r="DZ36" s="13"/>
      <c r="EA36" s="13"/>
      <c r="EB36" s="13">
        <v>31941</v>
      </c>
      <c r="EC36" s="13"/>
      <c r="ED36" s="13"/>
      <c r="EE36" s="13">
        <v>31836</v>
      </c>
      <c r="EF36" s="13"/>
      <c r="EG36" s="13"/>
      <c r="EH36" s="13">
        <v>31941</v>
      </c>
      <c r="EI36" s="13"/>
      <c r="EJ36" s="13"/>
      <c r="EK36" s="13">
        <v>32696</v>
      </c>
      <c r="EL36" s="13"/>
      <c r="EM36" s="13"/>
      <c r="EN36" s="13">
        <v>32707</v>
      </c>
      <c r="EO36" s="13"/>
      <c r="EP36" s="13"/>
      <c r="EQ36" s="13">
        <v>33324</v>
      </c>
    </row>
    <row r="37" spans="5:149" s="40" customFormat="1">
      <c r="E37" s="41"/>
      <c r="F37" s="41" t="str">
        <f>IF(F36, F35/F36,"")</f>
        <v/>
      </c>
      <c r="G37" s="41" t="str">
        <f>IF(G36, G35/G36,"")</f>
        <v/>
      </c>
      <c r="H37" s="41">
        <f>IF(H36, H35/H36,"")</f>
        <v>0.56063037155648499</v>
      </c>
      <c r="I37" s="41" t="str">
        <f>IF(I36, I35/I36,"")</f>
        <v/>
      </c>
      <c r="J37" s="41" t="str">
        <f t="shared" ref="J37:ES37" si="83">IF(J36, J35/J36,"")</f>
        <v/>
      </c>
      <c r="K37" s="41">
        <f t="shared" si="83"/>
        <v>0.55117627774317279</v>
      </c>
      <c r="L37" s="41" t="str">
        <f t="shared" si="83"/>
        <v/>
      </c>
      <c r="M37" s="41" t="str">
        <f t="shared" si="83"/>
        <v/>
      </c>
      <c r="N37" s="41">
        <f t="shared" si="83"/>
        <v>0.55178929437201074</v>
      </c>
      <c r="O37" s="41" t="str">
        <f t="shared" si="83"/>
        <v/>
      </c>
      <c r="P37" s="41" t="str">
        <f t="shared" si="83"/>
        <v/>
      </c>
      <c r="Q37" s="41">
        <f t="shared" si="83"/>
        <v>0.5514888713288556</v>
      </c>
      <c r="R37" s="41" t="str">
        <f t="shared" si="83"/>
        <v/>
      </c>
      <c r="S37" s="41" t="str">
        <f t="shared" si="83"/>
        <v/>
      </c>
      <c r="T37" s="41">
        <f t="shared" si="83"/>
        <v>0.54232419151338063</v>
      </c>
      <c r="U37" s="41" t="str">
        <f t="shared" si="83"/>
        <v/>
      </c>
      <c r="V37" s="41" t="str">
        <f t="shared" si="83"/>
        <v/>
      </c>
      <c r="W37" s="41">
        <f t="shared" si="83"/>
        <v>0.54658125646415112</v>
      </c>
      <c r="X37" s="41" t="str">
        <f t="shared" si="83"/>
        <v/>
      </c>
      <c r="Y37" s="41" t="str">
        <f t="shared" si="83"/>
        <v/>
      </c>
      <c r="Z37" s="41">
        <f t="shared" si="83"/>
        <v>0.54787302116313952</v>
      </c>
      <c r="AA37" s="41" t="str">
        <f t="shared" si="83"/>
        <v/>
      </c>
      <c r="AB37" s="41" t="str">
        <f t="shared" si="83"/>
        <v/>
      </c>
      <c r="AC37" s="41">
        <f t="shared" si="83"/>
        <v>0.55387995965030257</v>
      </c>
      <c r="AD37" s="41" t="str">
        <f t="shared" si="83"/>
        <v/>
      </c>
      <c r="AE37" s="41" t="str">
        <f t="shared" si="83"/>
        <v/>
      </c>
      <c r="AF37" s="41">
        <f t="shared" si="83"/>
        <v>0.55824683965402533</v>
      </c>
      <c r="AG37" s="41" t="str">
        <f t="shared" si="83"/>
        <v/>
      </c>
      <c r="AH37" s="41" t="str">
        <f t="shared" si="83"/>
        <v/>
      </c>
      <c r="AI37" s="41">
        <f t="shared" si="83"/>
        <v>0.56360820608774109</v>
      </c>
      <c r="AJ37" s="41" t="str">
        <f t="shared" si="83"/>
        <v/>
      </c>
      <c r="AK37" s="41" t="str">
        <f t="shared" si="83"/>
        <v/>
      </c>
      <c r="AL37" s="41">
        <f t="shared" si="83"/>
        <v>0.56513177774047341</v>
      </c>
      <c r="AM37" s="41" t="str">
        <f t="shared" si="83"/>
        <v/>
      </c>
      <c r="AN37" s="41" t="str">
        <f t="shared" si="83"/>
        <v/>
      </c>
      <c r="AO37" s="41">
        <f t="shared" si="83"/>
        <v>0.57361194131232174</v>
      </c>
      <c r="AP37" s="41" t="str">
        <f t="shared" si="83"/>
        <v/>
      </c>
      <c r="AQ37" s="41" t="str">
        <f t="shared" si="83"/>
        <v/>
      </c>
      <c r="AR37" s="41">
        <f t="shared" si="83"/>
        <v>0.56684564675342419</v>
      </c>
      <c r="AS37" s="41" t="str">
        <f t="shared" ref="AS37:AU37" si="84">IF(AS36, AS35/AS36,"")</f>
        <v/>
      </c>
      <c r="AT37" s="41" t="str">
        <f t="shared" si="84"/>
        <v/>
      </c>
      <c r="AU37" s="41">
        <f t="shared" si="84"/>
        <v>0.56058066075189017</v>
      </c>
      <c r="AV37" s="41" t="str">
        <f t="shared" ref="AV37:AX37" si="85">IF(AV36, AV35/AV36,"")</f>
        <v/>
      </c>
      <c r="AW37" s="41" t="str">
        <f t="shared" si="85"/>
        <v/>
      </c>
      <c r="AX37" s="41">
        <f t="shared" si="85"/>
        <v>0.56655497382198949</v>
      </c>
      <c r="AY37" s="41" t="str">
        <f t="shared" ref="AY37:BA37" si="86">IF(AY36, AY35/AY36,"")</f>
        <v/>
      </c>
      <c r="AZ37" s="41" t="str">
        <f t="shared" si="86"/>
        <v/>
      </c>
      <c r="BA37" s="41">
        <f t="shared" si="86"/>
        <v>0.57145687567276626</v>
      </c>
      <c r="BB37" s="41" t="str">
        <f t="shared" ref="BB37:BD37" si="87">IF(BB36, BB35/BB36,"")</f>
        <v/>
      </c>
      <c r="BC37" s="41" t="str">
        <f t="shared" si="87"/>
        <v/>
      </c>
      <c r="BD37" s="41">
        <f t="shared" si="87"/>
        <v>0.57344095755381197</v>
      </c>
      <c r="BE37" s="41" t="str">
        <f t="shared" ref="BE37:BG37" si="88">IF(BE36, BE35/BE36,"")</f>
        <v/>
      </c>
      <c r="BF37" s="41" t="str">
        <f t="shared" si="88"/>
        <v/>
      </c>
      <c r="BG37" s="41">
        <f t="shared" si="88"/>
        <v>0.56420390224412342</v>
      </c>
      <c r="BH37" s="41" t="str">
        <f t="shared" ref="BH37:BJ37" si="89">IF(BH36, BH35/BH36,"")</f>
        <v/>
      </c>
      <c r="BI37" s="41" t="str">
        <f t="shared" si="89"/>
        <v/>
      </c>
      <c r="BJ37" s="41">
        <f t="shared" si="89"/>
        <v>0.56928435337767835</v>
      </c>
      <c r="BK37" s="41" t="str">
        <f t="shared" ref="BK37:BM37" si="90">IF(BK36, BK35/BK36,"")</f>
        <v/>
      </c>
      <c r="BL37" s="41" t="str">
        <f t="shared" si="90"/>
        <v/>
      </c>
      <c r="BM37" s="41">
        <f t="shared" si="90"/>
        <v>0.56162873613008568</v>
      </c>
      <c r="BN37" s="41" t="str">
        <f t="shared" ref="BN37:BP37" si="91">IF(BN36, BN35/BN36,"")</f>
        <v/>
      </c>
      <c r="BO37" s="41" t="str">
        <f t="shared" si="91"/>
        <v/>
      </c>
      <c r="BP37" s="41">
        <f t="shared" si="91"/>
        <v>0.56495535416805487</v>
      </c>
      <c r="BQ37" s="41" t="str">
        <f t="shared" ref="BQ37:BS37" si="92">IF(BQ36, BQ35/BQ36,"")</f>
        <v/>
      </c>
      <c r="BR37" s="41" t="str">
        <f t="shared" si="92"/>
        <v/>
      </c>
      <c r="BS37" s="41">
        <f t="shared" si="92"/>
        <v>0.56421932079556214</v>
      </c>
      <c r="BT37" s="41" t="str">
        <f t="shared" ref="BT37:BV37" si="93">IF(BT36, BT35/BT36,"")</f>
        <v/>
      </c>
      <c r="BU37" s="41" t="str">
        <f t="shared" si="93"/>
        <v/>
      </c>
      <c r="BV37" s="41">
        <f t="shared" si="93"/>
        <v>0.55542029565855766</v>
      </c>
      <c r="BW37" s="40" t="str">
        <f>IF(BW36, BW35/BW36,"")</f>
        <v/>
      </c>
      <c r="BX37" s="41" t="str">
        <f t="shared" ref="BX37:BZ37" si="94">IF(BX36, BX35/BX36,"")</f>
        <v/>
      </c>
      <c r="BY37" s="41" t="str">
        <f t="shared" si="94"/>
        <v/>
      </c>
      <c r="BZ37" s="41">
        <f t="shared" si="94"/>
        <v>0.55456244048205428</v>
      </c>
      <c r="CA37" s="41" t="str">
        <f t="shared" ref="CA37:CC37" si="95">IF(CA36, CA35/CA36,"")</f>
        <v/>
      </c>
      <c r="CB37" s="41" t="str">
        <f t="shared" si="95"/>
        <v/>
      </c>
      <c r="CC37" s="41">
        <f t="shared" si="95"/>
        <v>0.55768333552372196</v>
      </c>
      <c r="CD37" s="41" t="str">
        <f t="shared" ref="CD37:CF37" si="96">IF(CD36, CD35/CD36,"")</f>
        <v/>
      </c>
      <c r="CE37" s="41" t="str">
        <f t="shared" si="96"/>
        <v/>
      </c>
      <c r="CF37" s="41">
        <f t="shared" si="96"/>
        <v>0.55479877071958683</v>
      </c>
      <c r="CG37" s="41" t="str">
        <f t="shared" ref="CG37:CI37" si="97">IF(CG36, CG35/CG36,"")</f>
        <v/>
      </c>
      <c r="CH37" s="41" t="str">
        <f t="shared" si="97"/>
        <v/>
      </c>
      <c r="CI37" s="41">
        <f t="shared" si="97"/>
        <v>0.55732340080971665</v>
      </c>
      <c r="CJ37" s="41" t="str">
        <f t="shared" ref="CJ37:CL37" si="98">IF(CJ36, CJ35/CJ36,"")</f>
        <v/>
      </c>
      <c r="CK37" s="41" t="str">
        <f t="shared" si="98"/>
        <v/>
      </c>
      <c r="CL37" s="41">
        <f t="shared" si="98"/>
        <v>0.55786181018308867</v>
      </c>
      <c r="CM37" s="41" t="str">
        <f t="shared" ref="CM37:CO37" si="99">IF(CM36, CM35/CM36,"")</f>
        <v/>
      </c>
      <c r="CN37" s="41" t="str">
        <f t="shared" si="99"/>
        <v/>
      </c>
      <c r="CO37" s="41">
        <f t="shared" si="99"/>
        <v>0.55779490486939687</v>
      </c>
      <c r="CP37" s="41" t="str">
        <f t="shared" ref="CP37:CR37" si="100">IF(CP36, CP35/CP36,"")</f>
        <v/>
      </c>
      <c r="CQ37" s="41" t="str">
        <f t="shared" si="100"/>
        <v/>
      </c>
      <c r="CR37" s="41">
        <f t="shared" si="100"/>
        <v>0.56531808596918087</v>
      </c>
      <c r="CS37" s="41" t="str">
        <f t="shared" ref="CS37:CU37" si="101">IF(CS36, CS35/CS36,"")</f>
        <v/>
      </c>
      <c r="CT37" s="41" t="str">
        <f t="shared" si="101"/>
        <v/>
      </c>
      <c r="CU37" s="41">
        <f t="shared" si="101"/>
        <v>0.56383147386964183</v>
      </c>
      <c r="CV37" s="41" t="str">
        <f t="shared" ref="CV37:CX37" si="102">IF(CV36, CV35/CV36,"")</f>
        <v/>
      </c>
      <c r="CW37" s="41" t="str">
        <f t="shared" si="102"/>
        <v/>
      </c>
      <c r="CX37" s="41">
        <f t="shared" si="102"/>
        <v>0.56843449852989214</v>
      </c>
      <c r="CY37" s="41" t="str">
        <f t="shared" ref="CY37:DA37" si="103">IF(CY36, CY35/CY36,"")</f>
        <v/>
      </c>
      <c r="CZ37" s="41" t="str">
        <f t="shared" si="103"/>
        <v/>
      </c>
      <c r="DA37" s="41">
        <f t="shared" si="103"/>
        <v>0.56816961404414623</v>
      </c>
      <c r="DB37" s="41" t="str">
        <f t="shared" ref="DB37:DD37" si="104">IF(DB36, DB35/DB36,"")</f>
        <v/>
      </c>
      <c r="DC37" s="41" t="str">
        <f t="shared" si="104"/>
        <v/>
      </c>
      <c r="DD37" s="41">
        <f t="shared" si="104"/>
        <v>0.56786468454463013</v>
      </c>
      <c r="DE37" s="41" t="str">
        <f t="shared" ref="DE37:DG37" si="105">IF(DE36, DE35/DE36,"")</f>
        <v/>
      </c>
      <c r="DF37" s="41" t="str">
        <f t="shared" si="105"/>
        <v/>
      </c>
      <c r="DG37" s="41">
        <f t="shared" si="105"/>
        <v>0.57239640218438803</v>
      </c>
      <c r="DH37" s="41" t="str">
        <f t="shared" ref="DH37:DJ37" si="106">IF(DH36, DH35/DH36,"")</f>
        <v/>
      </c>
      <c r="DI37" s="41" t="str">
        <f t="shared" si="106"/>
        <v/>
      </c>
      <c r="DJ37" s="41">
        <f t="shared" si="106"/>
        <v>0.57875902844359228</v>
      </c>
      <c r="DK37" s="41" t="str">
        <f t="shared" ref="DK37:DM37" si="107">IF(DK36, DK35/DK36,"")</f>
        <v/>
      </c>
      <c r="DL37" s="41" t="str">
        <f t="shared" si="107"/>
        <v/>
      </c>
      <c r="DM37" s="41">
        <f t="shared" si="107"/>
        <v>0.57803593081881433</v>
      </c>
      <c r="DN37" s="41" t="str">
        <f t="shared" ref="DN37:DP37" si="108">IF(DN36, DN35/DN36,"")</f>
        <v/>
      </c>
      <c r="DO37" s="41" t="str">
        <f t="shared" si="108"/>
        <v/>
      </c>
      <c r="DP37" s="41">
        <f t="shared" si="108"/>
        <v>0.56971348509177921</v>
      </c>
      <c r="DQ37" s="41" t="str">
        <f t="shared" ref="DQ37:DS37" si="109">IF(DQ36, DQ35/DQ36,"")</f>
        <v/>
      </c>
      <c r="DR37" s="41" t="str">
        <f t="shared" si="109"/>
        <v/>
      </c>
      <c r="DS37" s="41">
        <f t="shared" si="109"/>
        <v>0.57468357322366914</v>
      </c>
      <c r="DT37" s="41" t="str">
        <f t="shared" ref="DT37:DV37" si="110">IF(DT36, DT35/DT36,"")</f>
        <v/>
      </c>
      <c r="DU37" s="41" t="str">
        <f t="shared" si="110"/>
        <v/>
      </c>
      <c r="DV37" s="41">
        <f t="shared" si="110"/>
        <v>0.57045613218524538</v>
      </c>
      <c r="DW37" s="41" t="str">
        <f t="shared" ref="DW37:DY37" si="111">IF(DW36, DW35/DW36,"")</f>
        <v/>
      </c>
      <c r="DX37" s="41" t="str">
        <f t="shared" si="111"/>
        <v/>
      </c>
      <c r="DY37" s="41">
        <f t="shared" si="111"/>
        <v>0.57478802216273417</v>
      </c>
      <c r="DZ37" s="41" t="str">
        <f t="shared" ref="DZ37:EB37" si="112">IF(DZ36, DZ35/DZ36,"")</f>
        <v/>
      </c>
      <c r="EA37" s="41" t="str">
        <f t="shared" si="112"/>
        <v/>
      </c>
      <c r="EB37" s="41">
        <f t="shared" si="112"/>
        <v>0.56929244544629165</v>
      </c>
      <c r="EC37" s="41" t="str">
        <f t="shared" ref="EC37:EE37" si="113">IF(EC36, EC35/EC36,"")</f>
        <v/>
      </c>
      <c r="ED37" s="41" t="str">
        <f t="shared" si="113"/>
        <v/>
      </c>
      <c r="EE37" s="41">
        <f t="shared" si="113"/>
        <v>0.55943805754491771</v>
      </c>
      <c r="EF37" s="41" t="str">
        <f t="shared" ref="EF37:EH37" si="114">IF(EF36, EF35/EF36,"")</f>
        <v/>
      </c>
      <c r="EG37" s="41" t="str">
        <f t="shared" si="114"/>
        <v/>
      </c>
      <c r="EH37" s="41">
        <f t="shared" si="114"/>
        <v>0.5665235903697442</v>
      </c>
      <c r="EI37" s="41" t="str">
        <f t="shared" ref="EI37:EK37" si="115">IF(EI36, EI35/EI36,"")</f>
        <v/>
      </c>
      <c r="EJ37" s="41" t="str">
        <f t="shared" si="115"/>
        <v/>
      </c>
      <c r="EK37" s="41">
        <f t="shared" si="115"/>
        <v>0.5561316368974798</v>
      </c>
      <c r="EL37" s="41" t="str">
        <f t="shared" ref="EL37:EN37" si="116">IF(EL36, EL35/EL36,"")</f>
        <v/>
      </c>
      <c r="EM37" s="41" t="str">
        <f t="shared" si="116"/>
        <v/>
      </c>
      <c r="EN37" s="41">
        <f t="shared" si="116"/>
        <v>0.56180664689516002</v>
      </c>
      <c r="EO37" s="41" t="str">
        <f t="shared" ref="EO37:EQ37" si="117">IF(EO36, EO35/EO36,"")</f>
        <v/>
      </c>
      <c r="EP37" s="41" t="str">
        <f t="shared" si="117"/>
        <v/>
      </c>
      <c r="EQ37" s="41">
        <f t="shared" si="117"/>
        <v>0.56575501140319284</v>
      </c>
      <c r="ER37" s="40" t="str">
        <f t="shared" si="83"/>
        <v/>
      </c>
      <c r="ES37" s="40" t="str">
        <f t="shared" si="83"/>
        <v/>
      </c>
    </row>
  </sheetData>
  <autoFilter ref="A1:EN25" xr:uid="{A11943E1-9804-494B-98AC-D0B4FFA4858A}">
    <sortState xmlns:xlrd2="http://schemas.microsoft.com/office/spreadsheetml/2017/richdata2" ref="A2:EN30">
      <sortCondition descending="1" ref="EM1:EM25"/>
    </sortState>
  </autoFilter>
  <sortState xmlns:xlrd2="http://schemas.microsoft.com/office/spreadsheetml/2017/richdata2" ref="A3:EQ30">
    <sortCondition descending="1" ref="EP3:EP30"/>
  </sortState>
  <conditionalFormatting sqref="E2:E31"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5:BV35 BX35:EQ35">
    <cfRule type="colorScale" priority="5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6:BV36 BX36:EQ36">
    <cfRule type="colorScale" priority="5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7:BV37 BX37:EQ37">
    <cfRule type="colorScale" priority="5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30"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:H12 H14:H30 K2:K12 K14:K30 N2:N30 Q2:Q30 T2:T30 W2:W30 Z2:Z30 AC2:AC30 AF2:AF30 AI2:AI30 AL2:AL30 AO2:AO30">
    <cfRule type="colorScale" priority="5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:J30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M12 M14:M30">
    <cfRule type="colorScale" priority="5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3"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:P12 P14:P30">
    <cfRule type="colorScale" priority="5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"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:S12 S14:S30">
    <cfRule type="colorScale" priority="5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3"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2:V12 V14:V30">
    <cfRule type="colorScale" priority="5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3"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2:Y12 Y14:Y30">
    <cfRule type="colorScale" priority="5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3"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2:AB12 AB14:AB30">
    <cfRule type="colorScale" priority="5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13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2:AE12 AE14:AE30">
    <cfRule type="colorScale" priority="5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3"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2:AH12 AH14:AH30">
    <cfRule type="colorScale" priority="5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13"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K2:AK12 AK14:AK30">
    <cfRule type="colorScale" priority="5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K13"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2:AN12 AN14:AN30">
    <cfRule type="colorScale" priority="5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13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2:AQ12 AQ14:AQ30">
    <cfRule type="colorScale" priority="6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13"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2:AT12 AT14:AT30">
    <cfRule type="colorScale" priority="6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13"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W2:AW12 AW14:AW30">
    <cfRule type="colorScale" priority="6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W13"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X2:AX30 AR2:AR30 AU2:AU30 BA2:BA30 BD2:BD30 BG2:BG30 BJ2:BJ30 BM2:BM30 BP2:BP30 BS2:BS30 BV2:BV30 BZ2:BZ30 CC2:CC30 CF2:CF30 CI2:CI30 CL2:CL30 CO2:CO30 CR2:CR30 CU2:CU30 CX2:CX30 DA2:DA30 DD2:DD30 DG2:DG30 DJ2:DJ30 DM2:DM30 DP2:DP30 DS2:DS30 DV2:DV30 DY2:DY30 EB2:EB30 EE2:EE30 EH2:EH30 EK2:EK30 EN2:EN30 EQ2:EQ30">
    <cfRule type="colorScale" priority="5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Z2:AZ12 AZ14:AZ30">
    <cfRule type="colorScale" priority="6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Z13"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C2:BC12 BC14:BC30">
    <cfRule type="colorScale" priority="6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C13"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F2:BF12 BF14:BF30">
    <cfRule type="colorScale" priority="6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F13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I2:BI12 BI14:BI30">
    <cfRule type="colorScale" priority="6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I13"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L2:BL12 BL14:BL30">
    <cfRule type="colorScale" priority="6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L13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O2:BO12 BO14:BO30">
    <cfRule type="colorScale" priority="6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O13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R2:BR12 BR14:BR30">
    <cfRule type="colorScale" priority="6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R13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U2:BU12 BU14:BU30">
    <cfRule type="colorScale" priority="7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U13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:BY12 BY14:BY30">
    <cfRule type="colorScale" priority="7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3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B2:CB12 CB14:CB30">
    <cfRule type="colorScale" priority="7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B13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E2:CE12 CE14:CE30">
    <cfRule type="colorScale" priority="7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E13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H2:CH12 CH14:CH30">
    <cfRule type="colorScale" priority="7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H13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K2:CK12 CK14:CK30">
    <cfRule type="colorScale" priority="7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K13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N2:CN12 CN14:CN30">
    <cfRule type="colorScale" priority="7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N13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Q2:CQ12 CQ14:CQ30">
    <cfRule type="colorScale" priority="7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Q13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T2:CT12 CT14:CT30">
    <cfRule type="colorScale" priority="7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T13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W2:CW12 CW14:CW30">
    <cfRule type="colorScale" priority="7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W13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Z2:CZ12 CZ14:CZ30">
    <cfRule type="colorScale" priority="7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Z13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C2:DC12 DC14:DC30">
    <cfRule type="colorScale" priority="7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C13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F2:DF12 DF14:DF30">
    <cfRule type="colorScale" priority="7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F13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I2:DI12 DI14:DI30">
    <cfRule type="colorScale" priority="7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I13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L2:DL12 DL14:DL30">
    <cfRule type="colorScale" priority="7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L13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O2:DO12 DO14:DO30">
    <cfRule type="colorScale" priority="7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O13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R2:DR12 DR14:DR30">
    <cfRule type="colorScale" priority="7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R13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U2:DU12 DU14:DU30">
    <cfRule type="colorScale" priority="7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U13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X2:DX12 DX14:DX30">
    <cfRule type="colorScale" priority="7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X13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A2:EA12 EA14:EA30">
    <cfRule type="colorScale" priority="7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A13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D2:ED12 ED14:ED30">
    <cfRule type="colorScale" priority="7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D13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G2:EG12 EG14:EG30">
    <cfRule type="colorScale" priority="7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G1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J2:EJ12 EJ14:EJ30">
    <cfRule type="colorScale" priority="7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J1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M1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M14:EM30 EM2:EM12">
    <cfRule type="colorScale" priority="7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P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P14:EP30 EP2:EP1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2669-E7DF-AE41-8E44-9833FF261953}">
  <dimension ref="A1:EK383"/>
  <sheetViews>
    <sheetView topLeftCell="EH120" zoomScaleNormal="60" zoomScaleSheetLayoutView="100" workbookViewId="0">
      <selection activeCell="EL1" sqref="EL1:EL1048576"/>
    </sheetView>
  </sheetViews>
  <sheetFormatPr defaultRowHeight="14.4"/>
  <cols>
    <col min="1" max="1" width="18" bestFit="1" customWidth="1"/>
  </cols>
  <sheetData>
    <row r="1" spans="1:141">
      <c r="A1" t="s">
        <v>302</v>
      </c>
      <c r="B1" t="s">
        <v>303</v>
      </c>
      <c r="C1" t="s">
        <v>460</v>
      </c>
      <c r="D1" t="s">
        <v>302</v>
      </c>
      <c r="E1" t="s">
        <v>303</v>
      </c>
      <c r="F1" t="s">
        <v>460</v>
      </c>
      <c r="G1" t="s">
        <v>340</v>
      </c>
      <c r="H1">
        <v>48.9</v>
      </c>
      <c r="I1" t="s">
        <v>467</v>
      </c>
      <c r="J1" t="s">
        <v>340</v>
      </c>
      <c r="K1">
        <v>48.24</v>
      </c>
      <c r="L1" t="s">
        <v>467</v>
      </c>
      <c r="M1" t="s">
        <v>340</v>
      </c>
      <c r="N1">
        <v>47</v>
      </c>
      <c r="O1" t="s">
        <v>467</v>
      </c>
      <c r="P1" t="s">
        <v>340</v>
      </c>
      <c r="Q1">
        <v>47.09</v>
      </c>
      <c r="R1" t="s">
        <v>467</v>
      </c>
      <c r="S1" t="s">
        <v>340</v>
      </c>
      <c r="T1">
        <v>47</v>
      </c>
      <c r="U1" t="s">
        <v>467</v>
      </c>
      <c r="V1" t="s">
        <v>340</v>
      </c>
      <c r="W1">
        <v>49.48</v>
      </c>
      <c r="X1" t="s">
        <v>467</v>
      </c>
      <c r="Y1" t="s">
        <v>340</v>
      </c>
      <c r="Z1">
        <v>49.48</v>
      </c>
      <c r="AA1" t="s">
        <v>467</v>
      </c>
      <c r="AB1" t="s">
        <v>340</v>
      </c>
      <c r="AC1">
        <v>56.03</v>
      </c>
      <c r="AD1" t="s">
        <v>467</v>
      </c>
      <c r="AE1" t="s">
        <v>340</v>
      </c>
      <c r="AF1">
        <v>60.5</v>
      </c>
      <c r="AG1" t="s">
        <v>467</v>
      </c>
      <c r="AH1" t="s">
        <v>340</v>
      </c>
      <c r="AI1">
        <v>56.32</v>
      </c>
      <c r="AJ1" t="s">
        <v>467</v>
      </c>
      <c r="AK1" t="s">
        <v>340</v>
      </c>
      <c r="AL1">
        <v>55</v>
      </c>
      <c r="AM1" t="s">
        <v>467</v>
      </c>
      <c r="AN1" t="s">
        <v>340</v>
      </c>
      <c r="AO1">
        <v>52.43</v>
      </c>
      <c r="AP1" t="s">
        <v>467</v>
      </c>
      <c r="AQ1" t="s">
        <v>340</v>
      </c>
      <c r="AR1">
        <v>51.76</v>
      </c>
      <c r="AS1" t="s">
        <v>467</v>
      </c>
      <c r="AT1" t="s">
        <v>340</v>
      </c>
      <c r="AU1">
        <v>50.42</v>
      </c>
      <c r="AV1" t="s">
        <v>467</v>
      </c>
      <c r="AW1" t="s">
        <v>340</v>
      </c>
      <c r="AX1">
        <v>51.72</v>
      </c>
      <c r="AY1" t="s">
        <v>467</v>
      </c>
      <c r="AZ1" t="s">
        <v>340</v>
      </c>
      <c r="BA1">
        <v>51.01</v>
      </c>
      <c r="BB1" t="s">
        <v>467</v>
      </c>
      <c r="BC1" t="s">
        <v>340</v>
      </c>
      <c r="BD1">
        <v>49.47</v>
      </c>
      <c r="BE1" t="s">
        <v>467</v>
      </c>
      <c r="BF1" t="s">
        <v>340</v>
      </c>
      <c r="BG1">
        <v>49</v>
      </c>
      <c r="BH1" t="s">
        <v>467</v>
      </c>
      <c r="BI1" t="s">
        <v>340</v>
      </c>
      <c r="BJ1">
        <v>49.23</v>
      </c>
      <c r="BK1" t="s">
        <v>467</v>
      </c>
      <c r="BL1" t="s">
        <v>340</v>
      </c>
      <c r="BM1">
        <v>47.85</v>
      </c>
      <c r="BN1" t="s">
        <v>467</v>
      </c>
      <c r="BO1" t="s">
        <v>340</v>
      </c>
      <c r="BP1">
        <v>47</v>
      </c>
      <c r="BQ1" t="s">
        <v>467</v>
      </c>
      <c r="BR1" t="s">
        <v>340</v>
      </c>
      <c r="BS1">
        <v>47.99</v>
      </c>
      <c r="BT1" t="s">
        <v>467</v>
      </c>
      <c r="BU1" t="s">
        <v>340</v>
      </c>
      <c r="BV1">
        <v>46.61</v>
      </c>
      <c r="BW1" t="s">
        <v>467</v>
      </c>
      <c r="BX1" t="s">
        <v>340</v>
      </c>
      <c r="BY1">
        <v>46.21</v>
      </c>
      <c r="BZ1" t="s">
        <v>467</v>
      </c>
      <c r="CA1" t="s">
        <v>340</v>
      </c>
      <c r="CB1">
        <v>46.27</v>
      </c>
      <c r="CC1" t="s">
        <v>467</v>
      </c>
      <c r="CD1" t="s">
        <v>340</v>
      </c>
      <c r="CE1">
        <v>47.44</v>
      </c>
      <c r="CF1" t="s">
        <v>467</v>
      </c>
      <c r="CG1" t="s">
        <v>340</v>
      </c>
      <c r="CH1">
        <v>46</v>
      </c>
      <c r="CI1" t="s">
        <v>467</v>
      </c>
      <c r="CJ1" t="s">
        <v>340</v>
      </c>
      <c r="CK1">
        <v>46.48</v>
      </c>
      <c r="CL1" t="s">
        <v>467</v>
      </c>
      <c r="CM1" t="s">
        <v>340</v>
      </c>
      <c r="CN1">
        <v>46</v>
      </c>
      <c r="CO1" t="s">
        <v>467</v>
      </c>
      <c r="CP1" t="s">
        <v>340</v>
      </c>
      <c r="CQ1">
        <v>47.51</v>
      </c>
      <c r="CR1" t="s">
        <v>467</v>
      </c>
      <c r="CS1" t="s">
        <v>340</v>
      </c>
      <c r="CT1">
        <v>46.3</v>
      </c>
      <c r="CU1" t="s">
        <v>467</v>
      </c>
      <c r="CV1" t="s">
        <v>340</v>
      </c>
      <c r="CW1">
        <v>46.24</v>
      </c>
      <c r="CX1" t="s">
        <v>467</v>
      </c>
      <c r="CY1" t="s">
        <v>340</v>
      </c>
      <c r="CZ1">
        <v>46.05</v>
      </c>
      <c r="DA1" t="s">
        <v>467</v>
      </c>
      <c r="DB1" t="s">
        <v>340</v>
      </c>
      <c r="DC1">
        <v>46.69</v>
      </c>
      <c r="DD1" t="s">
        <v>467</v>
      </c>
      <c r="DE1" t="s">
        <v>340</v>
      </c>
      <c r="DF1">
        <v>46.11</v>
      </c>
      <c r="DG1" t="s">
        <v>467</v>
      </c>
      <c r="DH1" t="s">
        <v>340</v>
      </c>
      <c r="DI1">
        <v>47.4</v>
      </c>
      <c r="DJ1" t="s">
        <v>467</v>
      </c>
      <c r="DK1" t="s">
        <v>340</v>
      </c>
      <c r="DL1">
        <v>46.4</v>
      </c>
      <c r="DM1" t="s">
        <v>467</v>
      </c>
      <c r="DN1" t="s">
        <v>340</v>
      </c>
      <c r="DO1">
        <v>47.87</v>
      </c>
      <c r="DP1" t="s">
        <v>467</v>
      </c>
      <c r="DQ1" t="s">
        <v>340</v>
      </c>
      <c r="DR1">
        <v>80.33</v>
      </c>
      <c r="DS1" t="s">
        <v>467</v>
      </c>
      <c r="DT1" t="s">
        <v>340</v>
      </c>
      <c r="DU1">
        <v>70.27</v>
      </c>
      <c r="DV1" t="s">
        <v>467</v>
      </c>
      <c r="DW1" t="s">
        <v>340</v>
      </c>
      <c r="DX1">
        <v>65.650000000000006</v>
      </c>
      <c r="DY1" t="s">
        <v>467</v>
      </c>
      <c r="DZ1" t="s">
        <v>340</v>
      </c>
      <c r="EA1">
        <v>66.239999999999995</v>
      </c>
      <c r="EB1" t="s">
        <v>467</v>
      </c>
      <c r="EC1" t="s">
        <v>340</v>
      </c>
      <c r="ED1">
        <v>63.01</v>
      </c>
      <c r="EE1" t="s">
        <v>467</v>
      </c>
      <c r="EF1" t="s">
        <v>340</v>
      </c>
      <c r="EG1">
        <v>74.34</v>
      </c>
      <c r="EH1" t="s">
        <v>467</v>
      </c>
      <c r="EI1" t="s">
        <v>340</v>
      </c>
      <c r="EJ1">
        <v>80.55</v>
      </c>
      <c r="EK1" t="s">
        <v>467</v>
      </c>
    </row>
    <row r="2" spans="1:141">
      <c r="A2" t="s">
        <v>340</v>
      </c>
      <c r="B2">
        <v>47.7</v>
      </c>
      <c r="C2" t="s">
        <v>467</v>
      </c>
      <c r="D2" t="s">
        <v>340</v>
      </c>
      <c r="E2">
        <v>48.17</v>
      </c>
      <c r="F2" t="s">
        <v>467</v>
      </c>
      <c r="G2" t="s">
        <v>142</v>
      </c>
      <c r="H2">
        <v>50.51</v>
      </c>
      <c r="I2" t="s">
        <v>143</v>
      </c>
      <c r="J2" t="s">
        <v>142</v>
      </c>
      <c r="K2">
        <v>49.62</v>
      </c>
      <c r="L2" t="s">
        <v>143</v>
      </c>
      <c r="M2" t="s">
        <v>142</v>
      </c>
      <c r="N2">
        <v>48.9</v>
      </c>
      <c r="O2" t="s">
        <v>143</v>
      </c>
      <c r="P2" t="s">
        <v>142</v>
      </c>
      <c r="Q2">
        <v>49.15</v>
      </c>
      <c r="R2" t="s">
        <v>143</v>
      </c>
      <c r="S2" t="s">
        <v>142</v>
      </c>
      <c r="T2">
        <v>49.08</v>
      </c>
      <c r="U2" t="s">
        <v>143</v>
      </c>
      <c r="V2" t="s">
        <v>142</v>
      </c>
      <c r="W2">
        <v>48.91</v>
      </c>
      <c r="X2" t="s">
        <v>143</v>
      </c>
      <c r="Y2" t="s">
        <v>142</v>
      </c>
      <c r="Z2">
        <v>49.96</v>
      </c>
      <c r="AA2" t="s">
        <v>143</v>
      </c>
      <c r="AB2" t="s">
        <v>142</v>
      </c>
      <c r="AC2">
        <v>49.24</v>
      </c>
      <c r="AD2" t="s">
        <v>143</v>
      </c>
      <c r="AE2" t="s">
        <v>142</v>
      </c>
      <c r="AF2">
        <v>48.65</v>
      </c>
      <c r="AG2" t="s">
        <v>143</v>
      </c>
      <c r="AH2" t="s">
        <v>142</v>
      </c>
      <c r="AI2">
        <v>48.12</v>
      </c>
      <c r="AJ2" t="s">
        <v>143</v>
      </c>
      <c r="AK2" t="s">
        <v>142</v>
      </c>
      <c r="AL2">
        <v>51</v>
      </c>
      <c r="AM2" t="s">
        <v>143</v>
      </c>
      <c r="AN2" t="s">
        <v>142</v>
      </c>
      <c r="AO2">
        <v>53.13</v>
      </c>
      <c r="AP2" t="s">
        <v>143</v>
      </c>
      <c r="AQ2" t="s">
        <v>142</v>
      </c>
      <c r="AR2">
        <v>56.08</v>
      </c>
      <c r="AS2" t="s">
        <v>143</v>
      </c>
      <c r="AT2" t="s">
        <v>142</v>
      </c>
      <c r="AU2">
        <v>56.04</v>
      </c>
      <c r="AV2" t="s">
        <v>143</v>
      </c>
      <c r="AW2" t="s">
        <v>142</v>
      </c>
      <c r="AX2">
        <v>54</v>
      </c>
      <c r="AY2" t="s">
        <v>143</v>
      </c>
      <c r="AZ2" t="s">
        <v>142</v>
      </c>
      <c r="BA2">
        <v>54.55</v>
      </c>
      <c r="BB2" t="s">
        <v>143</v>
      </c>
      <c r="BC2" t="s">
        <v>142</v>
      </c>
      <c r="BD2">
        <v>55.7</v>
      </c>
      <c r="BE2" t="s">
        <v>143</v>
      </c>
      <c r="BF2" t="s">
        <v>142</v>
      </c>
      <c r="BG2">
        <v>55.19</v>
      </c>
      <c r="BH2" t="s">
        <v>143</v>
      </c>
      <c r="BI2" t="s">
        <v>142</v>
      </c>
      <c r="BJ2">
        <v>55.75</v>
      </c>
      <c r="BK2" t="s">
        <v>143</v>
      </c>
      <c r="BL2" t="s">
        <v>142</v>
      </c>
      <c r="BM2">
        <v>57.5</v>
      </c>
      <c r="BN2" t="s">
        <v>143</v>
      </c>
      <c r="BO2" t="s">
        <v>142</v>
      </c>
      <c r="BP2">
        <v>56.5</v>
      </c>
      <c r="BQ2" t="s">
        <v>143</v>
      </c>
      <c r="BR2" t="s">
        <v>142</v>
      </c>
      <c r="BS2">
        <v>57.9</v>
      </c>
      <c r="BT2" t="s">
        <v>143</v>
      </c>
      <c r="BU2" t="s">
        <v>142</v>
      </c>
      <c r="BV2">
        <v>57.4</v>
      </c>
      <c r="BW2" t="s">
        <v>143</v>
      </c>
      <c r="BX2" t="s">
        <v>142</v>
      </c>
      <c r="BY2">
        <v>58</v>
      </c>
      <c r="BZ2" t="s">
        <v>143</v>
      </c>
      <c r="CA2" t="s">
        <v>142</v>
      </c>
      <c r="CB2">
        <v>59.35</v>
      </c>
      <c r="CC2" t="s">
        <v>143</v>
      </c>
      <c r="CD2" t="s">
        <v>142</v>
      </c>
      <c r="CE2">
        <v>59</v>
      </c>
      <c r="CF2" t="s">
        <v>143</v>
      </c>
      <c r="CG2" t="s">
        <v>142</v>
      </c>
      <c r="CH2">
        <v>58.51</v>
      </c>
      <c r="CI2" t="s">
        <v>143</v>
      </c>
      <c r="CJ2" t="s">
        <v>142</v>
      </c>
      <c r="CK2">
        <v>58.5</v>
      </c>
      <c r="CL2" t="s">
        <v>143</v>
      </c>
      <c r="CM2" t="s">
        <v>142</v>
      </c>
      <c r="CN2">
        <v>57.48</v>
      </c>
      <c r="CO2" t="s">
        <v>143</v>
      </c>
      <c r="CP2" t="s">
        <v>142</v>
      </c>
      <c r="CQ2">
        <v>58.8</v>
      </c>
      <c r="CR2" t="s">
        <v>143</v>
      </c>
      <c r="CS2" t="s">
        <v>142</v>
      </c>
      <c r="CT2">
        <v>61</v>
      </c>
      <c r="CU2" t="s">
        <v>143</v>
      </c>
      <c r="CV2" t="s">
        <v>142</v>
      </c>
      <c r="CW2">
        <v>60.94</v>
      </c>
      <c r="CX2" t="s">
        <v>143</v>
      </c>
      <c r="CY2" t="s">
        <v>142</v>
      </c>
      <c r="CZ2">
        <v>59.99</v>
      </c>
      <c r="DA2" t="s">
        <v>143</v>
      </c>
      <c r="DB2" t="s">
        <v>142</v>
      </c>
      <c r="DC2">
        <v>58.73</v>
      </c>
      <c r="DD2" t="s">
        <v>143</v>
      </c>
      <c r="DE2" t="s">
        <v>142</v>
      </c>
      <c r="DF2">
        <v>59.2</v>
      </c>
      <c r="DG2" t="s">
        <v>143</v>
      </c>
      <c r="DH2" t="s">
        <v>142</v>
      </c>
      <c r="DI2">
        <v>55.26</v>
      </c>
      <c r="DJ2" t="s">
        <v>143</v>
      </c>
      <c r="DK2" t="s">
        <v>142</v>
      </c>
      <c r="DL2">
        <v>54.3</v>
      </c>
      <c r="DM2" t="s">
        <v>143</v>
      </c>
      <c r="DN2" t="s">
        <v>142</v>
      </c>
      <c r="DO2">
        <v>51.21</v>
      </c>
      <c r="DP2" t="s">
        <v>143</v>
      </c>
      <c r="DQ2" t="s">
        <v>142</v>
      </c>
      <c r="DR2">
        <v>53.97</v>
      </c>
      <c r="DS2" t="s">
        <v>143</v>
      </c>
      <c r="DT2" t="s">
        <v>142</v>
      </c>
      <c r="DU2">
        <v>52.8</v>
      </c>
      <c r="DV2" t="s">
        <v>143</v>
      </c>
      <c r="DW2" t="s">
        <v>142</v>
      </c>
      <c r="DX2">
        <v>49.81</v>
      </c>
      <c r="DY2" t="s">
        <v>143</v>
      </c>
      <c r="DZ2" t="s">
        <v>142</v>
      </c>
      <c r="EA2">
        <v>49</v>
      </c>
      <c r="EB2" t="s">
        <v>143</v>
      </c>
      <c r="EC2" t="s">
        <v>142</v>
      </c>
      <c r="ED2">
        <v>48.32</v>
      </c>
      <c r="EE2" t="s">
        <v>143</v>
      </c>
      <c r="EF2" t="s">
        <v>142</v>
      </c>
      <c r="EG2">
        <v>49</v>
      </c>
      <c r="EH2" t="s">
        <v>143</v>
      </c>
      <c r="EI2" t="s">
        <v>142</v>
      </c>
      <c r="EJ2">
        <v>50.25</v>
      </c>
      <c r="EK2" t="s">
        <v>143</v>
      </c>
    </row>
    <row r="3" spans="1:141">
      <c r="A3" t="s">
        <v>142</v>
      </c>
      <c r="B3">
        <v>49.55</v>
      </c>
      <c r="C3" t="s">
        <v>143</v>
      </c>
      <c r="D3" t="s">
        <v>142</v>
      </c>
      <c r="E3">
        <v>48.99</v>
      </c>
      <c r="F3" t="s">
        <v>143</v>
      </c>
      <c r="G3" t="s">
        <v>424</v>
      </c>
      <c r="H3">
        <v>0.93</v>
      </c>
      <c r="I3" t="s">
        <v>115</v>
      </c>
      <c r="J3" t="s">
        <v>424</v>
      </c>
      <c r="K3">
        <v>0.93</v>
      </c>
      <c r="L3" t="s">
        <v>115</v>
      </c>
      <c r="M3" t="s">
        <v>424</v>
      </c>
      <c r="N3">
        <v>0.92</v>
      </c>
      <c r="O3" t="s">
        <v>115</v>
      </c>
      <c r="P3" t="s">
        <v>424</v>
      </c>
      <c r="Q3">
        <v>0.92</v>
      </c>
      <c r="R3" t="s">
        <v>115</v>
      </c>
      <c r="S3" t="s">
        <v>424</v>
      </c>
      <c r="T3">
        <v>0.91</v>
      </c>
      <c r="U3" t="s">
        <v>115</v>
      </c>
      <c r="V3" t="s">
        <v>424</v>
      </c>
      <c r="W3">
        <v>0.89</v>
      </c>
      <c r="X3" t="s">
        <v>115</v>
      </c>
      <c r="Y3" t="s">
        <v>424</v>
      </c>
      <c r="Z3">
        <v>0.91</v>
      </c>
      <c r="AA3" t="s">
        <v>115</v>
      </c>
      <c r="AB3" t="s">
        <v>424</v>
      </c>
      <c r="AC3">
        <v>0.95</v>
      </c>
      <c r="AD3" t="s">
        <v>115</v>
      </c>
      <c r="AE3" t="s">
        <v>424</v>
      </c>
      <c r="AF3">
        <v>0.94</v>
      </c>
      <c r="AG3" t="s">
        <v>115</v>
      </c>
      <c r="AH3" t="s">
        <v>424</v>
      </c>
      <c r="AI3">
        <v>0.95</v>
      </c>
      <c r="AJ3" t="s">
        <v>115</v>
      </c>
      <c r="AK3" t="s">
        <v>424</v>
      </c>
      <c r="AL3">
        <v>0.93</v>
      </c>
      <c r="AM3" t="s">
        <v>115</v>
      </c>
      <c r="AN3" t="s">
        <v>424</v>
      </c>
      <c r="AO3">
        <v>0.94</v>
      </c>
      <c r="AP3" t="s">
        <v>115</v>
      </c>
      <c r="AQ3" t="s">
        <v>424</v>
      </c>
      <c r="AR3">
        <v>0.96</v>
      </c>
      <c r="AS3" t="s">
        <v>115</v>
      </c>
      <c r="AT3" t="s">
        <v>424</v>
      </c>
      <c r="AU3">
        <v>0.98</v>
      </c>
      <c r="AV3" t="s">
        <v>115</v>
      </c>
      <c r="AW3" t="s">
        <v>424</v>
      </c>
      <c r="AX3">
        <v>0.96</v>
      </c>
      <c r="AY3" t="s">
        <v>115</v>
      </c>
      <c r="AZ3" t="s">
        <v>424</v>
      </c>
      <c r="BA3">
        <v>0.95</v>
      </c>
      <c r="BB3" t="s">
        <v>115</v>
      </c>
      <c r="BC3" t="s">
        <v>424</v>
      </c>
      <c r="BD3">
        <v>0.97</v>
      </c>
      <c r="BE3" t="s">
        <v>115</v>
      </c>
      <c r="BF3" t="s">
        <v>424</v>
      </c>
      <c r="BG3">
        <v>0.95</v>
      </c>
      <c r="BH3" t="s">
        <v>115</v>
      </c>
      <c r="BI3" t="s">
        <v>424</v>
      </c>
      <c r="BJ3">
        <v>0.96</v>
      </c>
      <c r="BK3" t="s">
        <v>115</v>
      </c>
      <c r="BL3" t="s">
        <v>424</v>
      </c>
      <c r="BM3">
        <v>0.95</v>
      </c>
      <c r="BN3" t="s">
        <v>115</v>
      </c>
      <c r="BO3" t="s">
        <v>424</v>
      </c>
      <c r="BP3">
        <v>0.96</v>
      </c>
      <c r="BQ3" t="s">
        <v>115</v>
      </c>
      <c r="BR3" t="s">
        <v>424</v>
      </c>
      <c r="BS3">
        <v>0.96</v>
      </c>
      <c r="BT3" t="s">
        <v>115</v>
      </c>
      <c r="BU3" t="s">
        <v>424</v>
      </c>
      <c r="BV3">
        <v>0.95</v>
      </c>
      <c r="BW3" t="s">
        <v>115</v>
      </c>
      <c r="BX3" t="s">
        <v>424</v>
      </c>
      <c r="BY3">
        <v>0.95</v>
      </c>
      <c r="BZ3" t="s">
        <v>115</v>
      </c>
      <c r="CA3" t="s">
        <v>424</v>
      </c>
      <c r="CB3">
        <v>0.94</v>
      </c>
      <c r="CC3" t="s">
        <v>115</v>
      </c>
      <c r="CD3" t="s">
        <v>424</v>
      </c>
      <c r="CE3">
        <v>0.94</v>
      </c>
      <c r="CF3" t="s">
        <v>115</v>
      </c>
      <c r="CG3" t="s">
        <v>424</v>
      </c>
      <c r="CH3">
        <v>0.95</v>
      </c>
      <c r="CI3" t="s">
        <v>115</v>
      </c>
      <c r="CJ3" t="s">
        <v>424</v>
      </c>
      <c r="CK3">
        <v>0.95</v>
      </c>
      <c r="CL3" t="s">
        <v>115</v>
      </c>
      <c r="CM3" t="s">
        <v>424</v>
      </c>
      <c r="CN3">
        <v>0.94</v>
      </c>
      <c r="CO3" t="s">
        <v>115</v>
      </c>
      <c r="CP3" t="s">
        <v>424</v>
      </c>
      <c r="CQ3">
        <v>0.93</v>
      </c>
      <c r="CR3" t="s">
        <v>115</v>
      </c>
      <c r="CS3" t="s">
        <v>424</v>
      </c>
      <c r="CT3">
        <v>0.94</v>
      </c>
      <c r="CU3" t="s">
        <v>115</v>
      </c>
      <c r="CV3" t="s">
        <v>424</v>
      </c>
      <c r="CW3">
        <v>0.93</v>
      </c>
      <c r="CX3" t="s">
        <v>115</v>
      </c>
      <c r="CY3" t="s">
        <v>424</v>
      </c>
      <c r="CZ3">
        <v>0.95</v>
      </c>
      <c r="DA3" t="s">
        <v>115</v>
      </c>
      <c r="DB3" t="s">
        <v>424</v>
      </c>
      <c r="DC3">
        <v>1.01</v>
      </c>
      <c r="DD3" t="s">
        <v>115</v>
      </c>
      <c r="DE3" t="s">
        <v>424</v>
      </c>
      <c r="DF3">
        <v>1.05</v>
      </c>
      <c r="DG3" t="s">
        <v>115</v>
      </c>
      <c r="DH3" t="s">
        <v>424</v>
      </c>
      <c r="DI3">
        <v>1.05</v>
      </c>
      <c r="DJ3" t="s">
        <v>115</v>
      </c>
      <c r="DK3" t="s">
        <v>424</v>
      </c>
      <c r="DL3">
        <v>0.96</v>
      </c>
      <c r="DM3" t="s">
        <v>115</v>
      </c>
      <c r="DN3" t="s">
        <v>424</v>
      </c>
      <c r="DO3">
        <v>0.93</v>
      </c>
      <c r="DP3" t="s">
        <v>115</v>
      </c>
      <c r="DQ3" t="s">
        <v>424</v>
      </c>
      <c r="DR3">
        <v>0.96</v>
      </c>
      <c r="DS3" t="s">
        <v>115</v>
      </c>
      <c r="DT3" t="s">
        <v>424</v>
      </c>
      <c r="DU3">
        <v>0.94</v>
      </c>
      <c r="DV3" t="s">
        <v>115</v>
      </c>
      <c r="DW3" t="s">
        <v>424</v>
      </c>
      <c r="DX3">
        <v>0.92</v>
      </c>
      <c r="DY3" t="s">
        <v>115</v>
      </c>
      <c r="DZ3" t="s">
        <v>424</v>
      </c>
      <c r="EA3">
        <v>0.92</v>
      </c>
      <c r="EB3" t="s">
        <v>115</v>
      </c>
      <c r="EC3" t="s">
        <v>424</v>
      </c>
      <c r="ED3">
        <v>0.92</v>
      </c>
      <c r="EE3" t="s">
        <v>115</v>
      </c>
      <c r="EF3" t="s">
        <v>424</v>
      </c>
      <c r="EG3">
        <v>0.92</v>
      </c>
      <c r="EH3" t="s">
        <v>115</v>
      </c>
      <c r="EI3" t="s">
        <v>424</v>
      </c>
      <c r="EJ3">
        <v>0.92</v>
      </c>
      <c r="EK3" t="s">
        <v>115</v>
      </c>
    </row>
    <row r="4" spans="1:141">
      <c r="A4" t="s">
        <v>424</v>
      </c>
      <c r="B4">
        <v>0.97</v>
      </c>
      <c r="C4" t="s">
        <v>115</v>
      </c>
      <c r="D4" t="s">
        <v>424</v>
      </c>
      <c r="E4">
        <v>0.94</v>
      </c>
      <c r="F4" t="s">
        <v>115</v>
      </c>
      <c r="G4" t="s">
        <v>435</v>
      </c>
      <c r="H4">
        <v>2.6</v>
      </c>
      <c r="I4" t="s">
        <v>487</v>
      </c>
      <c r="J4" t="s">
        <v>435</v>
      </c>
      <c r="K4">
        <v>2.57</v>
      </c>
      <c r="L4" t="s">
        <v>487</v>
      </c>
      <c r="M4" t="s">
        <v>435</v>
      </c>
      <c r="N4">
        <v>2.58</v>
      </c>
      <c r="O4" t="s">
        <v>487</v>
      </c>
      <c r="P4" t="s">
        <v>435</v>
      </c>
      <c r="Q4">
        <v>2.59</v>
      </c>
      <c r="R4" t="s">
        <v>487</v>
      </c>
      <c r="S4" t="s">
        <v>435</v>
      </c>
      <c r="T4">
        <v>2.6</v>
      </c>
      <c r="U4" t="s">
        <v>487</v>
      </c>
      <c r="V4" t="s">
        <v>435</v>
      </c>
      <c r="W4">
        <v>2.6</v>
      </c>
      <c r="X4" t="s">
        <v>487</v>
      </c>
      <c r="Y4" t="s">
        <v>435</v>
      </c>
      <c r="Z4">
        <v>2.61</v>
      </c>
      <c r="AA4" t="s">
        <v>487</v>
      </c>
      <c r="AB4" t="s">
        <v>435</v>
      </c>
      <c r="AC4">
        <v>2.6</v>
      </c>
      <c r="AD4" t="s">
        <v>487</v>
      </c>
      <c r="AE4" t="s">
        <v>435</v>
      </c>
      <c r="AF4">
        <v>2.6</v>
      </c>
      <c r="AG4" t="s">
        <v>487</v>
      </c>
      <c r="AH4" t="s">
        <v>435</v>
      </c>
      <c r="AI4">
        <v>2.67</v>
      </c>
      <c r="AJ4" t="s">
        <v>487</v>
      </c>
      <c r="AK4" t="s">
        <v>435</v>
      </c>
      <c r="AL4">
        <v>2.67</v>
      </c>
      <c r="AM4" t="s">
        <v>487</v>
      </c>
      <c r="AN4" t="s">
        <v>435</v>
      </c>
      <c r="AO4">
        <v>2.62</v>
      </c>
      <c r="AP4" t="s">
        <v>487</v>
      </c>
      <c r="AQ4" t="s">
        <v>435</v>
      </c>
      <c r="AR4">
        <v>2.6</v>
      </c>
      <c r="AS4" t="s">
        <v>487</v>
      </c>
      <c r="AT4" t="s">
        <v>435</v>
      </c>
      <c r="AU4">
        <v>2.68</v>
      </c>
      <c r="AV4" t="s">
        <v>487</v>
      </c>
      <c r="AW4" t="s">
        <v>435</v>
      </c>
      <c r="AX4">
        <v>2.7</v>
      </c>
      <c r="AY4" t="s">
        <v>487</v>
      </c>
      <c r="AZ4" t="s">
        <v>435</v>
      </c>
      <c r="BA4">
        <v>2.67</v>
      </c>
      <c r="BB4" t="s">
        <v>487</v>
      </c>
      <c r="BC4" t="s">
        <v>435</v>
      </c>
      <c r="BD4">
        <v>2.66</v>
      </c>
      <c r="BE4" t="s">
        <v>487</v>
      </c>
      <c r="BF4" t="s">
        <v>435</v>
      </c>
      <c r="BG4">
        <v>2.62</v>
      </c>
      <c r="BH4" t="s">
        <v>487</v>
      </c>
      <c r="BI4" t="s">
        <v>435</v>
      </c>
      <c r="BJ4">
        <v>2.6</v>
      </c>
      <c r="BK4" t="s">
        <v>487</v>
      </c>
      <c r="BL4" t="s">
        <v>435</v>
      </c>
      <c r="BM4">
        <v>2.58</v>
      </c>
      <c r="BN4" t="s">
        <v>487</v>
      </c>
      <c r="BO4" t="s">
        <v>435</v>
      </c>
      <c r="BP4">
        <v>2.54</v>
      </c>
      <c r="BQ4" t="s">
        <v>487</v>
      </c>
      <c r="BR4" t="s">
        <v>435</v>
      </c>
      <c r="BS4">
        <v>2.5499999999999998</v>
      </c>
      <c r="BT4" t="s">
        <v>487</v>
      </c>
      <c r="BU4" t="s">
        <v>435</v>
      </c>
      <c r="BV4">
        <v>2.5</v>
      </c>
      <c r="BW4" t="s">
        <v>487</v>
      </c>
      <c r="BX4" t="s">
        <v>435</v>
      </c>
      <c r="BY4">
        <v>2.5</v>
      </c>
      <c r="BZ4" t="s">
        <v>487</v>
      </c>
      <c r="CA4" t="s">
        <v>435</v>
      </c>
      <c r="CB4">
        <v>2.5099999999999998</v>
      </c>
      <c r="CC4" t="s">
        <v>487</v>
      </c>
      <c r="CD4" t="s">
        <v>435</v>
      </c>
      <c r="CE4">
        <v>2.5499999999999998</v>
      </c>
      <c r="CF4" t="s">
        <v>487</v>
      </c>
      <c r="CG4" t="s">
        <v>435</v>
      </c>
      <c r="CH4">
        <v>2.5299999999999998</v>
      </c>
      <c r="CI4" t="s">
        <v>487</v>
      </c>
      <c r="CJ4" t="s">
        <v>435</v>
      </c>
      <c r="CK4">
        <v>2.57</v>
      </c>
      <c r="CL4" t="s">
        <v>487</v>
      </c>
      <c r="CM4" t="s">
        <v>435</v>
      </c>
      <c r="CN4">
        <v>2.59</v>
      </c>
      <c r="CO4" t="s">
        <v>487</v>
      </c>
      <c r="CP4" t="s">
        <v>435</v>
      </c>
      <c r="CQ4">
        <v>2.5299999999999998</v>
      </c>
      <c r="CR4" t="s">
        <v>487</v>
      </c>
      <c r="CS4" t="s">
        <v>435</v>
      </c>
      <c r="CT4">
        <v>2.5299999999999998</v>
      </c>
      <c r="CU4" t="s">
        <v>487</v>
      </c>
      <c r="CV4" t="s">
        <v>435</v>
      </c>
      <c r="CW4">
        <v>2.5299999999999998</v>
      </c>
      <c r="CX4" t="s">
        <v>487</v>
      </c>
      <c r="CY4" t="s">
        <v>435</v>
      </c>
      <c r="CZ4">
        <v>2.61</v>
      </c>
      <c r="DA4" t="s">
        <v>487</v>
      </c>
      <c r="DB4" t="s">
        <v>435</v>
      </c>
      <c r="DC4">
        <v>2.7</v>
      </c>
      <c r="DD4" t="s">
        <v>487</v>
      </c>
      <c r="DE4" t="s">
        <v>435</v>
      </c>
      <c r="DF4">
        <v>2.71</v>
      </c>
      <c r="DG4" t="s">
        <v>487</v>
      </c>
      <c r="DH4" t="s">
        <v>435</v>
      </c>
      <c r="DI4">
        <v>3.17</v>
      </c>
      <c r="DJ4" t="s">
        <v>487</v>
      </c>
      <c r="DK4" t="s">
        <v>435</v>
      </c>
      <c r="DL4">
        <v>3.09</v>
      </c>
      <c r="DM4" t="s">
        <v>487</v>
      </c>
      <c r="DN4" t="s">
        <v>435</v>
      </c>
      <c r="DO4">
        <v>3.11</v>
      </c>
      <c r="DP4" t="s">
        <v>487</v>
      </c>
      <c r="DQ4" t="s">
        <v>435</v>
      </c>
      <c r="DR4">
        <v>3.33</v>
      </c>
      <c r="DS4" t="s">
        <v>487</v>
      </c>
      <c r="DT4" t="s">
        <v>435</v>
      </c>
      <c r="DU4">
        <v>3.4</v>
      </c>
      <c r="DV4" t="s">
        <v>487</v>
      </c>
      <c r="DW4" t="s">
        <v>435</v>
      </c>
      <c r="DX4">
        <v>3.24</v>
      </c>
      <c r="DY4" t="s">
        <v>487</v>
      </c>
      <c r="DZ4" t="s">
        <v>435</v>
      </c>
      <c r="EA4">
        <v>3.19</v>
      </c>
      <c r="EB4" t="s">
        <v>487</v>
      </c>
      <c r="EC4" t="s">
        <v>435</v>
      </c>
      <c r="ED4">
        <v>3.13</v>
      </c>
      <c r="EE4" t="s">
        <v>487</v>
      </c>
      <c r="EF4" t="s">
        <v>435</v>
      </c>
      <c r="EG4">
        <v>3.17</v>
      </c>
      <c r="EH4" t="s">
        <v>487</v>
      </c>
      <c r="EI4" t="s">
        <v>435</v>
      </c>
      <c r="EJ4">
        <v>3.12</v>
      </c>
      <c r="EK4" t="s">
        <v>487</v>
      </c>
    </row>
    <row r="5" spans="1:141">
      <c r="A5" t="s">
        <v>435</v>
      </c>
      <c r="B5">
        <v>2.65</v>
      </c>
      <c r="C5" t="s">
        <v>487</v>
      </c>
      <c r="D5" t="s">
        <v>435</v>
      </c>
      <c r="E5">
        <v>2.63</v>
      </c>
      <c r="F5" t="s">
        <v>487</v>
      </c>
      <c r="G5" t="s">
        <v>436</v>
      </c>
      <c r="H5">
        <v>8.31</v>
      </c>
      <c r="I5" t="s">
        <v>19</v>
      </c>
      <c r="J5" t="s">
        <v>436</v>
      </c>
      <c r="K5">
        <v>8.17</v>
      </c>
      <c r="L5" t="s">
        <v>19</v>
      </c>
      <c r="M5" t="s">
        <v>436</v>
      </c>
      <c r="N5">
        <v>7.91</v>
      </c>
      <c r="O5" t="s">
        <v>19</v>
      </c>
      <c r="P5" t="s">
        <v>436</v>
      </c>
      <c r="Q5">
        <v>7.96</v>
      </c>
      <c r="R5" t="s">
        <v>19</v>
      </c>
      <c r="S5" t="s">
        <v>436</v>
      </c>
      <c r="T5">
        <v>7.95</v>
      </c>
      <c r="U5" t="s">
        <v>19</v>
      </c>
      <c r="V5" t="s">
        <v>436</v>
      </c>
      <c r="W5">
        <v>8</v>
      </c>
      <c r="X5" t="s">
        <v>19</v>
      </c>
      <c r="Y5" t="s">
        <v>436</v>
      </c>
      <c r="Z5">
        <v>8.07</v>
      </c>
      <c r="AA5" t="s">
        <v>19</v>
      </c>
      <c r="AB5" t="s">
        <v>436</v>
      </c>
      <c r="AC5">
        <v>8.1999999999999993</v>
      </c>
      <c r="AD5" t="s">
        <v>19</v>
      </c>
      <c r="AE5" t="s">
        <v>436</v>
      </c>
      <c r="AF5">
        <v>8.15</v>
      </c>
      <c r="AG5" t="s">
        <v>19</v>
      </c>
      <c r="AH5" t="s">
        <v>436</v>
      </c>
      <c r="AI5">
        <v>8.07</v>
      </c>
      <c r="AJ5" t="s">
        <v>19</v>
      </c>
      <c r="AK5" t="s">
        <v>436</v>
      </c>
      <c r="AL5">
        <v>8</v>
      </c>
      <c r="AM5" t="s">
        <v>19</v>
      </c>
      <c r="AN5" t="s">
        <v>436</v>
      </c>
      <c r="AO5">
        <v>7.97</v>
      </c>
      <c r="AP5" t="s">
        <v>19</v>
      </c>
      <c r="AQ5" t="s">
        <v>436</v>
      </c>
      <c r="AR5">
        <v>8.0299999999999994</v>
      </c>
      <c r="AS5" t="s">
        <v>19</v>
      </c>
      <c r="AT5" t="s">
        <v>436</v>
      </c>
      <c r="AU5">
        <v>7.94</v>
      </c>
      <c r="AV5" t="s">
        <v>19</v>
      </c>
      <c r="AW5" t="s">
        <v>436</v>
      </c>
      <c r="AX5">
        <v>8.01</v>
      </c>
      <c r="AY5" t="s">
        <v>19</v>
      </c>
      <c r="AZ5" t="s">
        <v>436</v>
      </c>
      <c r="BA5">
        <v>7.88</v>
      </c>
      <c r="BB5" t="s">
        <v>19</v>
      </c>
      <c r="BC5" t="s">
        <v>436</v>
      </c>
      <c r="BD5">
        <v>8.0500000000000007</v>
      </c>
      <c r="BE5" t="s">
        <v>19</v>
      </c>
      <c r="BF5" t="s">
        <v>436</v>
      </c>
      <c r="BG5">
        <v>8.02</v>
      </c>
      <c r="BH5" t="s">
        <v>19</v>
      </c>
      <c r="BI5" t="s">
        <v>436</v>
      </c>
      <c r="BJ5">
        <v>7.98</v>
      </c>
      <c r="BK5" t="s">
        <v>19</v>
      </c>
      <c r="BL5" t="s">
        <v>436</v>
      </c>
      <c r="BM5">
        <v>7.92</v>
      </c>
      <c r="BN5" t="s">
        <v>19</v>
      </c>
      <c r="BO5" t="s">
        <v>436</v>
      </c>
      <c r="BP5">
        <v>7.93</v>
      </c>
      <c r="BQ5" t="s">
        <v>19</v>
      </c>
      <c r="BR5" t="s">
        <v>436</v>
      </c>
      <c r="BS5">
        <v>7.95</v>
      </c>
      <c r="BT5" t="s">
        <v>19</v>
      </c>
      <c r="BU5" t="s">
        <v>436</v>
      </c>
      <c r="BV5">
        <v>7.93</v>
      </c>
      <c r="BW5" t="s">
        <v>19</v>
      </c>
      <c r="BX5" t="s">
        <v>436</v>
      </c>
      <c r="BY5">
        <v>8</v>
      </c>
      <c r="BZ5" t="s">
        <v>19</v>
      </c>
      <c r="CA5" t="s">
        <v>436</v>
      </c>
      <c r="CB5">
        <v>8.06</v>
      </c>
      <c r="CC5" t="s">
        <v>19</v>
      </c>
      <c r="CD5" t="s">
        <v>436</v>
      </c>
      <c r="CE5">
        <v>8.16</v>
      </c>
      <c r="CF5" t="s">
        <v>19</v>
      </c>
      <c r="CG5" t="s">
        <v>436</v>
      </c>
      <c r="CH5">
        <v>8.5</v>
      </c>
      <c r="CI5" t="s">
        <v>19</v>
      </c>
      <c r="CJ5" t="s">
        <v>436</v>
      </c>
      <c r="CK5">
        <v>8.4</v>
      </c>
      <c r="CL5" t="s">
        <v>19</v>
      </c>
      <c r="CM5" t="s">
        <v>436</v>
      </c>
      <c r="CN5">
        <v>8.3000000000000007</v>
      </c>
      <c r="CO5" t="s">
        <v>19</v>
      </c>
      <c r="CP5" t="s">
        <v>436</v>
      </c>
      <c r="CQ5">
        <v>8.4</v>
      </c>
      <c r="CR5" t="s">
        <v>19</v>
      </c>
      <c r="CS5" t="s">
        <v>436</v>
      </c>
      <c r="CT5">
        <v>8.1999999999999993</v>
      </c>
      <c r="CU5" t="s">
        <v>19</v>
      </c>
      <c r="CV5" t="s">
        <v>436</v>
      </c>
      <c r="CW5">
        <v>8.2200000000000006</v>
      </c>
      <c r="CX5" t="s">
        <v>19</v>
      </c>
      <c r="CY5" t="s">
        <v>436</v>
      </c>
      <c r="CZ5">
        <v>8.2799999999999994</v>
      </c>
      <c r="DA5" t="s">
        <v>19</v>
      </c>
      <c r="DB5" t="s">
        <v>436</v>
      </c>
      <c r="DC5">
        <v>9.02</v>
      </c>
      <c r="DD5" t="s">
        <v>19</v>
      </c>
      <c r="DE5" t="s">
        <v>436</v>
      </c>
      <c r="DF5">
        <v>9</v>
      </c>
      <c r="DG5" t="s">
        <v>19</v>
      </c>
      <c r="DH5" t="s">
        <v>436</v>
      </c>
      <c r="DI5">
        <v>8.86</v>
      </c>
      <c r="DJ5" t="s">
        <v>19</v>
      </c>
      <c r="DK5" t="s">
        <v>436</v>
      </c>
      <c r="DL5">
        <v>8.61</v>
      </c>
      <c r="DM5" t="s">
        <v>19</v>
      </c>
      <c r="DN5" t="s">
        <v>436</v>
      </c>
      <c r="DO5">
        <v>8.4</v>
      </c>
      <c r="DP5" t="s">
        <v>19</v>
      </c>
      <c r="DQ5" t="s">
        <v>436</v>
      </c>
      <c r="DR5">
        <v>9.77</v>
      </c>
      <c r="DS5" t="s">
        <v>19</v>
      </c>
      <c r="DT5" t="s">
        <v>436</v>
      </c>
      <c r="DU5">
        <v>9.34</v>
      </c>
      <c r="DV5" t="s">
        <v>19</v>
      </c>
      <c r="DW5" t="s">
        <v>436</v>
      </c>
      <c r="DX5">
        <v>8.91</v>
      </c>
      <c r="DY5" t="s">
        <v>19</v>
      </c>
      <c r="DZ5" t="s">
        <v>436</v>
      </c>
      <c r="EA5">
        <v>9.02</v>
      </c>
      <c r="EB5" t="s">
        <v>19</v>
      </c>
      <c r="EC5" t="s">
        <v>436</v>
      </c>
      <c r="ED5">
        <v>9.3000000000000007</v>
      </c>
      <c r="EE5" t="s">
        <v>19</v>
      </c>
      <c r="EF5" t="s">
        <v>436</v>
      </c>
      <c r="EG5">
        <v>9.4499999999999993</v>
      </c>
      <c r="EH5" t="s">
        <v>19</v>
      </c>
      <c r="EI5" t="s">
        <v>436</v>
      </c>
      <c r="EJ5">
        <v>9.08</v>
      </c>
      <c r="EK5" t="s">
        <v>19</v>
      </c>
    </row>
    <row r="6" spans="1:141">
      <c r="A6" t="s">
        <v>436</v>
      </c>
      <c r="B6">
        <v>8.43</v>
      </c>
      <c r="C6" t="s">
        <v>19</v>
      </c>
      <c r="D6" t="s">
        <v>436</v>
      </c>
      <c r="E6">
        <v>8.25</v>
      </c>
      <c r="F6" t="s">
        <v>19</v>
      </c>
      <c r="G6" t="s">
        <v>451</v>
      </c>
      <c r="H6">
        <v>63.49</v>
      </c>
      <c r="I6" t="s">
        <v>489</v>
      </c>
      <c r="J6" t="s">
        <v>451</v>
      </c>
      <c r="K6">
        <v>64.09</v>
      </c>
      <c r="L6" t="s">
        <v>489</v>
      </c>
      <c r="M6" t="s">
        <v>451</v>
      </c>
      <c r="N6">
        <v>61.7</v>
      </c>
      <c r="O6" t="s">
        <v>489</v>
      </c>
      <c r="P6" t="s">
        <v>451</v>
      </c>
      <c r="Q6">
        <v>62.79</v>
      </c>
      <c r="R6" t="s">
        <v>489</v>
      </c>
      <c r="S6" t="s">
        <v>451</v>
      </c>
      <c r="T6">
        <v>63.5</v>
      </c>
      <c r="U6" t="s">
        <v>489</v>
      </c>
      <c r="V6" t="s">
        <v>451</v>
      </c>
      <c r="W6">
        <v>60.2</v>
      </c>
      <c r="X6" t="s">
        <v>489</v>
      </c>
      <c r="Y6" t="s">
        <v>451</v>
      </c>
      <c r="Z6">
        <v>62.79</v>
      </c>
      <c r="AA6" t="s">
        <v>489</v>
      </c>
      <c r="AB6" t="s">
        <v>451</v>
      </c>
      <c r="AC6">
        <v>62</v>
      </c>
      <c r="AD6" t="s">
        <v>489</v>
      </c>
      <c r="AE6" t="s">
        <v>451</v>
      </c>
      <c r="AF6">
        <v>64.84</v>
      </c>
      <c r="AG6" t="s">
        <v>489</v>
      </c>
      <c r="AH6" t="s">
        <v>451</v>
      </c>
      <c r="AI6">
        <v>67.540000000000006</v>
      </c>
      <c r="AJ6" t="s">
        <v>489</v>
      </c>
      <c r="AK6" t="s">
        <v>451</v>
      </c>
      <c r="AL6">
        <v>66.72</v>
      </c>
      <c r="AM6" t="s">
        <v>489</v>
      </c>
      <c r="AN6" t="s">
        <v>451</v>
      </c>
      <c r="AO6">
        <v>63.5</v>
      </c>
      <c r="AP6" t="s">
        <v>489</v>
      </c>
      <c r="AQ6" t="s">
        <v>451</v>
      </c>
      <c r="AR6">
        <v>64.2</v>
      </c>
      <c r="AS6" t="s">
        <v>489</v>
      </c>
      <c r="AT6" t="s">
        <v>451</v>
      </c>
      <c r="AU6">
        <v>64.5</v>
      </c>
      <c r="AV6" t="s">
        <v>489</v>
      </c>
      <c r="AW6" t="s">
        <v>451</v>
      </c>
      <c r="AX6">
        <v>66.959999999999994</v>
      </c>
      <c r="AY6" t="s">
        <v>489</v>
      </c>
      <c r="AZ6" t="s">
        <v>451</v>
      </c>
      <c r="BA6">
        <v>66.03</v>
      </c>
      <c r="BB6" t="s">
        <v>489</v>
      </c>
      <c r="BC6" t="s">
        <v>451</v>
      </c>
      <c r="BD6">
        <v>63.59</v>
      </c>
      <c r="BE6" t="s">
        <v>489</v>
      </c>
      <c r="BF6" t="s">
        <v>451</v>
      </c>
      <c r="BG6">
        <v>64</v>
      </c>
      <c r="BH6" t="s">
        <v>489</v>
      </c>
      <c r="BI6" t="s">
        <v>451</v>
      </c>
      <c r="BJ6">
        <v>63.55</v>
      </c>
      <c r="BK6" t="s">
        <v>489</v>
      </c>
      <c r="BL6" t="s">
        <v>451</v>
      </c>
      <c r="BM6">
        <v>61.51</v>
      </c>
      <c r="BN6" t="s">
        <v>489</v>
      </c>
      <c r="BO6" t="s">
        <v>451</v>
      </c>
      <c r="BP6">
        <v>62.8</v>
      </c>
      <c r="BQ6" t="s">
        <v>489</v>
      </c>
      <c r="BR6" t="s">
        <v>451</v>
      </c>
      <c r="BS6">
        <v>64.5</v>
      </c>
      <c r="BT6" t="s">
        <v>489</v>
      </c>
      <c r="BU6" t="s">
        <v>451</v>
      </c>
      <c r="BV6">
        <v>63.02</v>
      </c>
      <c r="BW6" t="s">
        <v>489</v>
      </c>
      <c r="BX6" t="s">
        <v>451</v>
      </c>
      <c r="BY6">
        <v>63.78</v>
      </c>
      <c r="BZ6" t="s">
        <v>489</v>
      </c>
      <c r="CA6" t="s">
        <v>451</v>
      </c>
      <c r="CB6">
        <v>63.42</v>
      </c>
      <c r="CC6" t="s">
        <v>489</v>
      </c>
      <c r="CD6" t="s">
        <v>451</v>
      </c>
      <c r="CE6">
        <v>64.02</v>
      </c>
      <c r="CF6" t="s">
        <v>489</v>
      </c>
      <c r="CG6" t="s">
        <v>451</v>
      </c>
      <c r="CH6">
        <v>63.8</v>
      </c>
      <c r="CI6" t="s">
        <v>489</v>
      </c>
      <c r="CJ6" t="s">
        <v>451</v>
      </c>
      <c r="CK6">
        <v>64.2</v>
      </c>
      <c r="CL6" t="s">
        <v>489</v>
      </c>
      <c r="CM6" t="s">
        <v>451</v>
      </c>
      <c r="CN6">
        <v>63.5</v>
      </c>
      <c r="CO6" t="s">
        <v>489</v>
      </c>
      <c r="CP6" t="s">
        <v>451</v>
      </c>
      <c r="CQ6">
        <v>63.35</v>
      </c>
      <c r="CR6" t="s">
        <v>489</v>
      </c>
      <c r="CS6" t="s">
        <v>451</v>
      </c>
      <c r="CT6">
        <v>63.02</v>
      </c>
      <c r="CU6" t="s">
        <v>489</v>
      </c>
      <c r="CV6" t="s">
        <v>451</v>
      </c>
      <c r="CW6">
        <v>62.92</v>
      </c>
      <c r="CX6" t="s">
        <v>489</v>
      </c>
      <c r="CY6" t="s">
        <v>451</v>
      </c>
      <c r="CZ6">
        <v>63.95</v>
      </c>
      <c r="DA6" t="s">
        <v>489</v>
      </c>
      <c r="DB6" t="s">
        <v>451</v>
      </c>
      <c r="DC6">
        <v>72.13</v>
      </c>
      <c r="DD6" t="s">
        <v>489</v>
      </c>
      <c r="DE6" t="s">
        <v>451</v>
      </c>
      <c r="DF6">
        <v>74.62</v>
      </c>
      <c r="DG6" t="s">
        <v>489</v>
      </c>
      <c r="DH6" t="s">
        <v>451</v>
      </c>
      <c r="DI6">
        <v>72.150000000000006</v>
      </c>
      <c r="DJ6" t="s">
        <v>489</v>
      </c>
      <c r="DK6" t="s">
        <v>451</v>
      </c>
      <c r="DL6">
        <v>70</v>
      </c>
      <c r="DM6" t="s">
        <v>489</v>
      </c>
      <c r="DN6" t="s">
        <v>451</v>
      </c>
      <c r="DO6">
        <v>66</v>
      </c>
      <c r="DP6" t="s">
        <v>489</v>
      </c>
      <c r="DQ6" t="s">
        <v>451</v>
      </c>
      <c r="DR6">
        <v>69</v>
      </c>
      <c r="DS6" t="s">
        <v>489</v>
      </c>
      <c r="DT6" t="s">
        <v>451</v>
      </c>
      <c r="DU6">
        <v>67.2</v>
      </c>
      <c r="DV6" t="s">
        <v>489</v>
      </c>
      <c r="DW6" t="s">
        <v>451</v>
      </c>
      <c r="DX6">
        <v>65.88</v>
      </c>
      <c r="DY6" t="s">
        <v>489</v>
      </c>
      <c r="DZ6" t="s">
        <v>451</v>
      </c>
      <c r="EA6">
        <v>64</v>
      </c>
      <c r="EB6" t="s">
        <v>489</v>
      </c>
      <c r="EC6" t="s">
        <v>451</v>
      </c>
      <c r="ED6">
        <v>63.86</v>
      </c>
      <c r="EE6" t="s">
        <v>489</v>
      </c>
      <c r="EF6" t="s">
        <v>451</v>
      </c>
      <c r="EG6">
        <v>63.9</v>
      </c>
      <c r="EH6" t="s">
        <v>489</v>
      </c>
      <c r="EI6" t="s">
        <v>451</v>
      </c>
      <c r="EJ6">
        <v>63.99</v>
      </c>
      <c r="EK6" t="s">
        <v>489</v>
      </c>
    </row>
    <row r="7" spans="1:141">
      <c r="A7" t="s">
        <v>451</v>
      </c>
      <c r="B7">
        <v>64.52</v>
      </c>
      <c r="C7" t="s">
        <v>489</v>
      </c>
      <c r="D7" t="s">
        <v>451</v>
      </c>
      <c r="E7">
        <v>64.06</v>
      </c>
      <c r="F7" t="s">
        <v>489</v>
      </c>
      <c r="G7" t="s">
        <v>720</v>
      </c>
      <c r="H7">
        <v>3.27</v>
      </c>
      <c r="I7" t="s">
        <v>736</v>
      </c>
      <c r="J7" t="s">
        <v>720</v>
      </c>
      <c r="K7">
        <v>3.28</v>
      </c>
      <c r="L7" t="s">
        <v>736</v>
      </c>
      <c r="M7" t="s">
        <v>720</v>
      </c>
      <c r="N7">
        <v>3.22</v>
      </c>
      <c r="O7" t="s">
        <v>736</v>
      </c>
      <c r="P7" t="s">
        <v>720</v>
      </c>
      <c r="Q7">
        <v>3.23</v>
      </c>
      <c r="R7" t="s">
        <v>736</v>
      </c>
      <c r="S7" t="s">
        <v>720</v>
      </c>
      <c r="T7">
        <v>3.33</v>
      </c>
      <c r="U7" t="s">
        <v>736</v>
      </c>
      <c r="V7" t="s">
        <v>720</v>
      </c>
      <c r="W7">
        <v>3.35</v>
      </c>
      <c r="X7" t="s">
        <v>736</v>
      </c>
      <c r="Y7" t="s">
        <v>720</v>
      </c>
      <c r="Z7">
        <v>3.42</v>
      </c>
      <c r="AA7" t="s">
        <v>736</v>
      </c>
      <c r="AB7" t="s">
        <v>720</v>
      </c>
      <c r="AC7">
        <v>3.31</v>
      </c>
      <c r="AD7" t="s">
        <v>736</v>
      </c>
      <c r="AE7" t="s">
        <v>720</v>
      </c>
      <c r="AF7">
        <v>3.25</v>
      </c>
      <c r="AG7" t="s">
        <v>736</v>
      </c>
      <c r="AH7" t="s">
        <v>720</v>
      </c>
      <c r="AI7">
        <v>3.5</v>
      </c>
      <c r="AJ7" t="s">
        <v>736</v>
      </c>
      <c r="AK7" t="s">
        <v>720</v>
      </c>
      <c r="AL7">
        <v>3.42</v>
      </c>
      <c r="AM7" t="s">
        <v>736</v>
      </c>
      <c r="AN7" t="s">
        <v>720</v>
      </c>
      <c r="AO7">
        <v>3.5</v>
      </c>
      <c r="AP7" t="s">
        <v>736</v>
      </c>
      <c r="AQ7" t="s">
        <v>720</v>
      </c>
      <c r="AR7">
        <v>3.47</v>
      </c>
      <c r="AS7" t="s">
        <v>736</v>
      </c>
      <c r="AT7" t="s">
        <v>720</v>
      </c>
      <c r="AU7">
        <v>3.41</v>
      </c>
      <c r="AV7" t="s">
        <v>736</v>
      </c>
      <c r="AW7" t="s">
        <v>720</v>
      </c>
      <c r="AX7">
        <v>3.42</v>
      </c>
      <c r="AY7" t="s">
        <v>736</v>
      </c>
      <c r="AZ7" t="s">
        <v>720</v>
      </c>
      <c r="BA7">
        <v>3.38</v>
      </c>
      <c r="BB7" t="s">
        <v>736</v>
      </c>
      <c r="BC7" t="s">
        <v>720</v>
      </c>
      <c r="BD7">
        <v>3.45</v>
      </c>
      <c r="BE7" t="s">
        <v>736</v>
      </c>
      <c r="BF7" t="s">
        <v>720</v>
      </c>
      <c r="BG7">
        <v>3.41</v>
      </c>
      <c r="BH7" t="s">
        <v>736</v>
      </c>
      <c r="BI7" t="s">
        <v>720</v>
      </c>
      <c r="BJ7">
        <v>3.39</v>
      </c>
      <c r="BK7" t="s">
        <v>736</v>
      </c>
      <c r="BL7" t="s">
        <v>720</v>
      </c>
      <c r="BM7">
        <v>3.28</v>
      </c>
      <c r="BN7" t="s">
        <v>736</v>
      </c>
      <c r="BO7" t="s">
        <v>720</v>
      </c>
      <c r="BP7">
        <v>3.29</v>
      </c>
      <c r="BQ7" t="s">
        <v>736</v>
      </c>
      <c r="BR7" t="s">
        <v>720</v>
      </c>
      <c r="BS7">
        <v>3.4</v>
      </c>
      <c r="BT7" t="s">
        <v>736</v>
      </c>
      <c r="BU7" t="s">
        <v>720</v>
      </c>
      <c r="BV7">
        <v>3.42</v>
      </c>
      <c r="BW7" t="s">
        <v>736</v>
      </c>
      <c r="BX7" t="s">
        <v>720</v>
      </c>
      <c r="BY7">
        <v>3.51</v>
      </c>
      <c r="BZ7" t="s">
        <v>736</v>
      </c>
      <c r="CA7" t="s">
        <v>720</v>
      </c>
      <c r="CB7">
        <v>3.5</v>
      </c>
      <c r="CC7" t="s">
        <v>736</v>
      </c>
      <c r="CD7" t="s">
        <v>720</v>
      </c>
      <c r="CE7">
        <v>3.6</v>
      </c>
      <c r="CF7" t="s">
        <v>736</v>
      </c>
      <c r="CG7" t="s">
        <v>720</v>
      </c>
      <c r="CH7">
        <v>3.56</v>
      </c>
      <c r="CI7" t="s">
        <v>736</v>
      </c>
      <c r="CJ7" t="s">
        <v>720</v>
      </c>
      <c r="CK7">
        <v>3.54</v>
      </c>
      <c r="CL7" t="s">
        <v>736</v>
      </c>
      <c r="CM7" t="s">
        <v>720</v>
      </c>
      <c r="CN7">
        <v>3.56</v>
      </c>
      <c r="CO7" t="s">
        <v>736</v>
      </c>
      <c r="CP7" t="s">
        <v>720</v>
      </c>
      <c r="CQ7">
        <v>3.5</v>
      </c>
      <c r="CR7" t="s">
        <v>736</v>
      </c>
      <c r="CS7" t="s">
        <v>720</v>
      </c>
      <c r="CT7">
        <v>3.41</v>
      </c>
      <c r="CU7" t="s">
        <v>736</v>
      </c>
      <c r="CV7" t="s">
        <v>720</v>
      </c>
      <c r="CW7">
        <v>3.31</v>
      </c>
      <c r="CX7" t="s">
        <v>736</v>
      </c>
      <c r="CY7" t="s">
        <v>720</v>
      </c>
      <c r="CZ7">
        <v>3.37</v>
      </c>
      <c r="DA7" t="s">
        <v>736</v>
      </c>
      <c r="DB7" t="s">
        <v>720</v>
      </c>
      <c r="DC7">
        <v>3.2</v>
      </c>
      <c r="DD7" t="s">
        <v>736</v>
      </c>
      <c r="DE7" t="s">
        <v>720</v>
      </c>
      <c r="DF7">
        <v>3.2</v>
      </c>
      <c r="DG7" t="s">
        <v>736</v>
      </c>
      <c r="DH7" t="s">
        <v>720</v>
      </c>
      <c r="DI7">
        <v>3.13</v>
      </c>
      <c r="DJ7" t="s">
        <v>736</v>
      </c>
      <c r="DK7" t="s">
        <v>720</v>
      </c>
      <c r="DL7">
        <v>3.11</v>
      </c>
      <c r="DM7" t="s">
        <v>736</v>
      </c>
      <c r="DN7" t="s">
        <v>720</v>
      </c>
      <c r="DO7">
        <v>3.05</v>
      </c>
      <c r="DP7" t="s">
        <v>736</v>
      </c>
      <c r="DQ7" t="s">
        <v>720</v>
      </c>
      <c r="DR7">
        <v>3.11</v>
      </c>
      <c r="DS7" t="s">
        <v>736</v>
      </c>
      <c r="DT7" t="s">
        <v>720</v>
      </c>
      <c r="DU7">
        <v>3.06</v>
      </c>
      <c r="DV7" t="s">
        <v>736</v>
      </c>
      <c r="DW7" t="s">
        <v>720</v>
      </c>
      <c r="DX7">
        <v>2.95</v>
      </c>
      <c r="DY7" t="s">
        <v>736</v>
      </c>
      <c r="DZ7" t="s">
        <v>720</v>
      </c>
      <c r="EA7">
        <v>2.98</v>
      </c>
      <c r="EB7" t="s">
        <v>736</v>
      </c>
      <c r="EC7" t="s">
        <v>720</v>
      </c>
      <c r="ED7">
        <v>3.04</v>
      </c>
      <c r="EE7" t="s">
        <v>736</v>
      </c>
      <c r="EF7" t="s">
        <v>720</v>
      </c>
      <c r="EG7">
        <v>2.98</v>
      </c>
      <c r="EH7" t="s">
        <v>736</v>
      </c>
      <c r="EI7" t="s">
        <v>720</v>
      </c>
      <c r="EJ7">
        <v>3.32</v>
      </c>
      <c r="EK7" t="s">
        <v>736</v>
      </c>
    </row>
    <row r="8" spans="1:141">
      <c r="A8" t="s">
        <v>720</v>
      </c>
      <c r="B8">
        <v>3.27</v>
      </c>
      <c r="C8" t="s">
        <v>736</v>
      </c>
      <c r="D8" t="s">
        <v>720</v>
      </c>
      <c r="E8">
        <v>3.26</v>
      </c>
      <c r="F8" t="s">
        <v>736</v>
      </c>
      <c r="G8" t="s">
        <v>377</v>
      </c>
      <c r="H8">
        <v>142.99</v>
      </c>
      <c r="I8" t="s">
        <v>481</v>
      </c>
      <c r="J8" t="s">
        <v>377</v>
      </c>
      <c r="K8">
        <v>141</v>
      </c>
      <c r="L8" t="s">
        <v>481</v>
      </c>
      <c r="M8" t="s">
        <v>377</v>
      </c>
      <c r="N8">
        <v>136.27000000000001</v>
      </c>
      <c r="O8" t="s">
        <v>481</v>
      </c>
      <c r="P8" t="s">
        <v>377</v>
      </c>
      <c r="Q8">
        <v>136</v>
      </c>
      <c r="R8" t="s">
        <v>481</v>
      </c>
      <c r="S8" t="s">
        <v>377</v>
      </c>
      <c r="T8">
        <v>136.5</v>
      </c>
      <c r="U8" t="s">
        <v>481</v>
      </c>
      <c r="V8" t="s">
        <v>377</v>
      </c>
      <c r="W8">
        <v>139.9</v>
      </c>
      <c r="X8" t="s">
        <v>481</v>
      </c>
      <c r="Y8" t="s">
        <v>377</v>
      </c>
      <c r="Z8">
        <v>142.9</v>
      </c>
      <c r="AA8" t="s">
        <v>481</v>
      </c>
      <c r="AB8" t="s">
        <v>377</v>
      </c>
      <c r="AC8">
        <v>142</v>
      </c>
      <c r="AD8" t="s">
        <v>481</v>
      </c>
      <c r="AE8" t="s">
        <v>377</v>
      </c>
      <c r="AF8">
        <v>139.11000000000001</v>
      </c>
      <c r="AG8" t="s">
        <v>481</v>
      </c>
      <c r="AH8" t="s">
        <v>377</v>
      </c>
      <c r="AI8">
        <v>143.99</v>
      </c>
      <c r="AJ8" t="s">
        <v>481</v>
      </c>
      <c r="AK8" t="s">
        <v>377</v>
      </c>
      <c r="AL8">
        <v>138</v>
      </c>
      <c r="AM8" t="s">
        <v>481</v>
      </c>
      <c r="AN8" t="s">
        <v>377</v>
      </c>
      <c r="AO8">
        <v>143</v>
      </c>
      <c r="AP8" t="s">
        <v>481</v>
      </c>
      <c r="AQ8" t="s">
        <v>377</v>
      </c>
      <c r="AR8">
        <v>139.9</v>
      </c>
      <c r="AS8" t="s">
        <v>481</v>
      </c>
      <c r="AT8" t="s">
        <v>377</v>
      </c>
      <c r="AU8">
        <v>143</v>
      </c>
      <c r="AV8" t="s">
        <v>481</v>
      </c>
      <c r="AW8" t="s">
        <v>377</v>
      </c>
      <c r="AX8">
        <v>141</v>
      </c>
      <c r="AY8" t="s">
        <v>481</v>
      </c>
      <c r="AZ8" t="s">
        <v>377</v>
      </c>
      <c r="BA8">
        <v>139.99</v>
      </c>
      <c r="BB8" t="s">
        <v>481</v>
      </c>
      <c r="BC8" t="s">
        <v>377</v>
      </c>
      <c r="BD8">
        <v>138.1</v>
      </c>
      <c r="BE8" t="s">
        <v>481</v>
      </c>
      <c r="BF8" t="s">
        <v>377</v>
      </c>
      <c r="BG8">
        <v>143</v>
      </c>
      <c r="BH8" t="s">
        <v>481</v>
      </c>
      <c r="BI8" t="s">
        <v>377</v>
      </c>
      <c r="BJ8">
        <v>143.47999999999999</v>
      </c>
      <c r="BK8" t="s">
        <v>481</v>
      </c>
      <c r="BL8" t="s">
        <v>377</v>
      </c>
      <c r="BM8">
        <v>140</v>
      </c>
      <c r="BN8" t="s">
        <v>481</v>
      </c>
      <c r="BO8" t="s">
        <v>377</v>
      </c>
      <c r="BP8">
        <v>143</v>
      </c>
      <c r="BQ8" t="s">
        <v>481</v>
      </c>
      <c r="BR8" t="s">
        <v>377</v>
      </c>
      <c r="BS8">
        <v>143</v>
      </c>
      <c r="BT8" t="s">
        <v>481</v>
      </c>
      <c r="BU8" t="s">
        <v>377</v>
      </c>
      <c r="BV8">
        <v>143.49</v>
      </c>
      <c r="BW8" t="s">
        <v>481</v>
      </c>
      <c r="BX8" t="s">
        <v>377</v>
      </c>
      <c r="BY8">
        <v>141.19999999999999</v>
      </c>
      <c r="BZ8" t="s">
        <v>481</v>
      </c>
      <c r="CA8" t="s">
        <v>377</v>
      </c>
      <c r="CB8">
        <v>143.5</v>
      </c>
      <c r="CC8" t="s">
        <v>481</v>
      </c>
      <c r="CD8" t="s">
        <v>377</v>
      </c>
      <c r="CE8">
        <v>141.1</v>
      </c>
      <c r="CF8" t="s">
        <v>481</v>
      </c>
      <c r="CG8" t="s">
        <v>377</v>
      </c>
      <c r="CH8">
        <v>142.9</v>
      </c>
      <c r="CI8" t="s">
        <v>481</v>
      </c>
      <c r="CJ8" t="s">
        <v>377</v>
      </c>
      <c r="CK8">
        <v>147</v>
      </c>
      <c r="CL8" t="s">
        <v>481</v>
      </c>
      <c r="CM8" t="s">
        <v>377</v>
      </c>
      <c r="CN8">
        <v>144</v>
      </c>
      <c r="CO8" t="s">
        <v>481</v>
      </c>
      <c r="CP8" t="s">
        <v>377</v>
      </c>
      <c r="CQ8">
        <v>142.36000000000001</v>
      </c>
      <c r="CR8" t="s">
        <v>481</v>
      </c>
      <c r="CS8" t="s">
        <v>377</v>
      </c>
      <c r="CT8">
        <v>147</v>
      </c>
      <c r="CU8" t="s">
        <v>481</v>
      </c>
      <c r="CV8" t="s">
        <v>377</v>
      </c>
      <c r="CW8">
        <v>148.78</v>
      </c>
      <c r="CX8" t="s">
        <v>481</v>
      </c>
      <c r="CY8" t="s">
        <v>377</v>
      </c>
      <c r="CZ8">
        <v>143.06</v>
      </c>
      <c r="DA8" t="s">
        <v>481</v>
      </c>
      <c r="DB8" t="s">
        <v>377</v>
      </c>
      <c r="DC8">
        <v>149.94999999999999</v>
      </c>
      <c r="DD8" t="s">
        <v>481</v>
      </c>
      <c r="DE8" t="s">
        <v>377</v>
      </c>
      <c r="DF8">
        <v>151.58000000000001</v>
      </c>
      <c r="DG8" t="s">
        <v>481</v>
      </c>
      <c r="DH8" t="s">
        <v>377</v>
      </c>
      <c r="DI8">
        <v>152</v>
      </c>
      <c r="DJ8" t="s">
        <v>481</v>
      </c>
      <c r="DK8" t="s">
        <v>377</v>
      </c>
      <c r="DL8">
        <v>158.52000000000001</v>
      </c>
      <c r="DM8" t="s">
        <v>481</v>
      </c>
      <c r="DN8" t="s">
        <v>377</v>
      </c>
      <c r="DO8">
        <v>154.11000000000001</v>
      </c>
      <c r="DP8" t="s">
        <v>481</v>
      </c>
      <c r="DQ8" t="s">
        <v>377</v>
      </c>
      <c r="DR8">
        <v>166</v>
      </c>
      <c r="DS8" t="s">
        <v>481</v>
      </c>
      <c r="DT8" t="s">
        <v>377</v>
      </c>
      <c r="DU8">
        <v>172.52</v>
      </c>
      <c r="DV8" t="s">
        <v>481</v>
      </c>
      <c r="DW8" t="s">
        <v>377</v>
      </c>
      <c r="DX8">
        <v>174.76</v>
      </c>
      <c r="DY8" t="s">
        <v>481</v>
      </c>
      <c r="DZ8" t="s">
        <v>377</v>
      </c>
      <c r="EA8">
        <v>174.24</v>
      </c>
      <c r="EB8" t="s">
        <v>481</v>
      </c>
      <c r="EC8" t="s">
        <v>377</v>
      </c>
      <c r="ED8">
        <v>171.02</v>
      </c>
      <c r="EE8" t="s">
        <v>481</v>
      </c>
      <c r="EF8" t="s">
        <v>377</v>
      </c>
      <c r="EG8">
        <v>197.38</v>
      </c>
      <c r="EH8" t="s">
        <v>481</v>
      </c>
      <c r="EI8" t="s">
        <v>377</v>
      </c>
      <c r="EJ8">
        <v>103</v>
      </c>
      <c r="EK8" t="s">
        <v>481</v>
      </c>
    </row>
    <row r="9" spans="1:141">
      <c r="A9" t="s">
        <v>377</v>
      </c>
      <c r="B9">
        <v>144.85</v>
      </c>
      <c r="C9" t="s">
        <v>481</v>
      </c>
      <c r="D9" t="s">
        <v>377</v>
      </c>
      <c r="E9">
        <v>132.5</v>
      </c>
      <c r="F9" t="s">
        <v>481</v>
      </c>
      <c r="G9" t="s">
        <v>423</v>
      </c>
      <c r="H9">
        <v>39.51</v>
      </c>
      <c r="I9" t="s">
        <v>33</v>
      </c>
      <c r="J9" t="s">
        <v>423</v>
      </c>
      <c r="K9">
        <v>39.51</v>
      </c>
      <c r="L9" t="s">
        <v>33</v>
      </c>
      <c r="M9" t="s">
        <v>423</v>
      </c>
      <c r="N9">
        <v>38.86</v>
      </c>
      <c r="O9" t="s">
        <v>33</v>
      </c>
      <c r="P9" t="s">
        <v>423</v>
      </c>
      <c r="Q9">
        <v>38.44</v>
      </c>
      <c r="R9" t="s">
        <v>33</v>
      </c>
      <c r="S9" t="s">
        <v>423</v>
      </c>
      <c r="T9">
        <v>38.270000000000003</v>
      </c>
      <c r="U9" t="s">
        <v>33</v>
      </c>
      <c r="V9" t="s">
        <v>423</v>
      </c>
      <c r="W9">
        <v>38.549999999999997</v>
      </c>
      <c r="X9" t="s">
        <v>33</v>
      </c>
      <c r="Y9" t="s">
        <v>423</v>
      </c>
      <c r="Z9">
        <v>39.619999999999997</v>
      </c>
      <c r="AA9" t="s">
        <v>33</v>
      </c>
      <c r="AB9" t="s">
        <v>423</v>
      </c>
      <c r="AC9">
        <v>39.15</v>
      </c>
      <c r="AD9" t="s">
        <v>33</v>
      </c>
      <c r="AE9" t="s">
        <v>423</v>
      </c>
      <c r="AF9">
        <v>38.53</v>
      </c>
      <c r="AG9" t="s">
        <v>33</v>
      </c>
      <c r="AH9" t="s">
        <v>423</v>
      </c>
      <c r="AI9">
        <v>38.049999999999997</v>
      </c>
      <c r="AJ9" t="s">
        <v>33</v>
      </c>
      <c r="AK9" t="s">
        <v>423</v>
      </c>
      <c r="AL9">
        <v>38.799999999999997</v>
      </c>
      <c r="AM9" t="s">
        <v>33</v>
      </c>
      <c r="AN9" t="s">
        <v>423</v>
      </c>
      <c r="AO9">
        <v>36.86</v>
      </c>
      <c r="AP9" t="s">
        <v>33</v>
      </c>
      <c r="AQ9" t="s">
        <v>423</v>
      </c>
      <c r="AR9">
        <v>37.86</v>
      </c>
      <c r="AS9" t="s">
        <v>33</v>
      </c>
      <c r="AT9" t="s">
        <v>423</v>
      </c>
      <c r="AU9">
        <v>38.03</v>
      </c>
      <c r="AV9" t="s">
        <v>33</v>
      </c>
      <c r="AW9" t="s">
        <v>423</v>
      </c>
      <c r="AX9">
        <v>37.020000000000003</v>
      </c>
      <c r="AY9" t="s">
        <v>33</v>
      </c>
      <c r="AZ9" t="s">
        <v>423</v>
      </c>
      <c r="BA9">
        <v>37.299999999999997</v>
      </c>
      <c r="BB9" t="s">
        <v>33</v>
      </c>
      <c r="BC9" t="s">
        <v>423</v>
      </c>
      <c r="BD9">
        <v>38.700000000000003</v>
      </c>
      <c r="BE9" t="s">
        <v>33</v>
      </c>
      <c r="BF9" t="s">
        <v>423</v>
      </c>
      <c r="BG9">
        <v>38.47</v>
      </c>
      <c r="BH9" t="s">
        <v>33</v>
      </c>
      <c r="BI9" t="s">
        <v>423</v>
      </c>
      <c r="BJ9">
        <v>39.479999999999997</v>
      </c>
      <c r="BK9" t="s">
        <v>33</v>
      </c>
      <c r="BL9" t="s">
        <v>423</v>
      </c>
      <c r="BM9">
        <v>38.06</v>
      </c>
      <c r="BN9" t="s">
        <v>33</v>
      </c>
      <c r="BO9" t="s">
        <v>423</v>
      </c>
      <c r="BP9">
        <v>38.51</v>
      </c>
      <c r="BQ9" t="s">
        <v>33</v>
      </c>
      <c r="BR9" t="s">
        <v>423</v>
      </c>
      <c r="BS9">
        <v>39.229999999999997</v>
      </c>
      <c r="BT9" t="s">
        <v>33</v>
      </c>
      <c r="BU9" t="s">
        <v>423</v>
      </c>
      <c r="BV9">
        <v>40.909999999999997</v>
      </c>
      <c r="BW9" t="s">
        <v>33</v>
      </c>
      <c r="BX9" t="s">
        <v>423</v>
      </c>
      <c r="BY9">
        <v>41.01</v>
      </c>
      <c r="BZ9" t="s">
        <v>33</v>
      </c>
      <c r="CA9" t="s">
        <v>423</v>
      </c>
      <c r="CB9">
        <v>41.11</v>
      </c>
      <c r="CC9" t="s">
        <v>33</v>
      </c>
      <c r="CD9" t="s">
        <v>423</v>
      </c>
      <c r="CE9">
        <v>40.64</v>
      </c>
      <c r="CF9" t="s">
        <v>33</v>
      </c>
      <c r="CG9" t="s">
        <v>423</v>
      </c>
      <c r="CH9">
        <v>40.79</v>
      </c>
      <c r="CI9" t="s">
        <v>33</v>
      </c>
      <c r="CJ9" t="s">
        <v>423</v>
      </c>
      <c r="CK9">
        <v>41.09</v>
      </c>
      <c r="CL9" t="s">
        <v>33</v>
      </c>
      <c r="CM9" t="s">
        <v>423</v>
      </c>
      <c r="CN9">
        <v>41.89</v>
      </c>
      <c r="CO9" t="s">
        <v>33</v>
      </c>
      <c r="CP9" t="s">
        <v>423</v>
      </c>
      <c r="CQ9">
        <v>41.51</v>
      </c>
      <c r="CR9" t="s">
        <v>33</v>
      </c>
      <c r="CS9" t="s">
        <v>423</v>
      </c>
      <c r="CT9">
        <v>40.840000000000003</v>
      </c>
      <c r="CU9" t="s">
        <v>33</v>
      </c>
      <c r="CV9" t="s">
        <v>423</v>
      </c>
      <c r="CW9">
        <v>40.99</v>
      </c>
      <c r="CX9" t="s">
        <v>33</v>
      </c>
      <c r="CY9" t="s">
        <v>423</v>
      </c>
      <c r="CZ9">
        <v>41.7</v>
      </c>
      <c r="DA9" t="s">
        <v>33</v>
      </c>
      <c r="DB9" t="s">
        <v>423</v>
      </c>
      <c r="DC9">
        <v>42.57</v>
      </c>
      <c r="DD9" t="s">
        <v>33</v>
      </c>
      <c r="DE9" t="s">
        <v>423</v>
      </c>
      <c r="DF9">
        <v>43.2</v>
      </c>
      <c r="DG9" t="s">
        <v>33</v>
      </c>
      <c r="DH9" t="s">
        <v>423</v>
      </c>
      <c r="DI9">
        <v>43.78</v>
      </c>
      <c r="DJ9" t="s">
        <v>33</v>
      </c>
      <c r="DK9" t="s">
        <v>423</v>
      </c>
      <c r="DL9">
        <v>41</v>
      </c>
      <c r="DM9" t="s">
        <v>33</v>
      </c>
      <c r="DN9" t="s">
        <v>423</v>
      </c>
      <c r="DO9">
        <v>39.79</v>
      </c>
      <c r="DP9" t="s">
        <v>33</v>
      </c>
      <c r="DQ9" t="s">
        <v>423</v>
      </c>
      <c r="DR9">
        <v>41.42</v>
      </c>
      <c r="DS9" t="s">
        <v>33</v>
      </c>
      <c r="DT9" t="s">
        <v>423</v>
      </c>
      <c r="DU9">
        <v>40.700000000000003</v>
      </c>
      <c r="DV9" t="s">
        <v>33</v>
      </c>
      <c r="DW9" t="s">
        <v>423</v>
      </c>
      <c r="DX9">
        <v>41.25</v>
      </c>
      <c r="DY9" t="s">
        <v>33</v>
      </c>
      <c r="DZ9" t="s">
        <v>423</v>
      </c>
      <c r="EA9">
        <v>41.95</v>
      </c>
      <c r="EB9" t="s">
        <v>33</v>
      </c>
      <c r="EC9" t="s">
        <v>423</v>
      </c>
      <c r="ED9">
        <v>43.15</v>
      </c>
      <c r="EE9" t="s">
        <v>33</v>
      </c>
      <c r="EF9" t="s">
        <v>423</v>
      </c>
      <c r="EG9">
        <v>23.1</v>
      </c>
      <c r="EH9" t="s">
        <v>33</v>
      </c>
      <c r="EI9" t="s">
        <v>423</v>
      </c>
      <c r="EJ9">
        <v>22.51</v>
      </c>
      <c r="EK9" t="s">
        <v>33</v>
      </c>
    </row>
    <row r="10" spans="1:141">
      <c r="A10" t="s">
        <v>423</v>
      </c>
      <c r="B10">
        <v>41.15</v>
      </c>
      <c r="C10" t="s">
        <v>33</v>
      </c>
      <c r="D10" t="s">
        <v>423</v>
      </c>
      <c r="E10">
        <v>39.31</v>
      </c>
      <c r="F10" t="s">
        <v>33</v>
      </c>
      <c r="G10" t="s">
        <v>384</v>
      </c>
      <c r="H10">
        <v>3.32</v>
      </c>
      <c r="I10" t="s">
        <v>64</v>
      </c>
      <c r="J10" t="s">
        <v>384</v>
      </c>
      <c r="K10">
        <v>3.39</v>
      </c>
      <c r="L10" t="s">
        <v>64</v>
      </c>
      <c r="M10" t="s">
        <v>384</v>
      </c>
      <c r="N10">
        <v>3.32</v>
      </c>
      <c r="O10" t="s">
        <v>64</v>
      </c>
      <c r="P10" t="s">
        <v>384</v>
      </c>
      <c r="Q10">
        <v>3.14</v>
      </c>
      <c r="R10" t="s">
        <v>64</v>
      </c>
      <c r="S10" t="s">
        <v>384</v>
      </c>
      <c r="T10">
        <v>3.12</v>
      </c>
      <c r="U10" t="s">
        <v>64</v>
      </c>
      <c r="V10" t="s">
        <v>384</v>
      </c>
      <c r="W10">
        <v>3.18</v>
      </c>
      <c r="X10" t="s">
        <v>64</v>
      </c>
      <c r="Y10" t="s">
        <v>384</v>
      </c>
      <c r="Z10">
        <v>3.16</v>
      </c>
      <c r="AA10" t="s">
        <v>64</v>
      </c>
      <c r="AB10" t="s">
        <v>384</v>
      </c>
      <c r="AC10">
        <v>3.09</v>
      </c>
      <c r="AD10" t="s">
        <v>64</v>
      </c>
      <c r="AE10" t="s">
        <v>384</v>
      </c>
      <c r="AF10">
        <v>3.15</v>
      </c>
      <c r="AG10" t="s">
        <v>64</v>
      </c>
      <c r="AH10" t="s">
        <v>384</v>
      </c>
      <c r="AI10">
        <v>3.17</v>
      </c>
      <c r="AJ10" t="s">
        <v>64</v>
      </c>
      <c r="AK10" t="s">
        <v>384</v>
      </c>
      <c r="AL10">
        <v>2.99</v>
      </c>
      <c r="AM10" t="s">
        <v>64</v>
      </c>
      <c r="AN10" t="s">
        <v>384</v>
      </c>
      <c r="AO10">
        <v>3.06</v>
      </c>
      <c r="AP10" t="s">
        <v>64</v>
      </c>
      <c r="AQ10" t="s">
        <v>384</v>
      </c>
      <c r="AR10">
        <v>3.05</v>
      </c>
      <c r="AS10" t="s">
        <v>64</v>
      </c>
      <c r="AT10" t="s">
        <v>384</v>
      </c>
      <c r="AU10">
        <v>3.16</v>
      </c>
      <c r="AV10" t="s">
        <v>64</v>
      </c>
      <c r="AW10" t="s">
        <v>384</v>
      </c>
      <c r="AX10">
        <v>3.17</v>
      </c>
      <c r="AY10" t="s">
        <v>64</v>
      </c>
      <c r="AZ10" t="s">
        <v>384</v>
      </c>
      <c r="BA10">
        <v>3.3</v>
      </c>
      <c r="BB10" t="s">
        <v>64</v>
      </c>
      <c r="BC10" t="s">
        <v>384</v>
      </c>
      <c r="BD10">
        <v>3.15</v>
      </c>
      <c r="BE10" t="s">
        <v>64</v>
      </c>
      <c r="BF10" t="s">
        <v>384</v>
      </c>
      <c r="BG10">
        <v>3.17</v>
      </c>
      <c r="BH10" t="s">
        <v>64</v>
      </c>
      <c r="BI10" t="s">
        <v>384</v>
      </c>
      <c r="BJ10">
        <v>3.16</v>
      </c>
      <c r="BK10" t="s">
        <v>64</v>
      </c>
      <c r="BL10" t="s">
        <v>384</v>
      </c>
      <c r="BM10">
        <v>3.08</v>
      </c>
      <c r="BN10" t="s">
        <v>64</v>
      </c>
      <c r="BO10" t="s">
        <v>384</v>
      </c>
      <c r="BP10">
        <v>3.05</v>
      </c>
      <c r="BQ10" t="s">
        <v>64</v>
      </c>
      <c r="BR10" t="s">
        <v>384</v>
      </c>
      <c r="BS10">
        <v>3.2</v>
      </c>
      <c r="BT10" t="s">
        <v>64</v>
      </c>
      <c r="BU10" t="s">
        <v>384</v>
      </c>
      <c r="BV10">
        <v>3.17</v>
      </c>
      <c r="BW10" t="s">
        <v>64</v>
      </c>
      <c r="BX10" t="s">
        <v>384</v>
      </c>
      <c r="BY10">
        <v>3.2</v>
      </c>
      <c r="BZ10" t="s">
        <v>64</v>
      </c>
      <c r="CA10" t="s">
        <v>384</v>
      </c>
      <c r="CB10">
        <v>3.18</v>
      </c>
      <c r="CC10" t="s">
        <v>64</v>
      </c>
      <c r="CD10" t="s">
        <v>384</v>
      </c>
      <c r="CE10">
        <v>3.18</v>
      </c>
      <c r="CF10" t="s">
        <v>64</v>
      </c>
      <c r="CG10" t="s">
        <v>384</v>
      </c>
      <c r="CH10">
        <v>3.18</v>
      </c>
      <c r="CI10" t="s">
        <v>64</v>
      </c>
      <c r="CJ10" t="s">
        <v>384</v>
      </c>
      <c r="CK10">
        <v>3.16</v>
      </c>
      <c r="CL10" t="s">
        <v>64</v>
      </c>
      <c r="CM10" t="s">
        <v>384</v>
      </c>
      <c r="CN10">
        <v>3.15</v>
      </c>
      <c r="CO10" t="s">
        <v>64</v>
      </c>
      <c r="CP10" t="s">
        <v>384</v>
      </c>
      <c r="CQ10">
        <v>3.14</v>
      </c>
      <c r="CR10" t="s">
        <v>64</v>
      </c>
      <c r="CS10" t="s">
        <v>384</v>
      </c>
      <c r="CT10">
        <v>3.14</v>
      </c>
      <c r="CU10" t="s">
        <v>64</v>
      </c>
      <c r="CV10" t="s">
        <v>384</v>
      </c>
      <c r="CW10">
        <v>3.13</v>
      </c>
      <c r="CX10" t="s">
        <v>64</v>
      </c>
      <c r="CY10" t="s">
        <v>384</v>
      </c>
      <c r="CZ10">
        <v>3.11</v>
      </c>
      <c r="DA10" t="s">
        <v>64</v>
      </c>
      <c r="DB10" t="s">
        <v>384</v>
      </c>
      <c r="DC10">
        <v>3.15</v>
      </c>
      <c r="DD10" t="s">
        <v>64</v>
      </c>
      <c r="DE10" t="s">
        <v>384</v>
      </c>
      <c r="DF10">
        <v>3.2</v>
      </c>
      <c r="DG10" t="s">
        <v>64</v>
      </c>
      <c r="DH10" t="s">
        <v>384</v>
      </c>
      <c r="DI10">
        <v>3.11</v>
      </c>
      <c r="DJ10" t="s">
        <v>64</v>
      </c>
      <c r="DK10" t="s">
        <v>384</v>
      </c>
      <c r="DL10">
        <v>3.05</v>
      </c>
      <c r="DM10" t="s">
        <v>64</v>
      </c>
      <c r="DN10" t="s">
        <v>384</v>
      </c>
      <c r="DO10">
        <v>2.94</v>
      </c>
      <c r="DP10" t="s">
        <v>64</v>
      </c>
      <c r="DQ10" t="s">
        <v>384</v>
      </c>
      <c r="DR10">
        <v>3.38</v>
      </c>
      <c r="DS10" t="s">
        <v>64</v>
      </c>
      <c r="DT10" t="s">
        <v>384</v>
      </c>
      <c r="DU10">
        <v>3.55</v>
      </c>
      <c r="DV10" t="s">
        <v>64</v>
      </c>
      <c r="DW10" t="s">
        <v>384</v>
      </c>
      <c r="DX10">
        <v>3.63</v>
      </c>
      <c r="DY10" t="s">
        <v>64</v>
      </c>
      <c r="DZ10" t="s">
        <v>384</v>
      </c>
      <c r="EA10">
        <v>3.44</v>
      </c>
      <c r="EB10" t="s">
        <v>64</v>
      </c>
      <c r="EC10" t="s">
        <v>384</v>
      </c>
      <c r="ED10">
        <v>3.29</v>
      </c>
      <c r="EE10" t="s">
        <v>64</v>
      </c>
      <c r="EF10" t="s">
        <v>384</v>
      </c>
      <c r="EG10">
        <v>2.99</v>
      </c>
      <c r="EH10" t="s">
        <v>64</v>
      </c>
      <c r="EI10" t="s">
        <v>384</v>
      </c>
      <c r="EJ10">
        <v>3.04</v>
      </c>
      <c r="EK10" t="s">
        <v>64</v>
      </c>
    </row>
    <row r="11" spans="1:141">
      <c r="A11" t="s">
        <v>384</v>
      </c>
      <c r="B11">
        <v>3.26</v>
      </c>
      <c r="C11" t="s">
        <v>64</v>
      </c>
      <c r="D11" t="s">
        <v>384</v>
      </c>
      <c r="E11">
        <v>3.3</v>
      </c>
      <c r="F11" t="s">
        <v>64</v>
      </c>
      <c r="G11" t="s">
        <v>395</v>
      </c>
      <c r="H11">
        <v>1.1000000000000001</v>
      </c>
      <c r="I11" t="s">
        <v>483</v>
      </c>
      <c r="J11" t="s">
        <v>395</v>
      </c>
      <c r="K11">
        <v>1.1299999999999999</v>
      </c>
      <c r="L11" t="s">
        <v>483</v>
      </c>
      <c r="M11" t="s">
        <v>395</v>
      </c>
      <c r="N11">
        <v>1.23</v>
      </c>
      <c r="O11" t="s">
        <v>483</v>
      </c>
      <c r="P11" t="s">
        <v>395</v>
      </c>
      <c r="Q11">
        <v>1.35</v>
      </c>
      <c r="R11" t="s">
        <v>483</v>
      </c>
      <c r="S11" t="s">
        <v>395</v>
      </c>
      <c r="T11">
        <v>1.29</v>
      </c>
      <c r="U11" t="s">
        <v>483</v>
      </c>
      <c r="V11" t="s">
        <v>395</v>
      </c>
      <c r="W11">
        <v>1.33</v>
      </c>
      <c r="X11" t="s">
        <v>483</v>
      </c>
      <c r="Y11" t="s">
        <v>395</v>
      </c>
      <c r="Z11">
        <v>1.46</v>
      </c>
      <c r="AA11" t="s">
        <v>483</v>
      </c>
      <c r="AB11" t="s">
        <v>395</v>
      </c>
      <c r="AC11">
        <v>1.4</v>
      </c>
      <c r="AD11" t="s">
        <v>483</v>
      </c>
      <c r="AE11" t="s">
        <v>395</v>
      </c>
      <c r="AF11">
        <v>1.38</v>
      </c>
      <c r="AG11" t="s">
        <v>483</v>
      </c>
      <c r="AH11" t="s">
        <v>395</v>
      </c>
      <c r="AI11">
        <v>1.35</v>
      </c>
      <c r="AJ11" t="s">
        <v>483</v>
      </c>
      <c r="AK11" t="s">
        <v>395</v>
      </c>
      <c r="AL11">
        <v>1.34</v>
      </c>
      <c r="AM11" t="s">
        <v>483</v>
      </c>
      <c r="AN11" t="s">
        <v>395</v>
      </c>
      <c r="AO11">
        <v>1.37</v>
      </c>
      <c r="AP11" t="s">
        <v>483</v>
      </c>
      <c r="AQ11" t="s">
        <v>395</v>
      </c>
      <c r="AR11">
        <v>1.5</v>
      </c>
      <c r="AS11" t="s">
        <v>483</v>
      </c>
      <c r="AT11" t="s">
        <v>395</v>
      </c>
      <c r="AU11">
        <v>1.56</v>
      </c>
      <c r="AV11" t="s">
        <v>483</v>
      </c>
      <c r="AW11" t="s">
        <v>395</v>
      </c>
      <c r="AX11">
        <v>1.36</v>
      </c>
      <c r="AY11" t="s">
        <v>483</v>
      </c>
      <c r="AZ11" t="s">
        <v>395</v>
      </c>
      <c r="BA11">
        <v>1.28</v>
      </c>
      <c r="BB11" t="s">
        <v>483</v>
      </c>
      <c r="BC11" t="s">
        <v>395</v>
      </c>
      <c r="BD11">
        <v>1.24</v>
      </c>
      <c r="BE11" t="s">
        <v>483</v>
      </c>
      <c r="BF11" t="s">
        <v>395</v>
      </c>
      <c r="BG11">
        <v>1.21</v>
      </c>
      <c r="BH11" t="s">
        <v>483</v>
      </c>
      <c r="BI11" t="s">
        <v>395</v>
      </c>
      <c r="BJ11">
        <v>1.18</v>
      </c>
      <c r="BK11" t="s">
        <v>483</v>
      </c>
      <c r="BL11" t="s">
        <v>395</v>
      </c>
      <c r="BM11">
        <v>1.19</v>
      </c>
      <c r="BN11" t="s">
        <v>483</v>
      </c>
      <c r="BO11" t="s">
        <v>395</v>
      </c>
      <c r="BP11">
        <v>1.1499999999999999</v>
      </c>
      <c r="BQ11" t="s">
        <v>483</v>
      </c>
      <c r="BR11" t="s">
        <v>395</v>
      </c>
      <c r="BS11">
        <v>1.18</v>
      </c>
      <c r="BT11" t="s">
        <v>483</v>
      </c>
      <c r="BU11" t="s">
        <v>395</v>
      </c>
      <c r="BV11">
        <v>1.17</v>
      </c>
      <c r="BW11" t="s">
        <v>483</v>
      </c>
      <c r="BX11" t="s">
        <v>395</v>
      </c>
      <c r="BY11">
        <v>1.1599999999999999</v>
      </c>
      <c r="BZ11" t="s">
        <v>483</v>
      </c>
      <c r="CA11" t="s">
        <v>395</v>
      </c>
      <c r="CB11">
        <v>1.1599999999999999</v>
      </c>
      <c r="CC11" t="s">
        <v>483</v>
      </c>
      <c r="CD11" t="s">
        <v>395</v>
      </c>
      <c r="CE11">
        <v>1.22</v>
      </c>
      <c r="CF11" t="s">
        <v>483</v>
      </c>
      <c r="CG11" t="s">
        <v>395</v>
      </c>
      <c r="CH11">
        <v>1.27</v>
      </c>
      <c r="CI11" t="s">
        <v>483</v>
      </c>
      <c r="CJ11" t="s">
        <v>395</v>
      </c>
      <c r="CK11">
        <v>1.23</v>
      </c>
      <c r="CL11" t="s">
        <v>483</v>
      </c>
      <c r="CM11" t="s">
        <v>395</v>
      </c>
      <c r="CN11">
        <v>1.21</v>
      </c>
      <c r="CO11" t="s">
        <v>483</v>
      </c>
      <c r="CP11" t="s">
        <v>395</v>
      </c>
      <c r="CQ11">
        <v>1.17</v>
      </c>
      <c r="CR11" t="s">
        <v>483</v>
      </c>
      <c r="CS11" t="s">
        <v>395</v>
      </c>
      <c r="CT11">
        <v>1.18</v>
      </c>
      <c r="CU11" t="s">
        <v>483</v>
      </c>
      <c r="CV11" t="s">
        <v>395</v>
      </c>
      <c r="CW11">
        <v>1.17</v>
      </c>
      <c r="CX11" t="s">
        <v>483</v>
      </c>
      <c r="CY11" t="s">
        <v>395</v>
      </c>
      <c r="CZ11">
        <v>1.2</v>
      </c>
      <c r="DA11" t="s">
        <v>483</v>
      </c>
      <c r="DB11" t="s">
        <v>395</v>
      </c>
      <c r="DC11">
        <v>1.22</v>
      </c>
      <c r="DD11" t="s">
        <v>483</v>
      </c>
      <c r="DE11" t="s">
        <v>395</v>
      </c>
      <c r="DF11">
        <v>1.1499999999999999</v>
      </c>
      <c r="DG11" t="s">
        <v>483</v>
      </c>
      <c r="DH11" t="s">
        <v>395</v>
      </c>
      <c r="DI11">
        <v>1.18</v>
      </c>
      <c r="DJ11" t="s">
        <v>483</v>
      </c>
      <c r="DK11" t="s">
        <v>395</v>
      </c>
      <c r="DL11">
        <v>1.1299999999999999</v>
      </c>
      <c r="DM11" t="s">
        <v>483</v>
      </c>
      <c r="DN11" t="s">
        <v>395</v>
      </c>
      <c r="DO11">
        <v>1.21</v>
      </c>
      <c r="DP11" t="s">
        <v>483</v>
      </c>
      <c r="DQ11" t="s">
        <v>395</v>
      </c>
      <c r="DR11">
        <v>1.18</v>
      </c>
      <c r="DS11" t="s">
        <v>483</v>
      </c>
      <c r="DT11" t="s">
        <v>395</v>
      </c>
      <c r="DU11">
        <v>1.08</v>
      </c>
      <c r="DV11" t="s">
        <v>483</v>
      </c>
      <c r="DW11" t="s">
        <v>395</v>
      </c>
      <c r="DX11">
        <v>1.05</v>
      </c>
      <c r="DY11" t="s">
        <v>483</v>
      </c>
      <c r="DZ11" t="s">
        <v>395</v>
      </c>
      <c r="EA11">
        <v>1.07</v>
      </c>
      <c r="EB11" t="s">
        <v>483</v>
      </c>
      <c r="EC11" t="s">
        <v>395</v>
      </c>
      <c r="ED11">
        <v>1.04</v>
      </c>
      <c r="EE11" t="s">
        <v>483</v>
      </c>
      <c r="EF11" t="s">
        <v>395</v>
      </c>
      <c r="EG11">
        <v>0.96</v>
      </c>
      <c r="EH11" t="s">
        <v>483</v>
      </c>
      <c r="EI11" t="s">
        <v>395</v>
      </c>
      <c r="EJ11">
        <v>0.95</v>
      </c>
      <c r="EK11" t="s">
        <v>483</v>
      </c>
    </row>
    <row r="12" spans="1:141">
      <c r="A12" t="s">
        <v>395</v>
      </c>
      <c r="B12">
        <v>1.06</v>
      </c>
      <c r="C12" t="s">
        <v>483</v>
      </c>
      <c r="D12" t="s">
        <v>395</v>
      </c>
      <c r="E12">
        <v>1.05</v>
      </c>
      <c r="F12" t="s">
        <v>483</v>
      </c>
      <c r="G12" t="s">
        <v>354</v>
      </c>
      <c r="H12">
        <v>32.56</v>
      </c>
      <c r="I12" t="s">
        <v>144</v>
      </c>
      <c r="J12" t="s">
        <v>354</v>
      </c>
      <c r="K12">
        <v>32.18</v>
      </c>
      <c r="L12" t="s">
        <v>144</v>
      </c>
      <c r="M12" t="s">
        <v>354</v>
      </c>
      <c r="N12">
        <v>30.9</v>
      </c>
      <c r="O12" t="s">
        <v>144</v>
      </c>
      <c r="P12" t="s">
        <v>354</v>
      </c>
      <c r="Q12">
        <v>30.03</v>
      </c>
      <c r="R12" t="s">
        <v>144</v>
      </c>
      <c r="S12" t="s">
        <v>354</v>
      </c>
      <c r="T12">
        <v>30.42</v>
      </c>
      <c r="U12" t="s">
        <v>144</v>
      </c>
      <c r="V12" t="s">
        <v>354</v>
      </c>
      <c r="W12">
        <v>29.06</v>
      </c>
      <c r="X12" t="s">
        <v>144</v>
      </c>
      <c r="Y12" t="s">
        <v>354</v>
      </c>
      <c r="Z12">
        <v>30.01</v>
      </c>
      <c r="AA12" t="s">
        <v>144</v>
      </c>
      <c r="AB12" t="s">
        <v>354</v>
      </c>
      <c r="AC12">
        <v>30.39</v>
      </c>
      <c r="AD12" t="s">
        <v>144</v>
      </c>
      <c r="AE12" t="s">
        <v>354</v>
      </c>
      <c r="AF12">
        <v>29.72</v>
      </c>
      <c r="AG12" t="s">
        <v>144</v>
      </c>
      <c r="AH12" t="s">
        <v>354</v>
      </c>
      <c r="AI12">
        <v>29.71</v>
      </c>
      <c r="AJ12" t="s">
        <v>144</v>
      </c>
      <c r="AK12" t="s">
        <v>354</v>
      </c>
      <c r="AL12">
        <v>28.51</v>
      </c>
      <c r="AM12" t="s">
        <v>144</v>
      </c>
      <c r="AN12" t="s">
        <v>354</v>
      </c>
      <c r="AO12">
        <v>28</v>
      </c>
      <c r="AP12" t="s">
        <v>144</v>
      </c>
      <c r="AQ12" t="s">
        <v>354</v>
      </c>
      <c r="AR12">
        <v>29.25</v>
      </c>
      <c r="AS12" t="s">
        <v>144</v>
      </c>
      <c r="AT12" t="s">
        <v>354</v>
      </c>
      <c r="AU12">
        <v>29.71</v>
      </c>
      <c r="AV12" t="s">
        <v>144</v>
      </c>
      <c r="AW12" t="s">
        <v>354</v>
      </c>
      <c r="AX12">
        <v>29.87</v>
      </c>
      <c r="AY12" t="s">
        <v>144</v>
      </c>
      <c r="AZ12" t="s">
        <v>354</v>
      </c>
      <c r="BA12">
        <v>29.37</v>
      </c>
      <c r="BB12" t="s">
        <v>144</v>
      </c>
      <c r="BC12" t="s">
        <v>354</v>
      </c>
      <c r="BD12">
        <v>29.25</v>
      </c>
      <c r="BE12" t="s">
        <v>144</v>
      </c>
      <c r="BF12" t="s">
        <v>354</v>
      </c>
      <c r="BG12">
        <v>28.73</v>
      </c>
      <c r="BH12" t="s">
        <v>144</v>
      </c>
      <c r="BI12" t="s">
        <v>354</v>
      </c>
      <c r="BJ12">
        <v>28.79</v>
      </c>
      <c r="BK12" t="s">
        <v>144</v>
      </c>
      <c r="BL12" t="s">
        <v>354</v>
      </c>
      <c r="BM12">
        <v>27.7</v>
      </c>
      <c r="BN12" t="s">
        <v>144</v>
      </c>
      <c r="BO12" t="s">
        <v>354</v>
      </c>
      <c r="BP12">
        <v>27.14</v>
      </c>
      <c r="BQ12" t="s">
        <v>144</v>
      </c>
      <c r="BR12" t="s">
        <v>354</v>
      </c>
      <c r="BS12">
        <v>27.53</v>
      </c>
      <c r="BT12" t="s">
        <v>144</v>
      </c>
      <c r="BU12" t="s">
        <v>354</v>
      </c>
      <c r="BV12">
        <v>27.8</v>
      </c>
      <c r="BW12" t="s">
        <v>144</v>
      </c>
      <c r="BX12" t="s">
        <v>354</v>
      </c>
      <c r="BY12">
        <v>28.32</v>
      </c>
      <c r="BZ12" t="s">
        <v>144</v>
      </c>
      <c r="CA12" t="s">
        <v>354</v>
      </c>
      <c r="CB12">
        <v>28.25</v>
      </c>
      <c r="CC12" t="s">
        <v>144</v>
      </c>
      <c r="CD12" t="s">
        <v>354</v>
      </c>
      <c r="CE12">
        <v>27.92</v>
      </c>
      <c r="CF12" t="s">
        <v>144</v>
      </c>
      <c r="CG12" t="s">
        <v>354</v>
      </c>
      <c r="CH12">
        <v>28.33</v>
      </c>
      <c r="CI12" t="s">
        <v>144</v>
      </c>
      <c r="CJ12" t="s">
        <v>354</v>
      </c>
      <c r="CK12">
        <v>28.15</v>
      </c>
      <c r="CL12" t="s">
        <v>144</v>
      </c>
      <c r="CM12" t="s">
        <v>354</v>
      </c>
      <c r="CN12">
        <v>27.76</v>
      </c>
      <c r="CO12" t="s">
        <v>144</v>
      </c>
      <c r="CP12" t="s">
        <v>354</v>
      </c>
      <c r="CQ12">
        <v>27.48</v>
      </c>
      <c r="CR12" t="s">
        <v>144</v>
      </c>
      <c r="CS12" t="s">
        <v>354</v>
      </c>
      <c r="CT12">
        <v>27.5</v>
      </c>
      <c r="CU12" t="s">
        <v>144</v>
      </c>
      <c r="CV12" t="s">
        <v>354</v>
      </c>
      <c r="CW12">
        <v>27.11</v>
      </c>
      <c r="CX12" t="s">
        <v>144</v>
      </c>
      <c r="CY12" t="s">
        <v>354</v>
      </c>
      <c r="CZ12">
        <v>28.1</v>
      </c>
      <c r="DA12" t="s">
        <v>144</v>
      </c>
      <c r="DB12" t="s">
        <v>354</v>
      </c>
      <c r="DC12">
        <v>28.77</v>
      </c>
      <c r="DD12" t="s">
        <v>144</v>
      </c>
      <c r="DE12" t="s">
        <v>354</v>
      </c>
      <c r="DF12">
        <v>28.52</v>
      </c>
      <c r="DG12" t="s">
        <v>144</v>
      </c>
      <c r="DH12" t="s">
        <v>354</v>
      </c>
      <c r="DI12">
        <v>28.6</v>
      </c>
      <c r="DJ12" t="s">
        <v>144</v>
      </c>
      <c r="DK12" t="s">
        <v>354</v>
      </c>
      <c r="DL12">
        <v>26.26</v>
      </c>
      <c r="DM12" t="s">
        <v>144</v>
      </c>
      <c r="DN12" t="s">
        <v>354</v>
      </c>
      <c r="DO12">
        <v>25.83</v>
      </c>
      <c r="DP12" t="s">
        <v>144</v>
      </c>
      <c r="DQ12" t="s">
        <v>354</v>
      </c>
      <c r="DR12">
        <v>28.39</v>
      </c>
      <c r="DS12" t="s">
        <v>144</v>
      </c>
      <c r="DT12" t="s">
        <v>354</v>
      </c>
      <c r="DU12">
        <v>28.3</v>
      </c>
      <c r="DV12" t="s">
        <v>144</v>
      </c>
      <c r="DW12" t="s">
        <v>354</v>
      </c>
      <c r="DX12">
        <v>27.93</v>
      </c>
      <c r="DY12" t="s">
        <v>144</v>
      </c>
      <c r="DZ12" t="s">
        <v>354</v>
      </c>
      <c r="EA12">
        <v>27.76</v>
      </c>
      <c r="EB12" t="s">
        <v>144</v>
      </c>
      <c r="EC12" t="s">
        <v>354</v>
      </c>
      <c r="ED12">
        <v>28.98</v>
      </c>
      <c r="EE12" t="s">
        <v>144</v>
      </c>
      <c r="EF12" t="s">
        <v>354</v>
      </c>
      <c r="EG12">
        <v>30.28</v>
      </c>
      <c r="EH12" t="s">
        <v>144</v>
      </c>
      <c r="EI12" t="s">
        <v>354</v>
      </c>
      <c r="EJ12">
        <v>32.99</v>
      </c>
      <c r="EK12" t="s">
        <v>144</v>
      </c>
    </row>
    <row r="13" spans="1:141">
      <c r="A13" t="s">
        <v>354</v>
      </c>
      <c r="B13">
        <v>33.97</v>
      </c>
      <c r="C13" t="s">
        <v>144</v>
      </c>
      <c r="D13" t="s">
        <v>354</v>
      </c>
      <c r="E13">
        <v>32.85</v>
      </c>
      <c r="F13" t="s">
        <v>144</v>
      </c>
      <c r="G13" t="s">
        <v>441</v>
      </c>
      <c r="H13">
        <v>24.92</v>
      </c>
      <c r="I13" t="s">
        <v>145</v>
      </c>
      <c r="J13" t="s">
        <v>441</v>
      </c>
      <c r="K13">
        <v>25.32</v>
      </c>
      <c r="L13" t="s">
        <v>145</v>
      </c>
      <c r="M13" t="s">
        <v>441</v>
      </c>
      <c r="N13">
        <v>25.23</v>
      </c>
      <c r="O13" t="s">
        <v>145</v>
      </c>
      <c r="P13" t="s">
        <v>441</v>
      </c>
      <c r="Q13">
        <v>24.55</v>
      </c>
      <c r="R13" t="s">
        <v>145</v>
      </c>
      <c r="S13" t="s">
        <v>441</v>
      </c>
      <c r="T13">
        <v>25.22</v>
      </c>
      <c r="U13" t="s">
        <v>145</v>
      </c>
      <c r="V13" t="s">
        <v>441</v>
      </c>
      <c r="W13">
        <v>25.22</v>
      </c>
      <c r="X13" t="s">
        <v>145</v>
      </c>
      <c r="Y13" t="s">
        <v>441</v>
      </c>
      <c r="Z13">
        <v>26.81</v>
      </c>
      <c r="AA13" t="s">
        <v>145</v>
      </c>
      <c r="AB13" t="s">
        <v>441</v>
      </c>
      <c r="AC13">
        <v>26.4</v>
      </c>
      <c r="AD13" t="s">
        <v>145</v>
      </c>
      <c r="AE13" t="s">
        <v>441</v>
      </c>
      <c r="AF13">
        <v>27.88</v>
      </c>
      <c r="AG13" t="s">
        <v>145</v>
      </c>
      <c r="AH13" t="s">
        <v>441</v>
      </c>
      <c r="AI13">
        <v>27.83</v>
      </c>
      <c r="AJ13" t="s">
        <v>145</v>
      </c>
      <c r="AK13" t="s">
        <v>441</v>
      </c>
      <c r="AL13">
        <v>26.61</v>
      </c>
      <c r="AM13" t="s">
        <v>145</v>
      </c>
      <c r="AN13" t="s">
        <v>441</v>
      </c>
      <c r="AO13">
        <v>25.73</v>
      </c>
      <c r="AP13" t="s">
        <v>145</v>
      </c>
      <c r="AQ13" t="s">
        <v>441</v>
      </c>
      <c r="AR13">
        <v>25.67</v>
      </c>
      <c r="AS13" t="s">
        <v>145</v>
      </c>
      <c r="AT13" t="s">
        <v>441</v>
      </c>
      <c r="AU13">
        <v>25.69</v>
      </c>
      <c r="AV13" t="s">
        <v>145</v>
      </c>
      <c r="AW13" t="s">
        <v>441</v>
      </c>
      <c r="AX13">
        <v>25.82</v>
      </c>
      <c r="AY13" t="s">
        <v>145</v>
      </c>
      <c r="AZ13" t="s">
        <v>441</v>
      </c>
      <c r="BA13">
        <v>25.95</v>
      </c>
      <c r="BB13" t="s">
        <v>145</v>
      </c>
      <c r="BC13" t="s">
        <v>441</v>
      </c>
      <c r="BD13">
        <v>25.34</v>
      </c>
      <c r="BE13" t="s">
        <v>145</v>
      </c>
      <c r="BF13" t="s">
        <v>441</v>
      </c>
      <c r="BG13">
        <v>25.11</v>
      </c>
      <c r="BH13" t="s">
        <v>145</v>
      </c>
      <c r="BI13" t="s">
        <v>441</v>
      </c>
      <c r="BJ13">
        <v>25.04</v>
      </c>
      <c r="BK13" t="s">
        <v>145</v>
      </c>
      <c r="BL13" t="s">
        <v>441</v>
      </c>
      <c r="BM13">
        <v>24.75</v>
      </c>
      <c r="BN13" t="s">
        <v>145</v>
      </c>
      <c r="BO13" t="s">
        <v>441</v>
      </c>
      <c r="BP13">
        <v>24.4</v>
      </c>
      <c r="BQ13" t="s">
        <v>145</v>
      </c>
      <c r="BR13" t="s">
        <v>441</v>
      </c>
      <c r="BS13">
        <v>24.43</v>
      </c>
      <c r="BT13" t="s">
        <v>145</v>
      </c>
      <c r="BU13" t="s">
        <v>441</v>
      </c>
      <c r="BV13">
        <v>24.6</v>
      </c>
      <c r="BW13" t="s">
        <v>145</v>
      </c>
      <c r="BX13" t="s">
        <v>441</v>
      </c>
      <c r="BY13">
        <v>24.6</v>
      </c>
      <c r="BZ13" t="s">
        <v>145</v>
      </c>
      <c r="CA13" t="s">
        <v>441</v>
      </c>
      <c r="CB13">
        <v>24.44</v>
      </c>
      <c r="CC13" t="s">
        <v>145</v>
      </c>
      <c r="CD13" t="s">
        <v>441</v>
      </c>
      <c r="CE13">
        <v>24.39</v>
      </c>
      <c r="CF13" t="s">
        <v>145</v>
      </c>
      <c r="CG13" t="s">
        <v>441</v>
      </c>
      <c r="CH13">
        <v>24.73</v>
      </c>
      <c r="CI13" t="s">
        <v>145</v>
      </c>
      <c r="CJ13" t="s">
        <v>441</v>
      </c>
      <c r="CK13">
        <v>24.59</v>
      </c>
      <c r="CL13" t="s">
        <v>145</v>
      </c>
      <c r="CM13" t="s">
        <v>441</v>
      </c>
      <c r="CN13">
        <v>24.57</v>
      </c>
      <c r="CO13" t="s">
        <v>145</v>
      </c>
      <c r="CP13" t="s">
        <v>441</v>
      </c>
      <c r="CQ13">
        <v>24.65</v>
      </c>
      <c r="CR13" t="s">
        <v>145</v>
      </c>
      <c r="CS13" t="s">
        <v>441</v>
      </c>
      <c r="CT13">
        <v>24.7</v>
      </c>
      <c r="CU13" t="s">
        <v>145</v>
      </c>
      <c r="CV13" t="s">
        <v>441</v>
      </c>
      <c r="CW13">
        <v>24</v>
      </c>
      <c r="CX13" t="s">
        <v>145</v>
      </c>
      <c r="CY13" t="s">
        <v>441</v>
      </c>
      <c r="CZ13">
        <v>25.31</v>
      </c>
      <c r="DA13" t="s">
        <v>145</v>
      </c>
      <c r="DB13" t="s">
        <v>441</v>
      </c>
      <c r="DC13">
        <v>24.97</v>
      </c>
      <c r="DD13" t="s">
        <v>145</v>
      </c>
      <c r="DE13" t="s">
        <v>441</v>
      </c>
      <c r="DF13">
        <v>24.6</v>
      </c>
      <c r="DG13" t="s">
        <v>145</v>
      </c>
      <c r="DH13" t="s">
        <v>441</v>
      </c>
      <c r="DI13">
        <v>25.91</v>
      </c>
      <c r="DJ13" t="s">
        <v>145</v>
      </c>
      <c r="DK13" t="s">
        <v>441</v>
      </c>
      <c r="DL13">
        <v>24.04</v>
      </c>
      <c r="DM13" t="s">
        <v>145</v>
      </c>
      <c r="DN13" t="s">
        <v>441</v>
      </c>
      <c r="DO13">
        <v>23.25</v>
      </c>
      <c r="DP13" t="s">
        <v>145</v>
      </c>
      <c r="DQ13" t="s">
        <v>441</v>
      </c>
      <c r="DR13">
        <v>26.28</v>
      </c>
      <c r="DS13" t="s">
        <v>145</v>
      </c>
      <c r="DT13" t="s">
        <v>441</v>
      </c>
      <c r="DU13">
        <v>26.26</v>
      </c>
      <c r="DV13" t="s">
        <v>145</v>
      </c>
      <c r="DW13" t="s">
        <v>441</v>
      </c>
      <c r="DX13">
        <v>25.59</v>
      </c>
      <c r="DY13" t="s">
        <v>145</v>
      </c>
      <c r="DZ13" t="s">
        <v>441</v>
      </c>
      <c r="EA13">
        <v>25.8</v>
      </c>
      <c r="EB13" t="s">
        <v>145</v>
      </c>
      <c r="EC13" t="s">
        <v>441</v>
      </c>
      <c r="ED13">
        <v>25.93</v>
      </c>
      <c r="EE13" t="s">
        <v>145</v>
      </c>
      <c r="EF13" t="s">
        <v>441</v>
      </c>
      <c r="EG13">
        <v>30.34</v>
      </c>
      <c r="EH13" t="s">
        <v>145</v>
      </c>
      <c r="EI13" t="s">
        <v>441</v>
      </c>
      <c r="EJ13">
        <v>31</v>
      </c>
      <c r="EK13" t="s">
        <v>145</v>
      </c>
    </row>
    <row r="14" spans="1:141">
      <c r="A14" t="s">
        <v>441</v>
      </c>
      <c r="B14">
        <v>25.29</v>
      </c>
      <c r="C14" t="s">
        <v>145</v>
      </c>
      <c r="D14" t="s">
        <v>441</v>
      </c>
      <c r="E14">
        <v>24.99</v>
      </c>
      <c r="F14" t="s">
        <v>145</v>
      </c>
      <c r="G14" t="s">
        <v>678</v>
      </c>
      <c r="H14">
        <v>0.2</v>
      </c>
      <c r="I14" t="s">
        <v>704</v>
      </c>
      <c r="J14" t="s">
        <v>678</v>
      </c>
      <c r="K14">
        <v>0.2</v>
      </c>
      <c r="L14" t="s">
        <v>704</v>
      </c>
      <c r="M14" t="s">
        <v>678</v>
      </c>
      <c r="N14">
        <v>0.2</v>
      </c>
      <c r="O14" t="s">
        <v>704</v>
      </c>
      <c r="P14" t="s">
        <v>678</v>
      </c>
      <c r="Q14">
        <v>0.2</v>
      </c>
      <c r="R14" t="s">
        <v>704</v>
      </c>
      <c r="S14" t="s">
        <v>678</v>
      </c>
      <c r="T14">
        <v>0.2</v>
      </c>
      <c r="U14" t="s">
        <v>704</v>
      </c>
      <c r="V14" t="s">
        <v>678</v>
      </c>
      <c r="W14">
        <v>0.2</v>
      </c>
      <c r="X14" t="s">
        <v>704</v>
      </c>
      <c r="Y14" t="s">
        <v>678</v>
      </c>
      <c r="Z14">
        <v>0.2</v>
      </c>
      <c r="AA14" t="s">
        <v>704</v>
      </c>
      <c r="AB14" t="s">
        <v>678</v>
      </c>
      <c r="AC14">
        <v>0.2</v>
      </c>
      <c r="AD14" t="s">
        <v>704</v>
      </c>
      <c r="AE14" t="s">
        <v>678</v>
      </c>
      <c r="AF14">
        <v>0.2</v>
      </c>
      <c r="AG14" t="s">
        <v>704</v>
      </c>
      <c r="AH14" t="s">
        <v>678</v>
      </c>
      <c r="AI14">
        <v>0.2</v>
      </c>
      <c r="AJ14" t="s">
        <v>704</v>
      </c>
      <c r="AK14" t="s">
        <v>678</v>
      </c>
      <c r="AL14">
        <v>0.2</v>
      </c>
      <c r="AM14" t="s">
        <v>704</v>
      </c>
      <c r="AN14" t="s">
        <v>678</v>
      </c>
      <c r="AO14">
        <v>0.2</v>
      </c>
      <c r="AP14" t="s">
        <v>704</v>
      </c>
      <c r="AQ14" t="s">
        <v>678</v>
      </c>
      <c r="AR14">
        <v>0.2</v>
      </c>
      <c r="AS14" t="s">
        <v>704</v>
      </c>
      <c r="AT14" t="s">
        <v>678</v>
      </c>
      <c r="AU14">
        <v>0.2</v>
      </c>
      <c r="AV14" t="s">
        <v>704</v>
      </c>
      <c r="AW14" t="s">
        <v>678</v>
      </c>
      <c r="AX14">
        <v>0.2</v>
      </c>
      <c r="AY14" t="s">
        <v>704</v>
      </c>
      <c r="AZ14" t="s">
        <v>678</v>
      </c>
      <c r="BA14">
        <v>0.2</v>
      </c>
      <c r="BB14" t="s">
        <v>704</v>
      </c>
      <c r="BC14" t="s">
        <v>678</v>
      </c>
      <c r="BD14">
        <v>0.2</v>
      </c>
      <c r="BE14" t="s">
        <v>704</v>
      </c>
      <c r="BF14" t="s">
        <v>678</v>
      </c>
      <c r="BG14">
        <v>0.2</v>
      </c>
      <c r="BH14" t="s">
        <v>704</v>
      </c>
      <c r="BI14" t="s">
        <v>678</v>
      </c>
      <c r="BJ14">
        <v>0.2</v>
      </c>
      <c r="BK14" t="s">
        <v>704</v>
      </c>
      <c r="BL14" t="s">
        <v>678</v>
      </c>
      <c r="BM14">
        <v>0.2</v>
      </c>
      <c r="BN14" t="s">
        <v>704</v>
      </c>
      <c r="BO14" t="s">
        <v>678</v>
      </c>
      <c r="BP14">
        <v>0.2</v>
      </c>
      <c r="BQ14" t="s">
        <v>704</v>
      </c>
      <c r="BR14" t="s">
        <v>678</v>
      </c>
      <c r="BS14">
        <v>0.2</v>
      </c>
      <c r="BT14" t="s">
        <v>704</v>
      </c>
      <c r="BU14" t="s">
        <v>678</v>
      </c>
      <c r="BV14">
        <v>0.2</v>
      </c>
      <c r="BW14" t="s">
        <v>704</v>
      </c>
      <c r="BX14" t="s">
        <v>678</v>
      </c>
      <c r="BY14">
        <v>0.2</v>
      </c>
      <c r="BZ14" t="s">
        <v>704</v>
      </c>
      <c r="CA14" t="s">
        <v>678</v>
      </c>
      <c r="CB14">
        <v>0.2</v>
      </c>
      <c r="CC14" t="s">
        <v>704</v>
      </c>
      <c r="CD14" t="s">
        <v>678</v>
      </c>
      <c r="CE14">
        <v>0.2</v>
      </c>
      <c r="CF14" t="s">
        <v>704</v>
      </c>
      <c r="CG14" t="s">
        <v>678</v>
      </c>
      <c r="CH14">
        <v>0.2</v>
      </c>
      <c r="CI14" t="s">
        <v>704</v>
      </c>
      <c r="CJ14" t="s">
        <v>678</v>
      </c>
      <c r="CK14">
        <v>0.2</v>
      </c>
      <c r="CL14" t="s">
        <v>704</v>
      </c>
      <c r="CM14" t="s">
        <v>678</v>
      </c>
      <c r="CN14">
        <v>0.2</v>
      </c>
      <c r="CO14" t="s">
        <v>704</v>
      </c>
      <c r="CP14" t="s">
        <v>678</v>
      </c>
      <c r="CQ14">
        <v>0.2</v>
      </c>
      <c r="CR14" t="s">
        <v>704</v>
      </c>
      <c r="CS14" t="s">
        <v>678</v>
      </c>
      <c r="CT14">
        <v>0.2</v>
      </c>
      <c r="CU14" t="s">
        <v>704</v>
      </c>
      <c r="CV14" t="s">
        <v>678</v>
      </c>
      <c r="CW14">
        <v>0.2</v>
      </c>
      <c r="CX14" t="s">
        <v>704</v>
      </c>
      <c r="CY14" t="s">
        <v>678</v>
      </c>
      <c r="CZ14">
        <v>0.2</v>
      </c>
      <c r="DA14" t="s">
        <v>704</v>
      </c>
      <c r="DB14" t="s">
        <v>678</v>
      </c>
      <c r="DC14">
        <v>0.2</v>
      </c>
      <c r="DD14" t="s">
        <v>704</v>
      </c>
      <c r="DE14" t="s">
        <v>678</v>
      </c>
      <c r="DF14">
        <v>0.2</v>
      </c>
      <c r="DG14" t="s">
        <v>704</v>
      </c>
      <c r="DH14" t="s">
        <v>678</v>
      </c>
      <c r="DI14">
        <v>0.2</v>
      </c>
      <c r="DJ14" t="s">
        <v>704</v>
      </c>
      <c r="DK14" t="s">
        <v>678</v>
      </c>
      <c r="DL14">
        <v>0.2</v>
      </c>
      <c r="DM14" t="s">
        <v>704</v>
      </c>
      <c r="DN14" t="s">
        <v>678</v>
      </c>
      <c r="DO14">
        <v>0.2</v>
      </c>
      <c r="DP14" t="s">
        <v>704</v>
      </c>
      <c r="DQ14" t="s">
        <v>678</v>
      </c>
      <c r="DR14">
        <v>0.2</v>
      </c>
      <c r="DS14" t="s">
        <v>704</v>
      </c>
      <c r="DT14" t="s">
        <v>146</v>
      </c>
      <c r="DU14">
        <v>1.84</v>
      </c>
      <c r="DV14" t="s">
        <v>147</v>
      </c>
      <c r="DW14" t="s">
        <v>146</v>
      </c>
      <c r="DX14">
        <v>1.82</v>
      </c>
      <c r="DY14" t="s">
        <v>147</v>
      </c>
      <c r="DZ14" t="s">
        <v>146</v>
      </c>
      <c r="EA14">
        <v>1.82</v>
      </c>
      <c r="EB14" t="s">
        <v>147</v>
      </c>
      <c r="EC14" t="s">
        <v>146</v>
      </c>
      <c r="ED14">
        <v>1.82</v>
      </c>
      <c r="EE14" t="s">
        <v>147</v>
      </c>
      <c r="EF14" t="s">
        <v>146</v>
      </c>
      <c r="EG14">
        <v>1.93</v>
      </c>
      <c r="EH14" t="s">
        <v>147</v>
      </c>
      <c r="EI14" t="s">
        <v>146</v>
      </c>
      <c r="EJ14">
        <v>1.95</v>
      </c>
      <c r="EK14" t="s">
        <v>147</v>
      </c>
    </row>
    <row r="15" spans="1:141">
      <c r="A15" t="s">
        <v>678</v>
      </c>
      <c r="B15">
        <v>0.2</v>
      </c>
      <c r="C15" t="s">
        <v>704</v>
      </c>
      <c r="D15" t="s">
        <v>678</v>
      </c>
      <c r="E15">
        <v>0.2</v>
      </c>
      <c r="F15" t="s">
        <v>704</v>
      </c>
      <c r="G15" t="s">
        <v>146</v>
      </c>
      <c r="H15">
        <v>1.02</v>
      </c>
      <c r="I15" t="s">
        <v>147</v>
      </c>
      <c r="J15" t="s">
        <v>146</v>
      </c>
      <c r="K15">
        <v>1.03</v>
      </c>
      <c r="L15" t="s">
        <v>147</v>
      </c>
      <c r="M15" t="s">
        <v>146</v>
      </c>
      <c r="N15">
        <v>1.04</v>
      </c>
      <c r="O15" t="s">
        <v>147</v>
      </c>
      <c r="P15" t="s">
        <v>146</v>
      </c>
      <c r="Q15">
        <v>1.03</v>
      </c>
      <c r="R15" t="s">
        <v>147</v>
      </c>
      <c r="S15" t="s">
        <v>146</v>
      </c>
      <c r="T15">
        <v>1.02</v>
      </c>
      <c r="U15" t="s">
        <v>147</v>
      </c>
      <c r="V15" t="s">
        <v>146</v>
      </c>
      <c r="W15">
        <v>1.1299999999999999</v>
      </c>
      <c r="X15" t="s">
        <v>147</v>
      </c>
      <c r="Y15" t="s">
        <v>146</v>
      </c>
      <c r="Z15">
        <v>1.1200000000000001</v>
      </c>
      <c r="AA15" t="s">
        <v>147</v>
      </c>
      <c r="AB15" t="s">
        <v>146</v>
      </c>
      <c r="AC15">
        <v>1.18</v>
      </c>
      <c r="AD15" t="s">
        <v>147</v>
      </c>
      <c r="AE15" t="s">
        <v>146</v>
      </c>
      <c r="AF15">
        <v>1.24</v>
      </c>
      <c r="AG15" t="s">
        <v>147</v>
      </c>
      <c r="AH15" t="s">
        <v>146</v>
      </c>
      <c r="AI15">
        <v>1.25</v>
      </c>
      <c r="AJ15" t="s">
        <v>147</v>
      </c>
      <c r="AK15" t="s">
        <v>146</v>
      </c>
      <c r="AL15">
        <v>1.18</v>
      </c>
      <c r="AM15" t="s">
        <v>147</v>
      </c>
      <c r="AN15" t="s">
        <v>146</v>
      </c>
      <c r="AO15">
        <v>1.1499999999999999</v>
      </c>
      <c r="AP15" t="s">
        <v>147</v>
      </c>
      <c r="AQ15" t="s">
        <v>146</v>
      </c>
      <c r="AR15">
        <v>1.2</v>
      </c>
      <c r="AS15" t="s">
        <v>147</v>
      </c>
      <c r="AT15" t="s">
        <v>146</v>
      </c>
      <c r="AU15">
        <v>1.19</v>
      </c>
      <c r="AV15" t="s">
        <v>147</v>
      </c>
      <c r="AW15" t="s">
        <v>146</v>
      </c>
      <c r="AX15">
        <v>1.26</v>
      </c>
      <c r="AY15" t="s">
        <v>147</v>
      </c>
      <c r="AZ15" t="s">
        <v>146</v>
      </c>
      <c r="BA15">
        <v>1.2</v>
      </c>
      <c r="BB15" t="s">
        <v>147</v>
      </c>
      <c r="BC15" t="s">
        <v>146</v>
      </c>
      <c r="BD15">
        <v>1.1000000000000001</v>
      </c>
      <c r="BE15" t="s">
        <v>147</v>
      </c>
      <c r="BF15" t="s">
        <v>146</v>
      </c>
      <c r="BG15">
        <v>1.1299999999999999</v>
      </c>
      <c r="BH15" t="s">
        <v>147</v>
      </c>
      <c r="BI15" t="s">
        <v>146</v>
      </c>
      <c r="BJ15">
        <v>1.1399999999999999</v>
      </c>
      <c r="BK15" t="s">
        <v>147</v>
      </c>
      <c r="BL15" t="s">
        <v>146</v>
      </c>
      <c r="BM15">
        <v>1.0900000000000001</v>
      </c>
      <c r="BN15" t="s">
        <v>147</v>
      </c>
      <c r="BO15" t="s">
        <v>146</v>
      </c>
      <c r="BP15">
        <v>1.1399999999999999</v>
      </c>
      <c r="BQ15" t="s">
        <v>147</v>
      </c>
      <c r="BR15" t="s">
        <v>146</v>
      </c>
      <c r="BS15">
        <v>1.17</v>
      </c>
      <c r="BT15" t="s">
        <v>147</v>
      </c>
      <c r="BU15" t="s">
        <v>146</v>
      </c>
      <c r="BV15">
        <v>1.22</v>
      </c>
      <c r="BW15" t="s">
        <v>147</v>
      </c>
      <c r="BX15" t="s">
        <v>146</v>
      </c>
      <c r="BY15">
        <v>1.22</v>
      </c>
      <c r="BZ15" t="s">
        <v>147</v>
      </c>
      <c r="CA15" t="s">
        <v>146</v>
      </c>
      <c r="CB15">
        <v>1.22</v>
      </c>
      <c r="CC15" t="s">
        <v>147</v>
      </c>
      <c r="CD15" t="s">
        <v>146</v>
      </c>
      <c r="CE15">
        <v>1.25</v>
      </c>
      <c r="CF15" t="s">
        <v>147</v>
      </c>
      <c r="CG15" t="s">
        <v>146</v>
      </c>
      <c r="CH15">
        <v>1.26</v>
      </c>
      <c r="CI15" t="s">
        <v>147</v>
      </c>
      <c r="CJ15" t="s">
        <v>146</v>
      </c>
      <c r="CK15">
        <v>1.27</v>
      </c>
      <c r="CL15" t="s">
        <v>147</v>
      </c>
      <c r="CM15" t="s">
        <v>146</v>
      </c>
      <c r="CN15">
        <v>1.26</v>
      </c>
      <c r="CO15" t="s">
        <v>147</v>
      </c>
      <c r="CP15" t="s">
        <v>146</v>
      </c>
      <c r="CQ15">
        <v>1.25</v>
      </c>
      <c r="CR15" t="s">
        <v>147</v>
      </c>
      <c r="CS15" t="s">
        <v>146</v>
      </c>
      <c r="CT15">
        <v>1.28</v>
      </c>
      <c r="CU15" t="s">
        <v>147</v>
      </c>
      <c r="CV15" t="s">
        <v>146</v>
      </c>
      <c r="CW15">
        <v>1.33</v>
      </c>
      <c r="CX15" t="s">
        <v>147</v>
      </c>
      <c r="CY15" t="s">
        <v>146</v>
      </c>
      <c r="CZ15">
        <v>1.4</v>
      </c>
      <c r="DA15" t="s">
        <v>147</v>
      </c>
      <c r="DB15" t="s">
        <v>146</v>
      </c>
      <c r="DC15">
        <v>1.51</v>
      </c>
      <c r="DD15" t="s">
        <v>147</v>
      </c>
      <c r="DE15" t="s">
        <v>146</v>
      </c>
      <c r="DF15">
        <v>1.55</v>
      </c>
      <c r="DG15" t="s">
        <v>147</v>
      </c>
      <c r="DH15" t="s">
        <v>146</v>
      </c>
      <c r="DI15">
        <v>1.68</v>
      </c>
      <c r="DJ15" t="s">
        <v>147</v>
      </c>
      <c r="DK15" t="s">
        <v>146</v>
      </c>
      <c r="DL15">
        <v>1.59</v>
      </c>
      <c r="DM15" t="s">
        <v>147</v>
      </c>
      <c r="DN15" t="s">
        <v>146</v>
      </c>
      <c r="DO15">
        <v>1.51</v>
      </c>
      <c r="DP15" t="s">
        <v>147</v>
      </c>
      <c r="DQ15" t="s">
        <v>146</v>
      </c>
      <c r="DR15">
        <v>1.58</v>
      </c>
      <c r="DS15" t="s">
        <v>147</v>
      </c>
      <c r="DT15" t="s">
        <v>431</v>
      </c>
      <c r="DU15">
        <v>0.54</v>
      </c>
      <c r="DV15" t="s">
        <v>148</v>
      </c>
      <c r="DW15" t="s">
        <v>431</v>
      </c>
      <c r="DX15">
        <v>0.53</v>
      </c>
      <c r="DY15" t="s">
        <v>148</v>
      </c>
      <c r="DZ15" t="s">
        <v>431</v>
      </c>
      <c r="EA15">
        <v>0.53</v>
      </c>
      <c r="EB15" t="s">
        <v>148</v>
      </c>
      <c r="EC15" t="s">
        <v>431</v>
      </c>
      <c r="ED15">
        <v>0.53</v>
      </c>
      <c r="EE15" t="s">
        <v>148</v>
      </c>
      <c r="EF15" t="s">
        <v>431</v>
      </c>
      <c r="EG15">
        <v>0.67</v>
      </c>
      <c r="EH15" t="s">
        <v>148</v>
      </c>
      <c r="EI15" t="s">
        <v>431</v>
      </c>
      <c r="EJ15">
        <v>0.69</v>
      </c>
      <c r="EK15" t="s">
        <v>148</v>
      </c>
    </row>
    <row r="16" spans="1:141">
      <c r="A16" t="s">
        <v>146</v>
      </c>
      <c r="B16">
        <v>1.05</v>
      </c>
      <c r="C16" t="s">
        <v>147</v>
      </c>
      <c r="D16" t="s">
        <v>146</v>
      </c>
      <c r="E16">
        <v>1.01</v>
      </c>
      <c r="F16" t="s">
        <v>147</v>
      </c>
      <c r="G16" t="s">
        <v>431</v>
      </c>
      <c r="H16">
        <v>0.51</v>
      </c>
      <c r="I16" t="s">
        <v>148</v>
      </c>
      <c r="J16" t="s">
        <v>431</v>
      </c>
      <c r="K16">
        <v>0.52</v>
      </c>
      <c r="L16" t="s">
        <v>148</v>
      </c>
      <c r="M16" t="s">
        <v>431</v>
      </c>
      <c r="N16">
        <v>0.51</v>
      </c>
      <c r="O16" t="s">
        <v>148</v>
      </c>
      <c r="P16" t="s">
        <v>431</v>
      </c>
      <c r="Q16">
        <v>0.51</v>
      </c>
      <c r="R16" t="s">
        <v>148</v>
      </c>
      <c r="S16" t="s">
        <v>431</v>
      </c>
      <c r="T16">
        <v>0.55000000000000004</v>
      </c>
      <c r="U16" t="s">
        <v>148</v>
      </c>
      <c r="V16" t="s">
        <v>431</v>
      </c>
      <c r="W16">
        <v>0.54</v>
      </c>
      <c r="X16" t="s">
        <v>148</v>
      </c>
      <c r="Y16" t="s">
        <v>431</v>
      </c>
      <c r="Z16">
        <v>0.56000000000000005</v>
      </c>
      <c r="AA16" t="s">
        <v>148</v>
      </c>
      <c r="AB16" t="s">
        <v>431</v>
      </c>
      <c r="AC16">
        <v>0.55000000000000004</v>
      </c>
      <c r="AD16" t="s">
        <v>148</v>
      </c>
      <c r="AE16" t="s">
        <v>431</v>
      </c>
      <c r="AF16">
        <v>0.54</v>
      </c>
      <c r="AG16" t="s">
        <v>148</v>
      </c>
      <c r="AH16" t="s">
        <v>431</v>
      </c>
      <c r="AI16">
        <v>0.53</v>
      </c>
      <c r="AJ16" t="s">
        <v>148</v>
      </c>
      <c r="AK16" t="s">
        <v>431</v>
      </c>
      <c r="AL16">
        <v>0.52</v>
      </c>
      <c r="AM16" t="s">
        <v>148</v>
      </c>
      <c r="AN16" t="s">
        <v>431</v>
      </c>
      <c r="AO16">
        <v>0.5</v>
      </c>
      <c r="AP16" t="s">
        <v>148</v>
      </c>
      <c r="AQ16" t="s">
        <v>431</v>
      </c>
      <c r="AR16">
        <v>0.51</v>
      </c>
      <c r="AS16" t="s">
        <v>148</v>
      </c>
      <c r="AT16" t="s">
        <v>431</v>
      </c>
      <c r="AU16">
        <v>0.51</v>
      </c>
      <c r="AV16" t="s">
        <v>148</v>
      </c>
      <c r="AW16" t="s">
        <v>431</v>
      </c>
      <c r="AX16">
        <v>0.53</v>
      </c>
      <c r="AY16" t="s">
        <v>148</v>
      </c>
      <c r="AZ16" t="s">
        <v>431</v>
      </c>
      <c r="BA16">
        <v>0.54</v>
      </c>
      <c r="BB16" t="s">
        <v>148</v>
      </c>
      <c r="BC16" t="s">
        <v>431</v>
      </c>
      <c r="BD16">
        <v>0.52</v>
      </c>
      <c r="BE16" t="s">
        <v>148</v>
      </c>
      <c r="BF16" t="s">
        <v>431</v>
      </c>
      <c r="BG16">
        <v>0.52</v>
      </c>
      <c r="BH16" t="s">
        <v>148</v>
      </c>
      <c r="BI16" t="s">
        <v>431</v>
      </c>
      <c r="BJ16">
        <v>0.54</v>
      </c>
      <c r="BK16" t="s">
        <v>148</v>
      </c>
      <c r="BL16" t="s">
        <v>431</v>
      </c>
      <c r="BM16">
        <v>0.55000000000000004</v>
      </c>
      <c r="BN16" t="s">
        <v>148</v>
      </c>
      <c r="BO16" t="s">
        <v>431</v>
      </c>
      <c r="BP16">
        <v>0.54</v>
      </c>
      <c r="BQ16" t="s">
        <v>148</v>
      </c>
      <c r="BR16" t="s">
        <v>431</v>
      </c>
      <c r="BS16">
        <v>0.55000000000000004</v>
      </c>
      <c r="BT16" t="s">
        <v>148</v>
      </c>
      <c r="BU16" t="s">
        <v>431</v>
      </c>
      <c r="BV16">
        <v>0.54</v>
      </c>
      <c r="BW16" t="s">
        <v>148</v>
      </c>
      <c r="BX16" t="s">
        <v>431</v>
      </c>
      <c r="BY16">
        <v>0.54</v>
      </c>
      <c r="BZ16" t="s">
        <v>148</v>
      </c>
      <c r="CA16" t="s">
        <v>431</v>
      </c>
      <c r="CB16">
        <v>0.54</v>
      </c>
      <c r="CC16" t="s">
        <v>148</v>
      </c>
      <c r="CD16" t="s">
        <v>431</v>
      </c>
      <c r="CE16">
        <v>0.53</v>
      </c>
      <c r="CF16" t="s">
        <v>148</v>
      </c>
      <c r="CG16" t="s">
        <v>431</v>
      </c>
      <c r="CH16">
        <v>0.54</v>
      </c>
      <c r="CI16" t="s">
        <v>148</v>
      </c>
      <c r="CJ16" t="s">
        <v>431</v>
      </c>
      <c r="CK16">
        <v>0.53</v>
      </c>
      <c r="CL16" t="s">
        <v>148</v>
      </c>
      <c r="CM16" t="s">
        <v>431</v>
      </c>
      <c r="CN16">
        <v>0.52</v>
      </c>
      <c r="CO16" t="s">
        <v>148</v>
      </c>
      <c r="CP16" t="s">
        <v>431</v>
      </c>
      <c r="CQ16">
        <v>0.52</v>
      </c>
      <c r="CR16" t="s">
        <v>148</v>
      </c>
      <c r="CS16" t="s">
        <v>431</v>
      </c>
      <c r="CT16">
        <v>0.52</v>
      </c>
      <c r="CU16" t="s">
        <v>148</v>
      </c>
      <c r="CV16" t="s">
        <v>431</v>
      </c>
      <c r="CW16">
        <v>0.51</v>
      </c>
      <c r="CX16" t="s">
        <v>148</v>
      </c>
      <c r="CY16" t="s">
        <v>431</v>
      </c>
      <c r="CZ16">
        <v>0.52</v>
      </c>
      <c r="DA16" t="s">
        <v>148</v>
      </c>
      <c r="DB16" t="s">
        <v>431</v>
      </c>
      <c r="DC16">
        <v>0.52</v>
      </c>
      <c r="DD16" t="s">
        <v>148</v>
      </c>
      <c r="DE16" t="s">
        <v>431</v>
      </c>
      <c r="DF16">
        <v>0.52</v>
      </c>
      <c r="DG16" t="s">
        <v>148</v>
      </c>
      <c r="DH16" t="s">
        <v>431</v>
      </c>
      <c r="DI16">
        <v>0.53</v>
      </c>
      <c r="DJ16" t="s">
        <v>148</v>
      </c>
      <c r="DK16" t="s">
        <v>431</v>
      </c>
      <c r="DL16">
        <v>0.49</v>
      </c>
      <c r="DM16" t="s">
        <v>148</v>
      </c>
      <c r="DN16" t="s">
        <v>431</v>
      </c>
      <c r="DO16">
        <v>0.48</v>
      </c>
      <c r="DP16" t="s">
        <v>148</v>
      </c>
      <c r="DQ16" t="s">
        <v>431</v>
      </c>
      <c r="DR16">
        <v>0.53</v>
      </c>
      <c r="DS16" t="s">
        <v>148</v>
      </c>
      <c r="DT16" t="s">
        <v>149</v>
      </c>
      <c r="DU16">
        <v>113.25</v>
      </c>
      <c r="DV16" t="s">
        <v>150</v>
      </c>
      <c r="DW16" t="s">
        <v>149</v>
      </c>
      <c r="DX16">
        <v>112.75</v>
      </c>
      <c r="DY16" t="s">
        <v>150</v>
      </c>
      <c r="DZ16" t="s">
        <v>149</v>
      </c>
      <c r="EA16">
        <v>112.31</v>
      </c>
      <c r="EB16" t="s">
        <v>150</v>
      </c>
      <c r="EC16" t="s">
        <v>149</v>
      </c>
      <c r="ED16">
        <v>113.8</v>
      </c>
      <c r="EE16" t="s">
        <v>150</v>
      </c>
      <c r="EF16" t="s">
        <v>149</v>
      </c>
      <c r="EG16">
        <v>120.46</v>
      </c>
      <c r="EH16" t="s">
        <v>150</v>
      </c>
      <c r="EI16" t="s">
        <v>149</v>
      </c>
      <c r="EJ16">
        <v>126.66</v>
      </c>
      <c r="EK16" t="s">
        <v>150</v>
      </c>
    </row>
    <row r="17" spans="1:141">
      <c r="A17" t="s">
        <v>431</v>
      </c>
      <c r="B17">
        <v>0.54</v>
      </c>
      <c r="C17" t="s">
        <v>148</v>
      </c>
      <c r="D17" t="s">
        <v>431</v>
      </c>
      <c r="E17">
        <v>0.52</v>
      </c>
      <c r="F17" t="s">
        <v>148</v>
      </c>
      <c r="G17" t="s">
        <v>684</v>
      </c>
      <c r="H17">
        <v>1.02</v>
      </c>
      <c r="I17" t="s">
        <v>706</v>
      </c>
      <c r="J17" t="s">
        <v>684</v>
      </c>
      <c r="K17">
        <v>1.02</v>
      </c>
      <c r="L17" t="s">
        <v>706</v>
      </c>
      <c r="M17" t="s">
        <v>684</v>
      </c>
      <c r="N17">
        <v>1.02</v>
      </c>
      <c r="O17" t="s">
        <v>706</v>
      </c>
      <c r="P17" t="s">
        <v>684</v>
      </c>
      <c r="Q17">
        <v>1.02</v>
      </c>
      <c r="R17" t="s">
        <v>706</v>
      </c>
      <c r="S17" t="s">
        <v>684</v>
      </c>
      <c r="T17">
        <v>1.02</v>
      </c>
      <c r="U17" t="s">
        <v>706</v>
      </c>
      <c r="V17" t="s">
        <v>684</v>
      </c>
      <c r="W17">
        <v>1.02</v>
      </c>
      <c r="X17" t="s">
        <v>706</v>
      </c>
      <c r="Y17" t="s">
        <v>684</v>
      </c>
      <c r="Z17">
        <v>1.02</v>
      </c>
      <c r="AA17" t="s">
        <v>706</v>
      </c>
      <c r="AB17" t="s">
        <v>684</v>
      </c>
      <c r="AC17">
        <v>1.02</v>
      </c>
      <c r="AD17" t="s">
        <v>706</v>
      </c>
      <c r="AE17" t="s">
        <v>684</v>
      </c>
      <c r="AF17">
        <v>1.02</v>
      </c>
      <c r="AG17" t="s">
        <v>706</v>
      </c>
      <c r="AH17" t="s">
        <v>684</v>
      </c>
      <c r="AI17">
        <v>1.02</v>
      </c>
      <c r="AJ17" t="s">
        <v>706</v>
      </c>
      <c r="AK17" t="s">
        <v>684</v>
      </c>
      <c r="AL17">
        <v>1.02</v>
      </c>
      <c r="AM17" t="s">
        <v>706</v>
      </c>
      <c r="AN17" t="s">
        <v>684</v>
      </c>
      <c r="AO17">
        <v>1.02</v>
      </c>
      <c r="AP17" t="s">
        <v>706</v>
      </c>
      <c r="AQ17" t="s">
        <v>684</v>
      </c>
      <c r="AR17">
        <v>1.02</v>
      </c>
      <c r="AS17" t="s">
        <v>706</v>
      </c>
      <c r="AT17" t="s">
        <v>684</v>
      </c>
      <c r="AU17">
        <v>1.02</v>
      </c>
      <c r="AV17" t="s">
        <v>706</v>
      </c>
      <c r="AW17" t="s">
        <v>684</v>
      </c>
      <c r="AX17">
        <v>1.02</v>
      </c>
      <c r="AY17" t="s">
        <v>706</v>
      </c>
      <c r="AZ17" t="s">
        <v>684</v>
      </c>
      <c r="BA17">
        <v>1.02</v>
      </c>
      <c r="BB17" t="s">
        <v>706</v>
      </c>
      <c r="BC17" t="s">
        <v>684</v>
      </c>
      <c r="BD17">
        <v>1.02</v>
      </c>
      <c r="BE17" t="s">
        <v>706</v>
      </c>
      <c r="BF17" t="s">
        <v>684</v>
      </c>
      <c r="BG17">
        <v>1.02</v>
      </c>
      <c r="BH17" t="s">
        <v>706</v>
      </c>
      <c r="BI17" t="s">
        <v>684</v>
      </c>
      <c r="BJ17">
        <v>1.02</v>
      </c>
      <c r="BK17" t="s">
        <v>706</v>
      </c>
      <c r="BL17" t="s">
        <v>684</v>
      </c>
      <c r="BM17">
        <v>1.02</v>
      </c>
      <c r="BN17" t="s">
        <v>706</v>
      </c>
      <c r="BO17" t="s">
        <v>684</v>
      </c>
      <c r="BP17">
        <v>1.02</v>
      </c>
      <c r="BQ17" t="s">
        <v>706</v>
      </c>
      <c r="BR17" t="s">
        <v>684</v>
      </c>
      <c r="BS17">
        <v>1.02</v>
      </c>
      <c r="BT17" t="s">
        <v>706</v>
      </c>
      <c r="BU17" t="s">
        <v>684</v>
      </c>
      <c r="BV17">
        <v>1.02</v>
      </c>
      <c r="BW17" t="s">
        <v>706</v>
      </c>
      <c r="BX17" t="s">
        <v>684</v>
      </c>
      <c r="BY17">
        <v>1.02</v>
      </c>
      <c r="BZ17" t="s">
        <v>706</v>
      </c>
      <c r="CA17" t="s">
        <v>684</v>
      </c>
      <c r="CB17">
        <v>1.02</v>
      </c>
      <c r="CC17" t="s">
        <v>706</v>
      </c>
      <c r="CD17" t="s">
        <v>684</v>
      </c>
      <c r="CE17">
        <v>1.02</v>
      </c>
      <c r="CF17" t="s">
        <v>706</v>
      </c>
      <c r="CG17" t="s">
        <v>684</v>
      </c>
      <c r="CH17">
        <v>1.02</v>
      </c>
      <c r="CI17" t="s">
        <v>706</v>
      </c>
      <c r="CJ17" t="s">
        <v>684</v>
      </c>
      <c r="CK17">
        <v>1.02</v>
      </c>
      <c r="CL17" t="s">
        <v>706</v>
      </c>
      <c r="CM17" t="s">
        <v>684</v>
      </c>
      <c r="CN17">
        <v>1.02</v>
      </c>
      <c r="CO17" t="s">
        <v>706</v>
      </c>
      <c r="CP17" t="s">
        <v>684</v>
      </c>
      <c r="CQ17">
        <v>1.02</v>
      </c>
      <c r="CR17" t="s">
        <v>706</v>
      </c>
      <c r="CS17" t="s">
        <v>684</v>
      </c>
      <c r="CT17">
        <v>1.02</v>
      </c>
      <c r="CU17" t="s">
        <v>706</v>
      </c>
      <c r="CV17" t="s">
        <v>684</v>
      </c>
      <c r="CW17">
        <v>1.02</v>
      </c>
      <c r="CX17" t="s">
        <v>706</v>
      </c>
      <c r="CY17" t="s">
        <v>684</v>
      </c>
      <c r="CZ17">
        <v>1.02</v>
      </c>
      <c r="DA17" t="s">
        <v>706</v>
      </c>
      <c r="DB17" t="s">
        <v>684</v>
      </c>
      <c r="DC17">
        <v>1.02</v>
      </c>
      <c r="DD17" t="s">
        <v>706</v>
      </c>
      <c r="DE17" t="s">
        <v>684</v>
      </c>
      <c r="DF17">
        <v>1.02</v>
      </c>
      <c r="DG17" t="s">
        <v>706</v>
      </c>
      <c r="DH17" t="s">
        <v>684</v>
      </c>
      <c r="DI17">
        <v>1.02</v>
      </c>
      <c r="DJ17" t="s">
        <v>706</v>
      </c>
      <c r="DK17" t="s">
        <v>684</v>
      </c>
      <c r="DL17">
        <v>1.02</v>
      </c>
      <c r="DM17" t="s">
        <v>706</v>
      </c>
      <c r="DN17" t="s">
        <v>684</v>
      </c>
      <c r="DO17">
        <v>1.02</v>
      </c>
      <c r="DP17" t="s">
        <v>706</v>
      </c>
      <c r="DQ17" t="s">
        <v>684</v>
      </c>
      <c r="DR17">
        <v>1.02</v>
      </c>
      <c r="DS17" t="s">
        <v>706</v>
      </c>
      <c r="DT17" t="s">
        <v>412</v>
      </c>
      <c r="DU17">
        <v>22.42</v>
      </c>
      <c r="DV17" t="s">
        <v>151</v>
      </c>
      <c r="DW17" t="s">
        <v>412</v>
      </c>
      <c r="DX17">
        <v>22.36</v>
      </c>
      <c r="DY17" t="s">
        <v>151</v>
      </c>
      <c r="DZ17" t="s">
        <v>412</v>
      </c>
      <c r="EA17">
        <v>22.89</v>
      </c>
      <c r="EB17" t="s">
        <v>151</v>
      </c>
      <c r="EC17" t="s">
        <v>412</v>
      </c>
      <c r="ED17">
        <v>22.8</v>
      </c>
      <c r="EE17" t="s">
        <v>151</v>
      </c>
      <c r="EF17" t="s">
        <v>412</v>
      </c>
      <c r="EG17">
        <v>23.71</v>
      </c>
      <c r="EH17" t="s">
        <v>151</v>
      </c>
      <c r="EI17" t="s">
        <v>412</v>
      </c>
      <c r="EJ17">
        <v>22.99</v>
      </c>
      <c r="EK17" t="s">
        <v>151</v>
      </c>
    </row>
    <row r="18" spans="1:141">
      <c r="A18" t="s">
        <v>684</v>
      </c>
      <c r="B18">
        <v>1.02</v>
      </c>
      <c r="C18" t="s">
        <v>706</v>
      </c>
      <c r="D18" t="s">
        <v>684</v>
      </c>
      <c r="E18">
        <v>1.02</v>
      </c>
      <c r="F18" t="s">
        <v>706</v>
      </c>
      <c r="G18" t="s">
        <v>149</v>
      </c>
      <c r="H18">
        <v>87</v>
      </c>
      <c r="I18" t="s">
        <v>150</v>
      </c>
      <c r="J18" t="s">
        <v>149</v>
      </c>
      <c r="K18">
        <v>86.75</v>
      </c>
      <c r="L18" t="s">
        <v>150</v>
      </c>
      <c r="M18" t="s">
        <v>149</v>
      </c>
      <c r="N18">
        <v>86.62</v>
      </c>
      <c r="O18" t="s">
        <v>150</v>
      </c>
      <c r="P18" t="s">
        <v>149</v>
      </c>
      <c r="Q18">
        <v>88.24</v>
      </c>
      <c r="R18" t="s">
        <v>150</v>
      </c>
      <c r="S18" t="s">
        <v>149</v>
      </c>
      <c r="T18">
        <v>86.44</v>
      </c>
      <c r="U18" t="s">
        <v>150</v>
      </c>
      <c r="V18" t="s">
        <v>149</v>
      </c>
      <c r="W18">
        <v>97.64</v>
      </c>
      <c r="X18" t="s">
        <v>150</v>
      </c>
      <c r="Y18" t="s">
        <v>149</v>
      </c>
      <c r="Z18">
        <v>98.39</v>
      </c>
      <c r="AA18" t="s">
        <v>150</v>
      </c>
      <c r="AB18" t="s">
        <v>149</v>
      </c>
      <c r="AC18">
        <v>94.98</v>
      </c>
      <c r="AD18" t="s">
        <v>150</v>
      </c>
      <c r="AE18" t="s">
        <v>149</v>
      </c>
      <c r="AF18">
        <v>94.63</v>
      </c>
      <c r="AG18" t="s">
        <v>150</v>
      </c>
      <c r="AH18" t="s">
        <v>149</v>
      </c>
      <c r="AI18">
        <v>93.95</v>
      </c>
      <c r="AJ18" t="s">
        <v>150</v>
      </c>
      <c r="AK18" t="s">
        <v>149</v>
      </c>
      <c r="AL18">
        <v>93.06</v>
      </c>
      <c r="AM18" t="s">
        <v>150</v>
      </c>
      <c r="AN18" t="s">
        <v>149</v>
      </c>
      <c r="AO18">
        <v>93.2</v>
      </c>
      <c r="AP18" t="s">
        <v>150</v>
      </c>
      <c r="AQ18" t="s">
        <v>149</v>
      </c>
      <c r="AR18">
        <v>96.23</v>
      </c>
      <c r="AS18" t="s">
        <v>150</v>
      </c>
      <c r="AT18" t="s">
        <v>149</v>
      </c>
      <c r="AU18">
        <v>100.07</v>
      </c>
      <c r="AV18" t="s">
        <v>150</v>
      </c>
      <c r="AW18" t="s">
        <v>149</v>
      </c>
      <c r="AX18">
        <v>102.5</v>
      </c>
      <c r="AY18" t="s">
        <v>150</v>
      </c>
      <c r="AZ18" t="s">
        <v>149</v>
      </c>
      <c r="BA18">
        <v>100.34</v>
      </c>
      <c r="BB18" t="s">
        <v>150</v>
      </c>
      <c r="BC18" t="s">
        <v>149</v>
      </c>
      <c r="BD18">
        <v>103.68</v>
      </c>
      <c r="BE18" t="s">
        <v>150</v>
      </c>
      <c r="BF18" t="s">
        <v>149</v>
      </c>
      <c r="BG18">
        <v>101</v>
      </c>
      <c r="BH18" t="s">
        <v>150</v>
      </c>
      <c r="BI18" t="s">
        <v>149</v>
      </c>
      <c r="BJ18">
        <v>99.3</v>
      </c>
      <c r="BK18" t="s">
        <v>150</v>
      </c>
      <c r="BL18" t="s">
        <v>149</v>
      </c>
      <c r="BM18">
        <v>100.47</v>
      </c>
      <c r="BN18" t="s">
        <v>150</v>
      </c>
      <c r="BO18" t="s">
        <v>149</v>
      </c>
      <c r="BP18">
        <v>117.8</v>
      </c>
      <c r="BQ18" t="s">
        <v>150</v>
      </c>
      <c r="BR18" t="s">
        <v>149</v>
      </c>
      <c r="BS18">
        <v>124</v>
      </c>
      <c r="BT18" t="s">
        <v>150</v>
      </c>
      <c r="BU18" t="s">
        <v>149</v>
      </c>
      <c r="BV18">
        <v>118.91</v>
      </c>
      <c r="BW18" t="s">
        <v>150</v>
      </c>
      <c r="BX18" t="s">
        <v>149</v>
      </c>
      <c r="BY18">
        <v>116.43</v>
      </c>
      <c r="BZ18" t="s">
        <v>150</v>
      </c>
      <c r="CA18" t="s">
        <v>149</v>
      </c>
      <c r="CB18">
        <v>112.98</v>
      </c>
      <c r="CC18" t="s">
        <v>150</v>
      </c>
      <c r="CD18" t="s">
        <v>149</v>
      </c>
      <c r="CE18">
        <v>113.51</v>
      </c>
      <c r="CF18" t="s">
        <v>150</v>
      </c>
      <c r="CG18" t="s">
        <v>149</v>
      </c>
      <c r="CH18">
        <v>115.51</v>
      </c>
      <c r="CI18" t="s">
        <v>150</v>
      </c>
      <c r="CJ18" t="s">
        <v>149</v>
      </c>
      <c r="CK18">
        <v>113.92</v>
      </c>
      <c r="CL18" t="s">
        <v>150</v>
      </c>
      <c r="CM18" t="s">
        <v>149</v>
      </c>
      <c r="CN18">
        <v>112.88</v>
      </c>
      <c r="CO18" t="s">
        <v>150</v>
      </c>
      <c r="CP18" t="s">
        <v>149</v>
      </c>
      <c r="CQ18">
        <v>115</v>
      </c>
      <c r="CR18" t="s">
        <v>150</v>
      </c>
      <c r="CS18" t="s">
        <v>149</v>
      </c>
      <c r="CT18">
        <v>126.5</v>
      </c>
      <c r="CU18" t="s">
        <v>150</v>
      </c>
      <c r="CV18" t="s">
        <v>149</v>
      </c>
      <c r="CW18">
        <v>116.2</v>
      </c>
      <c r="CX18" t="s">
        <v>150</v>
      </c>
      <c r="CY18" t="s">
        <v>149</v>
      </c>
      <c r="CZ18">
        <v>116.5</v>
      </c>
      <c r="DA18" t="s">
        <v>150</v>
      </c>
      <c r="DB18" t="s">
        <v>149</v>
      </c>
      <c r="DC18">
        <v>115.54</v>
      </c>
      <c r="DD18" t="s">
        <v>150</v>
      </c>
      <c r="DE18" t="s">
        <v>149</v>
      </c>
      <c r="DF18">
        <v>114.31</v>
      </c>
      <c r="DG18" t="s">
        <v>150</v>
      </c>
      <c r="DH18" t="s">
        <v>149</v>
      </c>
      <c r="DI18">
        <v>122.56</v>
      </c>
      <c r="DJ18" t="s">
        <v>150</v>
      </c>
      <c r="DK18" t="s">
        <v>149</v>
      </c>
      <c r="DL18">
        <v>111.38</v>
      </c>
      <c r="DM18" t="s">
        <v>150</v>
      </c>
      <c r="DN18" t="s">
        <v>149</v>
      </c>
      <c r="DO18">
        <v>108.27</v>
      </c>
      <c r="DP18" t="s">
        <v>150</v>
      </c>
      <c r="DQ18" t="s">
        <v>149</v>
      </c>
      <c r="DR18">
        <v>110.02</v>
      </c>
      <c r="DS18" t="s">
        <v>150</v>
      </c>
      <c r="DT18" t="s">
        <v>350</v>
      </c>
      <c r="DU18">
        <v>12.03</v>
      </c>
      <c r="DV18" t="s">
        <v>470</v>
      </c>
      <c r="DW18" t="s">
        <v>350</v>
      </c>
      <c r="DX18">
        <v>12</v>
      </c>
      <c r="DY18" t="s">
        <v>470</v>
      </c>
      <c r="DZ18" t="s">
        <v>350</v>
      </c>
      <c r="EA18">
        <v>12.48</v>
      </c>
      <c r="EB18" t="s">
        <v>470</v>
      </c>
      <c r="EC18" t="s">
        <v>350</v>
      </c>
      <c r="ED18">
        <v>12.48</v>
      </c>
      <c r="EE18" t="s">
        <v>470</v>
      </c>
      <c r="EF18" t="s">
        <v>350</v>
      </c>
      <c r="EG18">
        <v>19</v>
      </c>
      <c r="EH18" t="s">
        <v>470</v>
      </c>
      <c r="EI18" t="s">
        <v>350</v>
      </c>
      <c r="EJ18">
        <v>15</v>
      </c>
      <c r="EK18" t="s">
        <v>470</v>
      </c>
    </row>
    <row r="19" spans="1:141">
      <c r="A19" t="s">
        <v>149</v>
      </c>
      <c r="B19">
        <v>87.99</v>
      </c>
      <c r="C19" t="s">
        <v>150</v>
      </c>
      <c r="D19" t="s">
        <v>149</v>
      </c>
      <c r="E19">
        <v>87.54</v>
      </c>
      <c r="F19" t="s">
        <v>150</v>
      </c>
      <c r="G19" t="s">
        <v>412</v>
      </c>
      <c r="H19">
        <v>21.92</v>
      </c>
      <c r="I19" t="s">
        <v>151</v>
      </c>
      <c r="J19" t="s">
        <v>412</v>
      </c>
      <c r="K19">
        <v>21.89</v>
      </c>
      <c r="L19" t="s">
        <v>151</v>
      </c>
      <c r="M19" t="s">
        <v>412</v>
      </c>
      <c r="N19">
        <v>21.33</v>
      </c>
      <c r="O19" t="s">
        <v>151</v>
      </c>
      <c r="P19" t="s">
        <v>412</v>
      </c>
      <c r="Q19">
        <v>21.17</v>
      </c>
      <c r="R19" t="s">
        <v>151</v>
      </c>
      <c r="S19" t="s">
        <v>412</v>
      </c>
      <c r="T19">
        <v>22.17</v>
      </c>
      <c r="U19" t="s">
        <v>151</v>
      </c>
      <c r="V19" t="s">
        <v>412</v>
      </c>
      <c r="W19">
        <v>22.54</v>
      </c>
      <c r="X19" t="s">
        <v>151</v>
      </c>
      <c r="Y19" t="s">
        <v>412</v>
      </c>
      <c r="Z19">
        <v>22.65</v>
      </c>
      <c r="AA19" t="s">
        <v>151</v>
      </c>
      <c r="AB19" t="s">
        <v>412</v>
      </c>
      <c r="AC19">
        <v>22.37</v>
      </c>
      <c r="AD19" t="s">
        <v>151</v>
      </c>
      <c r="AE19" t="s">
        <v>412</v>
      </c>
      <c r="AF19">
        <v>22.05</v>
      </c>
      <c r="AG19" t="s">
        <v>151</v>
      </c>
      <c r="AH19" t="s">
        <v>412</v>
      </c>
      <c r="AI19">
        <v>21.88</v>
      </c>
      <c r="AJ19" t="s">
        <v>151</v>
      </c>
      <c r="AK19" t="s">
        <v>412</v>
      </c>
      <c r="AL19">
        <v>21.68</v>
      </c>
      <c r="AM19" t="s">
        <v>151</v>
      </c>
      <c r="AN19" t="s">
        <v>412</v>
      </c>
      <c r="AO19">
        <v>22.95</v>
      </c>
      <c r="AP19" t="s">
        <v>151</v>
      </c>
      <c r="AQ19" t="s">
        <v>412</v>
      </c>
      <c r="AR19">
        <v>23.7</v>
      </c>
      <c r="AS19" t="s">
        <v>151</v>
      </c>
      <c r="AT19" t="s">
        <v>412</v>
      </c>
      <c r="AU19">
        <v>24.3</v>
      </c>
      <c r="AV19" t="s">
        <v>151</v>
      </c>
      <c r="AW19" t="s">
        <v>412</v>
      </c>
      <c r="AX19">
        <v>23.89</v>
      </c>
      <c r="AY19" t="s">
        <v>151</v>
      </c>
      <c r="AZ19" t="s">
        <v>412</v>
      </c>
      <c r="BA19">
        <v>23.64</v>
      </c>
      <c r="BB19" t="s">
        <v>151</v>
      </c>
      <c r="BC19" t="s">
        <v>412</v>
      </c>
      <c r="BD19">
        <v>22.7</v>
      </c>
      <c r="BE19" t="s">
        <v>151</v>
      </c>
      <c r="BF19" t="s">
        <v>412</v>
      </c>
      <c r="BG19">
        <v>22.38</v>
      </c>
      <c r="BH19" t="s">
        <v>151</v>
      </c>
      <c r="BI19" t="s">
        <v>412</v>
      </c>
      <c r="BJ19">
        <v>22.17</v>
      </c>
      <c r="BK19" t="s">
        <v>151</v>
      </c>
      <c r="BL19" t="s">
        <v>412</v>
      </c>
      <c r="BM19">
        <v>21.4</v>
      </c>
      <c r="BN19" t="s">
        <v>151</v>
      </c>
      <c r="BO19" t="s">
        <v>412</v>
      </c>
      <c r="BP19">
        <v>21.54</v>
      </c>
      <c r="BQ19" t="s">
        <v>151</v>
      </c>
      <c r="BR19" t="s">
        <v>412</v>
      </c>
      <c r="BS19">
        <v>21.75</v>
      </c>
      <c r="BT19" t="s">
        <v>151</v>
      </c>
      <c r="BU19" t="s">
        <v>412</v>
      </c>
      <c r="BV19">
        <v>21.47</v>
      </c>
      <c r="BW19" t="s">
        <v>151</v>
      </c>
      <c r="BX19" t="s">
        <v>412</v>
      </c>
      <c r="BY19">
        <v>21.82</v>
      </c>
      <c r="BZ19" t="s">
        <v>151</v>
      </c>
      <c r="CA19" t="s">
        <v>412</v>
      </c>
      <c r="CB19">
        <v>23.04</v>
      </c>
      <c r="CC19" t="s">
        <v>151</v>
      </c>
      <c r="CD19" t="s">
        <v>412</v>
      </c>
      <c r="CE19">
        <v>23.02</v>
      </c>
      <c r="CF19" t="s">
        <v>151</v>
      </c>
      <c r="CG19" t="s">
        <v>412</v>
      </c>
      <c r="CH19">
        <v>22.81</v>
      </c>
      <c r="CI19" t="s">
        <v>151</v>
      </c>
      <c r="CJ19" t="s">
        <v>412</v>
      </c>
      <c r="CK19">
        <v>22.72</v>
      </c>
      <c r="CL19" t="s">
        <v>151</v>
      </c>
      <c r="CM19" t="s">
        <v>412</v>
      </c>
      <c r="CN19">
        <v>22.42</v>
      </c>
      <c r="CO19" t="s">
        <v>151</v>
      </c>
      <c r="CP19" t="s">
        <v>412</v>
      </c>
      <c r="CQ19">
        <v>22.39</v>
      </c>
      <c r="CR19" t="s">
        <v>151</v>
      </c>
      <c r="CS19" t="s">
        <v>412</v>
      </c>
      <c r="CT19">
        <v>22.35</v>
      </c>
      <c r="CU19" t="s">
        <v>151</v>
      </c>
      <c r="CV19" t="s">
        <v>412</v>
      </c>
      <c r="CW19">
        <v>21.96</v>
      </c>
      <c r="CX19" t="s">
        <v>151</v>
      </c>
      <c r="CY19" t="s">
        <v>412</v>
      </c>
      <c r="CZ19">
        <v>22.28</v>
      </c>
      <c r="DA19" t="s">
        <v>151</v>
      </c>
      <c r="DB19" t="s">
        <v>412</v>
      </c>
      <c r="DC19">
        <v>21.85</v>
      </c>
      <c r="DD19" t="s">
        <v>151</v>
      </c>
      <c r="DE19" t="s">
        <v>412</v>
      </c>
      <c r="DF19">
        <v>21.62</v>
      </c>
      <c r="DG19" t="s">
        <v>151</v>
      </c>
      <c r="DH19" t="s">
        <v>412</v>
      </c>
      <c r="DI19">
        <v>20.98</v>
      </c>
      <c r="DJ19" t="s">
        <v>151</v>
      </c>
      <c r="DK19" t="s">
        <v>412</v>
      </c>
      <c r="DL19">
        <v>20.079999999999998</v>
      </c>
      <c r="DM19" t="s">
        <v>151</v>
      </c>
      <c r="DN19" t="s">
        <v>412</v>
      </c>
      <c r="DO19">
        <v>20.43</v>
      </c>
      <c r="DP19" t="s">
        <v>151</v>
      </c>
      <c r="DQ19" t="s">
        <v>412</v>
      </c>
      <c r="DR19">
        <v>21.62</v>
      </c>
      <c r="DS19" t="s">
        <v>151</v>
      </c>
      <c r="DT19" t="s">
        <v>152</v>
      </c>
      <c r="DU19">
        <v>13.49</v>
      </c>
      <c r="DV19" t="s">
        <v>118</v>
      </c>
      <c r="DW19" t="s">
        <v>152</v>
      </c>
      <c r="DX19">
        <v>13.2</v>
      </c>
      <c r="DY19" t="s">
        <v>118</v>
      </c>
      <c r="DZ19" t="s">
        <v>152</v>
      </c>
      <c r="EA19">
        <v>13.31</v>
      </c>
      <c r="EB19" t="s">
        <v>118</v>
      </c>
      <c r="EC19" t="s">
        <v>152</v>
      </c>
      <c r="ED19">
        <v>13.16</v>
      </c>
      <c r="EE19" t="s">
        <v>118</v>
      </c>
      <c r="EF19" t="s">
        <v>152</v>
      </c>
      <c r="EG19">
        <v>12.83</v>
      </c>
      <c r="EH19" t="s">
        <v>118</v>
      </c>
      <c r="EI19" t="s">
        <v>152</v>
      </c>
      <c r="EJ19">
        <v>13.25</v>
      </c>
      <c r="EK19" t="s">
        <v>118</v>
      </c>
    </row>
    <row r="20" spans="1:141">
      <c r="A20" t="s">
        <v>412</v>
      </c>
      <c r="B20">
        <v>22.24</v>
      </c>
      <c r="C20" t="s">
        <v>151</v>
      </c>
      <c r="D20" t="s">
        <v>412</v>
      </c>
      <c r="E20">
        <v>21.92</v>
      </c>
      <c r="F20" t="s">
        <v>151</v>
      </c>
      <c r="G20" t="s">
        <v>350</v>
      </c>
      <c r="H20">
        <v>15.99</v>
      </c>
      <c r="I20" t="s">
        <v>470</v>
      </c>
      <c r="J20" t="s">
        <v>350</v>
      </c>
      <c r="K20">
        <v>15.99</v>
      </c>
      <c r="L20" t="s">
        <v>470</v>
      </c>
      <c r="M20" t="s">
        <v>350</v>
      </c>
      <c r="N20">
        <v>15.9</v>
      </c>
      <c r="O20" t="s">
        <v>470</v>
      </c>
      <c r="P20" t="s">
        <v>350</v>
      </c>
      <c r="Q20">
        <v>15.9</v>
      </c>
      <c r="R20" t="s">
        <v>470</v>
      </c>
      <c r="S20" t="s">
        <v>350</v>
      </c>
      <c r="T20">
        <v>14</v>
      </c>
      <c r="U20" t="s">
        <v>470</v>
      </c>
      <c r="V20" t="s">
        <v>350</v>
      </c>
      <c r="W20">
        <v>13.5</v>
      </c>
      <c r="X20" t="s">
        <v>470</v>
      </c>
      <c r="Y20" t="s">
        <v>350</v>
      </c>
      <c r="Z20">
        <v>13.5</v>
      </c>
      <c r="AA20" t="s">
        <v>470</v>
      </c>
      <c r="AB20" t="s">
        <v>350</v>
      </c>
      <c r="AC20">
        <v>14.95</v>
      </c>
      <c r="AD20" t="s">
        <v>470</v>
      </c>
      <c r="AE20" t="s">
        <v>350</v>
      </c>
      <c r="AF20">
        <v>14.95</v>
      </c>
      <c r="AG20" t="s">
        <v>470</v>
      </c>
      <c r="AH20" t="s">
        <v>350</v>
      </c>
      <c r="AI20">
        <v>14.95</v>
      </c>
      <c r="AJ20" t="s">
        <v>470</v>
      </c>
      <c r="AK20" t="s">
        <v>350</v>
      </c>
      <c r="AL20">
        <v>14.95</v>
      </c>
      <c r="AM20" t="s">
        <v>470</v>
      </c>
      <c r="AN20" t="s">
        <v>350</v>
      </c>
      <c r="AO20">
        <v>14</v>
      </c>
      <c r="AP20" t="s">
        <v>470</v>
      </c>
      <c r="AQ20" t="s">
        <v>350</v>
      </c>
      <c r="AR20">
        <v>13</v>
      </c>
      <c r="AS20" t="s">
        <v>470</v>
      </c>
      <c r="AT20" t="s">
        <v>350</v>
      </c>
      <c r="AU20">
        <v>13</v>
      </c>
      <c r="AV20" t="s">
        <v>470</v>
      </c>
      <c r="AW20" t="s">
        <v>350</v>
      </c>
      <c r="AX20">
        <v>12.2</v>
      </c>
      <c r="AY20" t="s">
        <v>470</v>
      </c>
      <c r="AZ20" t="s">
        <v>350</v>
      </c>
      <c r="BA20">
        <v>12.2</v>
      </c>
      <c r="BB20" t="s">
        <v>470</v>
      </c>
      <c r="BC20" t="s">
        <v>350</v>
      </c>
      <c r="BD20">
        <v>13.5</v>
      </c>
      <c r="BE20" t="s">
        <v>470</v>
      </c>
      <c r="BF20" t="s">
        <v>350</v>
      </c>
      <c r="BG20">
        <v>12.23</v>
      </c>
      <c r="BH20" t="s">
        <v>470</v>
      </c>
      <c r="BI20" t="s">
        <v>350</v>
      </c>
      <c r="BJ20">
        <v>12.23</v>
      </c>
      <c r="BK20" t="s">
        <v>470</v>
      </c>
      <c r="BL20" t="s">
        <v>350</v>
      </c>
      <c r="BM20">
        <v>12.25</v>
      </c>
      <c r="BN20" t="s">
        <v>470</v>
      </c>
      <c r="BO20" t="s">
        <v>350</v>
      </c>
      <c r="BP20">
        <v>13.35</v>
      </c>
      <c r="BQ20" t="s">
        <v>470</v>
      </c>
      <c r="BR20" t="s">
        <v>350</v>
      </c>
      <c r="BS20">
        <v>13.35</v>
      </c>
      <c r="BT20" t="s">
        <v>470</v>
      </c>
      <c r="BU20" t="s">
        <v>350</v>
      </c>
      <c r="BV20">
        <v>13.8</v>
      </c>
      <c r="BW20" t="s">
        <v>470</v>
      </c>
      <c r="BX20" t="s">
        <v>350</v>
      </c>
      <c r="BY20">
        <v>13.8</v>
      </c>
      <c r="BZ20" t="s">
        <v>470</v>
      </c>
      <c r="CA20" t="s">
        <v>350</v>
      </c>
      <c r="CB20">
        <v>12.2</v>
      </c>
      <c r="CC20" t="s">
        <v>470</v>
      </c>
      <c r="CD20" t="s">
        <v>350</v>
      </c>
      <c r="CE20">
        <v>12.2</v>
      </c>
      <c r="CF20" t="s">
        <v>470</v>
      </c>
      <c r="CG20" t="s">
        <v>350</v>
      </c>
      <c r="CH20">
        <v>12.2</v>
      </c>
      <c r="CI20" t="s">
        <v>470</v>
      </c>
      <c r="CJ20" t="s">
        <v>350</v>
      </c>
      <c r="CK20">
        <v>12.26</v>
      </c>
      <c r="CL20" t="s">
        <v>470</v>
      </c>
      <c r="CM20" t="s">
        <v>350</v>
      </c>
      <c r="CN20">
        <v>12.26</v>
      </c>
      <c r="CO20" t="s">
        <v>470</v>
      </c>
      <c r="CP20" t="s">
        <v>350</v>
      </c>
      <c r="CQ20">
        <v>12.26</v>
      </c>
      <c r="CR20" t="s">
        <v>470</v>
      </c>
      <c r="CS20" t="s">
        <v>350</v>
      </c>
      <c r="CT20">
        <v>12.31</v>
      </c>
      <c r="CU20" t="s">
        <v>470</v>
      </c>
      <c r="CV20" t="s">
        <v>350</v>
      </c>
      <c r="CW20">
        <v>13.5</v>
      </c>
      <c r="CX20" t="s">
        <v>470</v>
      </c>
      <c r="CY20" t="s">
        <v>350</v>
      </c>
      <c r="CZ20">
        <v>13.5</v>
      </c>
      <c r="DA20" t="s">
        <v>470</v>
      </c>
      <c r="DB20" t="s">
        <v>350</v>
      </c>
      <c r="DC20">
        <v>12.99</v>
      </c>
      <c r="DD20" t="s">
        <v>470</v>
      </c>
      <c r="DE20" t="s">
        <v>350</v>
      </c>
      <c r="DF20">
        <v>12.99</v>
      </c>
      <c r="DG20" t="s">
        <v>470</v>
      </c>
      <c r="DH20" t="s">
        <v>350</v>
      </c>
      <c r="DI20">
        <v>11.04</v>
      </c>
      <c r="DJ20" t="s">
        <v>470</v>
      </c>
      <c r="DK20" t="s">
        <v>350</v>
      </c>
      <c r="DL20">
        <v>13</v>
      </c>
      <c r="DM20" t="s">
        <v>470</v>
      </c>
      <c r="DN20" t="s">
        <v>350</v>
      </c>
      <c r="DO20">
        <v>12.75</v>
      </c>
      <c r="DP20" t="s">
        <v>470</v>
      </c>
      <c r="DQ20" t="s">
        <v>350</v>
      </c>
      <c r="DR20">
        <v>12.5</v>
      </c>
      <c r="DS20" t="s">
        <v>470</v>
      </c>
      <c r="DT20" t="s">
        <v>153</v>
      </c>
      <c r="DU20">
        <v>1.36</v>
      </c>
      <c r="DV20" t="s">
        <v>93</v>
      </c>
      <c r="DW20" t="s">
        <v>153</v>
      </c>
      <c r="DX20">
        <v>1.35</v>
      </c>
      <c r="DY20" t="s">
        <v>93</v>
      </c>
      <c r="DZ20" t="s">
        <v>153</v>
      </c>
      <c r="EA20">
        <v>1.35</v>
      </c>
      <c r="EB20" t="s">
        <v>93</v>
      </c>
      <c r="EC20" t="s">
        <v>153</v>
      </c>
      <c r="ED20">
        <v>1.43</v>
      </c>
      <c r="EE20" t="s">
        <v>93</v>
      </c>
      <c r="EF20" t="s">
        <v>153</v>
      </c>
      <c r="EG20">
        <v>1.31</v>
      </c>
      <c r="EH20" t="s">
        <v>93</v>
      </c>
      <c r="EI20" t="s">
        <v>153</v>
      </c>
      <c r="EJ20">
        <v>1.36</v>
      </c>
      <c r="EK20" t="s">
        <v>93</v>
      </c>
    </row>
    <row r="21" spans="1:141">
      <c r="A21" t="s">
        <v>350</v>
      </c>
      <c r="B21">
        <v>13.7</v>
      </c>
      <c r="C21" t="s">
        <v>470</v>
      </c>
      <c r="D21" t="s">
        <v>350</v>
      </c>
      <c r="E21">
        <v>15.99</v>
      </c>
      <c r="F21" t="s">
        <v>470</v>
      </c>
      <c r="G21" t="s">
        <v>152</v>
      </c>
      <c r="H21">
        <v>14.04</v>
      </c>
      <c r="I21" t="s">
        <v>118</v>
      </c>
      <c r="J21" t="s">
        <v>152</v>
      </c>
      <c r="K21">
        <v>14.11</v>
      </c>
      <c r="L21" t="s">
        <v>118</v>
      </c>
      <c r="M21" t="s">
        <v>152</v>
      </c>
      <c r="N21">
        <v>13.91</v>
      </c>
      <c r="O21" t="s">
        <v>118</v>
      </c>
      <c r="P21" t="s">
        <v>152</v>
      </c>
      <c r="Q21">
        <v>13.77</v>
      </c>
      <c r="R21" t="s">
        <v>118</v>
      </c>
      <c r="S21" t="s">
        <v>152</v>
      </c>
      <c r="T21">
        <v>13.5</v>
      </c>
      <c r="U21" t="s">
        <v>118</v>
      </c>
      <c r="V21" t="s">
        <v>152</v>
      </c>
      <c r="W21">
        <v>13.38</v>
      </c>
      <c r="X21" t="s">
        <v>118</v>
      </c>
      <c r="Y21" t="s">
        <v>152</v>
      </c>
      <c r="Z21">
        <v>13.53</v>
      </c>
      <c r="AA21" t="s">
        <v>118</v>
      </c>
      <c r="AB21" t="s">
        <v>152</v>
      </c>
      <c r="AC21">
        <v>13.51</v>
      </c>
      <c r="AD21" t="s">
        <v>118</v>
      </c>
      <c r="AE21" t="s">
        <v>152</v>
      </c>
      <c r="AF21">
        <v>13.95</v>
      </c>
      <c r="AG21" t="s">
        <v>118</v>
      </c>
      <c r="AH21" t="s">
        <v>152</v>
      </c>
      <c r="AI21">
        <v>14.04</v>
      </c>
      <c r="AJ21" t="s">
        <v>118</v>
      </c>
      <c r="AK21" t="s">
        <v>152</v>
      </c>
      <c r="AL21">
        <v>13.83</v>
      </c>
      <c r="AM21" t="s">
        <v>118</v>
      </c>
      <c r="AN21" t="s">
        <v>152</v>
      </c>
      <c r="AO21">
        <v>13.88</v>
      </c>
      <c r="AP21" t="s">
        <v>118</v>
      </c>
      <c r="AQ21" t="s">
        <v>152</v>
      </c>
      <c r="AR21">
        <v>14.97</v>
      </c>
      <c r="AS21" t="s">
        <v>118</v>
      </c>
      <c r="AT21" t="s">
        <v>152</v>
      </c>
      <c r="AU21">
        <v>14.74</v>
      </c>
      <c r="AV21" t="s">
        <v>118</v>
      </c>
      <c r="AW21" t="s">
        <v>152</v>
      </c>
      <c r="AX21">
        <v>14.66</v>
      </c>
      <c r="AY21" t="s">
        <v>118</v>
      </c>
      <c r="AZ21" t="s">
        <v>152</v>
      </c>
      <c r="BA21">
        <v>14.58</v>
      </c>
      <c r="BB21" t="s">
        <v>118</v>
      </c>
      <c r="BC21" t="s">
        <v>152</v>
      </c>
      <c r="BD21">
        <v>13.9</v>
      </c>
      <c r="BE21" t="s">
        <v>118</v>
      </c>
      <c r="BF21" t="s">
        <v>152</v>
      </c>
      <c r="BG21">
        <v>13.78</v>
      </c>
      <c r="BH21" t="s">
        <v>118</v>
      </c>
      <c r="BI21" t="s">
        <v>152</v>
      </c>
      <c r="BJ21">
        <v>13.77</v>
      </c>
      <c r="BK21" t="s">
        <v>118</v>
      </c>
      <c r="BL21" t="s">
        <v>152</v>
      </c>
      <c r="BM21">
        <v>13.43</v>
      </c>
      <c r="BN21" t="s">
        <v>118</v>
      </c>
      <c r="BO21" t="s">
        <v>152</v>
      </c>
      <c r="BP21">
        <v>13.4</v>
      </c>
      <c r="BQ21" t="s">
        <v>118</v>
      </c>
      <c r="BR21" t="s">
        <v>152</v>
      </c>
      <c r="BS21">
        <v>13.62</v>
      </c>
      <c r="BT21" t="s">
        <v>118</v>
      </c>
      <c r="BU21" t="s">
        <v>152</v>
      </c>
      <c r="BV21">
        <v>13.5</v>
      </c>
      <c r="BW21" t="s">
        <v>118</v>
      </c>
      <c r="BX21" t="s">
        <v>152</v>
      </c>
      <c r="BY21">
        <v>13.65</v>
      </c>
      <c r="BZ21" t="s">
        <v>118</v>
      </c>
      <c r="CA21" t="s">
        <v>152</v>
      </c>
      <c r="CB21">
        <v>13.68</v>
      </c>
      <c r="CC21" t="s">
        <v>118</v>
      </c>
      <c r="CD21" t="s">
        <v>152</v>
      </c>
      <c r="CE21">
        <v>13.94</v>
      </c>
      <c r="CF21" t="s">
        <v>118</v>
      </c>
      <c r="CG21" t="s">
        <v>152</v>
      </c>
      <c r="CH21">
        <v>14.01</v>
      </c>
      <c r="CI21" t="s">
        <v>118</v>
      </c>
      <c r="CJ21" t="s">
        <v>152</v>
      </c>
      <c r="CK21">
        <v>13.93</v>
      </c>
      <c r="CL21" t="s">
        <v>118</v>
      </c>
      <c r="CM21" t="s">
        <v>152</v>
      </c>
      <c r="CN21">
        <v>13.77</v>
      </c>
      <c r="CO21" t="s">
        <v>118</v>
      </c>
      <c r="CP21" t="s">
        <v>152</v>
      </c>
      <c r="CQ21">
        <v>13.8</v>
      </c>
      <c r="CR21" t="s">
        <v>118</v>
      </c>
      <c r="CS21" t="s">
        <v>152</v>
      </c>
      <c r="CT21">
        <v>13.63</v>
      </c>
      <c r="CU21" t="s">
        <v>118</v>
      </c>
      <c r="CV21" t="s">
        <v>152</v>
      </c>
      <c r="CW21">
        <v>13.58</v>
      </c>
      <c r="CX21" t="s">
        <v>118</v>
      </c>
      <c r="CY21" t="s">
        <v>152</v>
      </c>
      <c r="CZ21">
        <v>13.5</v>
      </c>
      <c r="DA21" t="s">
        <v>118</v>
      </c>
      <c r="DB21" t="s">
        <v>152</v>
      </c>
      <c r="DC21">
        <v>13.71</v>
      </c>
      <c r="DD21" t="s">
        <v>118</v>
      </c>
      <c r="DE21" t="s">
        <v>152</v>
      </c>
      <c r="DF21">
        <v>13.67</v>
      </c>
      <c r="DG21" t="s">
        <v>118</v>
      </c>
      <c r="DH21" t="s">
        <v>152</v>
      </c>
      <c r="DI21">
        <v>13.57</v>
      </c>
      <c r="DJ21" t="s">
        <v>118</v>
      </c>
      <c r="DK21" t="s">
        <v>152</v>
      </c>
      <c r="DL21">
        <v>12.55</v>
      </c>
      <c r="DM21" t="s">
        <v>118</v>
      </c>
      <c r="DN21" t="s">
        <v>152</v>
      </c>
      <c r="DO21">
        <v>12.51</v>
      </c>
      <c r="DP21" t="s">
        <v>118</v>
      </c>
      <c r="DQ21" t="s">
        <v>152</v>
      </c>
      <c r="DR21">
        <v>13.75</v>
      </c>
      <c r="DS21" t="s">
        <v>118</v>
      </c>
      <c r="DT21" t="s">
        <v>342</v>
      </c>
      <c r="DU21">
        <v>21.42</v>
      </c>
      <c r="DV21" t="s">
        <v>119</v>
      </c>
      <c r="DW21" t="s">
        <v>342</v>
      </c>
      <c r="DX21">
        <v>20.7</v>
      </c>
      <c r="DY21" t="s">
        <v>119</v>
      </c>
      <c r="DZ21" t="s">
        <v>342</v>
      </c>
      <c r="EA21">
        <v>20.85</v>
      </c>
      <c r="EB21" t="s">
        <v>119</v>
      </c>
      <c r="EC21" t="s">
        <v>342</v>
      </c>
      <c r="ED21">
        <v>19.899999999999999</v>
      </c>
      <c r="EE21" t="s">
        <v>119</v>
      </c>
      <c r="EF21" t="s">
        <v>342</v>
      </c>
      <c r="EG21">
        <v>23.86</v>
      </c>
      <c r="EH21" t="s">
        <v>119</v>
      </c>
      <c r="EI21" t="s">
        <v>342</v>
      </c>
      <c r="EJ21">
        <v>25.01</v>
      </c>
      <c r="EK21" t="s">
        <v>119</v>
      </c>
    </row>
    <row r="22" spans="1:141">
      <c r="A22" t="s">
        <v>152</v>
      </c>
      <c r="B22">
        <v>14.24</v>
      </c>
      <c r="C22" t="s">
        <v>118</v>
      </c>
      <c r="D22" t="s">
        <v>152</v>
      </c>
      <c r="E22">
        <v>14.09</v>
      </c>
      <c r="F22" t="s">
        <v>118</v>
      </c>
      <c r="G22" t="s">
        <v>153</v>
      </c>
      <c r="H22">
        <v>1.18</v>
      </c>
      <c r="I22" t="s">
        <v>93</v>
      </c>
      <c r="J22" t="s">
        <v>153</v>
      </c>
      <c r="K22">
        <v>1.17</v>
      </c>
      <c r="L22" t="s">
        <v>93</v>
      </c>
      <c r="M22" t="s">
        <v>153</v>
      </c>
      <c r="N22">
        <v>1.1299999999999999</v>
      </c>
      <c r="O22" t="s">
        <v>93</v>
      </c>
      <c r="P22" t="s">
        <v>153</v>
      </c>
      <c r="Q22">
        <v>1.1299999999999999</v>
      </c>
      <c r="R22" t="s">
        <v>93</v>
      </c>
      <c r="S22" t="s">
        <v>153</v>
      </c>
      <c r="T22">
        <v>1.1399999999999999</v>
      </c>
      <c r="U22" t="s">
        <v>93</v>
      </c>
      <c r="V22" t="s">
        <v>153</v>
      </c>
      <c r="W22">
        <v>1.1100000000000001</v>
      </c>
      <c r="X22" t="s">
        <v>93</v>
      </c>
      <c r="Y22" t="s">
        <v>153</v>
      </c>
      <c r="Z22">
        <v>1.1399999999999999</v>
      </c>
      <c r="AA22" t="s">
        <v>93</v>
      </c>
      <c r="AB22" t="s">
        <v>153</v>
      </c>
      <c r="AC22">
        <v>1.2</v>
      </c>
      <c r="AD22" t="s">
        <v>93</v>
      </c>
      <c r="AE22" t="s">
        <v>153</v>
      </c>
      <c r="AF22">
        <v>1.2</v>
      </c>
      <c r="AG22" t="s">
        <v>93</v>
      </c>
      <c r="AH22" t="s">
        <v>153</v>
      </c>
      <c r="AI22">
        <v>1.19</v>
      </c>
      <c r="AJ22" t="s">
        <v>93</v>
      </c>
      <c r="AK22" t="s">
        <v>153</v>
      </c>
      <c r="AL22">
        <v>1.1499999999999999</v>
      </c>
      <c r="AM22" t="s">
        <v>93</v>
      </c>
      <c r="AN22" t="s">
        <v>153</v>
      </c>
      <c r="AO22">
        <v>1.1200000000000001</v>
      </c>
      <c r="AP22" t="s">
        <v>93</v>
      </c>
      <c r="AQ22" t="s">
        <v>153</v>
      </c>
      <c r="AR22">
        <v>1.1299999999999999</v>
      </c>
      <c r="AS22" t="s">
        <v>93</v>
      </c>
      <c r="AT22" t="s">
        <v>153</v>
      </c>
      <c r="AU22">
        <v>1.1399999999999999</v>
      </c>
      <c r="AV22" t="s">
        <v>93</v>
      </c>
      <c r="AW22" t="s">
        <v>153</v>
      </c>
      <c r="AX22">
        <v>1.21</v>
      </c>
      <c r="AY22" t="s">
        <v>93</v>
      </c>
      <c r="AZ22" t="s">
        <v>153</v>
      </c>
      <c r="BA22">
        <v>1.21</v>
      </c>
      <c r="BB22" t="s">
        <v>93</v>
      </c>
      <c r="BC22" t="s">
        <v>153</v>
      </c>
      <c r="BD22">
        <v>1.25</v>
      </c>
      <c r="BE22" t="s">
        <v>93</v>
      </c>
      <c r="BF22" t="s">
        <v>153</v>
      </c>
      <c r="BG22">
        <v>1.25</v>
      </c>
      <c r="BH22" t="s">
        <v>93</v>
      </c>
      <c r="BI22" t="s">
        <v>153</v>
      </c>
      <c r="BJ22">
        <v>1.23</v>
      </c>
      <c r="BK22" t="s">
        <v>93</v>
      </c>
      <c r="BL22" t="s">
        <v>153</v>
      </c>
      <c r="BM22">
        <v>1.1599999999999999</v>
      </c>
      <c r="BN22" t="s">
        <v>93</v>
      </c>
      <c r="BO22" t="s">
        <v>153</v>
      </c>
      <c r="BP22">
        <v>1.19</v>
      </c>
      <c r="BQ22" t="s">
        <v>93</v>
      </c>
      <c r="BR22" t="s">
        <v>153</v>
      </c>
      <c r="BS22">
        <v>1.2</v>
      </c>
      <c r="BT22" t="s">
        <v>93</v>
      </c>
      <c r="BU22" t="s">
        <v>153</v>
      </c>
      <c r="BV22">
        <v>1.18</v>
      </c>
      <c r="BW22" t="s">
        <v>93</v>
      </c>
      <c r="BX22" t="s">
        <v>153</v>
      </c>
      <c r="BY22">
        <v>1.18</v>
      </c>
      <c r="BZ22" t="s">
        <v>93</v>
      </c>
      <c r="CA22" t="s">
        <v>153</v>
      </c>
      <c r="CB22">
        <v>1.19</v>
      </c>
      <c r="CC22" t="s">
        <v>93</v>
      </c>
      <c r="CD22" t="s">
        <v>153</v>
      </c>
      <c r="CE22">
        <v>1.18</v>
      </c>
      <c r="CF22" t="s">
        <v>93</v>
      </c>
      <c r="CG22" t="s">
        <v>153</v>
      </c>
      <c r="CH22">
        <v>1.19</v>
      </c>
      <c r="CI22" t="s">
        <v>93</v>
      </c>
      <c r="CJ22" t="s">
        <v>153</v>
      </c>
      <c r="CK22">
        <v>1.21</v>
      </c>
      <c r="CL22" t="s">
        <v>93</v>
      </c>
      <c r="CM22" t="s">
        <v>153</v>
      </c>
      <c r="CN22">
        <v>1.19</v>
      </c>
      <c r="CO22" t="s">
        <v>93</v>
      </c>
      <c r="CP22" t="s">
        <v>153</v>
      </c>
      <c r="CQ22">
        <v>1.18</v>
      </c>
      <c r="CR22" t="s">
        <v>93</v>
      </c>
      <c r="CS22" t="s">
        <v>153</v>
      </c>
      <c r="CT22">
        <v>1.18</v>
      </c>
      <c r="CU22" t="s">
        <v>93</v>
      </c>
      <c r="CV22" t="s">
        <v>153</v>
      </c>
      <c r="CW22">
        <v>1.17</v>
      </c>
      <c r="CX22" t="s">
        <v>93</v>
      </c>
      <c r="CY22" t="s">
        <v>153</v>
      </c>
      <c r="CZ22">
        <v>1.17</v>
      </c>
      <c r="DA22" t="s">
        <v>93</v>
      </c>
      <c r="DB22" t="s">
        <v>153</v>
      </c>
      <c r="DC22">
        <v>1.19</v>
      </c>
      <c r="DD22" t="s">
        <v>93</v>
      </c>
      <c r="DE22" t="s">
        <v>153</v>
      </c>
      <c r="DF22">
        <v>1.19</v>
      </c>
      <c r="DG22" t="s">
        <v>93</v>
      </c>
      <c r="DH22" t="s">
        <v>153</v>
      </c>
      <c r="DI22">
        <v>1.18</v>
      </c>
      <c r="DJ22" t="s">
        <v>93</v>
      </c>
      <c r="DK22" t="s">
        <v>153</v>
      </c>
      <c r="DL22">
        <v>1.31</v>
      </c>
      <c r="DM22" t="s">
        <v>93</v>
      </c>
      <c r="DN22" t="s">
        <v>153</v>
      </c>
      <c r="DO22">
        <v>1.32</v>
      </c>
      <c r="DP22" t="s">
        <v>93</v>
      </c>
      <c r="DQ22" t="s">
        <v>153</v>
      </c>
      <c r="DR22">
        <v>1.4</v>
      </c>
      <c r="DS22" t="s">
        <v>93</v>
      </c>
      <c r="DT22" t="s">
        <v>434</v>
      </c>
      <c r="DU22">
        <v>2.79</v>
      </c>
      <c r="DV22" t="s">
        <v>23</v>
      </c>
      <c r="DW22" t="s">
        <v>434</v>
      </c>
      <c r="DX22">
        <v>2.7</v>
      </c>
      <c r="DY22" t="s">
        <v>23</v>
      </c>
      <c r="DZ22" t="s">
        <v>434</v>
      </c>
      <c r="EA22">
        <v>2.78</v>
      </c>
      <c r="EB22" t="s">
        <v>23</v>
      </c>
      <c r="EC22" t="s">
        <v>434</v>
      </c>
      <c r="ED22">
        <v>2.84</v>
      </c>
      <c r="EE22" t="s">
        <v>23</v>
      </c>
      <c r="EF22" t="s">
        <v>434</v>
      </c>
      <c r="EG22">
        <v>2.63</v>
      </c>
      <c r="EH22" t="s">
        <v>23</v>
      </c>
      <c r="EI22" t="s">
        <v>434</v>
      </c>
      <c r="EJ22">
        <v>2.84</v>
      </c>
      <c r="EK22" t="s">
        <v>23</v>
      </c>
    </row>
    <row r="23" spans="1:141">
      <c r="A23" t="s">
        <v>153</v>
      </c>
      <c r="B23">
        <v>1.2</v>
      </c>
      <c r="C23" t="s">
        <v>93</v>
      </c>
      <c r="D23" t="s">
        <v>153</v>
      </c>
      <c r="E23">
        <v>1.19</v>
      </c>
      <c r="F23" t="s">
        <v>93</v>
      </c>
      <c r="G23" t="s">
        <v>342</v>
      </c>
      <c r="H23">
        <v>20.09</v>
      </c>
      <c r="I23" t="s">
        <v>119</v>
      </c>
      <c r="J23" t="s">
        <v>342</v>
      </c>
      <c r="K23">
        <v>20.399999999999999</v>
      </c>
      <c r="L23" t="s">
        <v>119</v>
      </c>
      <c r="M23" t="s">
        <v>342</v>
      </c>
      <c r="N23">
        <v>19.77</v>
      </c>
      <c r="O23" t="s">
        <v>119</v>
      </c>
      <c r="P23" t="s">
        <v>342</v>
      </c>
      <c r="Q23">
        <v>19.54</v>
      </c>
      <c r="R23" t="s">
        <v>119</v>
      </c>
      <c r="S23" t="s">
        <v>342</v>
      </c>
      <c r="T23">
        <v>19.329999999999998</v>
      </c>
      <c r="U23" t="s">
        <v>119</v>
      </c>
      <c r="V23" t="s">
        <v>342</v>
      </c>
      <c r="W23">
        <v>18.47</v>
      </c>
      <c r="X23" t="s">
        <v>119</v>
      </c>
      <c r="Y23" t="s">
        <v>342</v>
      </c>
      <c r="Z23">
        <v>18.899999999999999</v>
      </c>
      <c r="AA23" t="s">
        <v>119</v>
      </c>
      <c r="AB23" t="s">
        <v>342</v>
      </c>
      <c r="AC23">
        <v>19.100000000000001</v>
      </c>
      <c r="AD23" t="s">
        <v>119</v>
      </c>
      <c r="AE23" t="s">
        <v>342</v>
      </c>
      <c r="AF23">
        <v>18.940000000000001</v>
      </c>
      <c r="AG23" t="s">
        <v>119</v>
      </c>
      <c r="AH23" t="s">
        <v>342</v>
      </c>
      <c r="AI23">
        <v>18.73</v>
      </c>
      <c r="AJ23" t="s">
        <v>119</v>
      </c>
      <c r="AK23" t="s">
        <v>342</v>
      </c>
      <c r="AL23">
        <v>18.579999999999998</v>
      </c>
      <c r="AM23" t="s">
        <v>119</v>
      </c>
      <c r="AN23" t="s">
        <v>342</v>
      </c>
      <c r="AO23">
        <v>18</v>
      </c>
      <c r="AP23" t="s">
        <v>119</v>
      </c>
      <c r="AQ23" t="s">
        <v>342</v>
      </c>
      <c r="AR23">
        <v>18.07</v>
      </c>
      <c r="AS23" t="s">
        <v>119</v>
      </c>
      <c r="AT23" t="s">
        <v>342</v>
      </c>
      <c r="AU23">
        <v>19.399999999999999</v>
      </c>
      <c r="AV23" t="s">
        <v>119</v>
      </c>
      <c r="AW23" t="s">
        <v>342</v>
      </c>
      <c r="AX23">
        <v>18.88</v>
      </c>
      <c r="AY23" t="s">
        <v>119</v>
      </c>
      <c r="AZ23" t="s">
        <v>342</v>
      </c>
      <c r="BA23">
        <v>18.88</v>
      </c>
      <c r="BB23" t="s">
        <v>119</v>
      </c>
      <c r="BC23" t="s">
        <v>342</v>
      </c>
      <c r="BD23">
        <v>18.47</v>
      </c>
      <c r="BE23" t="s">
        <v>119</v>
      </c>
      <c r="BF23" t="s">
        <v>342</v>
      </c>
      <c r="BG23">
        <v>18.2</v>
      </c>
      <c r="BH23" t="s">
        <v>119</v>
      </c>
      <c r="BI23" t="s">
        <v>342</v>
      </c>
      <c r="BJ23">
        <v>17.940000000000001</v>
      </c>
      <c r="BK23" t="s">
        <v>119</v>
      </c>
      <c r="BL23" t="s">
        <v>342</v>
      </c>
      <c r="BM23">
        <v>17.600000000000001</v>
      </c>
      <c r="BN23" t="s">
        <v>119</v>
      </c>
      <c r="BO23" t="s">
        <v>342</v>
      </c>
      <c r="BP23">
        <v>17.55</v>
      </c>
      <c r="BQ23" t="s">
        <v>119</v>
      </c>
      <c r="BR23" t="s">
        <v>342</v>
      </c>
      <c r="BS23">
        <v>17.96</v>
      </c>
      <c r="BT23" t="s">
        <v>119</v>
      </c>
      <c r="BU23" t="s">
        <v>342</v>
      </c>
      <c r="BV23">
        <v>17.600000000000001</v>
      </c>
      <c r="BW23" t="s">
        <v>119</v>
      </c>
      <c r="BX23" t="s">
        <v>342</v>
      </c>
      <c r="BY23">
        <v>17.510000000000002</v>
      </c>
      <c r="BZ23" t="s">
        <v>119</v>
      </c>
      <c r="CA23" t="s">
        <v>342</v>
      </c>
      <c r="CB23">
        <v>17.45</v>
      </c>
      <c r="CC23" t="s">
        <v>119</v>
      </c>
      <c r="CD23" t="s">
        <v>342</v>
      </c>
      <c r="CE23">
        <v>17.7</v>
      </c>
      <c r="CF23" t="s">
        <v>119</v>
      </c>
      <c r="CG23" t="s">
        <v>342</v>
      </c>
      <c r="CH23">
        <v>18.21</v>
      </c>
      <c r="CI23" t="s">
        <v>119</v>
      </c>
      <c r="CJ23" t="s">
        <v>342</v>
      </c>
      <c r="CK23">
        <v>17.7</v>
      </c>
      <c r="CL23" t="s">
        <v>119</v>
      </c>
      <c r="CM23" t="s">
        <v>342</v>
      </c>
      <c r="CN23">
        <v>17.23</v>
      </c>
      <c r="CO23" t="s">
        <v>119</v>
      </c>
      <c r="CP23" t="s">
        <v>342</v>
      </c>
      <c r="CQ23">
        <v>17.54</v>
      </c>
      <c r="CR23" t="s">
        <v>119</v>
      </c>
      <c r="CS23" t="s">
        <v>342</v>
      </c>
      <c r="CT23">
        <v>17.399999999999999</v>
      </c>
      <c r="CU23" t="s">
        <v>119</v>
      </c>
      <c r="CV23" t="s">
        <v>342</v>
      </c>
      <c r="CW23">
        <v>17.45</v>
      </c>
      <c r="CX23" t="s">
        <v>119</v>
      </c>
      <c r="CY23" t="s">
        <v>342</v>
      </c>
      <c r="CZ23">
        <v>18.14</v>
      </c>
      <c r="DA23" t="s">
        <v>119</v>
      </c>
      <c r="DB23" t="s">
        <v>342</v>
      </c>
      <c r="DC23">
        <v>17.66</v>
      </c>
      <c r="DD23" t="s">
        <v>119</v>
      </c>
      <c r="DE23" t="s">
        <v>342</v>
      </c>
      <c r="DF23">
        <v>17.97</v>
      </c>
      <c r="DG23" t="s">
        <v>119</v>
      </c>
      <c r="DH23" t="s">
        <v>342</v>
      </c>
      <c r="DI23">
        <v>16.95</v>
      </c>
      <c r="DJ23" t="s">
        <v>119</v>
      </c>
      <c r="DK23" t="s">
        <v>342</v>
      </c>
      <c r="DL23">
        <v>15.86</v>
      </c>
      <c r="DM23" t="s">
        <v>119</v>
      </c>
      <c r="DN23" t="s">
        <v>342</v>
      </c>
      <c r="DO23">
        <v>16.11</v>
      </c>
      <c r="DP23" t="s">
        <v>119</v>
      </c>
      <c r="DQ23" t="s">
        <v>342</v>
      </c>
      <c r="DR23">
        <v>22.95</v>
      </c>
      <c r="DS23" t="s">
        <v>119</v>
      </c>
      <c r="DT23" t="s">
        <v>154</v>
      </c>
      <c r="DU23">
        <v>7.47</v>
      </c>
      <c r="DV23" t="s">
        <v>57</v>
      </c>
      <c r="DW23" t="s">
        <v>154</v>
      </c>
      <c r="DX23">
        <v>7.42</v>
      </c>
      <c r="DY23" t="s">
        <v>57</v>
      </c>
      <c r="DZ23" t="s">
        <v>154</v>
      </c>
      <c r="EA23">
        <v>7.52</v>
      </c>
      <c r="EB23" t="s">
        <v>57</v>
      </c>
      <c r="EC23" t="s">
        <v>154</v>
      </c>
      <c r="ED23">
        <v>7.46</v>
      </c>
      <c r="EE23" t="s">
        <v>57</v>
      </c>
      <c r="EF23" t="s">
        <v>154</v>
      </c>
      <c r="EG23">
        <v>7.36</v>
      </c>
      <c r="EH23" t="s">
        <v>57</v>
      </c>
      <c r="EI23" t="s">
        <v>154</v>
      </c>
      <c r="EJ23">
        <v>7.6</v>
      </c>
      <c r="EK23" t="s">
        <v>57</v>
      </c>
    </row>
    <row r="24" spans="1:141">
      <c r="A24" t="s">
        <v>342</v>
      </c>
      <c r="B24">
        <v>19.670000000000002</v>
      </c>
      <c r="C24" t="s">
        <v>119</v>
      </c>
      <c r="D24" t="s">
        <v>342</v>
      </c>
      <c r="E24">
        <v>20.43</v>
      </c>
      <c r="F24" t="s">
        <v>119</v>
      </c>
      <c r="G24" t="s">
        <v>434</v>
      </c>
      <c r="H24">
        <v>2.61</v>
      </c>
      <c r="I24" t="s">
        <v>23</v>
      </c>
      <c r="J24" t="s">
        <v>434</v>
      </c>
      <c r="K24">
        <v>2.5299999999999998</v>
      </c>
      <c r="L24" t="s">
        <v>23</v>
      </c>
      <c r="M24" t="s">
        <v>434</v>
      </c>
      <c r="N24">
        <v>2.4300000000000002</v>
      </c>
      <c r="O24" t="s">
        <v>23</v>
      </c>
      <c r="P24" t="s">
        <v>434</v>
      </c>
      <c r="Q24">
        <v>2.4700000000000002</v>
      </c>
      <c r="R24" t="s">
        <v>23</v>
      </c>
      <c r="S24" t="s">
        <v>434</v>
      </c>
      <c r="T24">
        <v>2.4700000000000002</v>
      </c>
      <c r="U24" t="s">
        <v>23</v>
      </c>
      <c r="V24" t="s">
        <v>434</v>
      </c>
      <c r="W24">
        <v>2.39</v>
      </c>
      <c r="X24" t="s">
        <v>23</v>
      </c>
      <c r="Y24" t="s">
        <v>434</v>
      </c>
      <c r="Z24">
        <v>2.4900000000000002</v>
      </c>
      <c r="AA24" t="s">
        <v>23</v>
      </c>
      <c r="AB24" t="s">
        <v>434</v>
      </c>
      <c r="AC24">
        <v>2.5099999999999998</v>
      </c>
      <c r="AD24" t="s">
        <v>23</v>
      </c>
      <c r="AE24" t="s">
        <v>434</v>
      </c>
      <c r="AF24">
        <v>2.4700000000000002</v>
      </c>
      <c r="AG24" t="s">
        <v>23</v>
      </c>
      <c r="AH24" t="s">
        <v>434</v>
      </c>
      <c r="AI24">
        <v>2.4900000000000002</v>
      </c>
      <c r="AJ24" t="s">
        <v>23</v>
      </c>
      <c r="AK24" t="s">
        <v>434</v>
      </c>
      <c r="AL24">
        <v>2.4300000000000002</v>
      </c>
      <c r="AM24" t="s">
        <v>23</v>
      </c>
      <c r="AN24" t="s">
        <v>434</v>
      </c>
      <c r="AO24">
        <v>2.29</v>
      </c>
      <c r="AP24" t="s">
        <v>23</v>
      </c>
      <c r="AQ24" t="s">
        <v>434</v>
      </c>
      <c r="AR24">
        <v>2.33</v>
      </c>
      <c r="AS24" t="s">
        <v>23</v>
      </c>
      <c r="AT24" t="s">
        <v>434</v>
      </c>
      <c r="AU24">
        <v>2.35</v>
      </c>
      <c r="AV24" t="s">
        <v>23</v>
      </c>
      <c r="AW24" t="s">
        <v>434</v>
      </c>
      <c r="AX24">
        <v>2.46</v>
      </c>
      <c r="AY24" t="s">
        <v>23</v>
      </c>
      <c r="AZ24" t="s">
        <v>434</v>
      </c>
      <c r="BA24">
        <v>2.4300000000000002</v>
      </c>
      <c r="BB24" t="s">
        <v>23</v>
      </c>
      <c r="BC24" t="s">
        <v>434</v>
      </c>
      <c r="BD24">
        <v>2.4500000000000002</v>
      </c>
      <c r="BE24" t="s">
        <v>23</v>
      </c>
      <c r="BF24" t="s">
        <v>434</v>
      </c>
      <c r="BG24">
        <v>2.5099999999999998</v>
      </c>
      <c r="BH24" t="s">
        <v>23</v>
      </c>
      <c r="BI24" t="s">
        <v>434</v>
      </c>
      <c r="BJ24">
        <v>2.46</v>
      </c>
      <c r="BK24" t="s">
        <v>23</v>
      </c>
      <c r="BL24" t="s">
        <v>434</v>
      </c>
      <c r="BM24">
        <v>2.4900000000000002</v>
      </c>
      <c r="BN24" t="s">
        <v>23</v>
      </c>
      <c r="BO24" t="s">
        <v>434</v>
      </c>
      <c r="BP24">
        <v>2.5</v>
      </c>
      <c r="BQ24" t="s">
        <v>23</v>
      </c>
      <c r="BR24" t="s">
        <v>434</v>
      </c>
      <c r="BS24">
        <v>2.5499999999999998</v>
      </c>
      <c r="BT24" t="s">
        <v>23</v>
      </c>
      <c r="BU24" t="s">
        <v>434</v>
      </c>
      <c r="BV24">
        <v>2.4900000000000002</v>
      </c>
      <c r="BW24" t="s">
        <v>23</v>
      </c>
      <c r="BX24" t="s">
        <v>434</v>
      </c>
      <c r="BY24">
        <v>2.5299999999999998</v>
      </c>
      <c r="BZ24" t="s">
        <v>23</v>
      </c>
      <c r="CA24" t="s">
        <v>434</v>
      </c>
      <c r="CB24">
        <v>2.52</v>
      </c>
      <c r="CC24" t="s">
        <v>23</v>
      </c>
      <c r="CD24" t="s">
        <v>434</v>
      </c>
      <c r="CE24">
        <v>2.5</v>
      </c>
      <c r="CF24" t="s">
        <v>23</v>
      </c>
      <c r="CG24" t="s">
        <v>434</v>
      </c>
      <c r="CH24">
        <v>2.57</v>
      </c>
      <c r="CI24" t="s">
        <v>23</v>
      </c>
      <c r="CJ24" t="s">
        <v>434</v>
      </c>
      <c r="CK24">
        <v>2.52</v>
      </c>
      <c r="CL24" t="s">
        <v>23</v>
      </c>
      <c r="CM24" t="s">
        <v>434</v>
      </c>
      <c r="CN24">
        <v>2.5299999999999998</v>
      </c>
      <c r="CO24" t="s">
        <v>23</v>
      </c>
      <c r="CP24" t="s">
        <v>434</v>
      </c>
      <c r="CQ24">
        <v>2.46</v>
      </c>
      <c r="CR24" t="s">
        <v>23</v>
      </c>
      <c r="CS24" t="s">
        <v>434</v>
      </c>
      <c r="CT24">
        <v>2.4300000000000002</v>
      </c>
      <c r="CU24" t="s">
        <v>23</v>
      </c>
      <c r="CV24" t="s">
        <v>434</v>
      </c>
      <c r="CW24">
        <v>2.38</v>
      </c>
      <c r="CX24" t="s">
        <v>23</v>
      </c>
      <c r="CY24" t="s">
        <v>434</v>
      </c>
      <c r="CZ24">
        <v>2.4300000000000002</v>
      </c>
      <c r="DA24" t="s">
        <v>23</v>
      </c>
      <c r="DB24" t="s">
        <v>434</v>
      </c>
      <c r="DC24">
        <v>2.65</v>
      </c>
      <c r="DD24" t="s">
        <v>23</v>
      </c>
      <c r="DE24" t="s">
        <v>434</v>
      </c>
      <c r="DF24">
        <v>2.65</v>
      </c>
      <c r="DG24" t="s">
        <v>23</v>
      </c>
      <c r="DH24" t="s">
        <v>434</v>
      </c>
      <c r="DI24">
        <v>2.76</v>
      </c>
      <c r="DJ24" t="s">
        <v>23</v>
      </c>
      <c r="DK24" t="s">
        <v>434</v>
      </c>
      <c r="DL24">
        <v>2.64</v>
      </c>
      <c r="DM24" t="s">
        <v>23</v>
      </c>
      <c r="DN24" t="s">
        <v>434</v>
      </c>
      <c r="DO24">
        <v>2.76</v>
      </c>
      <c r="DP24" t="s">
        <v>23</v>
      </c>
      <c r="DQ24" t="s">
        <v>434</v>
      </c>
      <c r="DR24">
        <v>3.11</v>
      </c>
      <c r="DS24" t="s">
        <v>23</v>
      </c>
      <c r="DT24" t="s">
        <v>155</v>
      </c>
      <c r="DU24">
        <v>2.13</v>
      </c>
      <c r="DV24" t="s">
        <v>156</v>
      </c>
      <c r="DW24" t="s">
        <v>155</v>
      </c>
      <c r="DX24">
        <v>2.2000000000000002</v>
      </c>
      <c r="DY24" t="s">
        <v>156</v>
      </c>
      <c r="DZ24" t="s">
        <v>155</v>
      </c>
      <c r="EA24">
        <v>2.08</v>
      </c>
      <c r="EB24" t="s">
        <v>156</v>
      </c>
      <c r="EC24" t="s">
        <v>155</v>
      </c>
      <c r="ED24">
        <v>2.0699999999999998</v>
      </c>
      <c r="EE24" t="s">
        <v>156</v>
      </c>
      <c r="EF24" t="s">
        <v>155</v>
      </c>
      <c r="EG24">
        <v>2.09</v>
      </c>
      <c r="EH24" t="s">
        <v>156</v>
      </c>
      <c r="EI24" t="s">
        <v>155</v>
      </c>
      <c r="EJ24">
        <v>2.09</v>
      </c>
      <c r="EK24" t="s">
        <v>156</v>
      </c>
    </row>
    <row r="25" spans="1:141">
      <c r="A25" t="s">
        <v>434</v>
      </c>
      <c r="B25">
        <v>2.69</v>
      </c>
      <c r="C25" t="s">
        <v>23</v>
      </c>
      <c r="D25" t="s">
        <v>434</v>
      </c>
      <c r="E25">
        <v>2.6</v>
      </c>
      <c r="F25" t="s">
        <v>23</v>
      </c>
      <c r="G25" t="s">
        <v>154</v>
      </c>
      <c r="H25">
        <v>7.66</v>
      </c>
      <c r="I25" t="s">
        <v>57</v>
      </c>
      <c r="J25" t="s">
        <v>154</v>
      </c>
      <c r="K25">
        <v>7.63</v>
      </c>
      <c r="L25" t="s">
        <v>57</v>
      </c>
      <c r="M25" t="s">
        <v>154</v>
      </c>
      <c r="N25">
        <v>7.7</v>
      </c>
      <c r="O25" t="s">
        <v>57</v>
      </c>
      <c r="P25" t="s">
        <v>154</v>
      </c>
      <c r="Q25">
        <v>7.6</v>
      </c>
      <c r="R25" t="s">
        <v>57</v>
      </c>
      <c r="S25" t="s">
        <v>154</v>
      </c>
      <c r="T25">
        <v>7.77</v>
      </c>
      <c r="U25" t="s">
        <v>57</v>
      </c>
      <c r="V25" t="s">
        <v>154</v>
      </c>
      <c r="W25">
        <v>7.37</v>
      </c>
      <c r="X25" t="s">
        <v>57</v>
      </c>
      <c r="Y25" t="s">
        <v>154</v>
      </c>
      <c r="Z25">
        <v>7.52</v>
      </c>
      <c r="AA25" t="s">
        <v>57</v>
      </c>
      <c r="AB25" t="s">
        <v>154</v>
      </c>
      <c r="AC25">
        <v>7.43</v>
      </c>
      <c r="AD25" t="s">
        <v>57</v>
      </c>
      <c r="AE25" t="s">
        <v>154</v>
      </c>
      <c r="AF25">
        <v>7.44</v>
      </c>
      <c r="AG25" t="s">
        <v>57</v>
      </c>
      <c r="AH25" t="s">
        <v>154</v>
      </c>
      <c r="AI25">
        <v>7.45</v>
      </c>
      <c r="AJ25" t="s">
        <v>57</v>
      </c>
      <c r="AK25" t="s">
        <v>154</v>
      </c>
      <c r="AL25">
        <v>7.76</v>
      </c>
      <c r="AM25" t="s">
        <v>57</v>
      </c>
      <c r="AN25" t="s">
        <v>154</v>
      </c>
      <c r="AO25">
        <v>7.54</v>
      </c>
      <c r="AP25" t="s">
        <v>57</v>
      </c>
      <c r="AQ25" t="s">
        <v>154</v>
      </c>
      <c r="AR25">
        <v>7.8</v>
      </c>
      <c r="AS25" t="s">
        <v>57</v>
      </c>
      <c r="AT25" t="s">
        <v>154</v>
      </c>
      <c r="AU25">
        <v>7.81</v>
      </c>
      <c r="AV25" t="s">
        <v>57</v>
      </c>
      <c r="AW25" t="s">
        <v>154</v>
      </c>
      <c r="AX25">
        <v>7.7</v>
      </c>
      <c r="AY25" t="s">
        <v>57</v>
      </c>
      <c r="AZ25" t="s">
        <v>154</v>
      </c>
      <c r="BA25">
        <v>8.27</v>
      </c>
      <c r="BB25" t="s">
        <v>57</v>
      </c>
      <c r="BC25" t="s">
        <v>154</v>
      </c>
      <c r="BD25">
        <v>8.0399999999999991</v>
      </c>
      <c r="BE25" t="s">
        <v>57</v>
      </c>
      <c r="BF25" t="s">
        <v>154</v>
      </c>
      <c r="BG25">
        <v>7.8</v>
      </c>
      <c r="BH25" t="s">
        <v>57</v>
      </c>
      <c r="BI25" t="s">
        <v>154</v>
      </c>
      <c r="BJ25">
        <v>7.75</v>
      </c>
      <c r="BK25" t="s">
        <v>57</v>
      </c>
      <c r="BL25" t="s">
        <v>154</v>
      </c>
      <c r="BM25">
        <v>7.66</v>
      </c>
      <c r="BN25" t="s">
        <v>57</v>
      </c>
      <c r="BO25" t="s">
        <v>154</v>
      </c>
      <c r="BP25">
        <v>7.8</v>
      </c>
      <c r="BQ25" t="s">
        <v>57</v>
      </c>
      <c r="BR25" t="s">
        <v>154</v>
      </c>
      <c r="BS25">
        <v>7.8</v>
      </c>
      <c r="BT25" t="s">
        <v>57</v>
      </c>
      <c r="BU25" t="s">
        <v>154</v>
      </c>
      <c r="BV25">
        <v>7.75</v>
      </c>
      <c r="BW25" t="s">
        <v>57</v>
      </c>
      <c r="BX25" t="s">
        <v>154</v>
      </c>
      <c r="BY25">
        <v>7.98</v>
      </c>
      <c r="BZ25" t="s">
        <v>57</v>
      </c>
      <c r="CA25" t="s">
        <v>154</v>
      </c>
      <c r="CB25">
        <v>8.01</v>
      </c>
      <c r="CC25" t="s">
        <v>57</v>
      </c>
      <c r="CD25" t="s">
        <v>154</v>
      </c>
      <c r="CE25">
        <v>8.11</v>
      </c>
      <c r="CF25" t="s">
        <v>57</v>
      </c>
      <c r="CG25" t="s">
        <v>154</v>
      </c>
      <c r="CH25">
        <v>8.08</v>
      </c>
      <c r="CI25" t="s">
        <v>57</v>
      </c>
      <c r="CJ25" t="s">
        <v>154</v>
      </c>
      <c r="CK25">
        <v>7.96</v>
      </c>
      <c r="CL25" t="s">
        <v>57</v>
      </c>
      <c r="CM25" t="s">
        <v>154</v>
      </c>
      <c r="CN25">
        <v>8</v>
      </c>
      <c r="CO25" t="s">
        <v>57</v>
      </c>
      <c r="CP25" t="s">
        <v>154</v>
      </c>
      <c r="CQ25">
        <v>7.9</v>
      </c>
      <c r="CR25" t="s">
        <v>57</v>
      </c>
      <c r="CS25" t="s">
        <v>154</v>
      </c>
      <c r="CT25">
        <v>7.94</v>
      </c>
      <c r="CU25" t="s">
        <v>57</v>
      </c>
      <c r="CV25" t="s">
        <v>154</v>
      </c>
      <c r="CW25">
        <v>7.74</v>
      </c>
      <c r="CX25" t="s">
        <v>57</v>
      </c>
      <c r="CY25" t="s">
        <v>154</v>
      </c>
      <c r="CZ25">
        <v>7.77</v>
      </c>
      <c r="DA25" t="s">
        <v>57</v>
      </c>
      <c r="DB25" t="s">
        <v>154</v>
      </c>
      <c r="DC25">
        <v>7.82</v>
      </c>
      <c r="DD25" t="s">
        <v>57</v>
      </c>
      <c r="DE25" t="s">
        <v>154</v>
      </c>
      <c r="DF25">
        <v>7.94</v>
      </c>
      <c r="DG25" t="s">
        <v>57</v>
      </c>
      <c r="DH25" t="s">
        <v>154</v>
      </c>
      <c r="DI25">
        <v>7.68</v>
      </c>
      <c r="DJ25" t="s">
        <v>57</v>
      </c>
      <c r="DK25" t="s">
        <v>154</v>
      </c>
      <c r="DL25">
        <v>7.54</v>
      </c>
      <c r="DM25" t="s">
        <v>57</v>
      </c>
      <c r="DN25" t="s">
        <v>154</v>
      </c>
      <c r="DO25">
        <v>7.42</v>
      </c>
      <c r="DP25" t="s">
        <v>57</v>
      </c>
      <c r="DQ25" t="s">
        <v>154</v>
      </c>
      <c r="DR25">
        <v>7.75</v>
      </c>
      <c r="DS25" t="s">
        <v>57</v>
      </c>
      <c r="DT25" t="s">
        <v>348</v>
      </c>
      <c r="DU25">
        <v>22.85</v>
      </c>
      <c r="DV25" t="s">
        <v>123</v>
      </c>
      <c r="DW25" t="s">
        <v>348</v>
      </c>
      <c r="DX25">
        <v>22.7</v>
      </c>
      <c r="DY25" t="s">
        <v>123</v>
      </c>
      <c r="DZ25" t="s">
        <v>348</v>
      </c>
      <c r="EA25">
        <v>22.4</v>
      </c>
      <c r="EB25" t="s">
        <v>123</v>
      </c>
      <c r="EC25" t="s">
        <v>348</v>
      </c>
      <c r="ED25">
        <v>22.16</v>
      </c>
      <c r="EE25" t="s">
        <v>123</v>
      </c>
      <c r="EF25" t="s">
        <v>348</v>
      </c>
      <c r="EG25">
        <v>27.04</v>
      </c>
      <c r="EH25" t="s">
        <v>123</v>
      </c>
      <c r="EI25" t="s">
        <v>348</v>
      </c>
      <c r="EJ25">
        <v>28.39</v>
      </c>
      <c r="EK25" t="s">
        <v>123</v>
      </c>
    </row>
    <row r="26" spans="1:141">
      <c r="A26" t="s">
        <v>154</v>
      </c>
      <c r="B26">
        <v>7.79</v>
      </c>
      <c r="C26" t="s">
        <v>57</v>
      </c>
      <c r="D26" t="s">
        <v>154</v>
      </c>
      <c r="E26">
        <v>7.62</v>
      </c>
      <c r="F26" t="s">
        <v>57</v>
      </c>
      <c r="G26" t="s">
        <v>155</v>
      </c>
      <c r="H26">
        <v>2.91</v>
      </c>
      <c r="I26" t="s">
        <v>156</v>
      </c>
      <c r="J26" t="s">
        <v>155</v>
      </c>
      <c r="K26">
        <v>3.2</v>
      </c>
      <c r="L26" t="s">
        <v>156</v>
      </c>
      <c r="M26" t="s">
        <v>155</v>
      </c>
      <c r="N26">
        <v>3.2</v>
      </c>
      <c r="O26" t="s">
        <v>156</v>
      </c>
      <c r="P26" t="s">
        <v>155</v>
      </c>
      <c r="Q26">
        <v>3.06</v>
      </c>
      <c r="R26" t="s">
        <v>156</v>
      </c>
      <c r="S26" t="s">
        <v>155</v>
      </c>
      <c r="T26">
        <v>3.06</v>
      </c>
      <c r="U26" t="s">
        <v>156</v>
      </c>
      <c r="V26" t="s">
        <v>155</v>
      </c>
      <c r="W26">
        <v>3.06</v>
      </c>
      <c r="X26" t="s">
        <v>156</v>
      </c>
      <c r="Y26" t="s">
        <v>155</v>
      </c>
      <c r="Z26">
        <v>2.99</v>
      </c>
      <c r="AA26" t="s">
        <v>156</v>
      </c>
      <c r="AB26" t="s">
        <v>155</v>
      </c>
      <c r="AC26">
        <v>2.99</v>
      </c>
      <c r="AD26" t="s">
        <v>156</v>
      </c>
      <c r="AE26" t="s">
        <v>155</v>
      </c>
      <c r="AF26">
        <v>2.98</v>
      </c>
      <c r="AG26" t="s">
        <v>156</v>
      </c>
      <c r="AH26" t="s">
        <v>155</v>
      </c>
      <c r="AI26">
        <v>3.24</v>
      </c>
      <c r="AJ26" t="s">
        <v>156</v>
      </c>
      <c r="AK26" t="s">
        <v>155</v>
      </c>
      <c r="AL26">
        <v>3.51</v>
      </c>
      <c r="AM26" t="s">
        <v>156</v>
      </c>
      <c r="AN26" t="s">
        <v>155</v>
      </c>
      <c r="AO26">
        <v>3.04</v>
      </c>
      <c r="AP26" t="s">
        <v>156</v>
      </c>
      <c r="AQ26" t="s">
        <v>155</v>
      </c>
      <c r="AR26">
        <v>3.2</v>
      </c>
      <c r="AS26" t="s">
        <v>156</v>
      </c>
      <c r="AT26" t="s">
        <v>155</v>
      </c>
      <c r="AU26">
        <v>3.13</v>
      </c>
      <c r="AV26" t="s">
        <v>156</v>
      </c>
      <c r="AW26" t="s">
        <v>155</v>
      </c>
      <c r="AX26">
        <v>3.06</v>
      </c>
      <c r="AY26" t="s">
        <v>156</v>
      </c>
      <c r="AZ26" t="s">
        <v>155</v>
      </c>
      <c r="BA26">
        <v>2.94</v>
      </c>
      <c r="BB26" t="s">
        <v>156</v>
      </c>
      <c r="BC26" t="s">
        <v>155</v>
      </c>
      <c r="BD26">
        <v>2.84</v>
      </c>
      <c r="BE26" t="s">
        <v>156</v>
      </c>
      <c r="BF26" t="s">
        <v>155</v>
      </c>
      <c r="BG26">
        <v>2.75</v>
      </c>
      <c r="BH26" t="s">
        <v>156</v>
      </c>
      <c r="BI26" t="s">
        <v>155</v>
      </c>
      <c r="BJ26">
        <v>2.69</v>
      </c>
      <c r="BK26" t="s">
        <v>156</v>
      </c>
      <c r="BL26" t="s">
        <v>155</v>
      </c>
      <c r="BM26">
        <v>2.54</v>
      </c>
      <c r="BN26" t="s">
        <v>156</v>
      </c>
      <c r="BO26" t="s">
        <v>155</v>
      </c>
      <c r="BP26">
        <v>2.57</v>
      </c>
      <c r="BQ26" t="s">
        <v>156</v>
      </c>
      <c r="BR26" t="s">
        <v>155</v>
      </c>
      <c r="BS26">
        <v>2.6</v>
      </c>
      <c r="BT26" t="s">
        <v>156</v>
      </c>
      <c r="BU26" t="s">
        <v>155</v>
      </c>
      <c r="BV26">
        <v>2.56</v>
      </c>
      <c r="BW26" t="s">
        <v>156</v>
      </c>
      <c r="BX26" t="s">
        <v>155</v>
      </c>
      <c r="BY26">
        <v>2.5</v>
      </c>
      <c r="BZ26" t="s">
        <v>156</v>
      </c>
      <c r="CA26" t="s">
        <v>155</v>
      </c>
      <c r="CB26">
        <v>2.4700000000000002</v>
      </c>
      <c r="CC26" t="s">
        <v>156</v>
      </c>
      <c r="CD26" t="s">
        <v>155</v>
      </c>
      <c r="CE26">
        <v>2.4</v>
      </c>
      <c r="CF26" t="s">
        <v>156</v>
      </c>
      <c r="CG26" t="s">
        <v>155</v>
      </c>
      <c r="CH26">
        <v>2.41</v>
      </c>
      <c r="CI26" t="s">
        <v>156</v>
      </c>
      <c r="CJ26" t="s">
        <v>155</v>
      </c>
      <c r="CK26">
        <v>2.39</v>
      </c>
      <c r="CL26" t="s">
        <v>156</v>
      </c>
      <c r="CM26" t="s">
        <v>155</v>
      </c>
      <c r="CN26">
        <v>2.33</v>
      </c>
      <c r="CO26" t="s">
        <v>156</v>
      </c>
      <c r="CP26" t="s">
        <v>155</v>
      </c>
      <c r="CQ26">
        <v>2.5</v>
      </c>
      <c r="CR26" t="s">
        <v>156</v>
      </c>
      <c r="CS26" t="s">
        <v>155</v>
      </c>
      <c r="CT26">
        <v>2.36</v>
      </c>
      <c r="CU26" t="s">
        <v>156</v>
      </c>
      <c r="CV26" t="s">
        <v>155</v>
      </c>
      <c r="CW26">
        <v>2.34</v>
      </c>
      <c r="CX26" t="s">
        <v>156</v>
      </c>
      <c r="CY26" t="s">
        <v>155</v>
      </c>
      <c r="CZ26">
        <v>2.33</v>
      </c>
      <c r="DA26" t="s">
        <v>156</v>
      </c>
      <c r="DB26" t="s">
        <v>155</v>
      </c>
      <c r="DC26">
        <v>2.2200000000000002</v>
      </c>
      <c r="DD26" t="s">
        <v>156</v>
      </c>
      <c r="DE26" t="s">
        <v>155</v>
      </c>
      <c r="DF26">
        <v>2.16</v>
      </c>
      <c r="DG26" t="s">
        <v>156</v>
      </c>
      <c r="DH26" t="s">
        <v>155</v>
      </c>
      <c r="DI26">
        <v>2.0299999999999998</v>
      </c>
      <c r="DJ26" t="s">
        <v>156</v>
      </c>
      <c r="DK26" t="s">
        <v>155</v>
      </c>
      <c r="DL26">
        <v>1.91</v>
      </c>
      <c r="DM26" t="s">
        <v>156</v>
      </c>
      <c r="DN26" t="s">
        <v>155</v>
      </c>
      <c r="DO26">
        <v>1.88</v>
      </c>
      <c r="DP26" t="s">
        <v>156</v>
      </c>
      <c r="DQ26" t="s">
        <v>155</v>
      </c>
      <c r="DR26">
        <v>2.21</v>
      </c>
      <c r="DS26" t="s">
        <v>156</v>
      </c>
      <c r="DT26" t="s">
        <v>405</v>
      </c>
      <c r="DU26">
        <v>1.39</v>
      </c>
      <c r="DV26" t="s">
        <v>493</v>
      </c>
      <c r="DW26" t="s">
        <v>405</v>
      </c>
      <c r="DX26">
        <v>1.29</v>
      </c>
      <c r="DY26" t="s">
        <v>493</v>
      </c>
      <c r="DZ26" t="s">
        <v>405</v>
      </c>
      <c r="EA26">
        <v>1.25</v>
      </c>
      <c r="EB26" t="s">
        <v>493</v>
      </c>
      <c r="EC26" t="s">
        <v>405</v>
      </c>
      <c r="ED26">
        <v>1.21</v>
      </c>
      <c r="EE26" t="s">
        <v>493</v>
      </c>
      <c r="EF26" t="s">
        <v>405</v>
      </c>
      <c r="EG26">
        <v>1.1499999999999999</v>
      </c>
      <c r="EH26" t="s">
        <v>493</v>
      </c>
      <c r="EI26" t="s">
        <v>405</v>
      </c>
      <c r="EJ26">
        <v>1.27</v>
      </c>
      <c r="EK26" t="s">
        <v>493</v>
      </c>
    </row>
    <row r="27" spans="1:141">
      <c r="A27" t="s">
        <v>155</v>
      </c>
      <c r="B27">
        <v>3.15</v>
      </c>
      <c r="C27" t="s">
        <v>156</v>
      </c>
      <c r="D27" t="s">
        <v>155</v>
      </c>
      <c r="E27">
        <v>2.95</v>
      </c>
      <c r="F27" t="s">
        <v>156</v>
      </c>
      <c r="G27" t="s">
        <v>348</v>
      </c>
      <c r="H27">
        <v>21.5</v>
      </c>
      <c r="I27" t="s">
        <v>123</v>
      </c>
      <c r="J27" t="s">
        <v>348</v>
      </c>
      <c r="K27">
        <v>21.43</v>
      </c>
      <c r="L27" t="s">
        <v>123</v>
      </c>
      <c r="M27" t="s">
        <v>348</v>
      </c>
      <c r="N27">
        <v>21.88</v>
      </c>
      <c r="O27" t="s">
        <v>123</v>
      </c>
      <c r="P27" t="s">
        <v>348</v>
      </c>
      <c r="Q27">
        <v>21.88</v>
      </c>
      <c r="R27" t="s">
        <v>123</v>
      </c>
      <c r="S27" t="s">
        <v>348</v>
      </c>
      <c r="T27">
        <v>21.88</v>
      </c>
      <c r="U27" t="s">
        <v>123</v>
      </c>
      <c r="V27" t="s">
        <v>348</v>
      </c>
      <c r="W27">
        <v>22.26</v>
      </c>
      <c r="X27" t="s">
        <v>123</v>
      </c>
      <c r="Y27" t="s">
        <v>348</v>
      </c>
      <c r="Z27">
        <v>21.71</v>
      </c>
      <c r="AA27" t="s">
        <v>123</v>
      </c>
      <c r="AB27" t="s">
        <v>348</v>
      </c>
      <c r="AC27">
        <v>21.9</v>
      </c>
      <c r="AD27" t="s">
        <v>123</v>
      </c>
      <c r="AE27" t="s">
        <v>348</v>
      </c>
      <c r="AF27">
        <v>22.66</v>
      </c>
      <c r="AG27" t="s">
        <v>123</v>
      </c>
      <c r="AH27" t="s">
        <v>348</v>
      </c>
      <c r="AI27">
        <v>22.95</v>
      </c>
      <c r="AJ27" t="s">
        <v>123</v>
      </c>
      <c r="AK27" t="s">
        <v>348</v>
      </c>
      <c r="AL27">
        <v>23.04</v>
      </c>
      <c r="AM27" t="s">
        <v>123</v>
      </c>
      <c r="AN27" t="s">
        <v>348</v>
      </c>
      <c r="AO27">
        <v>22.45</v>
      </c>
      <c r="AP27" t="s">
        <v>123</v>
      </c>
      <c r="AQ27" t="s">
        <v>348</v>
      </c>
      <c r="AR27">
        <v>22.75</v>
      </c>
      <c r="AS27" t="s">
        <v>123</v>
      </c>
      <c r="AT27" t="s">
        <v>348</v>
      </c>
      <c r="AU27">
        <v>22.4</v>
      </c>
      <c r="AV27" t="s">
        <v>123</v>
      </c>
      <c r="AW27" t="s">
        <v>348</v>
      </c>
      <c r="AX27">
        <v>23.3</v>
      </c>
      <c r="AY27" t="s">
        <v>123</v>
      </c>
      <c r="AZ27" t="s">
        <v>348</v>
      </c>
      <c r="BA27">
        <v>22.34</v>
      </c>
      <c r="BB27" t="s">
        <v>123</v>
      </c>
      <c r="BC27" t="s">
        <v>348</v>
      </c>
      <c r="BD27">
        <v>21.6</v>
      </c>
      <c r="BE27" t="s">
        <v>123</v>
      </c>
      <c r="BF27" t="s">
        <v>348</v>
      </c>
      <c r="BG27">
        <v>22</v>
      </c>
      <c r="BH27" t="s">
        <v>123</v>
      </c>
      <c r="BI27" t="s">
        <v>348</v>
      </c>
      <c r="BJ27">
        <v>22.98</v>
      </c>
      <c r="BK27" t="s">
        <v>123</v>
      </c>
      <c r="BL27" t="s">
        <v>348</v>
      </c>
      <c r="BM27">
        <v>21.4</v>
      </c>
      <c r="BN27" t="s">
        <v>123</v>
      </c>
      <c r="BO27" t="s">
        <v>348</v>
      </c>
      <c r="BP27">
        <v>21.8</v>
      </c>
      <c r="BQ27" t="s">
        <v>123</v>
      </c>
      <c r="BR27" t="s">
        <v>348</v>
      </c>
      <c r="BS27">
        <v>21.66</v>
      </c>
      <c r="BT27" t="s">
        <v>123</v>
      </c>
      <c r="BU27" t="s">
        <v>348</v>
      </c>
      <c r="BV27">
        <v>22</v>
      </c>
      <c r="BW27" t="s">
        <v>123</v>
      </c>
      <c r="BX27" t="s">
        <v>348</v>
      </c>
      <c r="BY27">
        <v>21.63</v>
      </c>
      <c r="BZ27" t="s">
        <v>123</v>
      </c>
      <c r="CA27" t="s">
        <v>348</v>
      </c>
      <c r="CB27">
        <v>22.12</v>
      </c>
      <c r="CC27" t="s">
        <v>123</v>
      </c>
      <c r="CD27" t="s">
        <v>348</v>
      </c>
      <c r="CE27">
        <v>21.5</v>
      </c>
      <c r="CF27" t="s">
        <v>123</v>
      </c>
      <c r="CG27" t="s">
        <v>348</v>
      </c>
      <c r="CH27">
        <v>21.77</v>
      </c>
      <c r="CI27" t="s">
        <v>123</v>
      </c>
      <c r="CJ27" t="s">
        <v>348</v>
      </c>
      <c r="CK27">
        <v>21.69</v>
      </c>
      <c r="CL27" t="s">
        <v>123</v>
      </c>
      <c r="CM27" t="s">
        <v>348</v>
      </c>
      <c r="CN27">
        <v>21.4</v>
      </c>
      <c r="CO27" t="s">
        <v>123</v>
      </c>
      <c r="CP27" t="s">
        <v>348</v>
      </c>
      <c r="CQ27">
        <v>21.89</v>
      </c>
      <c r="CR27" t="s">
        <v>123</v>
      </c>
      <c r="CS27" t="s">
        <v>348</v>
      </c>
      <c r="CT27">
        <v>21.41</v>
      </c>
      <c r="CU27" t="s">
        <v>123</v>
      </c>
      <c r="CV27" t="s">
        <v>348</v>
      </c>
      <c r="CW27">
        <v>21</v>
      </c>
      <c r="CX27" t="s">
        <v>123</v>
      </c>
      <c r="CY27" t="s">
        <v>348</v>
      </c>
      <c r="CZ27">
        <v>21</v>
      </c>
      <c r="DA27" t="s">
        <v>123</v>
      </c>
      <c r="DB27" t="s">
        <v>348</v>
      </c>
      <c r="DC27">
        <v>21.07</v>
      </c>
      <c r="DD27" t="s">
        <v>123</v>
      </c>
      <c r="DE27" t="s">
        <v>348</v>
      </c>
      <c r="DF27">
        <v>20.99</v>
      </c>
      <c r="DG27" t="s">
        <v>123</v>
      </c>
      <c r="DH27" t="s">
        <v>348</v>
      </c>
      <c r="DI27">
        <v>20.7</v>
      </c>
      <c r="DJ27" t="s">
        <v>123</v>
      </c>
      <c r="DK27" t="s">
        <v>348</v>
      </c>
      <c r="DL27">
        <v>19.989999999999998</v>
      </c>
      <c r="DM27" t="s">
        <v>123</v>
      </c>
      <c r="DN27" t="s">
        <v>348</v>
      </c>
      <c r="DO27">
        <v>19.7</v>
      </c>
      <c r="DP27" t="s">
        <v>123</v>
      </c>
      <c r="DQ27" t="s">
        <v>348</v>
      </c>
      <c r="DR27">
        <v>23.9</v>
      </c>
      <c r="DS27" t="s">
        <v>123</v>
      </c>
      <c r="DT27" t="s">
        <v>341</v>
      </c>
      <c r="DU27">
        <v>9.5</v>
      </c>
      <c r="DV27" t="s">
        <v>157</v>
      </c>
      <c r="DW27" t="s">
        <v>341</v>
      </c>
      <c r="DX27">
        <v>10.18</v>
      </c>
      <c r="DY27" t="s">
        <v>157</v>
      </c>
      <c r="DZ27" t="s">
        <v>341</v>
      </c>
      <c r="EA27">
        <v>10</v>
      </c>
      <c r="EB27" t="s">
        <v>157</v>
      </c>
      <c r="EC27" t="s">
        <v>341</v>
      </c>
      <c r="ED27">
        <v>10.52</v>
      </c>
      <c r="EE27" t="s">
        <v>157</v>
      </c>
      <c r="EF27" t="s">
        <v>341</v>
      </c>
      <c r="EG27">
        <v>9.01</v>
      </c>
      <c r="EH27" t="s">
        <v>157</v>
      </c>
      <c r="EI27" t="s">
        <v>341</v>
      </c>
      <c r="EJ27">
        <v>9.15</v>
      </c>
      <c r="EK27" t="s">
        <v>157</v>
      </c>
    </row>
    <row r="28" spans="1:141">
      <c r="A28" t="s">
        <v>348</v>
      </c>
      <c r="B28">
        <v>21.96</v>
      </c>
      <c r="C28" t="s">
        <v>123</v>
      </c>
      <c r="D28" t="s">
        <v>348</v>
      </c>
      <c r="E28">
        <v>21.96</v>
      </c>
      <c r="F28" t="s">
        <v>123</v>
      </c>
      <c r="G28" t="s">
        <v>405</v>
      </c>
      <c r="H28">
        <v>1.1499999999999999</v>
      </c>
      <c r="I28" t="s">
        <v>493</v>
      </c>
      <c r="J28" t="s">
        <v>405</v>
      </c>
      <c r="K28">
        <v>1.1499999999999999</v>
      </c>
      <c r="L28" t="s">
        <v>493</v>
      </c>
      <c r="M28" t="s">
        <v>405</v>
      </c>
      <c r="N28">
        <v>1</v>
      </c>
      <c r="O28" t="s">
        <v>493</v>
      </c>
      <c r="P28" t="s">
        <v>405</v>
      </c>
      <c r="Q28">
        <v>1</v>
      </c>
      <c r="R28" t="s">
        <v>493</v>
      </c>
      <c r="S28" t="s">
        <v>405</v>
      </c>
      <c r="T28">
        <v>1.05</v>
      </c>
      <c r="U28" t="s">
        <v>493</v>
      </c>
      <c r="V28" t="s">
        <v>405</v>
      </c>
      <c r="W28">
        <v>1.0900000000000001</v>
      </c>
      <c r="X28" t="s">
        <v>493</v>
      </c>
      <c r="Y28" t="s">
        <v>405</v>
      </c>
      <c r="Z28">
        <v>1.0900000000000001</v>
      </c>
      <c r="AA28" t="s">
        <v>493</v>
      </c>
      <c r="AB28" t="s">
        <v>405</v>
      </c>
      <c r="AC28">
        <v>1.0900000000000001</v>
      </c>
      <c r="AD28" t="s">
        <v>493</v>
      </c>
      <c r="AE28" t="s">
        <v>405</v>
      </c>
      <c r="AF28">
        <v>1.1299999999999999</v>
      </c>
      <c r="AG28" t="s">
        <v>493</v>
      </c>
      <c r="AH28" t="s">
        <v>405</v>
      </c>
      <c r="AI28">
        <v>1.1299999999999999</v>
      </c>
      <c r="AJ28" t="s">
        <v>493</v>
      </c>
      <c r="AK28" t="s">
        <v>405</v>
      </c>
      <c r="AL28">
        <v>1.1299999999999999</v>
      </c>
      <c r="AM28" t="s">
        <v>493</v>
      </c>
      <c r="AN28" t="s">
        <v>405</v>
      </c>
      <c r="AO28">
        <v>1.06</v>
      </c>
      <c r="AP28" t="s">
        <v>493</v>
      </c>
      <c r="AQ28" t="s">
        <v>405</v>
      </c>
      <c r="AR28">
        <v>1.05</v>
      </c>
      <c r="AS28" t="s">
        <v>493</v>
      </c>
      <c r="AT28" t="s">
        <v>405</v>
      </c>
      <c r="AU28">
        <v>1.05</v>
      </c>
      <c r="AV28" t="s">
        <v>493</v>
      </c>
      <c r="AW28" t="s">
        <v>405</v>
      </c>
      <c r="AX28">
        <v>1.1200000000000001</v>
      </c>
      <c r="AY28" t="s">
        <v>493</v>
      </c>
      <c r="AZ28" t="s">
        <v>405</v>
      </c>
      <c r="BA28">
        <v>1.1200000000000001</v>
      </c>
      <c r="BB28" t="s">
        <v>493</v>
      </c>
      <c r="BC28" t="s">
        <v>405</v>
      </c>
      <c r="BD28">
        <v>1.17</v>
      </c>
      <c r="BE28" t="s">
        <v>493</v>
      </c>
      <c r="BF28" t="s">
        <v>405</v>
      </c>
      <c r="BG28">
        <v>1.07</v>
      </c>
      <c r="BH28" t="s">
        <v>493</v>
      </c>
      <c r="BI28" t="s">
        <v>405</v>
      </c>
      <c r="BJ28">
        <v>1.07</v>
      </c>
      <c r="BK28" t="s">
        <v>493</v>
      </c>
      <c r="BL28" t="s">
        <v>405</v>
      </c>
      <c r="BM28">
        <v>1.08</v>
      </c>
      <c r="BN28" t="s">
        <v>493</v>
      </c>
      <c r="BO28" t="s">
        <v>405</v>
      </c>
      <c r="BP28">
        <v>1.07</v>
      </c>
      <c r="BQ28" t="s">
        <v>493</v>
      </c>
      <c r="BR28" t="s">
        <v>405</v>
      </c>
      <c r="BS28">
        <v>1.07</v>
      </c>
      <c r="BT28" t="s">
        <v>493</v>
      </c>
      <c r="BU28" t="s">
        <v>405</v>
      </c>
      <c r="BV28">
        <v>1.28</v>
      </c>
      <c r="BW28" t="s">
        <v>493</v>
      </c>
      <c r="BX28" t="s">
        <v>405</v>
      </c>
      <c r="BY28">
        <v>1.28</v>
      </c>
      <c r="BZ28" t="s">
        <v>493</v>
      </c>
      <c r="CA28" t="s">
        <v>405</v>
      </c>
      <c r="CB28">
        <v>1.1200000000000001</v>
      </c>
      <c r="CC28" t="s">
        <v>493</v>
      </c>
      <c r="CD28" t="s">
        <v>405</v>
      </c>
      <c r="CE28">
        <v>1.1200000000000001</v>
      </c>
      <c r="CF28" t="s">
        <v>493</v>
      </c>
      <c r="CG28" t="s">
        <v>405</v>
      </c>
      <c r="CH28">
        <v>1.1200000000000001</v>
      </c>
      <c r="CI28" t="s">
        <v>493</v>
      </c>
      <c r="CJ28" t="s">
        <v>405</v>
      </c>
      <c r="CK28">
        <v>1.1000000000000001</v>
      </c>
      <c r="CL28" t="s">
        <v>493</v>
      </c>
      <c r="CM28" t="s">
        <v>405</v>
      </c>
      <c r="CN28">
        <v>1.1000000000000001</v>
      </c>
      <c r="CO28" t="s">
        <v>493</v>
      </c>
      <c r="CP28" t="s">
        <v>405</v>
      </c>
      <c r="CQ28">
        <v>1.1000000000000001</v>
      </c>
      <c r="CR28" t="s">
        <v>493</v>
      </c>
      <c r="CS28" t="s">
        <v>405</v>
      </c>
      <c r="CT28">
        <v>1.1599999999999999</v>
      </c>
      <c r="CU28" t="s">
        <v>493</v>
      </c>
      <c r="CV28" t="s">
        <v>405</v>
      </c>
      <c r="CW28">
        <v>1.08</v>
      </c>
      <c r="CX28" t="s">
        <v>493</v>
      </c>
      <c r="CY28" t="s">
        <v>405</v>
      </c>
      <c r="CZ28">
        <v>1.08</v>
      </c>
      <c r="DA28" t="s">
        <v>493</v>
      </c>
      <c r="DB28" t="s">
        <v>405</v>
      </c>
      <c r="DC28">
        <v>1.08</v>
      </c>
      <c r="DD28" t="s">
        <v>493</v>
      </c>
      <c r="DE28" t="s">
        <v>405</v>
      </c>
      <c r="DF28">
        <v>1.08</v>
      </c>
      <c r="DG28" t="s">
        <v>493</v>
      </c>
      <c r="DH28" t="s">
        <v>405</v>
      </c>
      <c r="DI28">
        <v>1.05</v>
      </c>
      <c r="DJ28" t="s">
        <v>493</v>
      </c>
      <c r="DK28" t="s">
        <v>405</v>
      </c>
      <c r="DL28">
        <v>1.08</v>
      </c>
      <c r="DM28" t="s">
        <v>493</v>
      </c>
      <c r="DN28" t="s">
        <v>405</v>
      </c>
      <c r="DO28">
        <v>1.1000000000000001</v>
      </c>
      <c r="DP28" t="s">
        <v>493</v>
      </c>
      <c r="DQ28" t="s">
        <v>405</v>
      </c>
      <c r="DR28">
        <v>1.3</v>
      </c>
      <c r="DS28" t="s">
        <v>493</v>
      </c>
      <c r="DT28" t="s">
        <v>337</v>
      </c>
      <c r="DU28">
        <v>0.23</v>
      </c>
      <c r="DV28" t="s">
        <v>100</v>
      </c>
      <c r="DW28" t="s">
        <v>337</v>
      </c>
      <c r="DX28">
        <v>0.23</v>
      </c>
      <c r="DY28" t="s">
        <v>100</v>
      </c>
      <c r="DZ28" t="s">
        <v>337</v>
      </c>
      <c r="EA28">
        <v>0.23</v>
      </c>
      <c r="EB28" t="s">
        <v>100</v>
      </c>
      <c r="EC28" t="s">
        <v>337</v>
      </c>
      <c r="ED28">
        <v>0.23</v>
      </c>
      <c r="EE28" t="s">
        <v>100</v>
      </c>
      <c r="EF28" t="s">
        <v>337</v>
      </c>
      <c r="EG28">
        <v>0.23</v>
      </c>
      <c r="EH28" t="s">
        <v>100</v>
      </c>
      <c r="EI28" t="s">
        <v>337</v>
      </c>
      <c r="EJ28">
        <v>0.22</v>
      </c>
      <c r="EK28" t="s">
        <v>100</v>
      </c>
    </row>
    <row r="29" spans="1:141">
      <c r="A29" t="s">
        <v>405</v>
      </c>
      <c r="B29">
        <v>1.21</v>
      </c>
      <c r="C29" t="s">
        <v>493</v>
      </c>
      <c r="D29" t="s">
        <v>405</v>
      </c>
      <c r="E29">
        <v>1.1499999999999999</v>
      </c>
      <c r="F29" t="s">
        <v>493</v>
      </c>
      <c r="G29" t="s">
        <v>341</v>
      </c>
      <c r="H29">
        <v>8.1</v>
      </c>
      <c r="I29" t="s">
        <v>157</v>
      </c>
      <c r="J29" t="s">
        <v>341</v>
      </c>
      <c r="K29">
        <v>8.01</v>
      </c>
      <c r="L29" t="s">
        <v>157</v>
      </c>
      <c r="M29" t="s">
        <v>341</v>
      </c>
      <c r="N29">
        <v>7.86</v>
      </c>
      <c r="O29" t="s">
        <v>157</v>
      </c>
      <c r="P29" t="s">
        <v>341</v>
      </c>
      <c r="Q29">
        <v>7.91</v>
      </c>
      <c r="R29" t="s">
        <v>157</v>
      </c>
      <c r="S29" t="s">
        <v>341</v>
      </c>
      <c r="T29">
        <v>7.95</v>
      </c>
      <c r="U29" t="s">
        <v>157</v>
      </c>
      <c r="V29" t="s">
        <v>341</v>
      </c>
      <c r="W29">
        <v>8.4</v>
      </c>
      <c r="X29" t="s">
        <v>157</v>
      </c>
      <c r="Y29" t="s">
        <v>341</v>
      </c>
      <c r="Z29">
        <v>8.4</v>
      </c>
      <c r="AA29" t="s">
        <v>157</v>
      </c>
      <c r="AB29" t="s">
        <v>341</v>
      </c>
      <c r="AC29">
        <v>8.6300000000000008</v>
      </c>
      <c r="AD29" t="s">
        <v>157</v>
      </c>
      <c r="AE29" t="s">
        <v>341</v>
      </c>
      <c r="AF29">
        <v>8.89</v>
      </c>
      <c r="AG29" t="s">
        <v>157</v>
      </c>
      <c r="AH29" t="s">
        <v>341</v>
      </c>
      <c r="AI29">
        <v>9.33</v>
      </c>
      <c r="AJ29" t="s">
        <v>157</v>
      </c>
      <c r="AK29" t="s">
        <v>341</v>
      </c>
      <c r="AL29">
        <v>9.7799999999999994</v>
      </c>
      <c r="AM29" t="s">
        <v>157</v>
      </c>
      <c r="AN29" t="s">
        <v>341</v>
      </c>
      <c r="AO29">
        <v>9.7899999999999991</v>
      </c>
      <c r="AP29" t="s">
        <v>157</v>
      </c>
      <c r="AQ29" t="s">
        <v>341</v>
      </c>
      <c r="AR29">
        <v>9.51</v>
      </c>
      <c r="AS29" t="s">
        <v>157</v>
      </c>
      <c r="AT29" t="s">
        <v>341</v>
      </c>
      <c r="AU29">
        <v>9.06</v>
      </c>
      <c r="AV29" t="s">
        <v>157</v>
      </c>
      <c r="AW29" t="s">
        <v>341</v>
      </c>
      <c r="AX29">
        <v>9.01</v>
      </c>
      <c r="AY29" t="s">
        <v>157</v>
      </c>
      <c r="AZ29" t="s">
        <v>341</v>
      </c>
      <c r="BA29">
        <v>9.2200000000000006</v>
      </c>
      <c r="BB29" t="s">
        <v>157</v>
      </c>
      <c r="BC29" t="s">
        <v>341</v>
      </c>
      <c r="BD29">
        <v>8.77</v>
      </c>
      <c r="BE29" t="s">
        <v>157</v>
      </c>
      <c r="BF29" t="s">
        <v>341</v>
      </c>
      <c r="BG29">
        <v>8.81</v>
      </c>
      <c r="BH29" t="s">
        <v>157</v>
      </c>
      <c r="BI29" t="s">
        <v>341</v>
      </c>
      <c r="BJ29">
        <v>8.7799999999999994</v>
      </c>
      <c r="BK29" t="s">
        <v>157</v>
      </c>
      <c r="BL29" t="s">
        <v>341</v>
      </c>
      <c r="BM29">
        <v>8.3800000000000008</v>
      </c>
      <c r="BN29" t="s">
        <v>157</v>
      </c>
      <c r="BO29" t="s">
        <v>341</v>
      </c>
      <c r="BP29">
        <v>8.65</v>
      </c>
      <c r="BQ29" t="s">
        <v>157</v>
      </c>
      <c r="BR29" t="s">
        <v>341</v>
      </c>
      <c r="BS29">
        <v>8.7100000000000009</v>
      </c>
      <c r="BT29" t="s">
        <v>157</v>
      </c>
      <c r="BU29" t="s">
        <v>341</v>
      </c>
      <c r="BV29">
        <v>8.75</v>
      </c>
      <c r="BW29" t="s">
        <v>157</v>
      </c>
      <c r="BX29" t="s">
        <v>341</v>
      </c>
      <c r="BY29">
        <v>8.3000000000000007</v>
      </c>
      <c r="BZ29" t="s">
        <v>157</v>
      </c>
      <c r="CA29" t="s">
        <v>341</v>
      </c>
      <c r="CB29">
        <v>7.9</v>
      </c>
      <c r="CC29" t="s">
        <v>157</v>
      </c>
      <c r="CD29" t="s">
        <v>341</v>
      </c>
      <c r="CE29">
        <v>8.1199999999999992</v>
      </c>
      <c r="CF29" t="s">
        <v>157</v>
      </c>
      <c r="CG29" t="s">
        <v>341</v>
      </c>
      <c r="CH29">
        <v>8.08</v>
      </c>
      <c r="CI29" t="s">
        <v>157</v>
      </c>
      <c r="CJ29" t="s">
        <v>341</v>
      </c>
      <c r="CK29">
        <v>8</v>
      </c>
      <c r="CL29" t="s">
        <v>157</v>
      </c>
      <c r="CM29" t="s">
        <v>341</v>
      </c>
      <c r="CN29">
        <v>8.15</v>
      </c>
      <c r="CO29" t="s">
        <v>157</v>
      </c>
      <c r="CP29" t="s">
        <v>341</v>
      </c>
      <c r="CQ29">
        <v>8.11</v>
      </c>
      <c r="CR29" t="s">
        <v>157</v>
      </c>
      <c r="CS29" t="s">
        <v>341</v>
      </c>
      <c r="CT29">
        <v>7.9</v>
      </c>
      <c r="CU29" t="s">
        <v>157</v>
      </c>
      <c r="CV29" t="s">
        <v>341</v>
      </c>
      <c r="CW29">
        <v>7.98</v>
      </c>
      <c r="CX29" t="s">
        <v>157</v>
      </c>
      <c r="CY29" t="s">
        <v>341</v>
      </c>
      <c r="CZ29">
        <v>8.08</v>
      </c>
      <c r="DA29" t="s">
        <v>157</v>
      </c>
      <c r="DB29" t="s">
        <v>341</v>
      </c>
      <c r="DC29">
        <v>8.39</v>
      </c>
      <c r="DD29" t="s">
        <v>157</v>
      </c>
      <c r="DE29" t="s">
        <v>341</v>
      </c>
      <c r="DF29">
        <v>8.2200000000000006</v>
      </c>
      <c r="DG29" t="s">
        <v>157</v>
      </c>
      <c r="DH29" t="s">
        <v>341</v>
      </c>
      <c r="DI29">
        <v>8.25</v>
      </c>
      <c r="DJ29" t="s">
        <v>157</v>
      </c>
      <c r="DK29" t="s">
        <v>341</v>
      </c>
      <c r="DL29">
        <v>7.9</v>
      </c>
      <c r="DM29" t="s">
        <v>157</v>
      </c>
      <c r="DN29" t="s">
        <v>341</v>
      </c>
      <c r="DO29">
        <v>7.96</v>
      </c>
      <c r="DP29" t="s">
        <v>157</v>
      </c>
      <c r="DQ29" t="s">
        <v>341</v>
      </c>
      <c r="DR29">
        <v>8.66</v>
      </c>
      <c r="DS29" t="s">
        <v>157</v>
      </c>
      <c r="DT29" t="s">
        <v>158</v>
      </c>
      <c r="DU29">
        <v>25.86</v>
      </c>
      <c r="DV29" t="s">
        <v>48</v>
      </c>
      <c r="DW29" t="s">
        <v>158</v>
      </c>
      <c r="DX29">
        <v>26.49</v>
      </c>
      <c r="DY29" t="s">
        <v>48</v>
      </c>
      <c r="DZ29" t="s">
        <v>158</v>
      </c>
      <c r="EA29">
        <v>26.5</v>
      </c>
      <c r="EB29" t="s">
        <v>48</v>
      </c>
      <c r="EC29" t="s">
        <v>158</v>
      </c>
      <c r="ED29">
        <v>29</v>
      </c>
      <c r="EE29" t="s">
        <v>48</v>
      </c>
      <c r="EF29" t="s">
        <v>158</v>
      </c>
      <c r="EG29">
        <v>36.21</v>
      </c>
      <c r="EH29" t="s">
        <v>48</v>
      </c>
      <c r="EI29" t="s">
        <v>158</v>
      </c>
      <c r="EJ29">
        <v>33.99</v>
      </c>
      <c r="EK29" t="s">
        <v>48</v>
      </c>
    </row>
    <row r="30" spans="1:141">
      <c r="A30" t="s">
        <v>341</v>
      </c>
      <c r="B30">
        <v>8.09</v>
      </c>
      <c r="C30" t="s">
        <v>157</v>
      </c>
      <c r="D30" t="s">
        <v>341</v>
      </c>
      <c r="E30">
        <v>7.86</v>
      </c>
      <c r="F30" t="s">
        <v>157</v>
      </c>
      <c r="G30" t="s">
        <v>337</v>
      </c>
      <c r="H30">
        <v>0.34</v>
      </c>
      <c r="I30" t="s">
        <v>100</v>
      </c>
      <c r="J30" t="s">
        <v>337</v>
      </c>
      <c r="K30">
        <v>0.36</v>
      </c>
      <c r="L30" t="s">
        <v>100</v>
      </c>
      <c r="M30" t="s">
        <v>337</v>
      </c>
      <c r="N30">
        <v>0.33</v>
      </c>
      <c r="O30" t="s">
        <v>100</v>
      </c>
      <c r="P30" t="s">
        <v>337</v>
      </c>
      <c r="Q30">
        <v>0.33</v>
      </c>
      <c r="R30" t="s">
        <v>100</v>
      </c>
      <c r="S30" t="s">
        <v>337</v>
      </c>
      <c r="T30">
        <v>0.33</v>
      </c>
      <c r="U30" t="s">
        <v>100</v>
      </c>
      <c r="V30" t="s">
        <v>337</v>
      </c>
      <c r="W30">
        <v>0.34</v>
      </c>
      <c r="X30" t="s">
        <v>100</v>
      </c>
      <c r="Y30" t="s">
        <v>337</v>
      </c>
      <c r="Z30">
        <v>0.34</v>
      </c>
      <c r="AA30" t="s">
        <v>100</v>
      </c>
      <c r="AB30" t="s">
        <v>337</v>
      </c>
      <c r="AC30">
        <v>0.33</v>
      </c>
      <c r="AD30" t="s">
        <v>100</v>
      </c>
      <c r="AE30" t="s">
        <v>337</v>
      </c>
      <c r="AF30">
        <v>0.34</v>
      </c>
      <c r="AG30" t="s">
        <v>100</v>
      </c>
      <c r="AH30" t="s">
        <v>337</v>
      </c>
      <c r="AI30">
        <v>0.34</v>
      </c>
      <c r="AJ30" t="s">
        <v>100</v>
      </c>
      <c r="AK30" t="s">
        <v>337</v>
      </c>
      <c r="AL30">
        <v>0.33</v>
      </c>
      <c r="AM30" t="s">
        <v>100</v>
      </c>
      <c r="AN30" t="s">
        <v>337</v>
      </c>
      <c r="AO30">
        <v>0.33</v>
      </c>
      <c r="AP30" t="s">
        <v>100</v>
      </c>
      <c r="AQ30" t="s">
        <v>337</v>
      </c>
      <c r="AR30">
        <v>0.33</v>
      </c>
      <c r="AS30" t="s">
        <v>100</v>
      </c>
      <c r="AT30" t="s">
        <v>337</v>
      </c>
      <c r="AU30">
        <v>0.34</v>
      </c>
      <c r="AV30" t="s">
        <v>100</v>
      </c>
      <c r="AW30" t="s">
        <v>337</v>
      </c>
      <c r="AX30">
        <v>0.4</v>
      </c>
      <c r="AY30" t="s">
        <v>100</v>
      </c>
      <c r="AZ30" t="s">
        <v>337</v>
      </c>
      <c r="BA30">
        <v>0.41</v>
      </c>
      <c r="BB30" t="s">
        <v>100</v>
      </c>
      <c r="BC30" t="s">
        <v>337</v>
      </c>
      <c r="BD30">
        <v>0.38</v>
      </c>
      <c r="BE30" t="s">
        <v>100</v>
      </c>
      <c r="BF30" t="s">
        <v>337</v>
      </c>
      <c r="BG30">
        <v>0.38</v>
      </c>
      <c r="BH30" t="s">
        <v>100</v>
      </c>
      <c r="BI30" t="s">
        <v>337</v>
      </c>
      <c r="BJ30">
        <v>0.39</v>
      </c>
      <c r="BK30" t="s">
        <v>100</v>
      </c>
      <c r="BL30" t="s">
        <v>337</v>
      </c>
      <c r="BM30">
        <v>0.38</v>
      </c>
      <c r="BN30" t="s">
        <v>100</v>
      </c>
      <c r="BO30" t="s">
        <v>337</v>
      </c>
      <c r="BP30">
        <v>0.38</v>
      </c>
      <c r="BQ30" t="s">
        <v>100</v>
      </c>
      <c r="BR30" t="s">
        <v>337</v>
      </c>
      <c r="BS30">
        <v>0.38</v>
      </c>
      <c r="BT30" t="s">
        <v>100</v>
      </c>
      <c r="BU30" t="s">
        <v>337</v>
      </c>
      <c r="BV30">
        <v>0.39</v>
      </c>
      <c r="BW30" t="s">
        <v>100</v>
      </c>
      <c r="BX30" t="s">
        <v>337</v>
      </c>
      <c r="BY30">
        <v>0.39</v>
      </c>
      <c r="BZ30" t="s">
        <v>100</v>
      </c>
      <c r="CA30" t="s">
        <v>337</v>
      </c>
      <c r="CB30">
        <v>0.38</v>
      </c>
      <c r="CC30" t="s">
        <v>100</v>
      </c>
      <c r="CD30" t="s">
        <v>337</v>
      </c>
      <c r="CE30">
        <v>0.38</v>
      </c>
      <c r="CF30" t="s">
        <v>100</v>
      </c>
      <c r="CG30" t="s">
        <v>337</v>
      </c>
      <c r="CH30">
        <v>0.38</v>
      </c>
      <c r="CI30" t="s">
        <v>100</v>
      </c>
      <c r="CJ30" t="s">
        <v>337</v>
      </c>
      <c r="CK30">
        <v>0.39</v>
      </c>
      <c r="CL30" t="s">
        <v>100</v>
      </c>
      <c r="CM30" t="s">
        <v>337</v>
      </c>
      <c r="CN30">
        <v>0.38</v>
      </c>
      <c r="CO30" t="s">
        <v>100</v>
      </c>
      <c r="CP30" t="s">
        <v>337</v>
      </c>
      <c r="CQ30">
        <v>0.38</v>
      </c>
      <c r="CR30" t="s">
        <v>100</v>
      </c>
      <c r="CS30" t="s">
        <v>337</v>
      </c>
      <c r="CT30">
        <v>0.38</v>
      </c>
      <c r="CU30" t="s">
        <v>100</v>
      </c>
      <c r="CV30" t="s">
        <v>337</v>
      </c>
      <c r="CW30">
        <v>0.39</v>
      </c>
      <c r="CX30" t="s">
        <v>100</v>
      </c>
      <c r="CY30" t="s">
        <v>337</v>
      </c>
      <c r="CZ30">
        <v>0.39</v>
      </c>
      <c r="DA30" t="s">
        <v>100</v>
      </c>
      <c r="DB30" t="s">
        <v>337</v>
      </c>
      <c r="DC30">
        <v>0.37</v>
      </c>
      <c r="DD30" t="s">
        <v>100</v>
      </c>
      <c r="DE30" t="s">
        <v>337</v>
      </c>
      <c r="DF30">
        <v>0.34</v>
      </c>
      <c r="DG30" t="s">
        <v>100</v>
      </c>
      <c r="DH30" t="s">
        <v>337</v>
      </c>
      <c r="DI30">
        <v>0.22</v>
      </c>
      <c r="DJ30" t="s">
        <v>100</v>
      </c>
      <c r="DK30" t="s">
        <v>337</v>
      </c>
      <c r="DL30">
        <v>0.23</v>
      </c>
      <c r="DM30" t="s">
        <v>100</v>
      </c>
      <c r="DN30" t="s">
        <v>337</v>
      </c>
      <c r="DO30">
        <v>0.21</v>
      </c>
      <c r="DP30" t="s">
        <v>100</v>
      </c>
      <c r="DQ30" t="s">
        <v>337</v>
      </c>
      <c r="DR30">
        <v>0.24</v>
      </c>
      <c r="DS30" t="s">
        <v>100</v>
      </c>
      <c r="DT30" t="s">
        <v>385</v>
      </c>
      <c r="DU30">
        <v>0.83</v>
      </c>
      <c r="DV30" t="s">
        <v>159</v>
      </c>
      <c r="DW30" t="s">
        <v>385</v>
      </c>
      <c r="DX30">
        <v>1.17</v>
      </c>
      <c r="DY30" t="s">
        <v>159</v>
      </c>
      <c r="DZ30" t="s">
        <v>385</v>
      </c>
      <c r="EA30">
        <v>1.19</v>
      </c>
      <c r="EB30" t="s">
        <v>159</v>
      </c>
      <c r="EC30" t="s">
        <v>385</v>
      </c>
      <c r="ED30">
        <v>1.1100000000000001</v>
      </c>
      <c r="EE30" t="s">
        <v>159</v>
      </c>
      <c r="EF30" t="s">
        <v>385</v>
      </c>
      <c r="EG30">
        <v>0.98</v>
      </c>
      <c r="EH30" t="s">
        <v>159</v>
      </c>
      <c r="EI30" t="s">
        <v>385</v>
      </c>
      <c r="EJ30">
        <v>0.97</v>
      </c>
      <c r="EK30" t="s">
        <v>159</v>
      </c>
    </row>
    <row r="31" spans="1:141">
      <c r="A31" t="s">
        <v>337</v>
      </c>
      <c r="B31">
        <v>0.34</v>
      </c>
      <c r="C31" t="s">
        <v>100</v>
      </c>
      <c r="D31" t="s">
        <v>337</v>
      </c>
      <c r="E31">
        <v>0.34</v>
      </c>
      <c r="F31" t="s">
        <v>100</v>
      </c>
      <c r="G31" t="s">
        <v>158</v>
      </c>
      <c r="H31">
        <v>17.13</v>
      </c>
      <c r="I31" t="s">
        <v>48</v>
      </c>
      <c r="J31" t="s">
        <v>158</v>
      </c>
      <c r="K31">
        <v>17.77</v>
      </c>
      <c r="L31" t="s">
        <v>48</v>
      </c>
      <c r="M31" t="s">
        <v>158</v>
      </c>
      <c r="N31">
        <v>16.5</v>
      </c>
      <c r="O31" t="s">
        <v>48</v>
      </c>
      <c r="P31" t="s">
        <v>158</v>
      </c>
      <c r="Q31">
        <v>16.39</v>
      </c>
      <c r="R31" t="s">
        <v>48</v>
      </c>
      <c r="S31" t="s">
        <v>158</v>
      </c>
      <c r="T31">
        <v>16.510000000000002</v>
      </c>
      <c r="U31" t="s">
        <v>48</v>
      </c>
      <c r="V31" t="s">
        <v>158</v>
      </c>
      <c r="W31">
        <v>17</v>
      </c>
      <c r="X31" t="s">
        <v>48</v>
      </c>
      <c r="Y31" t="s">
        <v>158</v>
      </c>
      <c r="Z31">
        <v>16.899999999999999</v>
      </c>
      <c r="AA31" t="s">
        <v>48</v>
      </c>
      <c r="AB31" t="s">
        <v>158</v>
      </c>
      <c r="AC31">
        <v>17.29</v>
      </c>
      <c r="AD31" t="s">
        <v>48</v>
      </c>
      <c r="AE31" t="s">
        <v>158</v>
      </c>
      <c r="AF31">
        <v>15.8</v>
      </c>
      <c r="AG31" t="s">
        <v>48</v>
      </c>
      <c r="AH31" t="s">
        <v>158</v>
      </c>
      <c r="AI31">
        <v>15.5</v>
      </c>
      <c r="AJ31" t="s">
        <v>48</v>
      </c>
      <c r="AK31" t="s">
        <v>158</v>
      </c>
      <c r="AL31">
        <v>15</v>
      </c>
      <c r="AM31" t="s">
        <v>48</v>
      </c>
      <c r="AN31" t="s">
        <v>158</v>
      </c>
      <c r="AO31">
        <v>14.29</v>
      </c>
      <c r="AP31" t="s">
        <v>48</v>
      </c>
      <c r="AQ31" t="s">
        <v>158</v>
      </c>
      <c r="AR31">
        <v>16.3</v>
      </c>
      <c r="AS31" t="s">
        <v>48</v>
      </c>
      <c r="AT31" t="s">
        <v>158</v>
      </c>
      <c r="AU31">
        <v>17.34</v>
      </c>
      <c r="AV31" t="s">
        <v>48</v>
      </c>
      <c r="AW31" t="s">
        <v>158</v>
      </c>
      <c r="AX31">
        <v>17.95</v>
      </c>
      <c r="AY31" t="s">
        <v>48</v>
      </c>
      <c r="AZ31" t="s">
        <v>158</v>
      </c>
      <c r="BA31">
        <v>19.3</v>
      </c>
      <c r="BB31" t="s">
        <v>48</v>
      </c>
      <c r="BC31" t="s">
        <v>158</v>
      </c>
      <c r="BD31">
        <v>20.05</v>
      </c>
      <c r="BE31" t="s">
        <v>48</v>
      </c>
      <c r="BF31" t="s">
        <v>158</v>
      </c>
      <c r="BG31">
        <v>18.82</v>
      </c>
      <c r="BH31" t="s">
        <v>48</v>
      </c>
      <c r="BI31" t="s">
        <v>158</v>
      </c>
      <c r="BJ31">
        <v>19.440000000000001</v>
      </c>
      <c r="BK31" t="s">
        <v>48</v>
      </c>
      <c r="BL31" t="s">
        <v>158</v>
      </c>
      <c r="BM31">
        <v>19.829999999999998</v>
      </c>
      <c r="BN31" t="s">
        <v>48</v>
      </c>
      <c r="BO31" t="s">
        <v>158</v>
      </c>
      <c r="BP31">
        <v>20.2</v>
      </c>
      <c r="BQ31" t="s">
        <v>48</v>
      </c>
      <c r="BR31" t="s">
        <v>158</v>
      </c>
      <c r="BS31">
        <v>20.6</v>
      </c>
      <c r="BT31" t="s">
        <v>48</v>
      </c>
      <c r="BU31" t="s">
        <v>158</v>
      </c>
      <c r="BV31">
        <v>21.53</v>
      </c>
      <c r="BW31" t="s">
        <v>48</v>
      </c>
      <c r="BX31" t="s">
        <v>158</v>
      </c>
      <c r="BY31">
        <v>21.75</v>
      </c>
      <c r="BZ31" t="s">
        <v>48</v>
      </c>
      <c r="CA31" t="s">
        <v>158</v>
      </c>
      <c r="CB31">
        <v>21.46</v>
      </c>
      <c r="CC31" t="s">
        <v>48</v>
      </c>
      <c r="CD31" t="s">
        <v>158</v>
      </c>
      <c r="CE31">
        <v>23</v>
      </c>
      <c r="CF31" t="s">
        <v>48</v>
      </c>
      <c r="CG31" t="s">
        <v>158</v>
      </c>
      <c r="CH31">
        <v>22.99</v>
      </c>
      <c r="CI31" t="s">
        <v>48</v>
      </c>
      <c r="CJ31" t="s">
        <v>158</v>
      </c>
      <c r="CK31">
        <v>23.56</v>
      </c>
      <c r="CL31" t="s">
        <v>48</v>
      </c>
      <c r="CM31" t="s">
        <v>158</v>
      </c>
      <c r="CN31">
        <v>22.97</v>
      </c>
      <c r="CO31" t="s">
        <v>48</v>
      </c>
      <c r="CP31" t="s">
        <v>158</v>
      </c>
      <c r="CQ31">
        <v>23</v>
      </c>
      <c r="CR31" t="s">
        <v>48</v>
      </c>
      <c r="CS31" t="s">
        <v>158</v>
      </c>
      <c r="CT31">
        <v>23.08</v>
      </c>
      <c r="CU31" t="s">
        <v>48</v>
      </c>
      <c r="CV31" t="s">
        <v>158</v>
      </c>
      <c r="CW31">
        <v>22.88</v>
      </c>
      <c r="CX31" t="s">
        <v>48</v>
      </c>
      <c r="CY31" t="s">
        <v>158</v>
      </c>
      <c r="CZ31">
        <v>22.5</v>
      </c>
      <c r="DA31" t="s">
        <v>48</v>
      </c>
      <c r="DB31" t="s">
        <v>158</v>
      </c>
      <c r="DC31">
        <v>22.79</v>
      </c>
      <c r="DD31" t="s">
        <v>48</v>
      </c>
      <c r="DE31" t="s">
        <v>158</v>
      </c>
      <c r="DF31">
        <v>22.85</v>
      </c>
      <c r="DG31" t="s">
        <v>48</v>
      </c>
      <c r="DH31" t="s">
        <v>158</v>
      </c>
      <c r="DI31">
        <v>22.46</v>
      </c>
      <c r="DJ31" t="s">
        <v>48</v>
      </c>
      <c r="DK31" t="s">
        <v>158</v>
      </c>
      <c r="DL31">
        <v>21</v>
      </c>
      <c r="DM31" t="s">
        <v>48</v>
      </c>
      <c r="DN31" t="s">
        <v>158</v>
      </c>
      <c r="DO31">
        <v>20</v>
      </c>
      <c r="DP31" t="s">
        <v>48</v>
      </c>
      <c r="DQ31" t="s">
        <v>158</v>
      </c>
      <c r="DR31">
        <v>23.82</v>
      </c>
      <c r="DS31" t="s">
        <v>48</v>
      </c>
      <c r="DT31" t="s">
        <v>496</v>
      </c>
      <c r="DU31">
        <v>0.08</v>
      </c>
      <c r="DV31" t="s">
        <v>634</v>
      </c>
      <c r="DW31" t="s">
        <v>496</v>
      </c>
      <c r="DX31">
        <v>0.08</v>
      </c>
      <c r="DY31" t="s">
        <v>634</v>
      </c>
      <c r="DZ31" t="s">
        <v>496</v>
      </c>
      <c r="EA31">
        <v>0.08</v>
      </c>
      <c r="EB31" t="s">
        <v>634</v>
      </c>
      <c r="EC31" t="s">
        <v>496</v>
      </c>
      <c r="ED31">
        <v>0.08</v>
      </c>
      <c r="EE31" t="s">
        <v>634</v>
      </c>
      <c r="EF31" t="s">
        <v>496</v>
      </c>
      <c r="EG31">
        <v>0.08</v>
      </c>
      <c r="EH31" t="s">
        <v>634</v>
      </c>
      <c r="EI31" t="s">
        <v>496</v>
      </c>
      <c r="EJ31">
        <v>0.08</v>
      </c>
      <c r="EK31" t="s">
        <v>634</v>
      </c>
    </row>
    <row r="32" spans="1:141">
      <c r="A32" t="s">
        <v>158</v>
      </c>
      <c r="B32">
        <v>17.59</v>
      </c>
      <c r="C32" t="s">
        <v>48</v>
      </c>
      <c r="D32" t="s">
        <v>158</v>
      </c>
      <c r="E32">
        <v>17</v>
      </c>
      <c r="F32" t="s">
        <v>48</v>
      </c>
      <c r="G32" t="s">
        <v>385</v>
      </c>
      <c r="H32">
        <v>0.66</v>
      </c>
      <c r="I32" t="s">
        <v>159</v>
      </c>
      <c r="J32" t="s">
        <v>385</v>
      </c>
      <c r="K32">
        <v>0.65</v>
      </c>
      <c r="L32" t="s">
        <v>159</v>
      </c>
      <c r="M32" t="s">
        <v>385</v>
      </c>
      <c r="N32">
        <v>0.66</v>
      </c>
      <c r="O32" t="s">
        <v>159</v>
      </c>
      <c r="P32" t="s">
        <v>385</v>
      </c>
      <c r="Q32">
        <v>0.69</v>
      </c>
      <c r="R32" t="s">
        <v>159</v>
      </c>
      <c r="S32" t="s">
        <v>385</v>
      </c>
      <c r="T32">
        <v>0.69</v>
      </c>
      <c r="U32" t="s">
        <v>159</v>
      </c>
      <c r="V32" t="s">
        <v>385</v>
      </c>
      <c r="W32">
        <v>0.65</v>
      </c>
      <c r="X32" t="s">
        <v>159</v>
      </c>
      <c r="Y32" t="s">
        <v>385</v>
      </c>
      <c r="Z32">
        <v>0.68</v>
      </c>
      <c r="AA32" t="s">
        <v>159</v>
      </c>
      <c r="AB32" t="s">
        <v>385</v>
      </c>
      <c r="AC32">
        <v>0.69</v>
      </c>
      <c r="AD32" t="s">
        <v>159</v>
      </c>
      <c r="AE32" t="s">
        <v>385</v>
      </c>
      <c r="AF32">
        <v>0.68</v>
      </c>
      <c r="AG32" t="s">
        <v>159</v>
      </c>
      <c r="AH32" t="s">
        <v>385</v>
      </c>
      <c r="AI32">
        <v>0.68</v>
      </c>
      <c r="AJ32" t="s">
        <v>159</v>
      </c>
      <c r="AK32" t="s">
        <v>385</v>
      </c>
      <c r="AL32">
        <v>0.67</v>
      </c>
      <c r="AM32" t="s">
        <v>159</v>
      </c>
      <c r="AN32" t="s">
        <v>385</v>
      </c>
      <c r="AO32">
        <v>0.66</v>
      </c>
      <c r="AP32" t="s">
        <v>159</v>
      </c>
      <c r="AQ32" t="s">
        <v>385</v>
      </c>
      <c r="AR32">
        <v>0.67</v>
      </c>
      <c r="AS32" t="s">
        <v>159</v>
      </c>
      <c r="AT32" t="s">
        <v>385</v>
      </c>
      <c r="AU32">
        <v>0.69</v>
      </c>
      <c r="AV32" t="s">
        <v>159</v>
      </c>
      <c r="AW32" t="s">
        <v>385</v>
      </c>
      <c r="AX32">
        <v>0.67</v>
      </c>
      <c r="AY32" t="s">
        <v>159</v>
      </c>
      <c r="AZ32" t="s">
        <v>385</v>
      </c>
      <c r="BA32">
        <v>0.69</v>
      </c>
      <c r="BB32" t="s">
        <v>159</v>
      </c>
      <c r="BC32" t="s">
        <v>385</v>
      </c>
      <c r="BD32">
        <v>0.68</v>
      </c>
      <c r="BE32" t="s">
        <v>159</v>
      </c>
      <c r="BF32" t="s">
        <v>385</v>
      </c>
      <c r="BG32">
        <v>0.68</v>
      </c>
      <c r="BH32" t="s">
        <v>159</v>
      </c>
      <c r="BI32" t="s">
        <v>385</v>
      </c>
      <c r="BJ32">
        <v>0.69</v>
      </c>
      <c r="BK32" t="s">
        <v>159</v>
      </c>
      <c r="BL32" t="s">
        <v>385</v>
      </c>
      <c r="BM32">
        <v>0.69</v>
      </c>
      <c r="BN32" t="s">
        <v>159</v>
      </c>
      <c r="BO32" t="s">
        <v>385</v>
      </c>
      <c r="BP32">
        <v>0.68</v>
      </c>
      <c r="BQ32" t="s">
        <v>159</v>
      </c>
      <c r="BR32" t="s">
        <v>385</v>
      </c>
      <c r="BS32">
        <v>0.69</v>
      </c>
      <c r="BT32" t="s">
        <v>159</v>
      </c>
      <c r="BU32" t="s">
        <v>385</v>
      </c>
      <c r="BV32">
        <v>0.69</v>
      </c>
      <c r="BW32" t="s">
        <v>159</v>
      </c>
      <c r="BX32" t="s">
        <v>385</v>
      </c>
      <c r="BY32">
        <v>0.68</v>
      </c>
      <c r="BZ32" t="s">
        <v>159</v>
      </c>
      <c r="CA32" t="s">
        <v>385</v>
      </c>
      <c r="CB32">
        <v>0.7</v>
      </c>
      <c r="CC32" t="s">
        <v>159</v>
      </c>
      <c r="CD32" t="s">
        <v>385</v>
      </c>
      <c r="CE32">
        <v>0.73</v>
      </c>
      <c r="CF32" t="s">
        <v>159</v>
      </c>
      <c r="CG32" t="s">
        <v>385</v>
      </c>
      <c r="CH32">
        <v>0.77</v>
      </c>
      <c r="CI32" t="s">
        <v>159</v>
      </c>
      <c r="CJ32" t="s">
        <v>385</v>
      </c>
      <c r="CK32">
        <v>0.74</v>
      </c>
      <c r="CL32" t="s">
        <v>159</v>
      </c>
      <c r="CM32" t="s">
        <v>385</v>
      </c>
      <c r="CN32">
        <v>0.74</v>
      </c>
      <c r="CO32" t="s">
        <v>159</v>
      </c>
      <c r="CP32" t="s">
        <v>385</v>
      </c>
      <c r="CQ32">
        <v>0.76</v>
      </c>
      <c r="CR32" t="s">
        <v>159</v>
      </c>
      <c r="CS32" t="s">
        <v>385</v>
      </c>
      <c r="CT32">
        <v>0.73</v>
      </c>
      <c r="CU32" t="s">
        <v>159</v>
      </c>
      <c r="CV32" t="s">
        <v>385</v>
      </c>
      <c r="CW32">
        <v>0.75</v>
      </c>
      <c r="CX32" t="s">
        <v>159</v>
      </c>
      <c r="CY32" t="s">
        <v>385</v>
      </c>
      <c r="CZ32">
        <v>0.83</v>
      </c>
      <c r="DA32" t="s">
        <v>159</v>
      </c>
      <c r="DB32" t="s">
        <v>385</v>
      </c>
      <c r="DC32">
        <v>0.78</v>
      </c>
      <c r="DD32" t="s">
        <v>159</v>
      </c>
      <c r="DE32" t="s">
        <v>385</v>
      </c>
      <c r="DF32">
        <v>0.78</v>
      </c>
      <c r="DG32" t="s">
        <v>159</v>
      </c>
      <c r="DH32" t="s">
        <v>385</v>
      </c>
      <c r="DI32">
        <v>0.76</v>
      </c>
      <c r="DJ32" t="s">
        <v>159</v>
      </c>
      <c r="DK32" t="s">
        <v>385</v>
      </c>
      <c r="DL32">
        <v>0.74</v>
      </c>
      <c r="DM32" t="s">
        <v>159</v>
      </c>
      <c r="DN32" t="s">
        <v>385</v>
      </c>
      <c r="DO32">
        <v>0.74</v>
      </c>
      <c r="DP32" t="s">
        <v>159</v>
      </c>
      <c r="DQ32" t="s">
        <v>385</v>
      </c>
      <c r="DR32">
        <v>0.87</v>
      </c>
      <c r="DS32" t="s">
        <v>159</v>
      </c>
      <c r="DT32" t="s">
        <v>160</v>
      </c>
      <c r="DU32">
        <v>4.8499999999999996</v>
      </c>
      <c r="DV32" t="s">
        <v>59</v>
      </c>
      <c r="DW32" t="s">
        <v>160</v>
      </c>
      <c r="DX32">
        <v>4.76</v>
      </c>
      <c r="DY32" t="s">
        <v>59</v>
      </c>
      <c r="DZ32" t="s">
        <v>160</v>
      </c>
      <c r="EA32">
        <v>4.7</v>
      </c>
      <c r="EB32" t="s">
        <v>59</v>
      </c>
      <c r="EC32" t="s">
        <v>160</v>
      </c>
      <c r="ED32">
        <v>4.55</v>
      </c>
      <c r="EE32" t="s">
        <v>59</v>
      </c>
      <c r="EF32" t="s">
        <v>160</v>
      </c>
      <c r="EG32">
        <v>4.12</v>
      </c>
      <c r="EH32" t="s">
        <v>59</v>
      </c>
      <c r="EI32" t="s">
        <v>160</v>
      </c>
      <c r="EJ32">
        <v>4.12</v>
      </c>
      <c r="EK32" t="s">
        <v>59</v>
      </c>
    </row>
    <row r="33" spans="1:141">
      <c r="A33" t="s">
        <v>385</v>
      </c>
      <c r="B33">
        <v>0.67</v>
      </c>
      <c r="C33" t="s">
        <v>159</v>
      </c>
      <c r="D33" t="s">
        <v>385</v>
      </c>
      <c r="E33">
        <v>0.66</v>
      </c>
      <c r="F33" t="s">
        <v>159</v>
      </c>
      <c r="G33" t="s">
        <v>496</v>
      </c>
      <c r="H33">
        <v>0.13</v>
      </c>
      <c r="I33" t="s">
        <v>634</v>
      </c>
      <c r="J33" t="s">
        <v>496</v>
      </c>
      <c r="K33">
        <v>0.13</v>
      </c>
      <c r="L33" t="s">
        <v>634</v>
      </c>
      <c r="M33" t="s">
        <v>496</v>
      </c>
      <c r="N33">
        <v>0.11</v>
      </c>
      <c r="O33" t="s">
        <v>634</v>
      </c>
      <c r="P33" t="s">
        <v>496</v>
      </c>
      <c r="Q33">
        <v>0.11</v>
      </c>
      <c r="R33" t="s">
        <v>634</v>
      </c>
      <c r="S33" t="s">
        <v>496</v>
      </c>
      <c r="T33">
        <v>0.08</v>
      </c>
      <c r="U33" t="s">
        <v>634</v>
      </c>
      <c r="V33" t="s">
        <v>496</v>
      </c>
      <c r="W33">
        <v>0.08</v>
      </c>
      <c r="X33" t="s">
        <v>634</v>
      </c>
      <c r="Y33" t="s">
        <v>496</v>
      </c>
      <c r="Z33">
        <v>0.08</v>
      </c>
      <c r="AA33" t="s">
        <v>634</v>
      </c>
      <c r="AB33" t="s">
        <v>496</v>
      </c>
      <c r="AC33">
        <v>0.08</v>
      </c>
      <c r="AD33" t="s">
        <v>634</v>
      </c>
      <c r="AE33" t="s">
        <v>496</v>
      </c>
      <c r="AF33">
        <v>0.08</v>
      </c>
      <c r="AG33" t="s">
        <v>634</v>
      </c>
      <c r="AH33" t="s">
        <v>496</v>
      </c>
      <c r="AI33">
        <v>0.08</v>
      </c>
      <c r="AJ33" t="s">
        <v>634</v>
      </c>
      <c r="AK33" t="s">
        <v>496</v>
      </c>
      <c r="AL33">
        <v>0.08</v>
      </c>
      <c r="AM33" t="s">
        <v>634</v>
      </c>
      <c r="AN33" t="s">
        <v>496</v>
      </c>
      <c r="AO33">
        <v>0.08</v>
      </c>
      <c r="AP33" t="s">
        <v>634</v>
      </c>
      <c r="AQ33" t="s">
        <v>496</v>
      </c>
      <c r="AR33">
        <v>0.08</v>
      </c>
      <c r="AS33" t="s">
        <v>634</v>
      </c>
      <c r="AT33" t="s">
        <v>496</v>
      </c>
      <c r="AU33">
        <v>0.08</v>
      </c>
      <c r="AV33" t="s">
        <v>634</v>
      </c>
      <c r="AW33" t="s">
        <v>496</v>
      </c>
      <c r="AX33">
        <v>0.08</v>
      </c>
      <c r="AY33" t="s">
        <v>634</v>
      </c>
      <c r="AZ33" t="s">
        <v>496</v>
      </c>
      <c r="BA33">
        <v>0.08</v>
      </c>
      <c r="BB33" t="s">
        <v>634</v>
      </c>
      <c r="BC33" t="s">
        <v>496</v>
      </c>
      <c r="BD33">
        <v>0.08</v>
      </c>
      <c r="BE33" t="s">
        <v>634</v>
      </c>
      <c r="BF33" t="s">
        <v>496</v>
      </c>
      <c r="BG33">
        <v>0.08</v>
      </c>
      <c r="BH33" t="s">
        <v>634</v>
      </c>
      <c r="BI33" t="s">
        <v>496</v>
      </c>
      <c r="BJ33">
        <v>0.08</v>
      </c>
      <c r="BK33" t="s">
        <v>634</v>
      </c>
      <c r="BL33" t="s">
        <v>496</v>
      </c>
      <c r="BM33">
        <v>0.08</v>
      </c>
      <c r="BN33" t="s">
        <v>634</v>
      </c>
      <c r="BO33" t="s">
        <v>496</v>
      </c>
      <c r="BP33">
        <v>0.08</v>
      </c>
      <c r="BQ33" t="s">
        <v>634</v>
      </c>
      <c r="BR33" t="s">
        <v>496</v>
      </c>
      <c r="BS33">
        <v>0.08</v>
      </c>
      <c r="BT33" t="s">
        <v>634</v>
      </c>
      <c r="BU33" t="s">
        <v>496</v>
      </c>
      <c r="BV33">
        <v>0.08</v>
      </c>
      <c r="BW33" t="s">
        <v>634</v>
      </c>
      <c r="BX33" t="s">
        <v>496</v>
      </c>
      <c r="BY33">
        <v>0.08</v>
      </c>
      <c r="BZ33" t="s">
        <v>634</v>
      </c>
      <c r="CA33" t="s">
        <v>496</v>
      </c>
      <c r="CB33">
        <v>0.08</v>
      </c>
      <c r="CC33" t="s">
        <v>634</v>
      </c>
      <c r="CD33" t="s">
        <v>496</v>
      </c>
      <c r="CE33">
        <v>0.08</v>
      </c>
      <c r="CF33" t="s">
        <v>634</v>
      </c>
      <c r="CG33" t="s">
        <v>496</v>
      </c>
      <c r="CH33">
        <v>0.08</v>
      </c>
      <c r="CI33" t="s">
        <v>634</v>
      </c>
      <c r="CJ33" t="s">
        <v>496</v>
      </c>
      <c r="CK33">
        <v>0.08</v>
      </c>
      <c r="CL33" t="s">
        <v>634</v>
      </c>
      <c r="CM33" t="s">
        <v>496</v>
      </c>
      <c r="CN33">
        <v>0.08</v>
      </c>
      <c r="CO33" t="s">
        <v>634</v>
      </c>
      <c r="CP33" t="s">
        <v>496</v>
      </c>
      <c r="CQ33">
        <v>0.08</v>
      </c>
      <c r="CR33" t="s">
        <v>634</v>
      </c>
      <c r="CS33" t="s">
        <v>496</v>
      </c>
      <c r="CT33">
        <v>0.08</v>
      </c>
      <c r="CU33" t="s">
        <v>634</v>
      </c>
      <c r="CV33" t="s">
        <v>496</v>
      </c>
      <c r="CW33">
        <v>0.08</v>
      </c>
      <c r="CX33" t="s">
        <v>634</v>
      </c>
      <c r="CY33" t="s">
        <v>496</v>
      </c>
      <c r="CZ33">
        <v>0.08</v>
      </c>
      <c r="DA33" t="s">
        <v>634</v>
      </c>
      <c r="DB33" t="s">
        <v>496</v>
      </c>
      <c r="DC33">
        <v>0.08</v>
      </c>
      <c r="DD33" t="s">
        <v>634</v>
      </c>
      <c r="DE33" t="s">
        <v>496</v>
      </c>
      <c r="DF33">
        <v>0.08</v>
      </c>
      <c r="DG33" t="s">
        <v>634</v>
      </c>
      <c r="DH33" t="s">
        <v>496</v>
      </c>
      <c r="DI33">
        <v>0.08</v>
      </c>
      <c r="DJ33" t="s">
        <v>634</v>
      </c>
      <c r="DK33" t="s">
        <v>496</v>
      </c>
      <c r="DL33">
        <v>0.08</v>
      </c>
      <c r="DM33" t="s">
        <v>634</v>
      </c>
      <c r="DN33" t="s">
        <v>496</v>
      </c>
      <c r="DO33">
        <v>0.08</v>
      </c>
      <c r="DP33" t="s">
        <v>634</v>
      </c>
      <c r="DQ33" t="s">
        <v>496</v>
      </c>
      <c r="DR33">
        <v>0.08</v>
      </c>
      <c r="DS33" t="s">
        <v>634</v>
      </c>
      <c r="DT33" t="s">
        <v>161</v>
      </c>
      <c r="DU33">
        <v>33.72</v>
      </c>
      <c r="DV33" t="s">
        <v>162</v>
      </c>
      <c r="DW33" t="s">
        <v>161</v>
      </c>
      <c r="DX33">
        <v>33.71</v>
      </c>
      <c r="DY33" t="s">
        <v>162</v>
      </c>
      <c r="DZ33" t="s">
        <v>161</v>
      </c>
      <c r="EA33">
        <v>33.64</v>
      </c>
      <c r="EB33" t="s">
        <v>162</v>
      </c>
      <c r="EC33" t="s">
        <v>161</v>
      </c>
      <c r="ED33">
        <v>34.47</v>
      </c>
      <c r="EE33" t="s">
        <v>162</v>
      </c>
      <c r="EF33" t="s">
        <v>161</v>
      </c>
      <c r="EG33">
        <v>33.81</v>
      </c>
      <c r="EH33" t="s">
        <v>162</v>
      </c>
      <c r="EI33" t="s">
        <v>161</v>
      </c>
      <c r="EJ33">
        <v>34.9</v>
      </c>
      <c r="EK33" t="s">
        <v>162</v>
      </c>
    </row>
    <row r="34" spans="1:141">
      <c r="A34" t="s">
        <v>496</v>
      </c>
      <c r="B34">
        <v>0.15</v>
      </c>
      <c r="C34" t="s">
        <v>634</v>
      </c>
      <c r="D34" t="s">
        <v>496</v>
      </c>
      <c r="E34">
        <v>0.13</v>
      </c>
      <c r="F34" t="s">
        <v>634</v>
      </c>
      <c r="G34" t="s">
        <v>160</v>
      </c>
      <c r="H34">
        <v>4.3</v>
      </c>
      <c r="I34" t="s">
        <v>59</v>
      </c>
      <c r="J34" t="s">
        <v>160</v>
      </c>
      <c r="K34">
        <v>4.26</v>
      </c>
      <c r="L34" t="s">
        <v>59</v>
      </c>
      <c r="M34" t="s">
        <v>160</v>
      </c>
      <c r="N34">
        <v>4.2</v>
      </c>
      <c r="O34" t="s">
        <v>59</v>
      </c>
      <c r="P34" t="s">
        <v>160</v>
      </c>
      <c r="Q34">
        <v>4.04</v>
      </c>
      <c r="R34" t="s">
        <v>59</v>
      </c>
      <c r="S34" t="s">
        <v>160</v>
      </c>
      <c r="T34">
        <v>4.16</v>
      </c>
      <c r="U34" t="s">
        <v>59</v>
      </c>
      <c r="V34" t="s">
        <v>160</v>
      </c>
      <c r="W34">
        <v>4.0199999999999996</v>
      </c>
      <c r="X34" t="s">
        <v>59</v>
      </c>
      <c r="Y34" t="s">
        <v>160</v>
      </c>
      <c r="Z34">
        <v>4.2</v>
      </c>
      <c r="AA34" t="s">
        <v>59</v>
      </c>
      <c r="AB34" t="s">
        <v>160</v>
      </c>
      <c r="AC34">
        <v>4.12</v>
      </c>
      <c r="AD34" t="s">
        <v>59</v>
      </c>
      <c r="AE34" t="s">
        <v>160</v>
      </c>
      <c r="AF34">
        <v>3.95</v>
      </c>
      <c r="AG34" t="s">
        <v>59</v>
      </c>
      <c r="AH34" t="s">
        <v>160</v>
      </c>
      <c r="AI34">
        <v>3.91</v>
      </c>
      <c r="AJ34" t="s">
        <v>59</v>
      </c>
      <c r="AK34" t="s">
        <v>160</v>
      </c>
      <c r="AL34">
        <v>4</v>
      </c>
      <c r="AM34" t="s">
        <v>59</v>
      </c>
      <c r="AN34" t="s">
        <v>160</v>
      </c>
      <c r="AO34">
        <v>3.63</v>
      </c>
      <c r="AP34" t="s">
        <v>59</v>
      </c>
      <c r="AQ34" t="s">
        <v>160</v>
      </c>
      <c r="AR34">
        <v>3.84</v>
      </c>
      <c r="AS34" t="s">
        <v>59</v>
      </c>
      <c r="AT34" t="s">
        <v>160</v>
      </c>
      <c r="AU34">
        <v>3.82</v>
      </c>
      <c r="AV34" t="s">
        <v>59</v>
      </c>
      <c r="AW34" t="s">
        <v>160</v>
      </c>
      <c r="AX34">
        <v>4.1500000000000004</v>
      </c>
      <c r="AY34" t="s">
        <v>59</v>
      </c>
      <c r="AZ34" t="s">
        <v>160</v>
      </c>
      <c r="BA34">
        <v>4.12</v>
      </c>
      <c r="BB34" t="s">
        <v>59</v>
      </c>
      <c r="BC34" t="s">
        <v>160</v>
      </c>
      <c r="BD34">
        <v>4.6900000000000004</v>
      </c>
      <c r="BE34" t="s">
        <v>59</v>
      </c>
      <c r="BF34" t="s">
        <v>160</v>
      </c>
      <c r="BG34">
        <v>4.6399999999999997</v>
      </c>
      <c r="BH34" t="s">
        <v>59</v>
      </c>
      <c r="BI34" t="s">
        <v>160</v>
      </c>
      <c r="BJ34">
        <v>4.57</v>
      </c>
      <c r="BK34" t="s">
        <v>59</v>
      </c>
      <c r="BL34" t="s">
        <v>160</v>
      </c>
      <c r="BM34">
        <v>4.62</v>
      </c>
      <c r="BN34" t="s">
        <v>59</v>
      </c>
      <c r="BO34" t="s">
        <v>160</v>
      </c>
      <c r="BP34">
        <v>4.75</v>
      </c>
      <c r="BQ34" t="s">
        <v>59</v>
      </c>
      <c r="BR34" t="s">
        <v>160</v>
      </c>
      <c r="BS34">
        <v>4.84</v>
      </c>
      <c r="BT34" t="s">
        <v>59</v>
      </c>
      <c r="BU34" t="s">
        <v>160</v>
      </c>
      <c r="BV34">
        <v>5.12</v>
      </c>
      <c r="BW34" t="s">
        <v>59</v>
      </c>
      <c r="BX34" t="s">
        <v>160</v>
      </c>
      <c r="BY34">
        <v>5.17</v>
      </c>
      <c r="BZ34" t="s">
        <v>59</v>
      </c>
      <c r="CA34" t="s">
        <v>160</v>
      </c>
      <c r="CB34">
        <v>5.33</v>
      </c>
      <c r="CC34" t="s">
        <v>59</v>
      </c>
      <c r="CD34" t="s">
        <v>160</v>
      </c>
      <c r="CE34">
        <v>5.79</v>
      </c>
      <c r="CF34" t="s">
        <v>59</v>
      </c>
      <c r="CG34" t="s">
        <v>160</v>
      </c>
      <c r="CH34">
        <v>6.05</v>
      </c>
      <c r="CI34" t="s">
        <v>59</v>
      </c>
      <c r="CJ34" t="s">
        <v>160</v>
      </c>
      <c r="CK34">
        <v>6.65</v>
      </c>
      <c r="CL34" t="s">
        <v>59</v>
      </c>
      <c r="CM34" t="s">
        <v>160</v>
      </c>
      <c r="CN34">
        <v>6.55</v>
      </c>
      <c r="CO34" t="s">
        <v>59</v>
      </c>
      <c r="CP34" t="s">
        <v>160</v>
      </c>
      <c r="CQ34">
        <v>6.68</v>
      </c>
      <c r="CR34" t="s">
        <v>59</v>
      </c>
      <c r="CS34" t="s">
        <v>160</v>
      </c>
      <c r="CT34">
        <v>6.6</v>
      </c>
      <c r="CU34" t="s">
        <v>59</v>
      </c>
      <c r="CV34" t="s">
        <v>160</v>
      </c>
      <c r="CW34">
        <v>6.52</v>
      </c>
      <c r="CX34" t="s">
        <v>59</v>
      </c>
      <c r="CY34" t="s">
        <v>160</v>
      </c>
      <c r="CZ34">
        <v>6.46</v>
      </c>
      <c r="DA34" t="s">
        <v>59</v>
      </c>
      <c r="DB34" t="s">
        <v>160</v>
      </c>
      <c r="DC34">
        <v>6.45</v>
      </c>
      <c r="DD34" t="s">
        <v>59</v>
      </c>
      <c r="DE34" t="s">
        <v>160</v>
      </c>
      <c r="DF34">
        <v>6.6</v>
      </c>
      <c r="DG34" t="s">
        <v>59</v>
      </c>
      <c r="DH34" t="s">
        <v>160</v>
      </c>
      <c r="DI34">
        <v>6.48</v>
      </c>
      <c r="DJ34" t="s">
        <v>59</v>
      </c>
      <c r="DK34" t="s">
        <v>160</v>
      </c>
      <c r="DL34">
        <v>6.07</v>
      </c>
      <c r="DM34" t="s">
        <v>59</v>
      </c>
      <c r="DN34" t="s">
        <v>160</v>
      </c>
      <c r="DO34">
        <v>5.84</v>
      </c>
      <c r="DP34" t="s">
        <v>59</v>
      </c>
      <c r="DQ34" t="s">
        <v>160</v>
      </c>
      <c r="DR34">
        <v>5.29</v>
      </c>
      <c r="DS34" t="s">
        <v>59</v>
      </c>
      <c r="DT34" t="s">
        <v>393</v>
      </c>
      <c r="DU34">
        <v>0.28000000000000003</v>
      </c>
      <c r="DV34" t="s">
        <v>163</v>
      </c>
      <c r="DW34" t="s">
        <v>393</v>
      </c>
      <c r="DX34">
        <v>0.27</v>
      </c>
      <c r="DY34" t="s">
        <v>163</v>
      </c>
      <c r="DZ34" t="s">
        <v>393</v>
      </c>
      <c r="EA34">
        <v>0.27</v>
      </c>
      <c r="EB34" t="s">
        <v>163</v>
      </c>
      <c r="EC34" t="s">
        <v>393</v>
      </c>
      <c r="ED34">
        <v>0.27</v>
      </c>
      <c r="EE34" t="s">
        <v>163</v>
      </c>
      <c r="EF34" t="s">
        <v>393</v>
      </c>
      <c r="EG34">
        <v>0.27</v>
      </c>
      <c r="EH34" t="s">
        <v>163</v>
      </c>
      <c r="EI34" t="s">
        <v>393</v>
      </c>
      <c r="EJ34">
        <v>0.28999999999999998</v>
      </c>
      <c r="EK34" t="s">
        <v>163</v>
      </c>
    </row>
    <row r="35" spans="1:141">
      <c r="A35" t="s">
        <v>160</v>
      </c>
      <c r="B35">
        <v>4.3499999999999996</v>
      </c>
      <c r="C35" t="s">
        <v>59</v>
      </c>
      <c r="D35" t="s">
        <v>160</v>
      </c>
      <c r="E35">
        <v>4.2300000000000004</v>
      </c>
      <c r="F35" t="s">
        <v>59</v>
      </c>
      <c r="G35" t="s">
        <v>161</v>
      </c>
      <c r="H35">
        <v>35.72</v>
      </c>
      <c r="I35" t="s">
        <v>162</v>
      </c>
      <c r="J35" t="s">
        <v>161</v>
      </c>
      <c r="K35">
        <v>35.869999999999997</v>
      </c>
      <c r="L35" t="s">
        <v>162</v>
      </c>
      <c r="M35" t="s">
        <v>161</v>
      </c>
      <c r="N35">
        <v>35.17</v>
      </c>
      <c r="O35" t="s">
        <v>162</v>
      </c>
      <c r="P35" t="s">
        <v>161</v>
      </c>
      <c r="Q35">
        <v>34.86</v>
      </c>
      <c r="R35" t="s">
        <v>162</v>
      </c>
      <c r="S35" t="s">
        <v>161</v>
      </c>
      <c r="T35">
        <v>35.24</v>
      </c>
      <c r="U35" t="s">
        <v>162</v>
      </c>
      <c r="V35" t="s">
        <v>161</v>
      </c>
      <c r="W35">
        <v>33.83</v>
      </c>
      <c r="X35" t="s">
        <v>162</v>
      </c>
      <c r="Y35" t="s">
        <v>161</v>
      </c>
      <c r="Z35">
        <v>34.44</v>
      </c>
      <c r="AA35" t="s">
        <v>162</v>
      </c>
      <c r="AB35" t="s">
        <v>161</v>
      </c>
      <c r="AC35">
        <v>35.11</v>
      </c>
      <c r="AD35" t="s">
        <v>162</v>
      </c>
      <c r="AE35" t="s">
        <v>161</v>
      </c>
      <c r="AF35">
        <v>34.799999999999997</v>
      </c>
      <c r="AG35" t="s">
        <v>162</v>
      </c>
      <c r="AH35" t="s">
        <v>161</v>
      </c>
      <c r="AI35">
        <v>34.74</v>
      </c>
      <c r="AJ35" t="s">
        <v>162</v>
      </c>
      <c r="AK35" t="s">
        <v>161</v>
      </c>
      <c r="AL35">
        <v>34.11</v>
      </c>
      <c r="AM35" t="s">
        <v>162</v>
      </c>
      <c r="AN35" t="s">
        <v>161</v>
      </c>
      <c r="AO35">
        <v>33.44</v>
      </c>
      <c r="AP35" t="s">
        <v>162</v>
      </c>
      <c r="AQ35" t="s">
        <v>161</v>
      </c>
      <c r="AR35">
        <v>34.340000000000003</v>
      </c>
      <c r="AS35" t="s">
        <v>162</v>
      </c>
      <c r="AT35" t="s">
        <v>161</v>
      </c>
      <c r="AU35">
        <v>34.79</v>
      </c>
      <c r="AV35" t="s">
        <v>162</v>
      </c>
      <c r="AW35" t="s">
        <v>161</v>
      </c>
      <c r="AX35">
        <v>36.630000000000003</v>
      </c>
      <c r="AY35" t="s">
        <v>162</v>
      </c>
      <c r="AZ35" t="s">
        <v>161</v>
      </c>
      <c r="BA35">
        <v>35.619999999999997</v>
      </c>
      <c r="BB35" t="s">
        <v>162</v>
      </c>
      <c r="BC35" t="s">
        <v>161</v>
      </c>
      <c r="BD35">
        <v>34.909999999999997</v>
      </c>
      <c r="BE35" t="s">
        <v>162</v>
      </c>
      <c r="BF35" t="s">
        <v>161</v>
      </c>
      <c r="BG35">
        <v>34.57</v>
      </c>
      <c r="BH35" t="s">
        <v>162</v>
      </c>
      <c r="BI35" t="s">
        <v>161</v>
      </c>
      <c r="BJ35">
        <v>34.71</v>
      </c>
      <c r="BK35" t="s">
        <v>162</v>
      </c>
      <c r="BL35" t="s">
        <v>161</v>
      </c>
      <c r="BM35">
        <v>34</v>
      </c>
      <c r="BN35" t="s">
        <v>162</v>
      </c>
      <c r="BO35" t="s">
        <v>161</v>
      </c>
      <c r="BP35">
        <v>32.85</v>
      </c>
      <c r="BQ35" t="s">
        <v>162</v>
      </c>
      <c r="BR35" t="s">
        <v>161</v>
      </c>
      <c r="BS35">
        <v>33.119999999999997</v>
      </c>
      <c r="BT35" t="s">
        <v>162</v>
      </c>
      <c r="BU35" t="s">
        <v>161</v>
      </c>
      <c r="BV35">
        <v>33.119999999999997</v>
      </c>
      <c r="BW35" t="s">
        <v>162</v>
      </c>
      <c r="BX35" t="s">
        <v>161</v>
      </c>
      <c r="BY35">
        <v>33.47</v>
      </c>
      <c r="BZ35" t="s">
        <v>162</v>
      </c>
      <c r="CA35" t="s">
        <v>161</v>
      </c>
      <c r="CB35">
        <v>33.700000000000003</v>
      </c>
      <c r="CC35" t="s">
        <v>162</v>
      </c>
      <c r="CD35" t="s">
        <v>161</v>
      </c>
      <c r="CE35">
        <v>33.58</v>
      </c>
      <c r="CF35" t="s">
        <v>162</v>
      </c>
      <c r="CG35" t="s">
        <v>161</v>
      </c>
      <c r="CH35">
        <v>34</v>
      </c>
      <c r="CI35" t="s">
        <v>162</v>
      </c>
      <c r="CJ35" t="s">
        <v>161</v>
      </c>
      <c r="CK35">
        <v>34</v>
      </c>
      <c r="CL35" t="s">
        <v>162</v>
      </c>
      <c r="CM35" t="s">
        <v>161</v>
      </c>
      <c r="CN35">
        <v>33.770000000000003</v>
      </c>
      <c r="CO35" t="s">
        <v>162</v>
      </c>
      <c r="CP35" t="s">
        <v>161</v>
      </c>
      <c r="CQ35">
        <v>33.65</v>
      </c>
      <c r="CR35" t="s">
        <v>162</v>
      </c>
      <c r="CS35" t="s">
        <v>161</v>
      </c>
      <c r="CT35">
        <v>33.76</v>
      </c>
      <c r="CU35" t="s">
        <v>162</v>
      </c>
      <c r="CV35" t="s">
        <v>161</v>
      </c>
      <c r="CW35">
        <v>33.4</v>
      </c>
      <c r="CX35" t="s">
        <v>162</v>
      </c>
      <c r="CY35" t="s">
        <v>161</v>
      </c>
      <c r="CZ35">
        <v>37.6</v>
      </c>
      <c r="DA35" t="s">
        <v>162</v>
      </c>
      <c r="DB35" t="s">
        <v>161</v>
      </c>
      <c r="DC35">
        <v>37.520000000000003</v>
      </c>
      <c r="DD35" t="s">
        <v>162</v>
      </c>
      <c r="DE35" t="s">
        <v>161</v>
      </c>
      <c r="DF35">
        <v>36.79</v>
      </c>
      <c r="DG35" t="s">
        <v>162</v>
      </c>
      <c r="DH35" t="s">
        <v>161</v>
      </c>
      <c r="DI35">
        <v>36.81</v>
      </c>
      <c r="DJ35" t="s">
        <v>162</v>
      </c>
      <c r="DK35" t="s">
        <v>161</v>
      </c>
      <c r="DL35">
        <v>34</v>
      </c>
      <c r="DM35" t="s">
        <v>162</v>
      </c>
      <c r="DN35" t="s">
        <v>161</v>
      </c>
      <c r="DO35">
        <v>33.53</v>
      </c>
      <c r="DP35" t="s">
        <v>162</v>
      </c>
      <c r="DQ35" t="s">
        <v>161</v>
      </c>
      <c r="DR35">
        <v>34.57</v>
      </c>
      <c r="DS35" t="s">
        <v>162</v>
      </c>
      <c r="DT35" t="s">
        <v>164</v>
      </c>
      <c r="DU35">
        <v>4.8600000000000003</v>
      </c>
      <c r="DV35" t="s">
        <v>21</v>
      </c>
      <c r="DW35" t="s">
        <v>164</v>
      </c>
      <c r="DX35">
        <v>4.91</v>
      </c>
      <c r="DY35" t="s">
        <v>21</v>
      </c>
      <c r="DZ35" t="s">
        <v>164</v>
      </c>
      <c r="EA35">
        <v>4.53</v>
      </c>
      <c r="EB35" t="s">
        <v>21</v>
      </c>
      <c r="EC35" t="s">
        <v>164</v>
      </c>
      <c r="ED35">
        <v>4.3</v>
      </c>
      <c r="EE35" t="s">
        <v>21</v>
      </c>
      <c r="EF35" t="s">
        <v>164</v>
      </c>
      <c r="EG35">
        <v>3.99</v>
      </c>
      <c r="EH35" t="s">
        <v>21</v>
      </c>
      <c r="EI35" t="s">
        <v>164</v>
      </c>
      <c r="EJ35">
        <v>4.04</v>
      </c>
      <c r="EK35" t="s">
        <v>21</v>
      </c>
    </row>
    <row r="36" spans="1:141">
      <c r="A36" t="s">
        <v>161</v>
      </c>
      <c r="B36">
        <v>36.64</v>
      </c>
      <c r="C36" t="s">
        <v>162</v>
      </c>
      <c r="D36" t="s">
        <v>161</v>
      </c>
      <c r="E36">
        <v>35.94</v>
      </c>
      <c r="F36" t="s">
        <v>162</v>
      </c>
      <c r="G36" t="s">
        <v>393</v>
      </c>
      <c r="H36">
        <v>0.28000000000000003</v>
      </c>
      <c r="I36" t="s">
        <v>163</v>
      </c>
      <c r="J36" t="s">
        <v>393</v>
      </c>
      <c r="K36">
        <v>0.28000000000000003</v>
      </c>
      <c r="L36" t="s">
        <v>163</v>
      </c>
      <c r="M36" t="s">
        <v>393</v>
      </c>
      <c r="N36">
        <v>0.26</v>
      </c>
      <c r="O36" t="s">
        <v>163</v>
      </c>
      <c r="P36" t="s">
        <v>393</v>
      </c>
      <c r="Q36">
        <v>0.26</v>
      </c>
      <c r="R36" t="s">
        <v>163</v>
      </c>
      <c r="S36" t="s">
        <v>393</v>
      </c>
      <c r="T36">
        <v>0.26</v>
      </c>
      <c r="U36" t="s">
        <v>163</v>
      </c>
      <c r="V36" t="s">
        <v>393</v>
      </c>
      <c r="W36">
        <v>0.25</v>
      </c>
      <c r="X36" t="s">
        <v>163</v>
      </c>
      <c r="Y36" t="s">
        <v>393</v>
      </c>
      <c r="Z36">
        <v>0.26</v>
      </c>
      <c r="AA36" t="s">
        <v>163</v>
      </c>
      <c r="AB36" t="s">
        <v>393</v>
      </c>
      <c r="AC36">
        <v>0.25</v>
      </c>
      <c r="AD36" t="s">
        <v>163</v>
      </c>
      <c r="AE36" t="s">
        <v>393</v>
      </c>
      <c r="AF36">
        <v>0.25</v>
      </c>
      <c r="AG36" t="s">
        <v>163</v>
      </c>
      <c r="AH36" t="s">
        <v>393</v>
      </c>
      <c r="AI36">
        <v>0.25</v>
      </c>
      <c r="AJ36" t="s">
        <v>163</v>
      </c>
      <c r="AK36" t="s">
        <v>393</v>
      </c>
      <c r="AL36">
        <v>0.25</v>
      </c>
      <c r="AM36" t="s">
        <v>163</v>
      </c>
      <c r="AN36" t="s">
        <v>393</v>
      </c>
      <c r="AO36">
        <v>0.24</v>
      </c>
      <c r="AP36" t="s">
        <v>163</v>
      </c>
      <c r="AQ36" t="s">
        <v>393</v>
      </c>
      <c r="AR36">
        <v>0.25</v>
      </c>
      <c r="AS36" t="s">
        <v>163</v>
      </c>
      <c r="AT36" t="s">
        <v>393</v>
      </c>
      <c r="AU36">
        <v>0.26</v>
      </c>
      <c r="AV36" t="s">
        <v>163</v>
      </c>
      <c r="AW36" t="s">
        <v>393</v>
      </c>
      <c r="AX36">
        <v>0.28000000000000003</v>
      </c>
      <c r="AY36" t="s">
        <v>163</v>
      </c>
      <c r="AZ36" t="s">
        <v>393</v>
      </c>
      <c r="BA36">
        <v>0.27</v>
      </c>
      <c r="BB36" t="s">
        <v>163</v>
      </c>
      <c r="BC36" t="s">
        <v>393</v>
      </c>
      <c r="BD36">
        <v>0.27</v>
      </c>
      <c r="BE36" t="s">
        <v>163</v>
      </c>
      <c r="BF36" t="s">
        <v>393</v>
      </c>
      <c r="BG36">
        <v>0.27</v>
      </c>
      <c r="BH36" t="s">
        <v>163</v>
      </c>
      <c r="BI36" t="s">
        <v>393</v>
      </c>
      <c r="BJ36">
        <v>0.28000000000000003</v>
      </c>
      <c r="BK36" t="s">
        <v>163</v>
      </c>
      <c r="BL36" t="s">
        <v>393</v>
      </c>
      <c r="BM36">
        <v>0.3</v>
      </c>
      <c r="BN36" t="s">
        <v>163</v>
      </c>
      <c r="BO36" t="s">
        <v>393</v>
      </c>
      <c r="BP36">
        <v>0.28999999999999998</v>
      </c>
      <c r="BQ36" t="s">
        <v>163</v>
      </c>
      <c r="BR36" t="s">
        <v>393</v>
      </c>
      <c r="BS36">
        <v>0.28999999999999998</v>
      </c>
      <c r="BT36" t="s">
        <v>163</v>
      </c>
      <c r="BU36" t="s">
        <v>393</v>
      </c>
      <c r="BV36">
        <v>0.28999999999999998</v>
      </c>
      <c r="BW36" t="s">
        <v>163</v>
      </c>
      <c r="BX36" t="s">
        <v>393</v>
      </c>
      <c r="BY36">
        <v>0.3</v>
      </c>
      <c r="BZ36" t="s">
        <v>163</v>
      </c>
      <c r="CA36" t="s">
        <v>393</v>
      </c>
      <c r="CB36">
        <v>0.28999999999999998</v>
      </c>
      <c r="CC36" t="s">
        <v>163</v>
      </c>
      <c r="CD36" t="s">
        <v>393</v>
      </c>
      <c r="CE36">
        <v>0.28999999999999998</v>
      </c>
      <c r="CF36" t="s">
        <v>163</v>
      </c>
      <c r="CG36" t="s">
        <v>393</v>
      </c>
      <c r="CH36">
        <v>0.3</v>
      </c>
      <c r="CI36" t="s">
        <v>163</v>
      </c>
      <c r="CJ36" t="s">
        <v>393</v>
      </c>
      <c r="CK36">
        <v>0.28999999999999998</v>
      </c>
      <c r="CL36" t="s">
        <v>163</v>
      </c>
      <c r="CM36" t="s">
        <v>393</v>
      </c>
      <c r="CN36">
        <v>0.28999999999999998</v>
      </c>
      <c r="CO36" t="s">
        <v>163</v>
      </c>
      <c r="CP36" t="s">
        <v>393</v>
      </c>
      <c r="CQ36">
        <v>0.28999999999999998</v>
      </c>
      <c r="CR36" t="s">
        <v>163</v>
      </c>
      <c r="CS36" t="s">
        <v>393</v>
      </c>
      <c r="CT36">
        <v>0.28000000000000003</v>
      </c>
      <c r="CU36" t="s">
        <v>163</v>
      </c>
      <c r="CV36" t="s">
        <v>393</v>
      </c>
      <c r="CW36">
        <v>0.28000000000000003</v>
      </c>
      <c r="CX36" t="s">
        <v>163</v>
      </c>
      <c r="CY36" t="s">
        <v>393</v>
      </c>
      <c r="CZ36">
        <v>0.28000000000000003</v>
      </c>
      <c r="DA36" t="s">
        <v>163</v>
      </c>
      <c r="DB36" t="s">
        <v>393</v>
      </c>
      <c r="DC36">
        <v>0.28999999999999998</v>
      </c>
      <c r="DD36" t="s">
        <v>163</v>
      </c>
      <c r="DE36" t="s">
        <v>393</v>
      </c>
      <c r="DF36">
        <v>0.28999999999999998</v>
      </c>
      <c r="DG36" t="s">
        <v>163</v>
      </c>
      <c r="DH36" t="s">
        <v>393</v>
      </c>
      <c r="DI36">
        <v>0.28000000000000003</v>
      </c>
      <c r="DJ36" t="s">
        <v>163</v>
      </c>
      <c r="DK36" t="s">
        <v>393</v>
      </c>
      <c r="DL36">
        <v>0.26</v>
      </c>
      <c r="DM36" t="s">
        <v>163</v>
      </c>
      <c r="DN36" t="s">
        <v>393</v>
      </c>
      <c r="DO36">
        <v>0.26</v>
      </c>
      <c r="DP36" t="s">
        <v>163</v>
      </c>
      <c r="DQ36" t="s">
        <v>393</v>
      </c>
      <c r="DR36">
        <v>0.28000000000000003</v>
      </c>
      <c r="DS36" t="s">
        <v>163</v>
      </c>
      <c r="DT36" t="s">
        <v>165</v>
      </c>
      <c r="DU36">
        <v>8.8800000000000008</v>
      </c>
      <c r="DV36" t="s">
        <v>34</v>
      </c>
      <c r="DW36" t="s">
        <v>165</v>
      </c>
      <c r="DX36">
        <v>9.0500000000000007</v>
      </c>
      <c r="DY36" t="s">
        <v>34</v>
      </c>
      <c r="DZ36" t="s">
        <v>165</v>
      </c>
      <c r="EA36">
        <v>9.81</v>
      </c>
      <c r="EB36" t="s">
        <v>34</v>
      </c>
      <c r="EC36" t="s">
        <v>165</v>
      </c>
      <c r="ED36">
        <v>11.24</v>
      </c>
      <c r="EE36" t="s">
        <v>34</v>
      </c>
      <c r="EF36" t="s">
        <v>165</v>
      </c>
      <c r="EG36">
        <v>10.050000000000001</v>
      </c>
      <c r="EH36" t="s">
        <v>34</v>
      </c>
      <c r="EI36" t="s">
        <v>165</v>
      </c>
      <c r="EJ36">
        <v>10.43</v>
      </c>
      <c r="EK36" t="s">
        <v>34</v>
      </c>
    </row>
    <row r="37" spans="1:141">
      <c r="A37" t="s">
        <v>393</v>
      </c>
      <c r="B37">
        <v>0.28000000000000003</v>
      </c>
      <c r="C37" t="s">
        <v>163</v>
      </c>
      <c r="D37" t="s">
        <v>393</v>
      </c>
      <c r="E37">
        <v>0.28000000000000003</v>
      </c>
      <c r="F37" t="s">
        <v>163</v>
      </c>
      <c r="G37" t="s">
        <v>164</v>
      </c>
      <c r="H37">
        <v>4.59</v>
      </c>
      <c r="I37" t="s">
        <v>21</v>
      </c>
      <c r="J37" t="s">
        <v>164</v>
      </c>
      <c r="K37">
        <v>4.54</v>
      </c>
      <c r="L37" t="s">
        <v>21</v>
      </c>
      <c r="M37" t="s">
        <v>164</v>
      </c>
      <c r="N37">
        <v>4.53</v>
      </c>
      <c r="O37" t="s">
        <v>21</v>
      </c>
      <c r="P37" t="s">
        <v>164</v>
      </c>
      <c r="Q37">
        <v>3.85</v>
      </c>
      <c r="R37" t="s">
        <v>21</v>
      </c>
      <c r="S37" t="s">
        <v>164</v>
      </c>
      <c r="T37">
        <v>3.8</v>
      </c>
      <c r="U37" t="s">
        <v>21</v>
      </c>
      <c r="V37" t="s">
        <v>164</v>
      </c>
      <c r="W37">
        <v>3.63</v>
      </c>
      <c r="X37" t="s">
        <v>21</v>
      </c>
      <c r="Y37" t="s">
        <v>164</v>
      </c>
      <c r="Z37">
        <v>3.68</v>
      </c>
      <c r="AA37" t="s">
        <v>21</v>
      </c>
      <c r="AB37" t="s">
        <v>164</v>
      </c>
      <c r="AC37">
        <v>3.7</v>
      </c>
      <c r="AD37" t="s">
        <v>21</v>
      </c>
      <c r="AE37" t="s">
        <v>164</v>
      </c>
      <c r="AF37">
        <v>3.65</v>
      </c>
      <c r="AG37" t="s">
        <v>21</v>
      </c>
      <c r="AH37" t="s">
        <v>164</v>
      </c>
      <c r="AI37">
        <v>3.64</v>
      </c>
      <c r="AJ37" t="s">
        <v>21</v>
      </c>
      <c r="AK37" t="s">
        <v>164</v>
      </c>
      <c r="AL37">
        <v>3.56</v>
      </c>
      <c r="AM37" t="s">
        <v>21</v>
      </c>
      <c r="AN37" t="s">
        <v>164</v>
      </c>
      <c r="AO37">
        <v>3.51</v>
      </c>
      <c r="AP37" t="s">
        <v>21</v>
      </c>
      <c r="AQ37" t="s">
        <v>164</v>
      </c>
      <c r="AR37">
        <v>3.5</v>
      </c>
      <c r="AS37" t="s">
        <v>21</v>
      </c>
      <c r="AT37" t="s">
        <v>164</v>
      </c>
      <c r="AU37">
        <v>3.5</v>
      </c>
      <c r="AV37" t="s">
        <v>21</v>
      </c>
      <c r="AW37" t="s">
        <v>164</v>
      </c>
      <c r="AX37">
        <v>3.59</v>
      </c>
      <c r="AY37" t="s">
        <v>21</v>
      </c>
      <c r="AZ37" t="s">
        <v>164</v>
      </c>
      <c r="BA37">
        <v>3.51</v>
      </c>
      <c r="BB37" t="s">
        <v>21</v>
      </c>
      <c r="BC37" t="s">
        <v>164</v>
      </c>
      <c r="BD37">
        <v>3.46</v>
      </c>
      <c r="BE37" t="s">
        <v>21</v>
      </c>
      <c r="BF37" t="s">
        <v>164</v>
      </c>
      <c r="BG37">
        <v>3.46</v>
      </c>
      <c r="BH37" t="s">
        <v>21</v>
      </c>
      <c r="BI37" t="s">
        <v>164</v>
      </c>
      <c r="BJ37">
        <v>3.47</v>
      </c>
      <c r="BK37" t="s">
        <v>21</v>
      </c>
      <c r="BL37" t="s">
        <v>164</v>
      </c>
      <c r="BM37">
        <v>3.36</v>
      </c>
      <c r="BN37" t="s">
        <v>21</v>
      </c>
      <c r="BO37" t="s">
        <v>164</v>
      </c>
      <c r="BP37">
        <v>3.35</v>
      </c>
      <c r="BQ37" t="s">
        <v>21</v>
      </c>
      <c r="BR37" t="s">
        <v>164</v>
      </c>
      <c r="BS37">
        <v>3.38</v>
      </c>
      <c r="BT37" t="s">
        <v>21</v>
      </c>
      <c r="BU37" t="s">
        <v>164</v>
      </c>
      <c r="BV37">
        <v>3.42</v>
      </c>
      <c r="BW37" t="s">
        <v>21</v>
      </c>
      <c r="BX37" t="s">
        <v>164</v>
      </c>
      <c r="BY37">
        <v>3.48</v>
      </c>
      <c r="BZ37" t="s">
        <v>21</v>
      </c>
      <c r="CA37" t="s">
        <v>164</v>
      </c>
      <c r="CB37">
        <v>3.6</v>
      </c>
      <c r="CC37" t="s">
        <v>21</v>
      </c>
      <c r="CD37" t="s">
        <v>164</v>
      </c>
      <c r="CE37">
        <v>3.56</v>
      </c>
      <c r="CF37" t="s">
        <v>21</v>
      </c>
      <c r="CG37" t="s">
        <v>164</v>
      </c>
      <c r="CH37">
        <v>3.55</v>
      </c>
      <c r="CI37" t="s">
        <v>21</v>
      </c>
      <c r="CJ37" t="s">
        <v>164</v>
      </c>
      <c r="CK37">
        <v>3.55</v>
      </c>
      <c r="CL37" t="s">
        <v>21</v>
      </c>
      <c r="CM37" t="s">
        <v>164</v>
      </c>
      <c r="CN37">
        <v>3.55</v>
      </c>
      <c r="CO37" t="s">
        <v>21</v>
      </c>
      <c r="CP37" t="s">
        <v>164</v>
      </c>
      <c r="CQ37">
        <v>3.55</v>
      </c>
      <c r="CR37" t="s">
        <v>21</v>
      </c>
      <c r="CS37" t="s">
        <v>164</v>
      </c>
      <c r="CT37">
        <v>3.55</v>
      </c>
      <c r="CU37" t="s">
        <v>21</v>
      </c>
      <c r="CV37" t="s">
        <v>164</v>
      </c>
      <c r="CW37">
        <v>3.63</v>
      </c>
      <c r="CX37" t="s">
        <v>21</v>
      </c>
      <c r="CY37" t="s">
        <v>164</v>
      </c>
      <c r="CZ37">
        <v>3.85</v>
      </c>
      <c r="DA37" t="s">
        <v>21</v>
      </c>
      <c r="DB37" t="s">
        <v>164</v>
      </c>
      <c r="DC37">
        <v>4.3</v>
      </c>
      <c r="DD37" t="s">
        <v>21</v>
      </c>
      <c r="DE37" t="s">
        <v>164</v>
      </c>
      <c r="DF37">
        <v>4.54</v>
      </c>
      <c r="DG37" t="s">
        <v>21</v>
      </c>
      <c r="DH37" t="s">
        <v>164</v>
      </c>
      <c r="DI37">
        <v>4.6500000000000004</v>
      </c>
      <c r="DJ37" t="s">
        <v>21</v>
      </c>
      <c r="DK37" t="s">
        <v>164</v>
      </c>
      <c r="DL37">
        <v>4.78</v>
      </c>
      <c r="DM37" t="s">
        <v>21</v>
      </c>
      <c r="DN37" t="s">
        <v>164</v>
      </c>
      <c r="DO37">
        <v>3.95</v>
      </c>
      <c r="DP37" t="s">
        <v>21</v>
      </c>
      <c r="DQ37" t="s">
        <v>164</v>
      </c>
      <c r="DR37">
        <v>5.5</v>
      </c>
      <c r="DS37" t="s">
        <v>21</v>
      </c>
      <c r="DT37" t="s">
        <v>166</v>
      </c>
      <c r="DU37">
        <v>430</v>
      </c>
      <c r="DV37" t="s">
        <v>66</v>
      </c>
      <c r="DW37" t="s">
        <v>166</v>
      </c>
      <c r="DX37">
        <v>425</v>
      </c>
      <c r="DY37" t="s">
        <v>66</v>
      </c>
      <c r="DZ37" t="s">
        <v>166</v>
      </c>
      <c r="EA37">
        <v>430.5</v>
      </c>
      <c r="EB37" t="s">
        <v>66</v>
      </c>
      <c r="EC37" t="s">
        <v>166</v>
      </c>
      <c r="ED37">
        <v>424</v>
      </c>
      <c r="EE37" t="s">
        <v>66</v>
      </c>
      <c r="EF37" t="s">
        <v>166</v>
      </c>
      <c r="EG37">
        <v>443.01</v>
      </c>
      <c r="EH37" t="s">
        <v>66</v>
      </c>
      <c r="EI37" t="s">
        <v>166</v>
      </c>
      <c r="EJ37">
        <v>486</v>
      </c>
      <c r="EK37" t="s">
        <v>66</v>
      </c>
    </row>
    <row r="38" spans="1:141">
      <c r="A38" t="s">
        <v>164</v>
      </c>
      <c r="B38">
        <v>4.5999999999999996</v>
      </c>
      <c r="C38" t="s">
        <v>21</v>
      </c>
      <c r="D38" t="s">
        <v>164</v>
      </c>
      <c r="E38">
        <v>4.5</v>
      </c>
      <c r="F38" t="s">
        <v>21</v>
      </c>
      <c r="G38" t="s">
        <v>165</v>
      </c>
      <c r="H38">
        <v>5.26</v>
      </c>
      <c r="I38" t="s">
        <v>34</v>
      </c>
      <c r="J38" t="s">
        <v>165</v>
      </c>
      <c r="K38">
        <v>5.23</v>
      </c>
      <c r="L38" t="s">
        <v>34</v>
      </c>
      <c r="M38" t="s">
        <v>165</v>
      </c>
      <c r="N38">
        <v>5.0999999999999996</v>
      </c>
      <c r="O38" t="s">
        <v>34</v>
      </c>
      <c r="P38" t="s">
        <v>165</v>
      </c>
      <c r="Q38">
        <v>5.0999999999999996</v>
      </c>
      <c r="R38" t="s">
        <v>34</v>
      </c>
      <c r="S38" t="s">
        <v>165</v>
      </c>
      <c r="T38">
        <v>5.08</v>
      </c>
      <c r="U38" t="s">
        <v>34</v>
      </c>
      <c r="V38" t="s">
        <v>165</v>
      </c>
      <c r="W38">
        <v>5.16</v>
      </c>
      <c r="X38" t="s">
        <v>34</v>
      </c>
      <c r="Y38" t="s">
        <v>165</v>
      </c>
      <c r="Z38">
        <v>5.26</v>
      </c>
      <c r="AA38" t="s">
        <v>34</v>
      </c>
      <c r="AB38" t="s">
        <v>165</v>
      </c>
      <c r="AC38">
        <v>5.21</v>
      </c>
      <c r="AD38" t="s">
        <v>34</v>
      </c>
      <c r="AE38" t="s">
        <v>165</v>
      </c>
      <c r="AF38">
        <v>5.36</v>
      </c>
      <c r="AG38" t="s">
        <v>34</v>
      </c>
      <c r="AH38" t="s">
        <v>165</v>
      </c>
      <c r="AI38">
        <v>5.48</v>
      </c>
      <c r="AJ38" t="s">
        <v>34</v>
      </c>
      <c r="AK38" t="s">
        <v>165</v>
      </c>
      <c r="AL38">
        <v>5.4</v>
      </c>
      <c r="AM38" t="s">
        <v>34</v>
      </c>
      <c r="AN38" t="s">
        <v>165</v>
      </c>
      <c r="AO38">
        <v>5.28</v>
      </c>
      <c r="AP38" t="s">
        <v>34</v>
      </c>
      <c r="AQ38" t="s">
        <v>165</v>
      </c>
      <c r="AR38">
        <v>5.36</v>
      </c>
      <c r="AS38" t="s">
        <v>34</v>
      </c>
      <c r="AT38" t="s">
        <v>165</v>
      </c>
      <c r="AU38">
        <v>5.33</v>
      </c>
      <c r="AV38" t="s">
        <v>34</v>
      </c>
      <c r="AW38" t="s">
        <v>165</v>
      </c>
      <c r="AX38">
        <v>5.27</v>
      </c>
      <c r="AY38" t="s">
        <v>34</v>
      </c>
      <c r="AZ38" t="s">
        <v>165</v>
      </c>
      <c r="BA38">
        <v>5.39</v>
      </c>
      <c r="BB38" t="s">
        <v>34</v>
      </c>
      <c r="BC38" t="s">
        <v>165</v>
      </c>
      <c r="BD38">
        <v>5.73</v>
      </c>
      <c r="BE38" t="s">
        <v>34</v>
      </c>
      <c r="BF38" t="s">
        <v>165</v>
      </c>
      <c r="BG38">
        <v>5.6</v>
      </c>
      <c r="BH38" t="s">
        <v>34</v>
      </c>
      <c r="BI38" t="s">
        <v>165</v>
      </c>
      <c r="BJ38">
        <v>5.5</v>
      </c>
      <c r="BK38" t="s">
        <v>34</v>
      </c>
      <c r="BL38" t="s">
        <v>165</v>
      </c>
      <c r="BM38">
        <v>5.13</v>
      </c>
      <c r="BN38" t="s">
        <v>34</v>
      </c>
      <c r="BO38" t="s">
        <v>165</v>
      </c>
      <c r="BP38">
        <v>5.26</v>
      </c>
      <c r="BQ38" t="s">
        <v>34</v>
      </c>
      <c r="BR38" t="s">
        <v>165</v>
      </c>
      <c r="BS38">
        <v>5.68</v>
      </c>
      <c r="BT38" t="s">
        <v>34</v>
      </c>
      <c r="BU38" t="s">
        <v>165</v>
      </c>
      <c r="BV38">
        <v>5.88</v>
      </c>
      <c r="BW38" t="s">
        <v>34</v>
      </c>
      <c r="BX38" t="s">
        <v>165</v>
      </c>
      <c r="BY38">
        <v>5.74</v>
      </c>
      <c r="BZ38" t="s">
        <v>34</v>
      </c>
      <c r="CA38" t="s">
        <v>165</v>
      </c>
      <c r="CB38">
        <v>5.58</v>
      </c>
      <c r="CC38" t="s">
        <v>34</v>
      </c>
      <c r="CD38" t="s">
        <v>165</v>
      </c>
      <c r="CE38">
        <v>5.74</v>
      </c>
      <c r="CF38" t="s">
        <v>34</v>
      </c>
      <c r="CG38" t="s">
        <v>165</v>
      </c>
      <c r="CH38">
        <v>5.67</v>
      </c>
      <c r="CI38" t="s">
        <v>34</v>
      </c>
      <c r="CJ38" t="s">
        <v>165</v>
      </c>
      <c r="CK38">
        <v>5.55</v>
      </c>
      <c r="CL38" t="s">
        <v>34</v>
      </c>
      <c r="CM38" t="s">
        <v>165</v>
      </c>
      <c r="CN38">
        <v>5.53</v>
      </c>
      <c r="CO38" t="s">
        <v>34</v>
      </c>
      <c r="CP38" t="s">
        <v>165</v>
      </c>
      <c r="CQ38">
        <v>6.05</v>
      </c>
      <c r="CR38" t="s">
        <v>34</v>
      </c>
      <c r="CS38" t="s">
        <v>165</v>
      </c>
      <c r="CT38">
        <v>6.45</v>
      </c>
      <c r="CU38" t="s">
        <v>34</v>
      </c>
      <c r="CV38" t="s">
        <v>165</v>
      </c>
      <c r="CW38">
        <v>6.43</v>
      </c>
      <c r="CX38" t="s">
        <v>34</v>
      </c>
      <c r="CY38" t="s">
        <v>165</v>
      </c>
      <c r="CZ38">
        <v>6.51</v>
      </c>
      <c r="DA38" t="s">
        <v>34</v>
      </c>
      <c r="DB38" t="s">
        <v>165</v>
      </c>
      <c r="DC38">
        <v>8.1999999999999993</v>
      </c>
      <c r="DD38" t="s">
        <v>34</v>
      </c>
      <c r="DE38" t="s">
        <v>165</v>
      </c>
      <c r="DF38">
        <v>9.5</v>
      </c>
      <c r="DG38" t="s">
        <v>34</v>
      </c>
      <c r="DH38" t="s">
        <v>165</v>
      </c>
      <c r="DI38">
        <v>8.6999999999999993</v>
      </c>
      <c r="DJ38" t="s">
        <v>34</v>
      </c>
      <c r="DK38" t="s">
        <v>165</v>
      </c>
      <c r="DL38">
        <v>9.5</v>
      </c>
      <c r="DM38" t="s">
        <v>34</v>
      </c>
      <c r="DN38" t="s">
        <v>165</v>
      </c>
      <c r="DO38">
        <v>9.32</v>
      </c>
      <c r="DP38" t="s">
        <v>34</v>
      </c>
      <c r="DQ38" t="s">
        <v>165</v>
      </c>
      <c r="DR38">
        <v>9.41</v>
      </c>
      <c r="DS38" t="s">
        <v>34</v>
      </c>
      <c r="DT38" t="s">
        <v>356</v>
      </c>
      <c r="DU38">
        <v>1.48</v>
      </c>
      <c r="DV38" t="s">
        <v>474</v>
      </c>
      <c r="DW38" t="s">
        <v>356</v>
      </c>
      <c r="DX38">
        <v>1.48</v>
      </c>
      <c r="DY38" t="s">
        <v>474</v>
      </c>
      <c r="DZ38" t="s">
        <v>356</v>
      </c>
      <c r="EA38">
        <v>1.51</v>
      </c>
      <c r="EB38" t="s">
        <v>474</v>
      </c>
      <c r="EC38" t="s">
        <v>356</v>
      </c>
      <c r="ED38">
        <v>1.47</v>
      </c>
      <c r="EE38" t="s">
        <v>474</v>
      </c>
      <c r="EF38" t="s">
        <v>356</v>
      </c>
      <c r="EG38">
        <v>1.47</v>
      </c>
      <c r="EH38" t="s">
        <v>474</v>
      </c>
      <c r="EI38" t="s">
        <v>356</v>
      </c>
      <c r="EJ38">
        <v>1.49</v>
      </c>
      <c r="EK38" t="s">
        <v>474</v>
      </c>
    </row>
    <row r="39" spans="1:141">
      <c r="A39" t="s">
        <v>165</v>
      </c>
      <c r="B39">
        <v>5.28</v>
      </c>
      <c r="C39" t="s">
        <v>34</v>
      </c>
      <c r="D39" t="s">
        <v>165</v>
      </c>
      <c r="E39">
        <v>5.2</v>
      </c>
      <c r="F39" t="s">
        <v>34</v>
      </c>
      <c r="G39" t="s">
        <v>166</v>
      </c>
      <c r="H39">
        <v>302.5</v>
      </c>
      <c r="I39" t="s">
        <v>66</v>
      </c>
      <c r="J39" t="s">
        <v>166</v>
      </c>
      <c r="K39">
        <v>317.17</v>
      </c>
      <c r="L39" t="s">
        <v>66</v>
      </c>
      <c r="M39" t="s">
        <v>166</v>
      </c>
      <c r="N39">
        <v>311</v>
      </c>
      <c r="O39" t="s">
        <v>66</v>
      </c>
      <c r="P39" t="s">
        <v>166</v>
      </c>
      <c r="Q39">
        <v>313.25</v>
      </c>
      <c r="R39" t="s">
        <v>66</v>
      </c>
      <c r="S39" t="s">
        <v>166</v>
      </c>
      <c r="T39">
        <v>318.77999999999997</v>
      </c>
      <c r="U39" t="s">
        <v>66</v>
      </c>
      <c r="V39" t="s">
        <v>166</v>
      </c>
      <c r="W39">
        <v>320</v>
      </c>
      <c r="X39" t="s">
        <v>66</v>
      </c>
      <c r="Y39" t="s">
        <v>166</v>
      </c>
      <c r="Z39">
        <v>319</v>
      </c>
      <c r="AA39" t="s">
        <v>66</v>
      </c>
      <c r="AB39" t="s">
        <v>166</v>
      </c>
      <c r="AC39">
        <v>320.2</v>
      </c>
      <c r="AD39" t="s">
        <v>66</v>
      </c>
      <c r="AE39" t="s">
        <v>166</v>
      </c>
      <c r="AF39">
        <v>320.89999999999998</v>
      </c>
      <c r="AG39" t="s">
        <v>66</v>
      </c>
      <c r="AH39" t="s">
        <v>166</v>
      </c>
      <c r="AI39">
        <v>330</v>
      </c>
      <c r="AJ39" t="s">
        <v>66</v>
      </c>
      <c r="AK39" t="s">
        <v>166</v>
      </c>
      <c r="AL39">
        <v>343.95</v>
      </c>
      <c r="AM39" t="s">
        <v>66</v>
      </c>
      <c r="AN39" t="s">
        <v>166</v>
      </c>
      <c r="AO39">
        <v>344.9</v>
      </c>
      <c r="AP39" t="s">
        <v>66</v>
      </c>
      <c r="AQ39" t="s">
        <v>166</v>
      </c>
      <c r="AR39">
        <v>394.14</v>
      </c>
      <c r="AS39" t="s">
        <v>66</v>
      </c>
      <c r="AT39" t="s">
        <v>166</v>
      </c>
      <c r="AU39">
        <v>404.07</v>
      </c>
      <c r="AV39" t="s">
        <v>66</v>
      </c>
      <c r="AW39" t="s">
        <v>166</v>
      </c>
      <c r="AX39">
        <v>394.21</v>
      </c>
      <c r="AY39" t="s">
        <v>66</v>
      </c>
      <c r="AZ39" t="s">
        <v>166</v>
      </c>
      <c r="BA39">
        <v>395.1</v>
      </c>
      <c r="BB39" t="s">
        <v>66</v>
      </c>
      <c r="BC39" t="s">
        <v>166</v>
      </c>
      <c r="BD39">
        <v>400</v>
      </c>
      <c r="BE39" t="s">
        <v>66</v>
      </c>
      <c r="BF39" t="s">
        <v>166</v>
      </c>
      <c r="BG39">
        <v>395.56</v>
      </c>
      <c r="BH39" t="s">
        <v>66</v>
      </c>
      <c r="BI39" t="s">
        <v>166</v>
      </c>
      <c r="BJ39">
        <v>399.9</v>
      </c>
      <c r="BK39" t="s">
        <v>66</v>
      </c>
      <c r="BL39" t="s">
        <v>166</v>
      </c>
      <c r="BM39">
        <v>396.51</v>
      </c>
      <c r="BN39" t="s">
        <v>66</v>
      </c>
      <c r="BO39" t="s">
        <v>166</v>
      </c>
      <c r="BP39">
        <v>401.47</v>
      </c>
      <c r="BQ39" t="s">
        <v>66</v>
      </c>
      <c r="BR39" t="s">
        <v>166</v>
      </c>
      <c r="BS39">
        <v>401.4</v>
      </c>
      <c r="BT39" t="s">
        <v>66</v>
      </c>
      <c r="BU39" t="s">
        <v>166</v>
      </c>
      <c r="BV39">
        <v>397.33</v>
      </c>
      <c r="BW39" t="s">
        <v>66</v>
      </c>
      <c r="BX39" t="s">
        <v>166</v>
      </c>
      <c r="BY39">
        <v>398.01</v>
      </c>
      <c r="BZ39" t="s">
        <v>66</v>
      </c>
      <c r="CA39" t="s">
        <v>166</v>
      </c>
      <c r="CB39">
        <v>403.9</v>
      </c>
      <c r="CC39" t="s">
        <v>66</v>
      </c>
      <c r="CD39" t="s">
        <v>166</v>
      </c>
      <c r="CE39">
        <v>403.89</v>
      </c>
      <c r="CF39" t="s">
        <v>66</v>
      </c>
      <c r="CG39" t="s">
        <v>166</v>
      </c>
      <c r="CH39">
        <v>403.8</v>
      </c>
      <c r="CI39" t="s">
        <v>66</v>
      </c>
      <c r="CJ39" t="s">
        <v>166</v>
      </c>
      <c r="CK39">
        <v>403.5</v>
      </c>
      <c r="CL39" t="s">
        <v>66</v>
      </c>
      <c r="CM39" t="s">
        <v>166</v>
      </c>
      <c r="CN39">
        <v>398.71</v>
      </c>
      <c r="CO39" t="s">
        <v>66</v>
      </c>
      <c r="CP39" t="s">
        <v>166</v>
      </c>
      <c r="CQ39">
        <v>407.98</v>
      </c>
      <c r="CR39" t="s">
        <v>66</v>
      </c>
      <c r="CS39" t="s">
        <v>166</v>
      </c>
      <c r="CT39">
        <v>436.89</v>
      </c>
      <c r="CU39" t="s">
        <v>66</v>
      </c>
      <c r="CV39" t="s">
        <v>166</v>
      </c>
      <c r="CW39">
        <v>434.98</v>
      </c>
      <c r="CX39" t="s">
        <v>66</v>
      </c>
      <c r="CY39" t="s">
        <v>166</v>
      </c>
      <c r="CZ39">
        <v>428.99</v>
      </c>
      <c r="DA39" t="s">
        <v>66</v>
      </c>
      <c r="DB39" t="s">
        <v>166</v>
      </c>
      <c r="DC39">
        <v>413.02</v>
      </c>
      <c r="DD39" t="s">
        <v>66</v>
      </c>
      <c r="DE39" t="s">
        <v>166</v>
      </c>
      <c r="DF39">
        <v>419.24</v>
      </c>
      <c r="DG39" t="s">
        <v>66</v>
      </c>
      <c r="DH39" t="s">
        <v>166</v>
      </c>
      <c r="DI39">
        <v>430</v>
      </c>
      <c r="DJ39" t="s">
        <v>66</v>
      </c>
      <c r="DK39" t="s">
        <v>166</v>
      </c>
      <c r="DL39">
        <v>427.15</v>
      </c>
      <c r="DM39" t="s">
        <v>66</v>
      </c>
      <c r="DN39" t="s">
        <v>166</v>
      </c>
      <c r="DO39">
        <v>432.03</v>
      </c>
      <c r="DP39" t="s">
        <v>66</v>
      </c>
      <c r="DQ39" t="s">
        <v>166</v>
      </c>
      <c r="DR39">
        <v>441</v>
      </c>
      <c r="DS39" t="s">
        <v>66</v>
      </c>
      <c r="DT39" t="s">
        <v>382</v>
      </c>
      <c r="DU39">
        <v>0.16</v>
      </c>
      <c r="DV39" t="s">
        <v>126</v>
      </c>
      <c r="DW39" t="s">
        <v>382</v>
      </c>
      <c r="DX39">
        <v>0.16</v>
      </c>
      <c r="DY39" t="s">
        <v>126</v>
      </c>
      <c r="DZ39" t="s">
        <v>382</v>
      </c>
      <c r="EA39">
        <v>0.16</v>
      </c>
      <c r="EB39" t="s">
        <v>126</v>
      </c>
      <c r="EC39" t="s">
        <v>382</v>
      </c>
      <c r="ED39">
        <v>0.16</v>
      </c>
      <c r="EE39" t="s">
        <v>126</v>
      </c>
      <c r="EF39" t="s">
        <v>382</v>
      </c>
      <c r="EG39">
        <v>0.15</v>
      </c>
      <c r="EH39" t="s">
        <v>126</v>
      </c>
      <c r="EI39" t="s">
        <v>382</v>
      </c>
      <c r="EJ39">
        <v>0.15</v>
      </c>
      <c r="EK39" t="s">
        <v>126</v>
      </c>
    </row>
    <row r="40" spans="1:141">
      <c r="A40" t="s">
        <v>166</v>
      </c>
      <c r="B40">
        <v>309</v>
      </c>
      <c r="C40" t="s">
        <v>66</v>
      </c>
      <c r="D40" t="s">
        <v>166</v>
      </c>
      <c r="E40">
        <v>305</v>
      </c>
      <c r="F40" t="s">
        <v>66</v>
      </c>
      <c r="G40" t="s">
        <v>356</v>
      </c>
      <c r="H40">
        <v>1.53</v>
      </c>
      <c r="I40" t="s">
        <v>474</v>
      </c>
      <c r="J40" t="s">
        <v>356</v>
      </c>
      <c r="K40">
        <v>1.49</v>
      </c>
      <c r="L40" t="s">
        <v>474</v>
      </c>
      <c r="M40" t="s">
        <v>356</v>
      </c>
      <c r="N40">
        <v>1.49</v>
      </c>
      <c r="O40" t="s">
        <v>474</v>
      </c>
      <c r="P40" t="s">
        <v>356</v>
      </c>
      <c r="Q40">
        <v>1.57</v>
      </c>
      <c r="R40" t="s">
        <v>474</v>
      </c>
      <c r="S40" t="s">
        <v>356</v>
      </c>
      <c r="T40">
        <v>1.64</v>
      </c>
      <c r="U40" t="s">
        <v>474</v>
      </c>
      <c r="V40" t="s">
        <v>356</v>
      </c>
      <c r="W40">
        <v>1.55</v>
      </c>
      <c r="X40" t="s">
        <v>474</v>
      </c>
      <c r="Y40" t="s">
        <v>356</v>
      </c>
      <c r="Z40">
        <v>1.54</v>
      </c>
      <c r="AA40" t="s">
        <v>474</v>
      </c>
      <c r="AB40" t="s">
        <v>356</v>
      </c>
      <c r="AC40">
        <v>1.48</v>
      </c>
      <c r="AD40" t="s">
        <v>474</v>
      </c>
      <c r="AE40" t="s">
        <v>356</v>
      </c>
      <c r="AF40">
        <v>1.55</v>
      </c>
      <c r="AG40" t="s">
        <v>474</v>
      </c>
      <c r="AH40" t="s">
        <v>356</v>
      </c>
      <c r="AI40">
        <v>1.58</v>
      </c>
      <c r="AJ40" t="s">
        <v>474</v>
      </c>
      <c r="AK40" t="s">
        <v>356</v>
      </c>
      <c r="AL40">
        <v>1.52</v>
      </c>
      <c r="AM40" t="s">
        <v>474</v>
      </c>
      <c r="AN40" t="s">
        <v>356</v>
      </c>
      <c r="AO40">
        <v>1.51</v>
      </c>
      <c r="AP40" t="s">
        <v>474</v>
      </c>
      <c r="AQ40" t="s">
        <v>356</v>
      </c>
      <c r="AR40">
        <v>1.51</v>
      </c>
      <c r="AS40" t="s">
        <v>474</v>
      </c>
      <c r="AT40" t="s">
        <v>356</v>
      </c>
      <c r="AU40">
        <v>1.51</v>
      </c>
      <c r="AV40" t="s">
        <v>474</v>
      </c>
      <c r="AW40" t="s">
        <v>356</v>
      </c>
      <c r="AX40">
        <v>1.51</v>
      </c>
      <c r="AY40" t="s">
        <v>474</v>
      </c>
      <c r="AZ40" t="s">
        <v>356</v>
      </c>
      <c r="BA40">
        <v>1.51</v>
      </c>
      <c r="BB40" t="s">
        <v>474</v>
      </c>
      <c r="BC40" t="s">
        <v>356</v>
      </c>
      <c r="BD40">
        <v>1.51</v>
      </c>
      <c r="BE40" t="s">
        <v>474</v>
      </c>
      <c r="BF40" t="s">
        <v>356</v>
      </c>
      <c r="BG40">
        <v>1.51</v>
      </c>
      <c r="BH40" t="s">
        <v>474</v>
      </c>
      <c r="BI40" t="s">
        <v>356</v>
      </c>
      <c r="BJ40">
        <v>1.51</v>
      </c>
      <c r="BK40" t="s">
        <v>474</v>
      </c>
      <c r="BL40" t="s">
        <v>356</v>
      </c>
      <c r="BM40">
        <v>1.51</v>
      </c>
      <c r="BN40" t="s">
        <v>474</v>
      </c>
      <c r="BO40" t="s">
        <v>356</v>
      </c>
      <c r="BP40">
        <v>1.51</v>
      </c>
      <c r="BQ40" t="s">
        <v>474</v>
      </c>
      <c r="BR40" t="s">
        <v>356</v>
      </c>
      <c r="BS40">
        <v>1.51</v>
      </c>
      <c r="BT40" t="s">
        <v>474</v>
      </c>
      <c r="BU40" t="s">
        <v>356</v>
      </c>
      <c r="BV40">
        <v>1.51</v>
      </c>
      <c r="BW40" t="s">
        <v>474</v>
      </c>
      <c r="BX40" t="s">
        <v>356</v>
      </c>
      <c r="BY40">
        <v>1.51</v>
      </c>
      <c r="BZ40" t="s">
        <v>474</v>
      </c>
      <c r="CA40" t="s">
        <v>356</v>
      </c>
      <c r="CB40">
        <v>1.51</v>
      </c>
      <c r="CC40" t="s">
        <v>474</v>
      </c>
      <c r="CD40" t="s">
        <v>356</v>
      </c>
      <c r="CE40">
        <v>1.51</v>
      </c>
      <c r="CF40" t="s">
        <v>474</v>
      </c>
      <c r="CG40" t="s">
        <v>356</v>
      </c>
      <c r="CH40">
        <v>1.51</v>
      </c>
      <c r="CI40" t="s">
        <v>474</v>
      </c>
      <c r="CJ40" t="s">
        <v>356</v>
      </c>
      <c r="CK40">
        <v>1.51</v>
      </c>
      <c r="CL40" t="s">
        <v>474</v>
      </c>
      <c r="CM40" t="s">
        <v>356</v>
      </c>
      <c r="CN40">
        <v>1.51</v>
      </c>
      <c r="CO40" t="s">
        <v>474</v>
      </c>
      <c r="CP40" t="s">
        <v>356</v>
      </c>
      <c r="CQ40">
        <v>1.51</v>
      </c>
      <c r="CR40" t="s">
        <v>474</v>
      </c>
      <c r="CS40" t="s">
        <v>356</v>
      </c>
      <c r="CT40">
        <v>1.51</v>
      </c>
      <c r="CU40" t="s">
        <v>474</v>
      </c>
      <c r="CV40" t="s">
        <v>356</v>
      </c>
      <c r="CW40">
        <v>1.51</v>
      </c>
      <c r="CX40" t="s">
        <v>474</v>
      </c>
      <c r="CY40" t="s">
        <v>356</v>
      </c>
      <c r="CZ40">
        <v>1.51</v>
      </c>
      <c r="DA40" t="s">
        <v>474</v>
      </c>
      <c r="DB40" t="s">
        <v>356</v>
      </c>
      <c r="DC40">
        <v>1.51</v>
      </c>
      <c r="DD40" t="s">
        <v>474</v>
      </c>
      <c r="DE40" t="s">
        <v>356</v>
      </c>
      <c r="DF40">
        <v>1.51</v>
      </c>
      <c r="DG40" t="s">
        <v>474</v>
      </c>
      <c r="DH40" t="s">
        <v>356</v>
      </c>
      <c r="DI40">
        <v>1.51</v>
      </c>
      <c r="DJ40" t="s">
        <v>474</v>
      </c>
      <c r="DK40" t="s">
        <v>356</v>
      </c>
      <c r="DL40">
        <v>1.51</v>
      </c>
      <c r="DM40" t="s">
        <v>474</v>
      </c>
      <c r="DN40" t="s">
        <v>356</v>
      </c>
      <c r="DO40">
        <v>1.5</v>
      </c>
      <c r="DP40" t="s">
        <v>474</v>
      </c>
      <c r="DQ40" t="s">
        <v>356</v>
      </c>
      <c r="DR40">
        <v>1.66</v>
      </c>
      <c r="DS40" t="s">
        <v>474</v>
      </c>
      <c r="DT40" t="s">
        <v>167</v>
      </c>
      <c r="DU40">
        <v>27.01</v>
      </c>
      <c r="DV40" t="s">
        <v>168</v>
      </c>
      <c r="DW40" t="s">
        <v>167</v>
      </c>
      <c r="DX40">
        <v>26.77</v>
      </c>
      <c r="DY40" t="s">
        <v>168</v>
      </c>
      <c r="DZ40" t="s">
        <v>167</v>
      </c>
      <c r="EA40">
        <v>28</v>
      </c>
      <c r="EB40" t="s">
        <v>168</v>
      </c>
      <c r="EC40" t="s">
        <v>167</v>
      </c>
      <c r="ED40">
        <v>29</v>
      </c>
      <c r="EE40" t="s">
        <v>168</v>
      </c>
      <c r="EF40" t="s">
        <v>167</v>
      </c>
      <c r="EG40">
        <v>32</v>
      </c>
      <c r="EH40" t="s">
        <v>168</v>
      </c>
      <c r="EI40" t="s">
        <v>167</v>
      </c>
      <c r="EJ40">
        <v>30</v>
      </c>
      <c r="EK40" t="s">
        <v>168</v>
      </c>
    </row>
    <row r="41" spans="1:141">
      <c r="A41" t="s">
        <v>356</v>
      </c>
      <c r="B41">
        <v>1.49</v>
      </c>
      <c r="C41" t="s">
        <v>474</v>
      </c>
      <c r="D41" t="s">
        <v>356</v>
      </c>
      <c r="E41">
        <v>1.46</v>
      </c>
      <c r="F41" t="s">
        <v>474</v>
      </c>
      <c r="G41" t="s">
        <v>382</v>
      </c>
      <c r="H41">
        <v>0.14000000000000001</v>
      </c>
      <c r="I41" t="s">
        <v>126</v>
      </c>
      <c r="J41" t="s">
        <v>382</v>
      </c>
      <c r="K41">
        <v>0.13</v>
      </c>
      <c r="L41" t="s">
        <v>126</v>
      </c>
      <c r="M41" t="s">
        <v>382</v>
      </c>
      <c r="N41">
        <v>0.14000000000000001</v>
      </c>
      <c r="O41" t="s">
        <v>126</v>
      </c>
      <c r="P41" t="s">
        <v>382</v>
      </c>
      <c r="Q41">
        <v>0.14000000000000001</v>
      </c>
      <c r="R41" t="s">
        <v>126</v>
      </c>
      <c r="S41" t="s">
        <v>382</v>
      </c>
      <c r="T41">
        <v>0.14000000000000001</v>
      </c>
      <c r="U41" t="s">
        <v>126</v>
      </c>
      <c r="V41" t="s">
        <v>382</v>
      </c>
      <c r="W41">
        <v>0.14000000000000001</v>
      </c>
      <c r="X41" t="s">
        <v>126</v>
      </c>
      <c r="Y41" t="s">
        <v>382</v>
      </c>
      <c r="Z41">
        <v>0.14000000000000001</v>
      </c>
      <c r="AA41" t="s">
        <v>126</v>
      </c>
      <c r="AB41" t="s">
        <v>382</v>
      </c>
      <c r="AC41">
        <v>0.14000000000000001</v>
      </c>
      <c r="AD41" t="s">
        <v>126</v>
      </c>
      <c r="AE41" t="s">
        <v>382</v>
      </c>
      <c r="AF41">
        <v>0.14000000000000001</v>
      </c>
      <c r="AG41" t="s">
        <v>126</v>
      </c>
      <c r="AH41" t="s">
        <v>382</v>
      </c>
      <c r="AI41">
        <v>0.15</v>
      </c>
      <c r="AJ41" t="s">
        <v>126</v>
      </c>
      <c r="AK41" t="s">
        <v>382</v>
      </c>
      <c r="AL41">
        <v>0.15</v>
      </c>
      <c r="AM41" t="s">
        <v>126</v>
      </c>
      <c r="AN41" t="s">
        <v>382</v>
      </c>
      <c r="AO41">
        <v>0.14000000000000001</v>
      </c>
      <c r="AP41" t="s">
        <v>126</v>
      </c>
      <c r="AQ41" t="s">
        <v>382</v>
      </c>
      <c r="AR41">
        <v>0.14000000000000001</v>
      </c>
      <c r="AS41" t="s">
        <v>126</v>
      </c>
      <c r="AT41" t="s">
        <v>382</v>
      </c>
      <c r="AU41">
        <v>0.16</v>
      </c>
      <c r="AV41" t="s">
        <v>126</v>
      </c>
      <c r="AW41" t="s">
        <v>382</v>
      </c>
      <c r="AX41">
        <v>0.16</v>
      </c>
      <c r="AY41" t="s">
        <v>126</v>
      </c>
      <c r="AZ41" t="s">
        <v>382</v>
      </c>
      <c r="BA41">
        <v>0.16</v>
      </c>
      <c r="BB41" t="s">
        <v>126</v>
      </c>
      <c r="BC41" t="s">
        <v>382</v>
      </c>
      <c r="BD41">
        <v>0.15</v>
      </c>
      <c r="BE41" t="s">
        <v>126</v>
      </c>
      <c r="BF41" t="s">
        <v>382</v>
      </c>
      <c r="BG41">
        <v>0.15</v>
      </c>
      <c r="BH41" t="s">
        <v>126</v>
      </c>
      <c r="BI41" t="s">
        <v>382</v>
      </c>
      <c r="BJ41">
        <v>0.15</v>
      </c>
      <c r="BK41" t="s">
        <v>126</v>
      </c>
      <c r="BL41" t="s">
        <v>382</v>
      </c>
      <c r="BM41">
        <v>0.15</v>
      </c>
      <c r="BN41" t="s">
        <v>126</v>
      </c>
      <c r="BO41" t="s">
        <v>382</v>
      </c>
      <c r="BP41">
        <v>0.15</v>
      </c>
      <c r="BQ41" t="s">
        <v>126</v>
      </c>
      <c r="BR41" t="s">
        <v>382</v>
      </c>
      <c r="BS41">
        <v>0.15</v>
      </c>
      <c r="BT41" t="s">
        <v>126</v>
      </c>
      <c r="BU41" t="s">
        <v>382</v>
      </c>
      <c r="BV41">
        <v>0.15</v>
      </c>
      <c r="BW41" t="s">
        <v>126</v>
      </c>
      <c r="BX41" t="s">
        <v>382</v>
      </c>
      <c r="BY41">
        <v>0.16</v>
      </c>
      <c r="BZ41" t="s">
        <v>126</v>
      </c>
      <c r="CA41" t="s">
        <v>382</v>
      </c>
      <c r="CB41">
        <v>0.15</v>
      </c>
      <c r="CC41" t="s">
        <v>126</v>
      </c>
      <c r="CD41" t="s">
        <v>382</v>
      </c>
      <c r="CE41">
        <v>0.15</v>
      </c>
      <c r="CF41" t="s">
        <v>126</v>
      </c>
      <c r="CG41" t="s">
        <v>382</v>
      </c>
      <c r="CH41">
        <v>0.15</v>
      </c>
      <c r="CI41" t="s">
        <v>126</v>
      </c>
      <c r="CJ41" t="s">
        <v>382</v>
      </c>
      <c r="CK41">
        <v>0.15</v>
      </c>
      <c r="CL41" t="s">
        <v>126</v>
      </c>
      <c r="CM41" t="s">
        <v>382</v>
      </c>
      <c r="CN41">
        <v>0.15</v>
      </c>
      <c r="CO41" t="s">
        <v>126</v>
      </c>
      <c r="CP41" t="s">
        <v>382</v>
      </c>
      <c r="CQ41">
        <v>0.15</v>
      </c>
      <c r="CR41" t="s">
        <v>126</v>
      </c>
      <c r="CS41" t="s">
        <v>382</v>
      </c>
      <c r="CT41">
        <v>0.15</v>
      </c>
      <c r="CU41" t="s">
        <v>126</v>
      </c>
      <c r="CV41" t="s">
        <v>382</v>
      </c>
      <c r="CW41">
        <v>0.15</v>
      </c>
      <c r="CX41" t="s">
        <v>126</v>
      </c>
      <c r="CY41" t="s">
        <v>382</v>
      </c>
      <c r="CZ41">
        <v>0.15</v>
      </c>
      <c r="DA41" t="s">
        <v>126</v>
      </c>
      <c r="DB41" t="s">
        <v>382</v>
      </c>
      <c r="DC41">
        <v>0.18</v>
      </c>
      <c r="DD41" t="s">
        <v>126</v>
      </c>
      <c r="DE41" t="s">
        <v>382</v>
      </c>
      <c r="DF41">
        <v>0.2</v>
      </c>
      <c r="DG41" t="s">
        <v>126</v>
      </c>
      <c r="DH41" t="s">
        <v>382</v>
      </c>
      <c r="DI41">
        <v>0.18</v>
      </c>
      <c r="DJ41" t="s">
        <v>126</v>
      </c>
      <c r="DK41" t="s">
        <v>382</v>
      </c>
      <c r="DL41">
        <v>0.16</v>
      </c>
      <c r="DM41" t="s">
        <v>126</v>
      </c>
      <c r="DN41" t="s">
        <v>382</v>
      </c>
      <c r="DO41">
        <v>0.17</v>
      </c>
      <c r="DP41" t="s">
        <v>126</v>
      </c>
      <c r="DQ41" t="s">
        <v>382</v>
      </c>
      <c r="DR41">
        <v>0.17</v>
      </c>
      <c r="DS41" t="s">
        <v>126</v>
      </c>
      <c r="DT41" t="s">
        <v>169</v>
      </c>
      <c r="DU41">
        <v>38.299999999999997</v>
      </c>
      <c r="DV41" t="s">
        <v>106</v>
      </c>
      <c r="DW41" t="s">
        <v>169</v>
      </c>
      <c r="DX41">
        <v>40.39</v>
      </c>
      <c r="DY41" t="s">
        <v>106</v>
      </c>
      <c r="DZ41" t="s">
        <v>169</v>
      </c>
      <c r="EA41">
        <v>38.619999999999997</v>
      </c>
      <c r="EB41" t="s">
        <v>106</v>
      </c>
      <c r="EC41" t="s">
        <v>169</v>
      </c>
      <c r="ED41">
        <v>38.25</v>
      </c>
      <c r="EE41" t="s">
        <v>106</v>
      </c>
      <c r="EF41" t="s">
        <v>169</v>
      </c>
      <c r="EG41">
        <v>38.049999999999997</v>
      </c>
      <c r="EH41" t="s">
        <v>106</v>
      </c>
      <c r="EI41" t="s">
        <v>169</v>
      </c>
      <c r="EJ41">
        <v>41.24</v>
      </c>
      <c r="EK41" t="s">
        <v>106</v>
      </c>
    </row>
    <row r="42" spans="1:141">
      <c r="A42" t="s">
        <v>382</v>
      </c>
      <c r="B42">
        <v>0.14000000000000001</v>
      </c>
      <c r="C42" t="s">
        <v>126</v>
      </c>
      <c r="D42" t="s">
        <v>382</v>
      </c>
      <c r="E42">
        <v>0.14000000000000001</v>
      </c>
      <c r="F42" t="s">
        <v>126</v>
      </c>
      <c r="G42" t="s">
        <v>167</v>
      </c>
      <c r="H42">
        <v>25.05</v>
      </c>
      <c r="I42" t="s">
        <v>168</v>
      </c>
      <c r="J42" t="s">
        <v>167</v>
      </c>
      <c r="K42">
        <v>25.02</v>
      </c>
      <c r="L42" t="s">
        <v>168</v>
      </c>
      <c r="M42" t="s">
        <v>167</v>
      </c>
      <c r="N42">
        <v>24.76</v>
      </c>
      <c r="O42" t="s">
        <v>168</v>
      </c>
      <c r="P42" t="s">
        <v>167</v>
      </c>
      <c r="Q42">
        <v>24.61</v>
      </c>
      <c r="R42" t="s">
        <v>168</v>
      </c>
      <c r="S42" t="s">
        <v>167</v>
      </c>
      <c r="T42">
        <v>24.58</v>
      </c>
      <c r="U42" t="s">
        <v>168</v>
      </c>
      <c r="V42" t="s">
        <v>167</v>
      </c>
      <c r="W42">
        <v>24.9</v>
      </c>
      <c r="X42" t="s">
        <v>168</v>
      </c>
      <c r="Y42" t="s">
        <v>167</v>
      </c>
      <c r="Z42">
        <v>25.16</v>
      </c>
      <c r="AA42" t="s">
        <v>168</v>
      </c>
      <c r="AB42" t="s">
        <v>167</v>
      </c>
      <c r="AC42">
        <v>24.84</v>
      </c>
      <c r="AD42" t="s">
        <v>168</v>
      </c>
      <c r="AE42" t="s">
        <v>167</v>
      </c>
      <c r="AF42">
        <v>25.17</v>
      </c>
      <c r="AG42" t="s">
        <v>168</v>
      </c>
      <c r="AH42" t="s">
        <v>167</v>
      </c>
      <c r="AI42">
        <v>25.1</v>
      </c>
      <c r="AJ42" t="s">
        <v>168</v>
      </c>
      <c r="AK42" t="s">
        <v>167</v>
      </c>
      <c r="AL42">
        <v>25.18</v>
      </c>
      <c r="AM42" t="s">
        <v>168</v>
      </c>
      <c r="AN42" t="s">
        <v>167</v>
      </c>
      <c r="AO42">
        <v>25</v>
      </c>
      <c r="AP42" t="s">
        <v>168</v>
      </c>
      <c r="AQ42" t="s">
        <v>167</v>
      </c>
      <c r="AR42">
        <v>25.09</v>
      </c>
      <c r="AS42" t="s">
        <v>168</v>
      </c>
      <c r="AT42" t="s">
        <v>167</v>
      </c>
      <c r="AU42">
        <v>25</v>
      </c>
      <c r="AV42" t="s">
        <v>168</v>
      </c>
      <c r="AW42" t="s">
        <v>167</v>
      </c>
      <c r="AX42">
        <v>26.35</v>
      </c>
      <c r="AY42" t="s">
        <v>168</v>
      </c>
      <c r="AZ42" t="s">
        <v>167</v>
      </c>
      <c r="BA42">
        <v>25.55</v>
      </c>
      <c r="BB42" t="s">
        <v>168</v>
      </c>
      <c r="BC42" t="s">
        <v>167</v>
      </c>
      <c r="BD42">
        <v>23.8</v>
      </c>
      <c r="BE42" t="s">
        <v>168</v>
      </c>
      <c r="BF42" t="s">
        <v>167</v>
      </c>
      <c r="BG42">
        <v>23.41</v>
      </c>
      <c r="BH42" t="s">
        <v>168</v>
      </c>
      <c r="BI42" t="s">
        <v>167</v>
      </c>
      <c r="BJ42">
        <v>23.49</v>
      </c>
      <c r="BK42" t="s">
        <v>168</v>
      </c>
      <c r="BL42" t="s">
        <v>167</v>
      </c>
      <c r="BM42">
        <v>22.49</v>
      </c>
      <c r="BN42" t="s">
        <v>168</v>
      </c>
      <c r="BO42" t="s">
        <v>167</v>
      </c>
      <c r="BP42">
        <v>22.51</v>
      </c>
      <c r="BQ42" t="s">
        <v>168</v>
      </c>
      <c r="BR42" t="s">
        <v>167</v>
      </c>
      <c r="BS42">
        <v>22.85</v>
      </c>
      <c r="BT42" t="s">
        <v>168</v>
      </c>
      <c r="BU42" t="s">
        <v>167</v>
      </c>
      <c r="BV42">
        <v>23.61</v>
      </c>
      <c r="BW42" t="s">
        <v>168</v>
      </c>
      <c r="BX42" t="s">
        <v>167</v>
      </c>
      <c r="BY42">
        <v>23.02</v>
      </c>
      <c r="BZ42" t="s">
        <v>168</v>
      </c>
      <c r="CA42" t="s">
        <v>167</v>
      </c>
      <c r="CB42">
        <v>22.9</v>
      </c>
      <c r="CC42" t="s">
        <v>168</v>
      </c>
      <c r="CD42" t="s">
        <v>167</v>
      </c>
      <c r="CE42">
        <v>23.04</v>
      </c>
      <c r="CF42" t="s">
        <v>168</v>
      </c>
      <c r="CG42" t="s">
        <v>167</v>
      </c>
      <c r="CH42">
        <v>22.85</v>
      </c>
      <c r="CI42" t="s">
        <v>168</v>
      </c>
      <c r="CJ42" t="s">
        <v>167</v>
      </c>
      <c r="CK42">
        <v>22.63</v>
      </c>
      <c r="CL42" t="s">
        <v>168</v>
      </c>
      <c r="CM42" t="s">
        <v>167</v>
      </c>
      <c r="CN42">
        <v>22.78</v>
      </c>
      <c r="CO42" t="s">
        <v>168</v>
      </c>
      <c r="CP42" t="s">
        <v>167</v>
      </c>
      <c r="CQ42">
        <v>22.3</v>
      </c>
      <c r="CR42" t="s">
        <v>168</v>
      </c>
      <c r="CS42" t="s">
        <v>167</v>
      </c>
      <c r="CT42">
        <v>22.71</v>
      </c>
      <c r="CU42" t="s">
        <v>168</v>
      </c>
      <c r="CV42" t="s">
        <v>167</v>
      </c>
      <c r="CW42">
        <v>22.5</v>
      </c>
      <c r="CX42" t="s">
        <v>168</v>
      </c>
      <c r="CY42" t="s">
        <v>167</v>
      </c>
      <c r="CZ42">
        <v>22.4</v>
      </c>
      <c r="DA42" t="s">
        <v>168</v>
      </c>
      <c r="DB42" t="s">
        <v>167</v>
      </c>
      <c r="DC42">
        <v>22.8</v>
      </c>
      <c r="DD42" t="s">
        <v>168</v>
      </c>
      <c r="DE42" t="s">
        <v>167</v>
      </c>
      <c r="DF42">
        <v>22.98</v>
      </c>
      <c r="DG42" t="s">
        <v>168</v>
      </c>
      <c r="DH42" t="s">
        <v>167</v>
      </c>
      <c r="DI42">
        <v>22.67</v>
      </c>
      <c r="DJ42" t="s">
        <v>168</v>
      </c>
      <c r="DK42" t="s">
        <v>167</v>
      </c>
      <c r="DL42">
        <v>22</v>
      </c>
      <c r="DM42" t="s">
        <v>168</v>
      </c>
      <c r="DN42" t="s">
        <v>167</v>
      </c>
      <c r="DO42">
        <v>21.13</v>
      </c>
      <c r="DP42" t="s">
        <v>168</v>
      </c>
      <c r="DQ42" t="s">
        <v>167</v>
      </c>
      <c r="DR42">
        <v>24.3</v>
      </c>
      <c r="DS42" t="s">
        <v>168</v>
      </c>
      <c r="DT42" t="s">
        <v>421</v>
      </c>
      <c r="DU42">
        <v>2.37</v>
      </c>
      <c r="DV42" t="s">
        <v>170</v>
      </c>
      <c r="DW42" t="s">
        <v>421</v>
      </c>
      <c r="DX42">
        <v>2.66</v>
      </c>
      <c r="DY42" t="s">
        <v>170</v>
      </c>
      <c r="DZ42" t="s">
        <v>421</v>
      </c>
      <c r="EA42">
        <v>2.81</v>
      </c>
      <c r="EB42" t="s">
        <v>170</v>
      </c>
      <c r="EC42" t="s">
        <v>421</v>
      </c>
      <c r="ED42">
        <v>3.05</v>
      </c>
      <c r="EE42" t="s">
        <v>170</v>
      </c>
      <c r="EF42" t="s">
        <v>421</v>
      </c>
      <c r="EG42">
        <v>3.47</v>
      </c>
      <c r="EH42" t="s">
        <v>170</v>
      </c>
      <c r="EI42" t="s">
        <v>421</v>
      </c>
      <c r="EJ42">
        <v>3.48</v>
      </c>
      <c r="EK42" t="s">
        <v>170</v>
      </c>
    </row>
    <row r="43" spans="1:141">
      <c r="A43" t="s">
        <v>167</v>
      </c>
      <c r="B43">
        <v>25.19</v>
      </c>
      <c r="C43" t="s">
        <v>168</v>
      </c>
      <c r="D43" t="s">
        <v>167</v>
      </c>
      <c r="E43">
        <v>24.92</v>
      </c>
      <c r="F43" t="s">
        <v>168</v>
      </c>
      <c r="G43" t="s">
        <v>169</v>
      </c>
      <c r="H43">
        <v>39.22</v>
      </c>
      <c r="I43" t="s">
        <v>106</v>
      </c>
      <c r="J43" t="s">
        <v>169</v>
      </c>
      <c r="K43">
        <v>39.22</v>
      </c>
      <c r="L43" t="s">
        <v>106</v>
      </c>
      <c r="M43" t="s">
        <v>169</v>
      </c>
      <c r="N43">
        <v>38.5</v>
      </c>
      <c r="O43" t="s">
        <v>106</v>
      </c>
      <c r="P43" t="s">
        <v>169</v>
      </c>
      <c r="Q43">
        <v>37.42</v>
      </c>
      <c r="R43" t="s">
        <v>106</v>
      </c>
      <c r="S43" t="s">
        <v>169</v>
      </c>
      <c r="T43">
        <v>37.57</v>
      </c>
      <c r="U43" t="s">
        <v>106</v>
      </c>
      <c r="V43" t="s">
        <v>169</v>
      </c>
      <c r="W43">
        <v>36</v>
      </c>
      <c r="X43" t="s">
        <v>106</v>
      </c>
      <c r="Y43" t="s">
        <v>169</v>
      </c>
      <c r="Z43">
        <v>37.020000000000003</v>
      </c>
      <c r="AA43" t="s">
        <v>106</v>
      </c>
      <c r="AB43" t="s">
        <v>169</v>
      </c>
      <c r="AC43">
        <v>37.71</v>
      </c>
      <c r="AD43" t="s">
        <v>106</v>
      </c>
      <c r="AE43" t="s">
        <v>169</v>
      </c>
      <c r="AF43">
        <v>38</v>
      </c>
      <c r="AG43" t="s">
        <v>106</v>
      </c>
      <c r="AH43" t="s">
        <v>169</v>
      </c>
      <c r="AI43">
        <v>39</v>
      </c>
      <c r="AJ43" t="s">
        <v>106</v>
      </c>
      <c r="AK43" t="s">
        <v>169</v>
      </c>
      <c r="AL43">
        <v>38.229999999999997</v>
      </c>
      <c r="AM43" t="s">
        <v>106</v>
      </c>
      <c r="AN43" t="s">
        <v>169</v>
      </c>
      <c r="AO43">
        <v>37.11</v>
      </c>
      <c r="AP43" t="s">
        <v>106</v>
      </c>
      <c r="AQ43" t="s">
        <v>169</v>
      </c>
      <c r="AR43">
        <v>37.25</v>
      </c>
      <c r="AS43" t="s">
        <v>106</v>
      </c>
      <c r="AT43" t="s">
        <v>169</v>
      </c>
      <c r="AU43">
        <v>37.46</v>
      </c>
      <c r="AV43" t="s">
        <v>106</v>
      </c>
      <c r="AW43" t="s">
        <v>169</v>
      </c>
      <c r="AX43">
        <v>40.799999999999997</v>
      </c>
      <c r="AY43" t="s">
        <v>106</v>
      </c>
      <c r="AZ43" t="s">
        <v>169</v>
      </c>
      <c r="BA43">
        <v>39.299999999999997</v>
      </c>
      <c r="BB43" t="s">
        <v>106</v>
      </c>
      <c r="BC43" t="s">
        <v>169</v>
      </c>
      <c r="BD43">
        <v>38</v>
      </c>
      <c r="BE43" t="s">
        <v>106</v>
      </c>
      <c r="BF43" t="s">
        <v>169</v>
      </c>
      <c r="BG43">
        <v>38.01</v>
      </c>
      <c r="BH43" t="s">
        <v>106</v>
      </c>
      <c r="BI43" t="s">
        <v>169</v>
      </c>
      <c r="BJ43">
        <v>37.85</v>
      </c>
      <c r="BK43" t="s">
        <v>106</v>
      </c>
      <c r="BL43" t="s">
        <v>169</v>
      </c>
      <c r="BM43">
        <v>36.6</v>
      </c>
      <c r="BN43" t="s">
        <v>106</v>
      </c>
      <c r="BO43" t="s">
        <v>169</v>
      </c>
      <c r="BP43">
        <v>36.99</v>
      </c>
      <c r="BQ43" t="s">
        <v>106</v>
      </c>
      <c r="BR43" t="s">
        <v>169</v>
      </c>
      <c r="BS43">
        <v>36.9</v>
      </c>
      <c r="BT43" t="s">
        <v>106</v>
      </c>
      <c r="BU43" t="s">
        <v>169</v>
      </c>
      <c r="BV43">
        <v>37.19</v>
      </c>
      <c r="BW43" t="s">
        <v>106</v>
      </c>
      <c r="BX43" t="s">
        <v>169</v>
      </c>
      <c r="BY43">
        <v>37.21</v>
      </c>
      <c r="BZ43" t="s">
        <v>106</v>
      </c>
      <c r="CA43" t="s">
        <v>169</v>
      </c>
      <c r="CB43">
        <v>37.5</v>
      </c>
      <c r="CC43" t="s">
        <v>106</v>
      </c>
      <c r="CD43" t="s">
        <v>169</v>
      </c>
      <c r="CE43">
        <v>37.61</v>
      </c>
      <c r="CF43" t="s">
        <v>106</v>
      </c>
      <c r="CG43" t="s">
        <v>169</v>
      </c>
      <c r="CH43">
        <v>37.799999999999997</v>
      </c>
      <c r="CI43" t="s">
        <v>106</v>
      </c>
      <c r="CJ43" t="s">
        <v>169</v>
      </c>
      <c r="CK43">
        <v>37.979999999999997</v>
      </c>
      <c r="CL43" t="s">
        <v>106</v>
      </c>
      <c r="CM43" t="s">
        <v>169</v>
      </c>
      <c r="CN43">
        <v>37.590000000000003</v>
      </c>
      <c r="CO43" t="s">
        <v>106</v>
      </c>
      <c r="CP43" t="s">
        <v>169</v>
      </c>
      <c r="CQ43">
        <v>37.4</v>
      </c>
      <c r="CR43" t="s">
        <v>106</v>
      </c>
      <c r="CS43" t="s">
        <v>169</v>
      </c>
      <c r="CT43">
        <v>36.89</v>
      </c>
      <c r="CU43" t="s">
        <v>106</v>
      </c>
      <c r="CV43" t="s">
        <v>169</v>
      </c>
      <c r="CW43">
        <v>37</v>
      </c>
      <c r="CX43" t="s">
        <v>106</v>
      </c>
      <c r="CY43" t="s">
        <v>169</v>
      </c>
      <c r="CZ43">
        <v>38.99</v>
      </c>
      <c r="DA43" t="s">
        <v>106</v>
      </c>
      <c r="DB43" t="s">
        <v>169</v>
      </c>
      <c r="DC43">
        <v>40.4</v>
      </c>
      <c r="DD43" t="s">
        <v>106</v>
      </c>
      <c r="DE43" t="s">
        <v>169</v>
      </c>
      <c r="DF43">
        <v>39.82</v>
      </c>
      <c r="DG43" t="s">
        <v>106</v>
      </c>
      <c r="DH43" t="s">
        <v>169</v>
      </c>
      <c r="DI43">
        <v>38.89</v>
      </c>
      <c r="DJ43" t="s">
        <v>106</v>
      </c>
      <c r="DK43" t="s">
        <v>169</v>
      </c>
      <c r="DL43">
        <v>36.520000000000003</v>
      </c>
      <c r="DM43" t="s">
        <v>106</v>
      </c>
      <c r="DN43" t="s">
        <v>169</v>
      </c>
      <c r="DO43">
        <v>36</v>
      </c>
      <c r="DP43" t="s">
        <v>106</v>
      </c>
      <c r="DQ43" t="s">
        <v>169</v>
      </c>
      <c r="DR43">
        <v>37.909999999999997</v>
      </c>
      <c r="DS43" t="s">
        <v>106</v>
      </c>
      <c r="DT43" t="s">
        <v>457</v>
      </c>
      <c r="DU43">
        <v>30.42</v>
      </c>
      <c r="DV43" t="s">
        <v>491</v>
      </c>
      <c r="DW43" t="s">
        <v>457</v>
      </c>
      <c r="DX43">
        <v>29.5</v>
      </c>
      <c r="DY43" t="s">
        <v>491</v>
      </c>
      <c r="DZ43" t="s">
        <v>457</v>
      </c>
      <c r="EA43">
        <v>29.5</v>
      </c>
      <c r="EB43" t="s">
        <v>491</v>
      </c>
      <c r="EC43" t="s">
        <v>457</v>
      </c>
      <c r="ED43">
        <v>29.04</v>
      </c>
      <c r="EE43" t="s">
        <v>491</v>
      </c>
      <c r="EF43" t="s">
        <v>457</v>
      </c>
      <c r="EG43">
        <v>31.53</v>
      </c>
      <c r="EH43" t="s">
        <v>491</v>
      </c>
      <c r="EI43" t="s">
        <v>457</v>
      </c>
      <c r="EJ43">
        <v>34.299999999999997</v>
      </c>
      <c r="EK43" t="s">
        <v>491</v>
      </c>
    </row>
    <row r="44" spans="1:141">
      <c r="A44" t="s">
        <v>169</v>
      </c>
      <c r="B44">
        <v>40.53</v>
      </c>
      <c r="C44" t="s">
        <v>106</v>
      </c>
      <c r="D44" t="s">
        <v>169</v>
      </c>
      <c r="E44">
        <v>40.200000000000003</v>
      </c>
      <c r="F44" t="s">
        <v>106</v>
      </c>
      <c r="G44" t="s">
        <v>421</v>
      </c>
      <c r="H44">
        <v>2.8</v>
      </c>
      <c r="I44" t="s">
        <v>170</v>
      </c>
      <c r="J44" t="s">
        <v>421</v>
      </c>
      <c r="K44">
        <v>2.76</v>
      </c>
      <c r="L44" t="s">
        <v>170</v>
      </c>
      <c r="M44" t="s">
        <v>421</v>
      </c>
      <c r="N44">
        <v>2.67</v>
      </c>
      <c r="O44" t="s">
        <v>170</v>
      </c>
      <c r="P44" t="s">
        <v>421</v>
      </c>
      <c r="Q44">
        <v>2.69</v>
      </c>
      <c r="R44" t="s">
        <v>170</v>
      </c>
      <c r="S44" t="s">
        <v>421</v>
      </c>
      <c r="T44">
        <v>2.71</v>
      </c>
      <c r="U44" t="s">
        <v>170</v>
      </c>
      <c r="V44" t="s">
        <v>421</v>
      </c>
      <c r="W44">
        <v>2.44</v>
      </c>
      <c r="X44" t="s">
        <v>170</v>
      </c>
      <c r="Y44" t="s">
        <v>421</v>
      </c>
      <c r="Z44">
        <v>2.57</v>
      </c>
      <c r="AA44" t="s">
        <v>170</v>
      </c>
      <c r="AB44" t="s">
        <v>421</v>
      </c>
      <c r="AC44">
        <v>2.4700000000000002</v>
      </c>
      <c r="AD44" t="s">
        <v>170</v>
      </c>
      <c r="AE44" t="s">
        <v>421</v>
      </c>
      <c r="AF44">
        <v>2.42</v>
      </c>
      <c r="AG44" t="s">
        <v>170</v>
      </c>
      <c r="AH44" t="s">
        <v>421</v>
      </c>
      <c r="AI44">
        <v>2.42</v>
      </c>
      <c r="AJ44" t="s">
        <v>170</v>
      </c>
      <c r="AK44" t="s">
        <v>421</v>
      </c>
      <c r="AL44">
        <v>2.39</v>
      </c>
      <c r="AM44" t="s">
        <v>170</v>
      </c>
      <c r="AN44" t="s">
        <v>421</v>
      </c>
      <c r="AO44">
        <v>2.34</v>
      </c>
      <c r="AP44" t="s">
        <v>170</v>
      </c>
      <c r="AQ44" t="s">
        <v>421</v>
      </c>
      <c r="AR44">
        <v>2.4300000000000002</v>
      </c>
      <c r="AS44" t="s">
        <v>170</v>
      </c>
      <c r="AT44" t="s">
        <v>421</v>
      </c>
      <c r="AU44">
        <v>2.4700000000000002</v>
      </c>
      <c r="AV44" t="s">
        <v>170</v>
      </c>
      <c r="AW44" t="s">
        <v>421</v>
      </c>
      <c r="AX44">
        <v>2.5099999999999998</v>
      </c>
      <c r="AY44" t="s">
        <v>170</v>
      </c>
      <c r="AZ44" t="s">
        <v>421</v>
      </c>
      <c r="BA44">
        <v>2.4500000000000002</v>
      </c>
      <c r="BB44" t="s">
        <v>170</v>
      </c>
      <c r="BC44" t="s">
        <v>421</v>
      </c>
      <c r="BD44">
        <v>2.4</v>
      </c>
      <c r="BE44" t="s">
        <v>170</v>
      </c>
      <c r="BF44" t="s">
        <v>421</v>
      </c>
      <c r="BG44">
        <v>2.48</v>
      </c>
      <c r="BH44" t="s">
        <v>170</v>
      </c>
      <c r="BI44" t="s">
        <v>421</v>
      </c>
      <c r="BJ44">
        <v>2.4700000000000002</v>
      </c>
      <c r="BK44" t="s">
        <v>170</v>
      </c>
      <c r="BL44" t="s">
        <v>421</v>
      </c>
      <c r="BM44">
        <v>2.4300000000000002</v>
      </c>
      <c r="BN44" t="s">
        <v>170</v>
      </c>
      <c r="BO44" t="s">
        <v>421</v>
      </c>
      <c r="BP44">
        <v>2.4</v>
      </c>
      <c r="BQ44" t="s">
        <v>170</v>
      </c>
      <c r="BR44" t="s">
        <v>421</v>
      </c>
      <c r="BS44">
        <v>2.4500000000000002</v>
      </c>
      <c r="BT44" t="s">
        <v>170</v>
      </c>
      <c r="BU44" t="s">
        <v>421</v>
      </c>
      <c r="BV44">
        <v>2.64</v>
      </c>
      <c r="BW44" t="s">
        <v>170</v>
      </c>
      <c r="BX44" t="s">
        <v>421</v>
      </c>
      <c r="BY44">
        <v>2.68</v>
      </c>
      <c r="BZ44" t="s">
        <v>170</v>
      </c>
      <c r="CA44" t="s">
        <v>421</v>
      </c>
      <c r="CB44">
        <v>2.61</v>
      </c>
      <c r="CC44" t="s">
        <v>170</v>
      </c>
      <c r="CD44" t="s">
        <v>421</v>
      </c>
      <c r="CE44">
        <v>2.5299999999999998</v>
      </c>
      <c r="CF44" t="s">
        <v>170</v>
      </c>
      <c r="CG44" t="s">
        <v>421</v>
      </c>
      <c r="CH44">
        <v>2.52</v>
      </c>
      <c r="CI44" t="s">
        <v>170</v>
      </c>
      <c r="CJ44" t="s">
        <v>421</v>
      </c>
      <c r="CK44">
        <v>2.4900000000000002</v>
      </c>
      <c r="CL44" t="s">
        <v>170</v>
      </c>
      <c r="CM44" t="s">
        <v>421</v>
      </c>
      <c r="CN44">
        <v>2.5299999999999998</v>
      </c>
      <c r="CO44" t="s">
        <v>170</v>
      </c>
      <c r="CP44" t="s">
        <v>421</v>
      </c>
      <c r="CQ44">
        <v>2.58</v>
      </c>
      <c r="CR44" t="s">
        <v>170</v>
      </c>
      <c r="CS44" t="s">
        <v>421</v>
      </c>
      <c r="CT44">
        <v>2.36</v>
      </c>
      <c r="CU44" t="s">
        <v>170</v>
      </c>
      <c r="CV44" t="s">
        <v>421</v>
      </c>
      <c r="CW44">
        <v>2.2599999999999998</v>
      </c>
      <c r="CX44" t="s">
        <v>170</v>
      </c>
      <c r="CY44" t="s">
        <v>421</v>
      </c>
      <c r="CZ44">
        <v>2.27</v>
      </c>
      <c r="DA44" t="s">
        <v>170</v>
      </c>
      <c r="DB44" t="s">
        <v>421</v>
      </c>
      <c r="DC44">
        <v>2.14</v>
      </c>
      <c r="DD44" t="s">
        <v>170</v>
      </c>
      <c r="DE44" t="s">
        <v>421</v>
      </c>
      <c r="DF44">
        <v>2.2200000000000002</v>
      </c>
      <c r="DG44" t="s">
        <v>170</v>
      </c>
      <c r="DH44" t="s">
        <v>421</v>
      </c>
      <c r="DI44">
        <v>2.1</v>
      </c>
      <c r="DJ44" t="s">
        <v>170</v>
      </c>
      <c r="DK44" t="s">
        <v>421</v>
      </c>
      <c r="DL44">
        <v>2.0299999999999998</v>
      </c>
      <c r="DM44" t="s">
        <v>170</v>
      </c>
      <c r="DN44" t="s">
        <v>421</v>
      </c>
      <c r="DO44">
        <v>2</v>
      </c>
      <c r="DP44" t="s">
        <v>170</v>
      </c>
      <c r="DQ44" t="s">
        <v>421</v>
      </c>
      <c r="DR44">
        <v>2.1800000000000002</v>
      </c>
      <c r="DS44" t="s">
        <v>170</v>
      </c>
      <c r="DT44" t="s">
        <v>171</v>
      </c>
      <c r="DU44">
        <v>24.51</v>
      </c>
      <c r="DV44" t="s">
        <v>11</v>
      </c>
      <c r="DW44" t="s">
        <v>171</v>
      </c>
      <c r="DX44">
        <v>23.39</v>
      </c>
      <c r="DY44" t="s">
        <v>11</v>
      </c>
      <c r="DZ44" t="s">
        <v>171</v>
      </c>
      <c r="EA44">
        <v>23.36</v>
      </c>
      <c r="EB44" t="s">
        <v>11</v>
      </c>
      <c r="EC44" t="s">
        <v>171</v>
      </c>
      <c r="ED44">
        <v>23.42</v>
      </c>
      <c r="EE44" t="s">
        <v>11</v>
      </c>
      <c r="EF44" t="s">
        <v>171</v>
      </c>
      <c r="EG44">
        <v>23.31</v>
      </c>
      <c r="EH44" t="s">
        <v>11</v>
      </c>
      <c r="EI44" t="s">
        <v>171</v>
      </c>
      <c r="EJ44">
        <v>23.3</v>
      </c>
      <c r="EK44" t="s">
        <v>11</v>
      </c>
    </row>
    <row r="45" spans="1:141">
      <c r="A45" t="s">
        <v>421</v>
      </c>
      <c r="B45">
        <v>2.87</v>
      </c>
      <c r="C45" t="s">
        <v>170</v>
      </c>
      <c r="D45" t="s">
        <v>421</v>
      </c>
      <c r="E45">
        <v>2.82</v>
      </c>
      <c r="F45" t="s">
        <v>170</v>
      </c>
      <c r="G45" t="s">
        <v>457</v>
      </c>
      <c r="H45">
        <v>28</v>
      </c>
      <c r="I45" t="s">
        <v>491</v>
      </c>
      <c r="J45" t="s">
        <v>457</v>
      </c>
      <c r="K45">
        <v>29.15</v>
      </c>
      <c r="L45" t="s">
        <v>491</v>
      </c>
      <c r="M45" t="s">
        <v>457</v>
      </c>
      <c r="N45">
        <v>28.81</v>
      </c>
      <c r="O45" t="s">
        <v>491</v>
      </c>
      <c r="P45" t="s">
        <v>457</v>
      </c>
      <c r="Q45">
        <v>28.3</v>
      </c>
      <c r="R45" t="s">
        <v>491</v>
      </c>
      <c r="S45" t="s">
        <v>457</v>
      </c>
      <c r="T45">
        <v>28.08</v>
      </c>
      <c r="U45" t="s">
        <v>491</v>
      </c>
      <c r="V45" t="s">
        <v>457</v>
      </c>
      <c r="W45">
        <v>29.68</v>
      </c>
      <c r="X45" t="s">
        <v>491</v>
      </c>
      <c r="Y45" t="s">
        <v>457</v>
      </c>
      <c r="Z45">
        <v>30.64</v>
      </c>
      <c r="AA45" t="s">
        <v>491</v>
      </c>
      <c r="AB45" t="s">
        <v>457</v>
      </c>
      <c r="AC45">
        <v>29.5</v>
      </c>
      <c r="AD45" t="s">
        <v>491</v>
      </c>
      <c r="AE45" t="s">
        <v>457</v>
      </c>
      <c r="AF45">
        <v>31</v>
      </c>
      <c r="AG45" t="s">
        <v>491</v>
      </c>
      <c r="AH45" t="s">
        <v>457</v>
      </c>
      <c r="AI45">
        <v>33.479999999999997</v>
      </c>
      <c r="AJ45" t="s">
        <v>491</v>
      </c>
      <c r="AK45" t="s">
        <v>457</v>
      </c>
      <c r="AL45">
        <v>32</v>
      </c>
      <c r="AM45" t="s">
        <v>491</v>
      </c>
      <c r="AN45" t="s">
        <v>457</v>
      </c>
      <c r="AO45">
        <v>30.72</v>
      </c>
      <c r="AP45" t="s">
        <v>491</v>
      </c>
      <c r="AQ45" t="s">
        <v>457</v>
      </c>
      <c r="AR45">
        <v>30.3</v>
      </c>
      <c r="AS45" t="s">
        <v>491</v>
      </c>
      <c r="AT45" t="s">
        <v>457</v>
      </c>
      <c r="AU45">
        <v>31.03</v>
      </c>
      <c r="AV45" t="s">
        <v>491</v>
      </c>
      <c r="AW45" t="s">
        <v>457</v>
      </c>
      <c r="AX45">
        <v>30.71</v>
      </c>
      <c r="AY45" t="s">
        <v>491</v>
      </c>
      <c r="AZ45" t="s">
        <v>457</v>
      </c>
      <c r="BA45">
        <v>31</v>
      </c>
      <c r="BB45" t="s">
        <v>491</v>
      </c>
      <c r="BC45" t="s">
        <v>457</v>
      </c>
      <c r="BD45">
        <v>33.799999999999997</v>
      </c>
      <c r="BE45" t="s">
        <v>491</v>
      </c>
      <c r="BF45" t="s">
        <v>457</v>
      </c>
      <c r="BG45">
        <v>29.58</v>
      </c>
      <c r="BH45" t="s">
        <v>491</v>
      </c>
      <c r="BI45" t="s">
        <v>457</v>
      </c>
      <c r="BJ45">
        <v>30.01</v>
      </c>
      <c r="BK45" t="s">
        <v>491</v>
      </c>
      <c r="BL45" t="s">
        <v>457</v>
      </c>
      <c r="BM45">
        <v>30</v>
      </c>
      <c r="BN45" t="s">
        <v>491</v>
      </c>
      <c r="BO45" t="s">
        <v>457</v>
      </c>
      <c r="BP45">
        <v>30.25</v>
      </c>
      <c r="BQ45" t="s">
        <v>491</v>
      </c>
      <c r="BR45" t="s">
        <v>457</v>
      </c>
      <c r="BS45">
        <v>31.92</v>
      </c>
      <c r="BT45" t="s">
        <v>491</v>
      </c>
      <c r="BU45" t="s">
        <v>457</v>
      </c>
      <c r="BV45">
        <v>31.45</v>
      </c>
      <c r="BW45" t="s">
        <v>491</v>
      </c>
      <c r="BX45" t="s">
        <v>457</v>
      </c>
      <c r="BY45">
        <v>31.59</v>
      </c>
      <c r="BZ45" t="s">
        <v>491</v>
      </c>
      <c r="CA45" t="s">
        <v>457</v>
      </c>
      <c r="CB45">
        <v>30.11</v>
      </c>
      <c r="CC45" t="s">
        <v>491</v>
      </c>
      <c r="CD45" t="s">
        <v>457</v>
      </c>
      <c r="CE45">
        <v>30.13</v>
      </c>
      <c r="CF45" t="s">
        <v>491</v>
      </c>
      <c r="CG45" t="s">
        <v>457</v>
      </c>
      <c r="CH45">
        <v>30.8</v>
      </c>
      <c r="CI45" t="s">
        <v>491</v>
      </c>
      <c r="CJ45" t="s">
        <v>457</v>
      </c>
      <c r="CK45">
        <v>30</v>
      </c>
      <c r="CL45" t="s">
        <v>491</v>
      </c>
      <c r="CM45" t="s">
        <v>457</v>
      </c>
      <c r="CN45">
        <v>29.03</v>
      </c>
      <c r="CO45" t="s">
        <v>491</v>
      </c>
      <c r="CP45" t="s">
        <v>457</v>
      </c>
      <c r="CQ45">
        <v>30.12</v>
      </c>
      <c r="CR45" t="s">
        <v>491</v>
      </c>
      <c r="CS45" t="s">
        <v>457</v>
      </c>
      <c r="CT45">
        <v>29.16</v>
      </c>
      <c r="CU45" t="s">
        <v>491</v>
      </c>
      <c r="CV45" t="s">
        <v>457</v>
      </c>
      <c r="CW45">
        <v>29</v>
      </c>
      <c r="CX45" t="s">
        <v>491</v>
      </c>
      <c r="CY45" t="s">
        <v>457</v>
      </c>
      <c r="CZ45">
        <v>28.55</v>
      </c>
      <c r="DA45" t="s">
        <v>491</v>
      </c>
      <c r="DB45" t="s">
        <v>457</v>
      </c>
      <c r="DC45">
        <v>28.55</v>
      </c>
      <c r="DD45" t="s">
        <v>491</v>
      </c>
      <c r="DE45" t="s">
        <v>457</v>
      </c>
      <c r="DF45">
        <v>28.63</v>
      </c>
      <c r="DG45" t="s">
        <v>491</v>
      </c>
      <c r="DH45" t="s">
        <v>457</v>
      </c>
      <c r="DI45">
        <v>29.7</v>
      </c>
      <c r="DJ45" t="s">
        <v>491</v>
      </c>
      <c r="DK45" t="s">
        <v>457</v>
      </c>
      <c r="DL45">
        <v>29.67</v>
      </c>
      <c r="DM45" t="s">
        <v>491</v>
      </c>
      <c r="DN45" t="s">
        <v>457</v>
      </c>
      <c r="DO45">
        <v>29.7</v>
      </c>
      <c r="DP45" t="s">
        <v>491</v>
      </c>
      <c r="DQ45" t="s">
        <v>457</v>
      </c>
      <c r="DR45">
        <v>30.64</v>
      </c>
      <c r="DS45" t="s">
        <v>491</v>
      </c>
      <c r="DT45" t="s">
        <v>417</v>
      </c>
      <c r="DU45">
        <v>2.69</v>
      </c>
      <c r="DV45" t="s">
        <v>172</v>
      </c>
      <c r="DW45" t="s">
        <v>417</v>
      </c>
      <c r="DX45">
        <v>2.83</v>
      </c>
      <c r="DY45" t="s">
        <v>172</v>
      </c>
      <c r="DZ45" t="s">
        <v>417</v>
      </c>
      <c r="EA45">
        <v>2.75</v>
      </c>
      <c r="EB45" t="s">
        <v>172</v>
      </c>
      <c r="EC45" t="s">
        <v>417</v>
      </c>
      <c r="ED45">
        <v>2.81</v>
      </c>
      <c r="EE45" t="s">
        <v>172</v>
      </c>
      <c r="EF45" t="s">
        <v>417</v>
      </c>
      <c r="EG45">
        <v>2.85</v>
      </c>
      <c r="EH45" t="s">
        <v>172</v>
      </c>
      <c r="EI45" t="s">
        <v>417</v>
      </c>
      <c r="EJ45">
        <v>3.26</v>
      </c>
      <c r="EK45" t="s">
        <v>172</v>
      </c>
    </row>
    <row r="46" spans="1:141">
      <c r="A46" t="s">
        <v>457</v>
      </c>
      <c r="B46">
        <v>28.24</v>
      </c>
      <c r="C46" t="s">
        <v>491</v>
      </c>
      <c r="D46" t="s">
        <v>457</v>
      </c>
      <c r="E46">
        <v>28</v>
      </c>
      <c r="F46" t="s">
        <v>491</v>
      </c>
      <c r="G46" t="s">
        <v>171</v>
      </c>
      <c r="H46">
        <v>23.3</v>
      </c>
      <c r="I46" t="s">
        <v>11</v>
      </c>
      <c r="J46" t="s">
        <v>171</v>
      </c>
      <c r="K46">
        <v>22.84</v>
      </c>
      <c r="L46" t="s">
        <v>11</v>
      </c>
      <c r="M46" t="s">
        <v>171</v>
      </c>
      <c r="N46">
        <v>22.73</v>
      </c>
      <c r="O46" t="s">
        <v>11</v>
      </c>
      <c r="P46" t="s">
        <v>171</v>
      </c>
      <c r="Q46">
        <v>22.49</v>
      </c>
      <c r="R46" t="s">
        <v>11</v>
      </c>
      <c r="S46" t="s">
        <v>171</v>
      </c>
      <c r="T46">
        <v>22.04</v>
      </c>
      <c r="U46" t="s">
        <v>11</v>
      </c>
      <c r="V46" t="s">
        <v>171</v>
      </c>
      <c r="W46">
        <v>22.4</v>
      </c>
      <c r="X46" t="s">
        <v>11</v>
      </c>
      <c r="Y46" t="s">
        <v>171</v>
      </c>
      <c r="Z46">
        <v>24</v>
      </c>
      <c r="AA46" t="s">
        <v>11</v>
      </c>
      <c r="AB46" t="s">
        <v>171</v>
      </c>
      <c r="AC46">
        <v>23.1</v>
      </c>
      <c r="AD46" t="s">
        <v>11</v>
      </c>
      <c r="AE46" t="s">
        <v>171</v>
      </c>
      <c r="AF46">
        <v>22.95</v>
      </c>
      <c r="AG46" t="s">
        <v>11</v>
      </c>
      <c r="AH46" t="s">
        <v>171</v>
      </c>
      <c r="AI46">
        <v>23</v>
      </c>
      <c r="AJ46" t="s">
        <v>11</v>
      </c>
      <c r="AK46" t="s">
        <v>171</v>
      </c>
      <c r="AL46">
        <v>22.95</v>
      </c>
      <c r="AM46" t="s">
        <v>11</v>
      </c>
      <c r="AN46" t="s">
        <v>171</v>
      </c>
      <c r="AO46">
        <v>22.13</v>
      </c>
      <c r="AP46" t="s">
        <v>11</v>
      </c>
      <c r="AQ46" t="s">
        <v>171</v>
      </c>
      <c r="AR46">
        <v>16.97</v>
      </c>
      <c r="AS46" t="s">
        <v>11</v>
      </c>
      <c r="AT46" t="s">
        <v>171</v>
      </c>
      <c r="AU46">
        <v>16.78</v>
      </c>
      <c r="AV46" t="s">
        <v>11</v>
      </c>
      <c r="AW46" t="s">
        <v>171</v>
      </c>
      <c r="AX46">
        <v>17.899999999999999</v>
      </c>
      <c r="AY46" t="s">
        <v>11</v>
      </c>
      <c r="AZ46" t="s">
        <v>171</v>
      </c>
      <c r="BA46">
        <v>17.920000000000002</v>
      </c>
      <c r="BB46" t="s">
        <v>11</v>
      </c>
      <c r="BC46" t="s">
        <v>171</v>
      </c>
      <c r="BD46">
        <v>17</v>
      </c>
      <c r="BE46" t="s">
        <v>11</v>
      </c>
      <c r="BF46" t="s">
        <v>171</v>
      </c>
      <c r="BG46">
        <v>16.850000000000001</v>
      </c>
      <c r="BH46" t="s">
        <v>11</v>
      </c>
      <c r="BI46" t="s">
        <v>171</v>
      </c>
      <c r="BJ46">
        <v>17.100000000000001</v>
      </c>
      <c r="BK46" t="s">
        <v>11</v>
      </c>
      <c r="BL46" t="s">
        <v>171</v>
      </c>
      <c r="BM46">
        <v>16.559999999999999</v>
      </c>
      <c r="BN46" t="s">
        <v>11</v>
      </c>
      <c r="BO46" t="s">
        <v>171</v>
      </c>
      <c r="BP46">
        <v>18.059999999999999</v>
      </c>
      <c r="BQ46" t="s">
        <v>11</v>
      </c>
      <c r="BR46" t="s">
        <v>171</v>
      </c>
      <c r="BS46">
        <v>18.600000000000001</v>
      </c>
      <c r="BT46" t="s">
        <v>11</v>
      </c>
      <c r="BU46" t="s">
        <v>171</v>
      </c>
      <c r="BV46">
        <v>19.18</v>
      </c>
      <c r="BW46" t="s">
        <v>11</v>
      </c>
      <c r="BX46" t="s">
        <v>171</v>
      </c>
      <c r="BY46">
        <v>18.8</v>
      </c>
      <c r="BZ46" t="s">
        <v>11</v>
      </c>
      <c r="CA46" t="s">
        <v>171</v>
      </c>
      <c r="CB46">
        <v>18.77</v>
      </c>
      <c r="CC46" t="s">
        <v>11</v>
      </c>
      <c r="CD46" t="s">
        <v>171</v>
      </c>
      <c r="CE46">
        <v>18.82</v>
      </c>
      <c r="CF46" t="s">
        <v>11</v>
      </c>
      <c r="CG46" t="s">
        <v>171</v>
      </c>
      <c r="CH46">
        <v>18.739999999999998</v>
      </c>
      <c r="CI46" t="s">
        <v>11</v>
      </c>
      <c r="CJ46" t="s">
        <v>171</v>
      </c>
      <c r="CK46">
        <v>18.760000000000002</v>
      </c>
      <c r="CL46" t="s">
        <v>11</v>
      </c>
      <c r="CM46" t="s">
        <v>171</v>
      </c>
      <c r="CN46">
        <v>19.11</v>
      </c>
      <c r="CO46" t="s">
        <v>11</v>
      </c>
      <c r="CP46" t="s">
        <v>171</v>
      </c>
      <c r="CQ46">
        <v>19.59</v>
      </c>
      <c r="CR46" t="s">
        <v>11</v>
      </c>
      <c r="CS46" t="s">
        <v>171</v>
      </c>
      <c r="CT46">
        <v>19.739999999999998</v>
      </c>
      <c r="CU46" t="s">
        <v>11</v>
      </c>
      <c r="CV46" t="s">
        <v>171</v>
      </c>
      <c r="CW46">
        <v>19.559999999999999</v>
      </c>
      <c r="CX46" t="s">
        <v>11</v>
      </c>
      <c r="CY46" t="s">
        <v>171</v>
      </c>
      <c r="CZ46">
        <v>19.66</v>
      </c>
      <c r="DA46" t="s">
        <v>11</v>
      </c>
      <c r="DB46" t="s">
        <v>171</v>
      </c>
      <c r="DC46">
        <v>19.77</v>
      </c>
      <c r="DD46" t="s">
        <v>11</v>
      </c>
      <c r="DE46" t="s">
        <v>171</v>
      </c>
      <c r="DF46">
        <v>21.74</v>
      </c>
      <c r="DG46" t="s">
        <v>11</v>
      </c>
      <c r="DH46" t="s">
        <v>171</v>
      </c>
      <c r="DI46">
        <v>21.83</v>
      </c>
      <c r="DJ46" t="s">
        <v>11</v>
      </c>
      <c r="DK46" t="s">
        <v>171</v>
      </c>
      <c r="DL46">
        <v>21.42</v>
      </c>
      <c r="DM46" t="s">
        <v>11</v>
      </c>
      <c r="DN46" t="s">
        <v>171</v>
      </c>
      <c r="DO46">
        <v>20.76</v>
      </c>
      <c r="DP46" t="s">
        <v>11</v>
      </c>
      <c r="DQ46" t="s">
        <v>171</v>
      </c>
      <c r="DR46">
        <v>22.46</v>
      </c>
      <c r="DS46" t="s">
        <v>11</v>
      </c>
      <c r="DT46" t="s">
        <v>439</v>
      </c>
      <c r="DU46">
        <v>4.03</v>
      </c>
      <c r="DV46" t="s">
        <v>102</v>
      </c>
      <c r="DW46" t="s">
        <v>439</v>
      </c>
      <c r="DX46">
        <v>4.18</v>
      </c>
      <c r="DY46" t="s">
        <v>102</v>
      </c>
      <c r="DZ46" t="s">
        <v>439</v>
      </c>
      <c r="EA46">
        <v>4.09</v>
      </c>
      <c r="EB46" t="s">
        <v>102</v>
      </c>
      <c r="EC46" t="s">
        <v>439</v>
      </c>
      <c r="ED46">
        <v>4.13</v>
      </c>
      <c r="EE46" t="s">
        <v>102</v>
      </c>
      <c r="EF46" t="s">
        <v>439</v>
      </c>
      <c r="EG46">
        <v>4.33</v>
      </c>
      <c r="EH46" t="s">
        <v>102</v>
      </c>
      <c r="EI46" t="s">
        <v>439</v>
      </c>
      <c r="EJ46">
        <v>4.29</v>
      </c>
      <c r="EK46" t="s">
        <v>102</v>
      </c>
    </row>
    <row r="47" spans="1:141">
      <c r="A47" t="s">
        <v>171</v>
      </c>
      <c r="B47">
        <v>22.93</v>
      </c>
      <c r="C47" t="s">
        <v>11</v>
      </c>
      <c r="D47" t="s">
        <v>171</v>
      </c>
      <c r="E47">
        <v>23.02</v>
      </c>
      <c r="F47" t="s">
        <v>11</v>
      </c>
      <c r="G47" t="s">
        <v>417</v>
      </c>
      <c r="H47">
        <v>2.2799999999999998</v>
      </c>
      <c r="I47" t="s">
        <v>172</v>
      </c>
      <c r="J47" t="s">
        <v>417</v>
      </c>
      <c r="K47">
        <v>2.29</v>
      </c>
      <c r="L47" t="s">
        <v>172</v>
      </c>
      <c r="M47" t="s">
        <v>417</v>
      </c>
      <c r="N47">
        <v>2.19</v>
      </c>
      <c r="O47" t="s">
        <v>172</v>
      </c>
      <c r="P47" t="s">
        <v>417</v>
      </c>
      <c r="Q47">
        <v>2.23</v>
      </c>
      <c r="R47" t="s">
        <v>172</v>
      </c>
      <c r="S47" t="s">
        <v>417</v>
      </c>
      <c r="T47">
        <v>2.2200000000000002</v>
      </c>
      <c r="U47" t="s">
        <v>172</v>
      </c>
      <c r="V47" t="s">
        <v>417</v>
      </c>
      <c r="W47">
        <v>2.25</v>
      </c>
      <c r="X47" t="s">
        <v>172</v>
      </c>
      <c r="Y47" t="s">
        <v>417</v>
      </c>
      <c r="Z47">
        <v>2.33</v>
      </c>
      <c r="AA47" t="s">
        <v>172</v>
      </c>
      <c r="AB47" t="s">
        <v>417</v>
      </c>
      <c r="AC47">
        <v>2.39</v>
      </c>
      <c r="AD47" t="s">
        <v>172</v>
      </c>
      <c r="AE47" t="s">
        <v>417</v>
      </c>
      <c r="AF47">
        <v>2.46</v>
      </c>
      <c r="AG47" t="s">
        <v>172</v>
      </c>
      <c r="AH47" t="s">
        <v>417</v>
      </c>
      <c r="AI47">
        <v>2.56</v>
      </c>
      <c r="AJ47" t="s">
        <v>172</v>
      </c>
      <c r="AK47" t="s">
        <v>417</v>
      </c>
      <c r="AL47">
        <v>2.4500000000000002</v>
      </c>
      <c r="AM47" t="s">
        <v>172</v>
      </c>
      <c r="AN47" t="s">
        <v>417</v>
      </c>
      <c r="AO47">
        <v>2.44</v>
      </c>
      <c r="AP47" t="s">
        <v>172</v>
      </c>
      <c r="AQ47" t="s">
        <v>417</v>
      </c>
      <c r="AR47">
        <v>2.5299999999999998</v>
      </c>
      <c r="AS47" t="s">
        <v>172</v>
      </c>
      <c r="AT47" t="s">
        <v>417</v>
      </c>
      <c r="AU47">
        <v>2.66</v>
      </c>
      <c r="AV47" t="s">
        <v>172</v>
      </c>
      <c r="AW47" t="s">
        <v>417</v>
      </c>
      <c r="AX47">
        <v>2.59</v>
      </c>
      <c r="AY47" t="s">
        <v>172</v>
      </c>
      <c r="AZ47" t="s">
        <v>417</v>
      </c>
      <c r="BA47">
        <v>2.59</v>
      </c>
      <c r="BB47" t="s">
        <v>172</v>
      </c>
      <c r="BC47" t="s">
        <v>417</v>
      </c>
      <c r="BD47">
        <v>2.7</v>
      </c>
      <c r="BE47" t="s">
        <v>172</v>
      </c>
      <c r="BF47" t="s">
        <v>417</v>
      </c>
      <c r="BG47">
        <v>2.65</v>
      </c>
      <c r="BH47" t="s">
        <v>172</v>
      </c>
      <c r="BI47" t="s">
        <v>417</v>
      </c>
      <c r="BJ47">
        <v>2.68</v>
      </c>
      <c r="BK47" t="s">
        <v>172</v>
      </c>
      <c r="BL47" t="s">
        <v>417</v>
      </c>
      <c r="BM47">
        <v>2.65</v>
      </c>
      <c r="BN47" t="s">
        <v>172</v>
      </c>
      <c r="BO47" t="s">
        <v>417</v>
      </c>
      <c r="BP47">
        <v>2.64</v>
      </c>
      <c r="BQ47" t="s">
        <v>172</v>
      </c>
      <c r="BR47" t="s">
        <v>417</v>
      </c>
      <c r="BS47">
        <v>2.73</v>
      </c>
      <c r="BT47" t="s">
        <v>172</v>
      </c>
      <c r="BU47" t="s">
        <v>417</v>
      </c>
      <c r="BV47">
        <v>2.78</v>
      </c>
      <c r="BW47" t="s">
        <v>172</v>
      </c>
      <c r="BX47" t="s">
        <v>417</v>
      </c>
      <c r="BY47">
        <v>2.88</v>
      </c>
      <c r="BZ47" t="s">
        <v>172</v>
      </c>
      <c r="CA47" t="s">
        <v>417</v>
      </c>
      <c r="CB47">
        <v>2.87</v>
      </c>
      <c r="CC47" t="s">
        <v>172</v>
      </c>
      <c r="CD47" t="s">
        <v>417</v>
      </c>
      <c r="CE47">
        <v>2.93</v>
      </c>
      <c r="CF47" t="s">
        <v>172</v>
      </c>
      <c r="CG47" t="s">
        <v>417</v>
      </c>
      <c r="CH47">
        <v>2.9</v>
      </c>
      <c r="CI47" t="s">
        <v>172</v>
      </c>
      <c r="CJ47" t="s">
        <v>417</v>
      </c>
      <c r="CK47">
        <v>2.88</v>
      </c>
      <c r="CL47" t="s">
        <v>172</v>
      </c>
      <c r="CM47" t="s">
        <v>417</v>
      </c>
      <c r="CN47">
        <v>2.87</v>
      </c>
      <c r="CO47" t="s">
        <v>172</v>
      </c>
      <c r="CP47" t="s">
        <v>417</v>
      </c>
      <c r="CQ47">
        <v>2.91</v>
      </c>
      <c r="CR47" t="s">
        <v>172</v>
      </c>
      <c r="CS47" t="s">
        <v>417</v>
      </c>
      <c r="CT47">
        <v>2.89</v>
      </c>
      <c r="CU47" t="s">
        <v>172</v>
      </c>
      <c r="CV47" t="s">
        <v>417</v>
      </c>
      <c r="CW47">
        <v>2.86</v>
      </c>
      <c r="CX47" t="s">
        <v>172</v>
      </c>
      <c r="CY47" t="s">
        <v>417</v>
      </c>
      <c r="CZ47">
        <v>2.89</v>
      </c>
      <c r="DA47" t="s">
        <v>172</v>
      </c>
      <c r="DB47" t="s">
        <v>417</v>
      </c>
      <c r="DC47">
        <v>2.94</v>
      </c>
      <c r="DD47" t="s">
        <v>172</v>
      </c>
      <c r="DE47" t="s">
        <v>417</v>
      </c>
      <c r="DF47">
        <v>3.08</v>
      </c>
      <c r="DG47" t="s">
        <v>172</v>
      </c>
      <c r="DH47" t="s">
        <v>417</v>
      </c>
      <c r="DI47">
        <v>2.96</v>
      </c>
      <c r="DJ47" t="s">
        <v>172</v>
      </c>
      <c r="DK47" t="s">
        <v>417</v>
      </c>
      <c r="DL47">
        <v>2.8</v>
      </c>
      <c r="DM47" t="s">
        <v>172</v>
      </c>
      <c r="DN47" t="s">
        <v>417</v>
      </c>
      <c r="DO47">
        <v>2.63</v>
      </c>
      <c r="DP47" t="s">
        <v>172</v>
      </c>
      <c r="DQ47" t="s">
        <v>417</v>
      </c>
      <c r="DR47">
        <v>2.84</v>
      </c>
      <c r="DS47" t="s">
        <v>172</v>
      </c>
      <c r="DT47" t="s">
        <v>445</v>
      </c>
      <c r="DU47">
        <v>55.29</v>
      </c>
      <c r="DV47" t="s">
        <v>38</v>
      </c>
      <c r="DW47" t="s">
        <v>445</v>
      </c>
      <c r="DX47">
        <v>55.89</v>
      </c>
      <c r="DY47" t="s">
        <v>38</v>
      </c>
      <c r="DZ47" t="s">
        <v>445</v>
      </c>
      <c r="EA47">
        <v>57.76</v>
      </c>
      <c r="EB47" t="s">
        <v>38</v>
      </c>
      <c r="EC47" t="s">
        <v>445</v>
      </c>
      <c r="ED47">
        <v>59.35</v>
      </c>
      <c r="EE47" t="s">
        <v>38</v>
      </c>
      <c r="EF47" t="s">
        <v>445</v>
      </c>
      <c r="EG47">
        <v>62.45</v>
      </c>
      <c r="EH47" t="s">
        <v>38</v>
      </c>
      <c r="EI47" t="s">
        <v>445</v>
      </c>
      <c r="EJ47">
        <v>63.2</v>
      </c>
      <c r="EK47" t="s">
        <v>38</v>
      </c>
    </row>
    <row r="48" spans="1:141">
      <c r="A48" t="s">
        <v>417</v>
      </c>
      <c r="B48">
        <v>2.35</v>
      </c>
      <c r="C48" t="s">
        <v>172</v>
      </c>
      <c r="D48" t="s">
        <v>417</v>
      </c>
      <c r="E48">
        <v>2.2999999999999998</v>
      </c>
      <c r="F48" t="s">
        <v>172</v>
      </c>
      <c r="G48" t="s">
        <v>439</v>
      </c>
      <c r="H48">
        <v>47.18</v>
      </c>
      <c r="I48" t="s">
        <v>102</v>
      </c>
      <c r="J48" t="s">
        <v>439</v>
      </c>
      <c r="K48">
        <v>45.83</v>
      </c>
      <c r="L48" t="s">
        <v>102</v>
      </c>
      <c r="M48" t="s">
        <v>439</v>
      </c>
      <c r="N48">
        <v>47.57</v>
      </c>
      <c r="O48" t="s">
        <v>102</v>
      </c>
      <c r="P48" t="s">
        <v>439</v>
      </c>
      <c r="Q48">
        <v>49.94</v>
      </c>
      <c r="R48" t="s">
        <v>102</v>
      </c>
      <c r="S48" t="s">
        <v>439</v>
      </c>
      <c r="T48">
        <v>47.75</v>
      </c>
      <c r="U48" t="s">
        <v>102</v>
      </c>
      <c r="V48" t="s">
        <v>439</v>
      </c>
      <c r="W48">
        <v>47</v>
      </c>
      <c r="X48" t="s">
        <v>102</v>
      </c>
      <c r="Y48" t="s">
        <v>439</v>
      </c>
      <c r="Z48">
        <v>49.32</v>
      </c>
      <c r="AA48" t="s">
        <v>102</v>
      </c>
      <c r="AB48" t="s">
        <v>439</v>
      </c>
      <c r="AC48">
        <v>50.01</v>
      </c>
      <c r="AD48" t="s">
        <v>102</v>
      </c>
      <c r="AE48" t="s">
        <v>439</v>
      </c>
      <c r="AF48">
        <v>52.51</v>
      </c>
      <c r="AG48" t="s">
        <v>102</v>
      </c>
      <c r="AH48" t="s">
        <v>439</v>
      </c>
      <c r="AI48">
        <v>51.12</v>
      </c>
      <c r="AJ48" t="s">
        <v>102</v>
      </c>
      <c r="AK48" t="s">
        <v>439</v>
      </c>
      <c r="AL48">
        <v>49.52</v>
      </c>
      <c r="AM48" t="s">
        <v>102</v>
      </c>
      <c r="AN48" t="s">
        <v>439</v>
      </c>
      <c r="AO48">
        <v>46.5</v>
      </c>
      <c r="AP48" t="s">
        <v>102</v>
      </c>
      <c r="AQ48" t="s">
        <v>439</v>
      </c>
      <c r="AR48">
        <v>45.03</v>
      </c>
      <c r="AS48" t="s">
        <v>102</v>
      </c>
      <c r="AT48" t="s">
        <v>439</v>
      </c>
      <c r="AU48">
        <v>47.28</v>
      </c>
      <c r="AV48" t="s">
        <v>102</v>
      </c>
      <c r="AW48" t="s">
        <v>439</v>
      </c>
      <c r="AX48">
        <v>44.39</v>
      </c>
      <c r="AY48" t="s">
        <v>102</v>
      </c>
      <c r="AZ48" t="s">
        <v>439</v>
      </c>
      <c r="BA48">
        <v>43.31</v>
      </c>
      <c r="BB48" t="s">
        <v>102</v>
      </c>
      <c r="BC48" t="s">
        <v>439</v>
      </c>
      <c r="BD48">
        <v>42.4</v>
      </c>
      <c r="BE48" t="s">
        <v>102</v>
      </c>
      <c r="BF48" t="s">
        <v>439</v>
      </c>
      <c r="BG48">
        <v>46.1</v>
      </c>
      <c r="BH48" t="s">
        <v>102</v>
      </c>
      <c r="BI48" t="s">
        <v>439</v>
      </c>
      <c r="BJ48">
        <v>44.92</v>
      </c>
      <c r="BK48" t="s">
        <v>102</v>
      </c>
      <c r="BL48" t="s">
        <v>439</v>
      </c>
      <c r="BM48">
        <v>40.56</v>
      </c>
      <c r="BN48" t="s">
        <v>102</v>
      </c>
      <c r="BO48" t="s">
        <v>439</v>
      </c>
      <c r="BP48">
        <v>40.68</v>
      </c>
      <c r="BQ48" t="s">
        <v>102</v>
      </c>
      <c r="BR48" t="s">
        <v>439</v>
      </c>
      <c r="BS48">
        <v>39.799999999999997</v>
      </c>
      <c r="BT48" t="s">
        <v>102</v>
      </c>
      <c r="BU48" t="s">
        <v>439</v>
      </c>
      <c r="BV48">
        <v>41.86</v>
      </c>
      <c r="BW48" t="s">
        <v>102</v>
      </c>
      <c r="BX48" t="s">
        <v>439</v>
      </c>
      <c r="BY48">
        <v>41.14</v>
      </c>
      <c r="BZ48" t="s">
        <v>102</v>
      </c>
      <c r="CA48" t="s">
        <v>439</v>
      </c>
      <c r="CB48">
        <v>41.64</v>
      </c>
      <c r="CC48" t="s">
        <v>102</v>
      </c>
      <c r="CD48" t="s">
        <v>439</v>
      </c>
      <c r="CE48">
        <v>42</v>
      </c>
      <c r="CF48" t="s">
        <v>102</v>
      </c>
      <c r="CG48" t="s">
        <v>439</v>
      </c>
      <c r="CH48">
        <v>40.79</v>
      </c>
      <c r="CI48" t="s">
        <v>102</v>
      </c>
      <c r="CJ48" t="s">
        <v>439</v>
      </c>
      <c r="CK48">
        <v>39.29</v>
      </c>
      <c r="CL48" t="s">
        <v>102</v>
      </c>
      <c r="CM48" t="s">
        <v>439</v>
      </c>
      <c r="CN48">
        <v>40.9</v>
      </c>
      <c r="CO48" t="s">
        <v>102</v>
      </c>
      <c r="CP48" t="s">
        <v>439</v>
      </c>
      <c r="CQ48">
        <v>40.82</v>
      </c>
      <c r="CR48" t="s">
        <v>102</v>
      </c>
      <c r="CS48" t="s">
        <v>439</v>
      </c>
      <c r="CT48">
        <v>40.020000000000003</v>
      </c>
      <c r="CU48" t="s">
        <v>102</v>
      </c>
      <c r="CV48" t="s">
        <v>439</v>
      </c>
      <c r="CW48">
        <v>42.95</v>
      </c>
      <c r="CX48" t="s">
        <v>102</v>
      </c>
      <c r="CY48" t="s">
        <v>439</v>
      </c>
      <c r="CZ48">
        <v>44.35</v>
      </c>
      <c r="DA48" t="s">
        <v>102</v>
      </c>
      <c r="DB48" t="s">
        <v>439</v>
      </c>
      <c r="DC48">
        <v>3.46</v>
      </c>
      <c r="DD48" t="s">
        <v>102</v>
      </c>
      <c r="DE48" t="s">
        <v>439</v>
      </c>
      <c r="DF48">
        <v>3.63</v>
      </c>
      <c r="DG48" t="s">
        <v>102</v>
      </c>
      <c r="DH48" t="s">
        <v>439</v>
      </c>
      <c r="DI48">
        <v>3.96</v>
      </c>
      <c r="DJ48" t="s">
        <v>102</v>
      </c>
      <c r="DK48" t="s">
        <v>439</v>
      </c>
      <c r="DL48">
        <v>4.17</v>
      </c>
      <c r="DM48" t="s">
        <v>102</v>
      </c>
      <c r="DN48" t="s">
        <v>439</v>
      </c>
      <c r="DO48">
        <v>4.55</v>
      </c>
      <c r="DP48" t="s">
        <v>102</v>
      </c>
      <c r="DQ48" t="s">
        <v>439</v>
      </c>
      <c r="DR48">
        <v>4.4800000000000004</v>
      </c>
      <c r="DS48" t="s">
        <v>102</v>
      </c>
      <c r="DT48" t="s">
        <v>173</v>
      </c>
      <c r="DU48">
        <v>1.17</v>
      </c>
      <c r="DV48" t="s">
        <v>58</v>
      </c>
      <c r="DW48" t="s">
        <v>173</v>
      </c>
      <c r="DX48">
        <v>1.1000000000000001</v>
      </c>
      <c r="DY48" t="s">
        <v>58</v>
      </c>
      <c r="DZ48" t="s">
        <v>173</v>
      </c>
      <c r="EA48">
        <v>1.1599999999999999</v>
      </c>
      <c r="EB48" t="s">
        <v>58</v>
      </c>
      <c r="EC48" t="s">
        <v>173</v>
      </c>
      <c r="ED48">
        <v>1.1100000000000001</v>
      </c>
      <c r="EE48" t="s">
        <v>58</v>
      </c>
      <c r="EF48" t="s">
        <v>173</v>
      </c>
      <c r="EG48">
        <v>1.37</v>
      </c>
      <c r="EH48" t="s">
        <v>58</v>
      </c>
      <c r="EI48" t="s">
        <v>173</v>
      </c>
      <c r="EJ48">
        <v>1.26</v>
      </c>
      <c r="EK48" t="s">
        <v>58</v>
      </c>
    </row>
    <row r="49" spans="1:141">
      <c r="A49" t="s">
        <v>439</v>
      </c>
      <c r="B49">
        <v>43.94</v>
      </c>
      <c r="C49" t="s">
        <v>102</v>
      </c>
      <c r="D49" t="s">
        <v>439</v>
      </c>
      <c r="E49">
        <v>46.12</v>
      </c>
      <c r="F49" t="s">
        <v>102</v>
      </c>
      <c r="G49" t="s">
        <v>445</v>
      </c>
      <c r="H49">
        <v>47</v>
      </c>
      <c r="I49" t="s">
        <v>38</v>
      </c>
      <c r="J49" t="s">
        <v>445</v>
      </c>
      <c r="K49">
        <v>47</v>
      </c>
      <c r="L49" t="s">
        <v>38</v>
      </c>
      <c r="M49" t="s">
        <v>445</v>
      </c>
      <c r="N49">
        <v>46.05</v>
      </c>
      <c r="O49" t="s">
        <v>38</v>
      </c>
      <c r="P49" t="s">
        <v>445</v>
      </c>
      <c r="Q49">
        <v>46.5</v>
      </c>
      <c r="R49" t="s">
        <v>38</v>
      </c>
      <c r="S49" t="s">
        <v>445</v>
      </c>
      <c r="T49">
        <v>48.35</v>
      </c>
      <c r="U49" t="s">
        <v>38</v>
      </c>
      <c r="V49" t="s">
        <v>445</v>
      </c>
      <c r="W49">
        <v>48</v>
      </c>
      <c r="X49" t="s">
        <v>38</v>
      </c>
      <c r="Y49" t="s">
        <v>445</v>
      </c>
      <c r="Z49">
        <v>56.9</v>
      </c>
      <c r="AA49" t="s">
        <v>38</v>
      </c>
      <c r="AB49" t="s">
        <v>445</v>
      </c>
      <c r="AC49">
        <v>56.49</v>
      </c>
      <c r="AD49" t="s">
        <v>38</v>
      </c>
      <c r="AE49" t="s">
        <v>445</v>
      </c>
      <c r="AF49">
        <v>55.21</v>
      </c>
      <c r="AG49" t="s">
        <v>38</v>
      </c>
      <c r="AH49" t="s">
        <v>445</v>
      </c>
      <c r="AI49">
        <v>55.04</v>
      </c>
      <c r="AJ49" t="s">
        <v>38</v>
      </c>
      <c r="AK49" t="s">
        <v>445</v>
      </c>
      <c r="AL49">
        <v>53.99</v>
      </c>
      <c r="AM49" t="s">
        <v>38</v>
      </c>
      <c r="AN49" t="s">
        <v>445</v>
      </c>
      <c r="AO49">
        <v>52.98</v>
      </c>
      <c r="AP49" t="s">
        <v>38</v>
      </c>
      <c r="AQ49" t="s">
        <v>445</v>
      </c>
      <c r="AR49">
        <v>52</v>
      </c>
      <c r="AS49" t="s">
        <v>38</v>
      </c>
      <c r="AT49" t="s">
        <v>445</v>
      </c>
      <c r="AU49">
        <v>52.99</v>
      </c>
      <c r="AV49" t="s">
        <v>38</v>
      </c>
      <c r="AW49" t="s">
        <v>445</v>
      </c>
      <c r="AX49">
        <v>52.3</v>
      </c>
      <c r="AY49" t="s">
        <v>38</v>
      </c>
      <c r="AZ49" t="s">
        <v>445</v>
      </c>
      <c r="BA49">
        <v>53.45</v>
      </c>
      <c r="BB49" t="s">
        <v>38</v>
      </c>
      <c r="BC49" t="s">
        <v>445</v>
      </c>
      <c r="BD49">
        <v>52.98</v>
      </c>
      <c r="BE49" t="s">
        <v>38</v>
      </c>
      <c r="BF49" t="s">
        <v>445</v>
      </c>
      <c r="BG49">
        <v>51.5</v>
      </c>
      <c r="BH49" t="s">
        <v>38</v>
      </c>
      <c r="BI49" t="s">
        <v>445</v>
      </c>
      <c r="BJ49">
        <v>51.5</v>
      </c>
      <c r="BK49" t="s">
        <v>38</v>
      </c>
      <c r="BL49" t="s">
        <v>445</v>
      </c>
      <c r="BM49">
        <v>49.4</v>
      </c>
      <c r="BN49" t="s">
        <v>38</v>
      </c>
      <c r="BO49" t="s">
        <v>445</v>
      </c>
      <c r="BP49">
        <v>51.59</v>
      </c>
      <c r="BQ49" t="s">
        <v>38</v>
      </c>
      <c r="BR49" t="s">
        <v>445</v>
      </c>
      <c r="BS49">
        <v>51.54</v>
      </c>
      <c r="BT49" t="s">
        <v>38</v>
      </c>
      <c r="BU49" t="s">
        <v>445</v>
      </c>
      <c r="BV49">
        <v>51.45</v>
      </c>
      <c r="BW49" t="s">
        <v>38</v>
      </c>
      <c r="BX49" t="s">
        <v>445</v>
      </c>
      <c r="BY49">
        <v>51</v>
      </c>
      <c r="BZ49" t="s">
        <v>38</v>
      </c>
      <c r="CA49" t="s">
        <v>445</v>
      </c>
      <c r="CB49">
        <v>50.74</v>
      </c>
      <c r="CC49" t="s">
        <v>38</v>
      </c>
      <c r="CD49" t="s">
        <v>445</v>
      </c>
      <c r="CE49">
        <v>51.5</v>
      </c>
      <c r="CF49" t="s">
        <v>38</v>
      </c>
      <c r="CG49" t="s">
        <v>445</v>
      </c>
      <c r="CH49">
        <v>50.75</v>
      </c>
      <c r="CI49" t="s">
        <v>38</v>
      </c>
      <c r="CJ49" t="s">
        <v>445</v>
      </c>
      <c r="CK49">
        <v>49.25</v>
      </c>
      <c r="CL49" t="s">
        <v>38</v>
      </c>
      <c r="CM49" t="s">
        <v>445</v>
      </c>
      <c r="CN49">
        <v>50.05</v>
      </c>
      <c r="CO49" t="s">
        <v>38</v>
      </c>
      <c r="CP49" t="s">
        <v>445</v>
      </c>
      <c r="CQ49">
        <v>50.8</v>
      </c>
      <c r="CR49" t="s">
        <v>38</v>
      </c>
      <c r="CS49" t="s">
        <v>445</v>
      </c>
      <c r="CT49">
        <v>49.5</v>
      </c>
      <c r="CU49" t="s">
        <v>38</v>
      </c>
      <c r="CV49" t="s">
        <v>445</v>
      </c>
      <c r="CW49">
        <v>49.8</v>
      </c>
      <c r="CX49" t="s">
        <v>38</v>
      </c>
      <c r="CY49" t="s">
        <v>445</v>
      </c>
      <c r="CZ49">
        <v>49.75</v>
      </c>
      <c r="DA49" t="s">
        <v>38</v>
      </c>
      <c r="DB49" t="s">
        <v>445</v>
      </c>
      <c r="DC49">
        <v>51</v>
      </c>
      <c r="DD49" t="s">
        <v>38</v>
      </c>
      <c r="DE49" t="s">
        <v>445</v>
      </c>
      <c r="DF49">
        <v>50.03</v>
      </c>
      <c r="DG49" t="s">
        <v>38</v>
      </c>
      <c r="DH49" t="s">
        <v>445</v>
      </c>
      <c r="DI49">
        <v>50.49</v>
      </c>
      <c r="DJ49" t="s">
        <v>38</v>
      </c>
      <c r="DK49" t="s">
        <v>445</v>
      </c>
      <c r="DL49">
        <v>48.5</v>
      </c>
      <c r="DM49" t="s">
        <v>38</v>
      </c>
      <c r="DN49" t="s">
        <v>445</v>
      </c>
      <c r="DO49">
        <v>49.1</v>
      </c>
      <c r="DP49" t="s">
        <v>38</v>
      </c>
      <c r="DQ49" t="s">
        <v>445</v>
      </c>
      <c r="DR49">
        <v>51.99</v>
      </c>
      <c r="DS49" t="s">
        <v>38</v>
      </c>
      <c r="DT49" t="s">
        <v>655</v>
      </c>
      <c r="DU49">
        <v>0.13</v>
      </c>
      <c r="DV49" t="s">
        <v>687</v>
      </c>
      <c r="DW49" t="s">
        <v>655</v>
      </c>
      <c r="DX49">
        <v>0.13</v>
      </c>
      <c r="DY49" t="s">
        <v>687</v>
      </c>
      <c r="DZ49" t="s">
        <v>655</v>
      </c>
      <c r="EA49">
        <v>0.13</v>
      </c>
      <c r="EB49" t="s">
        <v>687</v>
      </c>
      <c r="EC49" t="s">
        <v>655</v>
      </c>
      <c r="ED49">
        <v>0.12</v>
      </c>
      <c r="EE49" t="s">
        <v>687</v>
      </c>
      <c r="EF49" t="s">
        <v>655</v>
      </c>
      <c r="EG49">
        <v>0.11</v>
      </c>
      <c r="EH49" t="s">
        <v>687</v>
      </c>
      <c r="EI49" t="s">
        <v>655</v>
      </c>
      <c r="EJ49">
        <v>0.12</v>
      </c>
      <c r="EK49" t="s">
        <v>687</v>
      </c>
    </row>
    <row r="50" spans="1:141">
      <c r="A50" t="s">
        <v>445</v>
      </c>
      <c r="B50">
        <v>47.01</v>
      </c>
      <c r="C50" t="s">
        <v>38</v>
      </c>
      <c r="D50" t="s">
        <v>445</v>
      </c>
      <c r="E50">
        <v>46.5</v>
      </c>
      <c r="F50" t="s">
        <v>38</v>
      </c>
      <c r="G50" t="s">
        <v>173</v>
      </c>
      <c r="H50">
        <v>0.89</v>
      </c>
      <c r="I50" t="s">
        <v>58</v>
      </c>
      <c r="J50" t="s">
        <v>173</v>
      </c>
      <c r="K50">
        <v>0.89</v>
      </c>
      <c r="L50" t="s">
        <v>58</v>
      </c>
      <c r="M50" t="s">
        <v>173</v>
      </c>
      <c r="N50">
        <v>0.86</v>
      </c>
      <c r="O50" t="s">
        <v>58</v>
      </c>
      <c r="P50" t="s">
        <v>173</v>
      </c>
      <c r="Q50">
        <v>0.84</v>
      </c>
      <c r="R50" t="s">
        <v>58</v>
      </c>
      <c r="S50" t="s">
        <v>173</v>
      </c>
      <c r="T50">
        <v>0.84</v>
      </c>
      <c r="U50" t="s">
        <v>58</v>
      </c>
      <c r="V50" t="s">
        <v>173</v>
      </c>
      <c r="W50">
        <v>0.79</v>
      </c>
      <c r="X50" t="s">
        <v>58</v>
      </c>
      <c r="Y50" t="s">
        <v>173</v>
      </c>
      <c r="Z50">
        <v>0.81</v>
      </c>
      <c r="AA50" t="s">
        <v>58</v>
      </c>
      <c r="AB50" t="s">
        <v>173</v>
      </c>
      <c r="AC50">
        <v>0.82</v>
      </c>
      <c r="AD50" t="s">
        <v>58</v>
      </c>
      <c r="AE50" t="s">
        <v>173</v>
      </c>
      <c r="AF50">
        <v>0.81</v>
      </c>
      <c r="AG50" t="s">
        <v>58</v>
      </c>
      <c r="AH50" t="s">
        <v>173</v>
      </c>
      <c r="AI50">
        <v>0.81</v>
      </c>
      <c r="AJ50" t="s">
        <v>58</v>
      </c>
      <c r="AK50" t="s">
        <v>173</v>
      </c>
      <c r="AL50">
        <v>0.81</v>
      </c>
      <c r="AM50" t="s">
        <v>58</v>
      </c>
      <c r="AN50" t="s">
        <v>173</v>
      </c>
      <c r="AO50">
        <v>0.81</v>
      </c>
      <c r="AP50" t="s">
        <v>58</v>
      </c>
      <c r="AQ50" t="s">
        <v>173</v>
      </c>
      <c r="AR50">
        <v>0.81</v>
      </c>
      <c r="AS50" t="s">
        <v>58</v>
      </c>
      <c r="AT50" t="s">
        <v>173</v>
      </c>
      <c r="AU50">
        <v>0.83</v>
      </c>
      <c r="AV50" t="s">
        <v>58</v>
      </c>
      <c r="AW50" t="s">
        <v>173</v>
      </c>
      <c r="AX50">
        <v>0.84</v>
      </c>
      <c r="AY50" t="s">
        <v>58</v>
      </c>
      <c r="AZ50" t="s">
        <v>173</v>
      </c>
      <c r="BA50">
        <v>0.85</v>
      </c>
      <c r="BB50" t="s">
        <v>58</v>
      </c>
      <c r="BC50" t="s">
        <v>173</v>
      </c>
      <c r="BD50">
        <v>0.84</v>
      </c>
      <c r="BE50" t="s">
        <v>58</v>
      </c>
      <c r="BF50" t="s">
        <v>173</v>
      </c>
      <c r="BG50">
        <v>0.84</v>
      </c>
      <c r="BH50" t="s">
        <v>58</v>
      </c>
      <c r="BI50" t="s">
        <v>173</v>
      </c>
      <c r="BJ50">
        <v>0.83</v>
      </c>
      <c r="BK50" t="s">
        <v>58</v>
      </c>
      <c r="BL50" t="s">
        <v>173</v>
      </c>
      <c r="BM50">
        <v>0.82</v>
      </c>
      <c r="BN50" t="s">
        <v>58</v>
      </c>
      <c r="BO50" t="s">
        <v>173</v>
      </c>
      <c r="BP50">
        <v>0.81</v>
      </c>
      <c r="BQ50" t="s">
        <v>58</v>
      </c>
      <c r="BR50" t="s">
        <v>173</v>
      </c>
      <c r="BS50">
        <v>0.82</v>
      </c>
      <c r="BT50" t="s">
        <v>58</v>
      </c>
      <c r="BU50" t="s">
        <v>173</v>
      </c>
      <c r="BV50">
        <v>0.82</v>
      </c>
      <c r="BW50" t="s">
        <v>58</v>
      </c>
      <c r="BX50" t="s">
        <v>173</v>
      </c>
      <c r="BY50">
        <v>0.82</v>
      </c>
      <c r="BZ50" t="s">
        <v>58</v>
      </c>
      <c r="CA50" t="s">
        <v>173</v>
      </c>
      <c r="CB50">
        <v>0.82</v>
      </c>
      <c r="CC50" t="s">
        <v>58</v>
      </c>
      <c r="CD50" t="s">
        <v>173</v>
      </c>
      <c r="CE50">
        <v>0.82</v>
      </c>
      <c r="CF50" t="s">
        <v>58</v>
      </c>
      <c r="CG50" t="s">
        <v>173</v>
      </c>
      <c r="CH50">
        <v>0.82</v>
      </c>
      <c r="CI50" t="s">
        <v>58</v>
      </c>
      <c r="CJ50" t="s">
        <v>173</v>
      </c>
      <c r="CK50">
        <v>0.82</v>
      </c>
      <c r="CL50" t="s">
        <v>58</v>
      </c>
      <c r="CM50" t="s">
        <v>173</v>
      </c>
      <c r="CN50">
        <v>0.81</v>
      </c>
      <c r="CO50" t="s">
        <v>58</v>
      </c>
      <c r="CP50" t="s">
        <v>173</v>
      </c>
      <c r="CQ50">
        <v>0.82</v>
      </c>
      <c r="CR50" t="s">
        <v>58</v>
      </c>
      <c r="CS50" t="s">
        <v>173</v>
      </c>
      <c r="CT50">
        <v>0.82</v>
      </c>
      <c r="CU50" t="s">
        <v>58</v>
      </c>
      <c r="CV50" t="s">
        <v>173</v>
      </c>
      <c r="CW50">
        <v>0.82</v>
      </c>
      <c r="CX50" t="s">
        <v>58</v>
      </c>
      <c r="CY50" t="s">
        <v>173</v>
      </c>
      <c r="CZ50">
        <v>0.82</v>
      </c>
      <c r="DA50" t="s">
        <v>58</v>
      </c>
      <c r="DB50" t="s">
        <v>173</v>
      </c>
      <c r="DC50">
        <v>0.87</v>
      </c>
      <c r="DD50" t="s">
        <v>58</v>
      </c>
      <c r="DE50" t="s">
        <v>173</v>
      </c>
      <c r="DF50">
        <v>0.86</v>
      </c>
      <c r="DG50" t="s">
        <v>58</v>
      </c>
      <c r="DH50" t="s">
        <v>173</v>
      </c>
      <c r="DI50">
        <v>1.18</v>
      </c>
      <c r="DJ50" t="s">
        <v>58</v>
      </c>
      <c r="DK50" t="s">
        <v>173</v>
      </c>
      <c r="DL50">
        <v>1.07</v>
      </c>
      <c r="DM50" t="s">
        <v>58</v>
      </c>
      <c r="DN50" t="s">
        <v>173</v>
      </c>
      <c r="DO50">
        <v>1.1100000000000001</v>
      </c>
      <c r="DP50" t="s">
        <v>58</v>
      </c>
      <c r="DQ50" t="s">
        <v>173</v>
      </c>
      <c r="DR50">
        <v>1.22</v>
      </c>
      <c r="DS50" t="s">
        <v>58</v>
      </c>
      <c r="DT50" t="s">
        <v>398</v>
      </c>
      <c r="DU50">
        <v>6.43</v>
      </c>
      <c r="DV50" t="s">
        <v>26</v>
      </c>
      <c r="DW50" t="s">
        <v>398</v>
      </c>
      <c r="DX50">
        <v>6.35</v>
      </c>
      <c r="DY50" t="s">
        <v>26</v>
      </c>
      <c r="DZ50" t="s">
        <v>398</v>
      </c>
      <c r="EA50">
        <v>6.41</v>
      </c>
      <c r="EB50" t="s">
        <v>26</v>
      </c>
      <c r="EC50" t="s">
        <v>398</v>
      </c>
      <c r="ED50">
        <v>5.67</v>
      </c>
      <c r="EE50" t="s">
        <v>26</v>
      </c>
      <c r="EF50" t="s">
        <v>398</v>
      </c>
      <c r="EG50">
        <v>6.29</v>
      </c>
      <c r="EH50" t="s">
        <v>26</v>
      </c>
      <c r="EI50" t="s">
        <v>398</v>
      </c>
      <c r="EJ50">
        <v>6.3</v>
      </c>
      <c r="EK50" t="s">
        <v>26</v>
      </c>
    </row>
    <row r="51" spans="1:141">
      <c r="A51" t="s">
        <v>173</v>
      </c>
      <c r="B51">
        <v>0.9</v>
      </c>
      <c r="C51" t="s">
        <v>58</v>
      </c>
      <c r="D51" t="s">
        <v>173</v>
      </c>
      <c r="E51">
        <v>0.88</v>
      </c>
      <c r="F51" t="s">
        <v>58</v>
      </c>
      <c r="G51" t="s">
        <v>655</v>
      </c>
      <c r="H51">
        <v>0.14000000000000001</v>
      </c>
      <c r="I51" t="s">
        <v>687</v>
      </c>
      <c r="J51" t="s">
        <v>655</v>
      </c>
      <c r="K51">
        <v>0.14000000000000001</v>
      </c>
      <c r="L51" t="s">
        <v>687</v>
      </c>
      <c r="M51" t="s">
        <v>655</v>
      </c>
      <c r="N51">
        <v>0.14000000000000001</v>
      </c>
      <c r="O51" t="s">
        <v>687</v>
      </c>
      <c r="P51" t="s">
        <v>655</v>
      </c>
      <c r="Q51">
        <v>0.15</v>
      </c>
      <c r="R51" t="s">
        <v>687</v>
      </c>
      <c r="S51" t="s">
        <v>655</v>
      </c>
      <c r="T51">
        <v>0.15</v>
      </c>
      <c r="U51" t="s">
        <v>687</v>
      </c>
      <c r="V51" t="s">
        <v>655</v>
      </c>
      <c r="W51">
        <v>0.14000000000000001</v>
      </c>
      <c r="X51" t="s">
        <v>687</v>
      </c>
      <c r="Y51" t="s">
        <v>655</v>
      </c>
      <c r="Z51">
        <v>0.14000000000000001</v>
      </c>
      <c r="AA51" t="s">
        <v>687</v>
      </c>
      <c r="AB51" t="s">
        <v>655</v>
      </c>
      <c r="AC51">
        <v>0.14000000000000001</v>
      </c>
      <c r="AD51" t="s">
        <v>687</v>
      </c>
      <c r="AE51" t="s">
        <v>655</v>
      </c>
      <c r="AF51">
        <v>0.14000000000000001</v>
      </c>
      <c r="AG51" t="s">
        <v>687</v>
      </c>
      <c r="AH51" t="s">
        <v>655</v>
      </c>
      <c r="AI51">
        <v>0.14000000000000001</v>
      </c>
      <c r="AJ51" t="s">
        <v>687</v>
      </c>
      <c r="AK51" t="s">
        <v>655</v>
      </c>
      <c r="AL51">
        <v>0.14000000000000001</v>
      </c>
      <c r="AM51" t="s">
        <v>687</v>
      </c>
      <c r="AN51" t="s">
        <v>655</v>
      </c>
      <c r="AO51">
        <v>0.14000000000000001</v>
      </c>
      <c r="AP51" t="s">
        <v>687</v>
      </c>
      <c r="AQ51" t="s">
        <v>655</v>
      </c>
      <c r="AR51">
        <v>0.14000000000000001</v>
      </c>
      <c r="AS51" t="s">
        <v>687</v>
      </c>
      <c r="AT51" t="s">
        <v>655</v>
      </c>
      <c r="AU51">
        <v>0.14000000000000001</v>
      </c>
      <c r="AV51" t="s">
        <v>687</v>
      </c>
      <c r="AW51" t="s">
        <v>655</v>
      </c>
      <c r="AX51">
        <v>0.14000000000000001</v>
      </c>
      <c r="AY51" t="s">
        <v>687</v>
      </c>
      <c r="AZ51" t="s">
        <v>655</v>
      </c>
      <c r="BA51">
        <v>0.14000000000000001</v>
      </c>
      <c r="BB51" t="s">
        <v>687</v>
      </c>
      <c r="BC51" t="s">
        <v>655</v>
      </c>
      <c r="BD51">
        <v>0.14000000000000001</v>
      </c>
      <c r="BE51" t="s">
        <v>687</v>
      </c>
      <c r="BF51" t="s">
        <v>655</v>
      </c>
      <c r="BG51">
        <v>0.14000000000000001</v>
      </c>
      <c r="BH51" t="s">
        <v>687</v>
      </c>
      <c r="BI51" t="s">
        <v>655</v>
      </c>
      <c r="BJ51">
        <v>0.14000000000000001</v>
      </c>
      <c r="BK51" t="s">
        <v>687</v>
      </c>
      <c r="BL51" t="s">
        <v>655</v>
      </c>
      <c r="BM51">
        <v>0.14000000000000001</v>
      </c>
      <c r="BN51" t="s">
        <v>687</v>
      </c>
      <c r="BO51" t="s">
        <v>655</v>
      </c>
      <c r="BP51">
        <v>0.14000000000000001</v>
      </c>
      <c r="BQ51" t="s">
        <v>687</v>
      </c>
      <c r="BR51" t="s">
        <v>655</v>
      </c>
      <c r="BS51">
        <v>0.14000000000000001</v>
      </c>
      <c r="BT51" t="s">
        <v>687</v>
      </c>
      <c r="BU51" t="s">
        <v>655</v>
      </c>
      <c r="BV51">
        <v>0.14000000000000001</v>
      </c>
      <c r="BW51" t="s">
        <v>687</v>
      </c>
      <c r="BX51" t="s">
        <v>655</v>
      </c>
      <c r="BY51">
        <v>0.14000000000000001</v>
      </c>
      <c r="BZ51" t="s">
        <v>687</v>
      </c>
      <c r="CA51" t="s">
        <v>655</v>
      </c>
      <c r="CB51">
        <v>0.14000000000000001</v>
      </c>
      <c r="CC51" t="s">
        <v>687</v>
      </c>
      <c r="CD51" t="s">
        <v>655</v>
      </c>
      <c r="CE51">
        <v>0.14000000000000001</v>
      </c>
      <c r="CF51" t="s">
        <v>687</v>
      </c>
      <c r="CG51" t="s">
        <v>655</v>
      </c>
      <c r="CH51">
        <v>0.14000000000000001</v>
      </c>
      <c r="CI51" t="s">
        <v>687</v>
      </c>
      <c r="CJ51" t="s">
        <v>655</v>
      </c>
      <c r="CK51">
        <v>0.14000000000000001</v>
      </c>
      <c r="CL51" t="s">
        <v>687</v>
      </c>
      <c r="CM51" t="s">
        <v>655</v>
      </c>
      <c r="CN51">
        <v>0.14000000000000001</v>
      </c>
      <c r="CO51" t="s">
        <v>687</v>
      </c>
      <c r="CP51" t="s">
        <v>655</v>
      </c>
      <c r="CQ51">
        <v>0.13</v>
      </c>
      <c r="CR51" t="s">
        <v>687</v>
      </c>
      <c r="CS51" t="s">
        <v>655</v>
      </c>
      <c r="CT51">
        <v>0.14000000000000001</v>
      </c>
      <c r="CU51" t="s">
        <v>687</v>
      </c>
      <c r="CV51" t="s">
        <v>655</v>
      </c>
      <c r="CW51">
        <v>0.12</v>
      </c>
      <c r="CX51" t="s">
        <v>687</v>
      </c>
      <c r="CY51" t="s">
        <v>655</v>
      </c>
      <c r="CZ51">
        <v>0.12</v>
      </c>
      <c r="DA51" t="s">
        <v>687</v>
      </c>
      <c r="DB51" t="s">
        <v>655</v>
      </c>
      <c r="DC51">
        <v>0.12</v>
      </c>
      <c r="DD51" t="s">
        <v>687</v>
      </c>
      <c r="DE51" t="s">
        <v>655</v>
      </c>
      <c r="DF51">
        <v>0.12</v>
      </c>
      <c r="DG51" t="s">
        <v>687</v>
      </c>
      <c r="DH51" t="s">
        <v>655</v>
      </c>
      <c r="DI51">
        <v>0.11</v>
      </c>
      <c r="DJ51" t="s">
        <v>687</v>
      </c>
      <c r="DK51" t="s">
        <v>655</v>
      </c>
      <c r="DL51">
        <v>0.1</v>
      </c>
      <c r="DM51" t="s">
        <v>687</v>
      </c>
      <c r="DN51" t="s">
        <v>655</v>
      </c>
      <c r="DO51">
        <v>0.1</v>
      </c>
      <c r="DP51" t="s">
        <v>687</v>
      </c>
      <c r="DQ51" t="s">
        <v>655</v>
      </c>
      <c r="DR51">
        <v>0.13</v>
      </c>
      <c r="DS51" t="s">
        <v>687</v>
      </c>
      <c r="DT51" t="s">
        <v>174</v>
      </c>
      <c r="DU51">
        <v>18.03</v>
      </c>
      <c r="DV51" t="s">
        <v>40</v>
      </c>
      <c r="DW51" t="s">
        <v>174</v>
      </c>
      <c r="DX51">
        <v>17.8</v>
      </c>
      <c r="DY51" t="s">
        <v>40</v>
      </c>
      <c r="DZ51" t="s">
        <v>174</v>
      </c>
      <c r="EA51">
        <v>17.649999999999999</v>
      </c>
      <c r="EB51" t="s">
        <v>40</v>
      </c>
      <c r="EC51" t="s">
        <v>174</v>
      </c>
      <c r="ED51">
        <v>17.75</v>
      </c>
      <c r="EE51" t="s">
        <v>40</v>
      </c>
      <c r="EF51" t="s">
        <v>174</v>
      </c>
      <c r="EG51">
        <v>17.5</v>
      </c>
      <c r="EH51" t="s">
        <v>40</v>
      </c>
      <c r="EI51" t="s">
        <v>174</v>
      </c>
      <c r="EJ51">
        <v>17.61</v>
      </c>
      <c r="EK51" t="s">
        <v>40</v>
      </c>
    </row>
    <row r="52" spans="1:141">
      <c r="A52" t="s">
        <v>655</v>
      </c>
      <c r="B52">
        <v>0.14000000000000001</v>
      </c>
      <c r="C52" t="s">
        <v>687</v>
      </c>
      <c r="D52" t="s">
        <v>655</v>
      </c>
      <c r="E52">
        <v>0.14000000000000001</v>
      </c>
      <c r="F52" t="s">
        <v>687</v>
      </c>
      <c r="G52" t="s">
        <v>398</v>
      </c>
      <c r="H52">
        <v>6.06</v>
      </c>
      <c r="I52" t="s">
        <v>26</v>
      </c>
      <c r="J52" t="s">
        <v>398</v>
      </c>
      <c r="K52">
        <v>6.05</v>
      </c>
      <c r="L52" t="s">
        <v>26</v>
      </c>
      <c r="M52" t="s">
        <v>398</v>
      </c>
      <c r="N52">
        <v>5.83</v>
      </c>
      <c r="O52" t="s">
        <v>26</v>
      </c>
      <c r="P52" t="s">
        <v>398</v>
      </c>
      <c r="Q52">
        <v>5.8</v>
      </c>
      <c r="R52" t="s">
        <v>26</v>
      </c>
      <c r="S52" t="s">
        <v>398</v>
      </c>
      <c r="T52">
        <v>5.79</v>
      </c>
      <c r="U52" t="s">
        <v>26</v>
      </c>
      <c r="V52" t="s">
        <v>398</v>
      </c>
      <c r="W52">
        <v>5.85</v>
      </c>
      <c r="X52" t="s">
        <v>26</v>
      </c>
      <c r="Y52" t="s">
        <v>398</v>
      </c>
      <c r="Z52">
        <v>5.9</v>
      </c>
      <c r="AA52" t="s">
        <v>26</v>
      </c>
      <c r="AB52" t="s">
        <v>398</v>
      </c>
      <c r="AC52">
        <v>5.99</v>
      </c>
      <c r="AD52" t="s">
        <v>26</v>
      </c>
      <c r="AE52" t="s">
        <v>398</v>
      </c>
      <c r="AF52">
        <v>6</v>
      </c>
      <c r="AG52" t="s">
        <v>26</v>
      </c>
      <c r="AH52" t="s">
        <v>398</v>
      </c>
      <c r="AI52">
        <v>5.98</v>
      </c>
      <c r="AJ52" t="s">
        <v>26</v>
      </c>
      <c r="AK52" t="s">
        <v>398</v>
      </c>
      <c r="AL52">
        <v>5.79</v>
      </c>
      <c r="AM52" t="s">
        <v>26</v>
      </c>
      <c r="AN52" t="s">
        <v>398</v>
      </c>
      <c r="AO52">
        <v>5.7</v>
      </c>
      <c r="AP52" t="s">
        <v>26</v>
      </c>
      <c r="AQ52" t="s">
        <v>398</v>
      </c>
      <c r="AR52">
        <v>5.81</v>
      </c>
      <c r="AS52" t="s">
        <v>26</v>
      </c>
      <c r="AT52" t="s">
        <v>398</v>
      </c>
      <c r="AU52">
        <v>5.86</v>
      </c>
      <c r="AV52" t="s">
        <v>26</v>
      </c>
      <c r="AW52" t="s">
        <v>398</v>
      </c>
      <c r="AX52">
        <v>6</v>
      </c>
      <c r="AY52" t="s">
        <v>26</v>
      </c>
      <c r="AZ52" t="s">
        <v>398</v>
      </c>
      <c r="BA52">
        <v>5.99</v>
      </c>
      <c r="BB52" t="s">
        <v>26</v>
      </c>
      <c r="BC52" t="s">
        <v>398</v>
      </c>
      <c r="BD52">
        <v>6</v>
      </c>
      <c r="BE52" t="s">
        <v>26</v>
      </c>
      <c r="BF52" t="s">
        <v>398</v>
      </c>
      <c r="BG52">
        <v>5.9</v>
      </c>
      <c r="BH52" t="s">
        <v>26</v>
      </c>
      <c r="BI52" t="s">
        <v>398</v>
      </c>
      <c r="BJ52">
        <v>5.9</v>
      </c>
      <c r="BK52" t="s">
        <v>26</v>
      </c>
      <c r="BL52" t="s">
        <v>398</v>
      </c>
      <c r="BM52">
        <v>5.84</v>
      </c>
      <c r="BN52" t="s">
        <v>26</v>
      </c>
      <c r="BO52" t="s">
        <v>398</v>
      </c>
      <c r="BP52">
        <v>5.85</v>
      </c>
      <c r="BQ52" t="s">
        <v>26</v>
      </c>
      <c r="BR52" t="s">
        <v>398</v>
      </c>
      <c r="BS52">
        <v>6</v>
      </c>
      <c r="BT52" t="s">
        <v>26</v>
      </c>
      <c r="BU52" t="s">
        <v>398</v>
      </c>
      <c r="BV52">
        <v>5.9</v>
      </c>
      <c r="BW52" t="s">
        <v>26</v>
      </c>
      <c r="BX52" t="s">
        <v>398</v>
      </c>
      <c r="BY52">
        <v>6.3</v>
      </c>
      <c r="BZ52" t="s">
        <v>26</v>
      </c>
      <c r="CA52" t="s">
        <v>398</v>
      </c>
      <c r="CB52">
        <v>6.16</v>
      </c>
      <c r="CC52" t="s">
        <v>26</v>
      </c>
      <c r="CD52" t="s">
        <v>398</v>
      </c>
      <c r="CE52">
        <v>6.17</v>
      </c>
      <c r="CF52" t="s">
        <v>26</v>
      </c>
      <c r="CG52" t="s">
        <v>398</v>
      </c>
      <c r="CH52">
        <v>6.25</v>
      </c>
      <c r="CI52" t="s">
        <v>26</v>
      </c>
      <c r="CJ52" t="s">
        <v>398</v>
      </c>
      <c r="CK52">
        <v>6.24</v>
      </c>
      <c r="CL52" t="s">
        <v>26</v>
      </c>
      <c r="CM52" t="s">
        <v>398</v>
      </c>
      <c r="CN52">
        <v>6.2</v>
      </c>
      <c r="CO52" t="s">
        <v>26</v>
      </c>
      <c r="CP52" t="s">
        <v>398</v>
      </c>
      <c r="CQ52">
        <v>6.2</v>
      </c>
      <c r="CR52" t="s">
        <v>26</v>
      </c>
      <c r="CS52" t="s">
        <v>398</v>
      </c>
      <c r="CT52">
        <v>6.21</v>
      </c>
      <c r="CU52" t="s">
        <v>26</v>
      </c>
      <c r="CV52" t="s">
        <v>398</v>
      </c>
      <c r="CW52">
        <v>6.04</v>
      </c>
      <c r="CX52" t="s">
        <v>26</v>
      </c>
      <c r="CY52" t="s">
        <v>398</v>
      </c>
      <c r="CZ52">
        <v>6.37</v>
      </c>
      <c r="DA52" t="s">
        <v>26</v>
      </c>
      <c r="DB52" t="s">
        <v>398</v>
      </c>
      <c r="DC52">
        <v>6.18</v>
      </c>
      <c r="DD52" t="s">
        <v>26</v>
      </c>
      <c r="DE52" t="s">
        <v>398</v>
      </c>
      <c r="DF52">
        <v>6.17</v>
      </c>
      <c r="DG52" t="s">
        <v>26</v>
      </c>
      <c r="DH52" t="s">
        <v>398</v>
      </c>
      <c r="DI52">
        <v>5.9</v>
      </c>
      <c r="DJ52" t="s">
        <v>26</v>
      </c>
      <c r="DK52" t="s">
        <v>398</v>
      </c>
      <c r="DL52">
        <v>5.7</v>
      </c>
      <c r="DM52" t="s">
        <v>26</v>
      </c>
      <c r="DN52" t="s">
        <v>398</v>
      </c>
      <c r="DO52">
        <v>5.72</v>
      </c>
      <c r="DP52" t="s">
        <v>26</v>
      </c>
      <c r="DQ52" t="s">
        <v>398</v>
      </c>
      <c r="DR52">
        <v>6.27</v>
      </c>
      <c r="DS52" t="s">
        <v>26</v>
      </c>
      <c r="DT52" t="s">
        <v>759</v>
      </c>
      <c r="DU52">
        <v>14.15</v>
      </c>
      <c r="DV52" t="s">
        <v>175</v>
      </c>
      <c r="DW52" t="s">
        <v>759</v>
      </c>
      <c r="DX52">
        <v>13.97</v>
      </c>
      <c r="DY52" t="s">
        <v>175</v>
      </c>
      <c r="DZ52" t="s">
        <v>759</v>
      </c>
      <c r="EA52">
        <v>13.95</v>
      </c>
      <c r="EB52" t="s">
        <v>175</v>
      </c>
      <c r="EC52" t="s">
        <v>759</v>
      </c>
      <c r="ED52">
        <v>14</v>
      </c>
      <c r="EE52" t="s">
        <v>175</v>
      </c>
      <c r="EF52" t="s">
        <v>759</v>
      </c>
      <c r="EG52">
        <v>13.71</v>
      </c>
      <c r="EH52" t="s">
        <v>175</v>
      </c>
      <c r="EI52" t="s">
        <v>759</v>
      </c>
      <c r="EJ52">
        <v>14</v>
      </c>
      <c r="EK52" t="s">
        <v>175</v>
      </c>
    </row>
    <row r="53" spans="1:141">
      <c r="A53" t="s">
        <v>398</v>
      </c>
      <c r="B53">
        <v>6.15</v>
      </c>
      <c r="C53" t="s">
        <v>26</v>
      </c>
      <c r="D53" t="s">
        <v>398</v>
      </c>
      <c r="E53">
        <v>6.1</v>
      </c>
      <c r="F53" t="s">
        <v>26</v>
      </c>
      <c r="G53" t="s">
        <v>174</v>
      </c>
      <c r="H53">
        <v>20.100000000000001</v>
      </c>
      <c r="I53" t="s">
        <v>40</v>
      </c>
      <c r="J53" t="s">
        <v>174</v>
      </c>
      <c r="K53">
        <v>20.02</v>
      </c>
      <c r="L53" t="s">
        <v>40</v>
      </c>
      <c r="M53" t="s">
        <v>174</v>
      </c>
      <c r="N53">
        <v>19.579999999999998</v>
      </c>
      <c r="O53" t="s">
        <v>40</v>
      </c>
      <c r="P53" t="s">
        <v>174</v>
      </c>
      <c r="Q53">
        <v>19.48</v>
      </c>
      <c r="R53" t="s">
        <v>40</v>
      </c>
      <c r="S53" t="s">
        <v>174</v>
      </c>
      <c r="T53">
        <v>19.600000000000001</v>
      </c>
      <c r="U53" t="s">
        <v>40</v>
      </c>
      <c r="V53" t="s">
        <v>174</v>
      </c>
      <c r="W53">
        <v>19</v>
      </c>
      <c r="X53" t="s">
        <v>40</v>
      </c>
      <c r="Y53" t="s">
        <v>174</v>
      </c>
      <c r="Z53">
        <v>19.2</v>
      </c>
      <c r="AA53" t="s">
        <v>40</v>
      </c>
      <c r="AB53" t="s">
        <v>174</v>
      </c>
      <c r="AC53">
        <v>19.260000000000002</v>
      </c>
      <c r="AD53" t="s">
        <v>40</v>
      </c>
      <c r="AE53" t="s">
        <v>174</v>
      </c>
      <c r="AF53">
        <v>19.239999999999998</v>
      </c>
      <c r="AG53" t="s">
        <v>40</v>
      </c>
      <c r="AH53" t="s">
        <v>174</v>
      </c>
      <c r="AI53">
        <v>19.07</v>
      </c>
      <c r="AJ53" t="s">
        <v>40</v>
      </c>
      <c r="AK53" t="s">
        <v>174</v>
      </c>
      <c r="AL53">
        <v>19.27</v>
      </c>
      <c r="AM53" t="s">
        <v>40</v>
      </c>
      <c r="AN53" t="s">
        <v>174</v>
      </c>
      <c r="AO53">
        <v>18.86</v>
      </c>
      <c r="AP53" t="s">
        <v>40</v>
      </c>
      <c r="AQ53" t="s">
        <v>174</v>
      </c>
      <c r="AR53">
        <v>19.04</v>
      </c>
      <c r="AS53" t="s">
        <v>40</v>
      </c>
      <c r="AT53" t="s">
        <v>174</v>
      </c>
      <c r="AU53">
        <v>19</v>
      </c>
      <c r="AV53" t="s">
        <v>40</v>
      </c>
      <c r="AW53" t="s">
        <v>174</v>
      </c>
      <c r="AX53">
        <v>18.8</v>
      </c>
      <c r="AY53" t="s">
        <v>40</v>
      </c>
      <c r="AZ53" t="s">
        <v>174</v>
      </c>
      <c r="BA53">
        <v>18.95</v>
      </c>
      <c r="BB53" t="s">
        <v>40</v>
      </c>
      <c r="BC53" t="s">
        <v>174</v>
      </c>
      <c r="BD53">
        <v>18.75</v>
      </c>
      <c r="BE53" t="s">
        <v>40</v>
      </c>
      <c r="BF53" t="s">
        <v>174</v>
      </c>
      <c r="BG53">
        <v>18.75</v>
      </c>
      <c r="BH53" t="s">
        <v>40</v>
      </c>
      <c r="BI53" t="s">
        <v>174</v>
      </c>
      <c r="BJ53">
        <v>18.850000000000001</v>
      </c>
      <c r="BK53" t="s">
        <v>40</v>
      </c>
      <c r="BL53" t="s">
        <v>174</v>
      </c>
      <c r="BM53">
        <v>18.760000000000002</v>
      </c>
      <c r="BN53" t="s">
        <v>40</v>
      </c>
      <c r="BO53" t="s">
        <v>174</v>
      </c>
      <c r="BP53">
        <v>20.18</v>
      </c>
      <c r="BQ53" t="s">
        <v>40</v>
      </c>
      <c r="BR53" t="s">
        <v>174</v>
      </c>
      <c r="BS53">
        <v>20.6</v>
      </c>
      <c r="BT53" t="s">
        <v>40</v>
      </c>
      <c r="BU53" t="s">
        <v>174</v>
      </c>
      <c r="BV53">
        <v>20.8</v>
      </c>
      <c r="BW53" t="s">
        <v>40</v>
      </c>
      <c r="BX53" t="s">
        <v>174</v>
      </c>
      <c r="BY53">
        <v>20.81</v>
      </c>
      <c r="BZ53" t="s">
        <v>40</v>
      </c>
      <c r="CA53" t="s">
        <v>174</v>
      </c>
      <c r="CB53">
        <v>20.89</v>
      </c>
      <c r="CC53" t="s">
        <v>40</v>
      </c>
      <c r="CD53" t="s">
        <v>174</v>
      </c>
      <c r="CE53">
        <v>20.89</v>
      </c>
      <c r="CF53" t="s">
        <v>40</v>
      </c>
      <c r="CG53" t="s">
        <v>174</v>
      </c>
      <c r="CH53">
        <v>20.65</v>
      </c>
      <c r="CI53" t="s">
        <v>40</v>
      </c>
      <c r="CJ53" t="s">
        <v>174</v>
      </c>
      <c r="CK53">
        <v>20.62</v>
      </c>
      <c r="CL53" t="s">
        <v>40</v>
      </c>
      <c r="CM53" t="s">
        <v>174</v>
      </c>
      <c r="CN53">
        <v>20.61</v>
      </c>
      <c r="CO53" t="s">
        <v>40</v>
      </c>
      <c r="CP53" t="s">
        <v>174</v>
      </c>
      <c r="CQ53">
        <v>20.53</v>
      </c>
      <c r="CR53" t="s">
        <v>40</v>
      </c>
      <c r="CS53" t="s">
        <v>174</v>
      </c>
      <c r="CT53">
        <v>20.36</v>
      </c>
      <c r="CU53" t="s">
        <v>40</v>
      </c>
      <c r="CV53" t="s">
        <v>174</v>
      </c>
      <c r="CW53">
        <v>20.25</v>
      </c>
      <c r="CX53" t="s">
        <v>40</v>
      </c>
      <c r="CY53" t="s">
        <v>174</v>
      </c>
      <c r="CZ53">
        <v>20.9</v>
      </c>
      <c r="DA53" t="s">
        <v>40</v>
      </c>
      <c r="DB53" t="s">
        <v>174</v>
      </c>
      <c r="DC53">
        <v>21.94</v>
      </c>
      <c r="DD53" t="s">
        <v>40</v>
      </c>
      <c r="DE53" t="s">
        <v>174</v>
      </c>
      <c r="DF53">
        <v>21.8</v>
      </c>
      <c r="DG53" t="s">
        <v>40</v>
      </c>
      <c r="DH53" t="s">
        <v>174</v>
      </c>
      <c r="DI53">
        <v>22.4</v>
      </c>
      <c r="DJ53" t="s">
        <v>40</v>
      </c>
      <c r="DK53" t="s">
        <v>174</v>
      </c>
      <c r="DL53">
        <v>21.56</v>
      </c>
      <c r="DM53" t="s">
        <v>40</v>
      </c>
      <c r="DN53" t="s">
        <v>174</v>
      </c>
      <c r="DO53">
        <v>21.45</v>
      </c>
      <c r="DP53" t="s">
        <v>40</v>
      </c>
      <c r="DQ53" t="s">
        <v>174</v>
      </c>
      <c r="DR53">
        <v>18.66</v>
      </c>
      <c r="DS53" t="s">
        <v>40</v>
      </c>
      <c r="DT53" t="s">
        <v>379</v>
      </c>
      <c r="DU53">
        <v>8.3000000000000007</v>
      </c>
      <c r="DV53" t="s">
        <v>176</v>
      </c>
      <c r="DW53" t="s">
        <v>379</v>
      </c>
      <c r="DX53">
        <v>8.1300000000000008</v>
      </c>
      <c r="DY53" t="s">
        <v>176</v>
      </c>
      <c r="DZ53" t="s">
        <v>379</v>
      </c>
      <c r="EA53">
        <v>8</v>
      </c>
      <c r="EB53" t="s">
        <v>176</v>
      </c>
      <c r="EC53" t="s">
        <v>379</v>
      </c>
      <c r="ED53">
        <v>8.24</v>
      </c>
      <c r="EE53" t="s">
        <v>176</v>
      </c>
      <c r="EF53" t="s">
        <v>379</v>
      </c>
      <c r="EG53">
        <v>8.4</v>
      </c>
      <c r="EH53" t="s">
        <v>176</v>
      </c>
      <c r="EI53" t="s">
        <v>379</v>
      </c>
      <c r="EJ53">
        <v>8.3699999999999992</v>
      </c>
      <c r="EK53" t="s">
        <v>176</v>
      </c>
    </row>
    <row r="54" spans="1:141">
      <c r="A54" t="s">
        <v>174</v>
      </c>
      <c r="B54">
        <v>20.65</v>
      </c>
      <c r="C54" t="s">
        <v>40</v>
      </c>
      <c r="D54" t="s">
        <v>174</v>
      </c>
      <c r="E54">
        <v>19.93</v>
      </c>
      <c r="F54" t="s">
        <v>40</v>
      </c>
      <c r="G54" t="s">
        <v>759</v>
      </c>
      <c r="H54">
        <v>14.5</v>
      </c>
      <c r="I54" t="s">
        <v>175</v>
      </c>
      <c r="J54" t="s">
        <v>759</v>
      </c>
      <c r="K54">
        <v>14.57</v>
      </c>
      <c r="L54" t="s">
        <v>175</v>
      </c>
      <c r="M54" t="s">
        <v>759</v>
      </c>
      <c r="N54">
        <v>14.51</v>
      </c>
      <c r="O54" t="s">
        <v>175</v>
      </c>
      <c r="P54" t="s">
        <v>759</v>
      </c>
      <c r="Q54">
        <v>14.47</v>
      </c>
      <c r="R54" t="s">
        <v>175</v>
      </c>
      <c r="S54" t="s">
        <v>759</v>
      </c>
      <c r="T54">
        <v>14.58</v>
      </c>
      <c r="U54" t="s">
        <v>175</v>
      </c>
      <c r="V54" t="s">
        <v>759</v>
      </c>
      <c r="W54">
        <v>14.54</v>
      </c>
      <c r="X54" t="s">
        <v>175</v>
      </c>
      <c r="Y54" t="s">
        <v>759</v>
      </c>
      <c r="Z54">
        <v>14.55</v>
      </c>
      <c r="AA54" t="s">
        <v>175</v>
      </c>
      <c r="AB54" t="s">
        <v>759</v>
      </c>
      <c r="AC54">
        <v>14.6</v>
      </c>
      <c r="AD54" t="s">
        <v>175</v>
      </c>
      <c r="AE54" t="s">
        <v>759</v>
      </c>
      <c r="AF54">
        <v>14.6</v>
      </c>
      <c r="AG54" t="s">
        <v>175</v>
      </c>
      <c r="AH54" t="s">
        <v>759</v>
      </c>
      <c r="AI54">
        <v>15.26</v>
      </c>
      <c r="AJ54" t="s">
        <v>175</v>
      </c>
      <c r="AK54" t="s">
        <v>759</v>
      </c>
      <c r="AL54">
        <v>15.3</v>
      </c>
      <c r="AM54" t="s">
        <v>175</v>
      </c>
      <c r="AN54" t="s">
        <v>759</v>
      </c>
      <c r="AO54">
        <v>15.41</v>
      </c>
      <c r="AP54" t="s">
        <v>175</v>
      </c>
      <c r="AQ54" t="s">
        <v>759</v>
      </c>
      <c r="AR54">
        <v>15.46</v>
      </c>
      <c r="AS54" t="s">
        <v>175</v>
      </c>
      <c r="AT54" t="s">
        <v>759</v>
      </c>
      <c r="AU54">
        <v>16.510000000000002</v>
      </c>
      <c r="AV54" t="s">
        <v>175</v>
      </c>
      <c r="AW54" t="s">
        <v>759</v>
      </c>
      <c r="AX54">
        <v>15.99</v>
      </c>
      <c r="AY54" t="s">
        <v>175</v>
      </c>
      <c r="AZ54" t="s">
        <v>759</v>
      </c>
      <c r="BA54">
        <v>16.809999999999999</v>
      </c>
      <c r="BB54" t="s">
        <v>175</v>
      </c>
      <c r="BC54" t="s">
        <v>759</v>
      </c>
      <c r="BD54">
        <v>16.600000000000001</v>
      </c>
      <c r="BE54" t="s">
        <v>175</v>
      </c>
      <c r="BF54" t="s">
        <v>759</v>
      </c>
      <c r="BG54">
        <v>16.2</v>
      </c>
      <c r="BH54" t="s">
        <v>175</v>
      </c>
      <c r="BI54" t="s">
        <v>759</v>
      </c>
      <c r="BJ54">
        <v>15.94</v>
      </c>
      <c r="BK54" t="s">
        <v>175</v>
      </c>
      <c r="BL54" t="s">
        <v>759</v>
      </c>
      <c r="BM54">
        <v>15.06</v>
      </c>
      <c r="BN54" t="s">
        <v>175</v>
      </c>
      <c r="BO54" t="s">
        <v>759</v>
      </c>
      <c r="BP54">
        <v>14.8</v>
      </c>
      <c r="BQ54" t="s">
        <v>175</v>
      </c>
      <c r="BR54" t="s">
        <v>759</v>
      </c>
      <c r="BS54">
        <v>15.42</v>
      </c>
      <c r="BT54" t="s">
        <v>175</v>
      </c>
      <c r="BU54" t="s">
        <v>759</v>
      </c>
      <c r="BV54">
        <v>15.02</v>
      </c>
      <c r="BW54" t="s">
        <v>175</v>
      </c>
      <c r="BX54" t="s">
        <v>759</v>
      </c>
      <c r="BY54">
        <v>14.84</v>
      </c>
      <c r="BZ54" t="s">
        <v>175</v>
      </c>
      <c r="CA54" t="s">
        <v>759</v>
      </c>
      <c r="CB54">
        <v>14.88</v>
      </c>
      <c r="CC54" t="s">
        <v>175</v>
      </c>
      <c r="CD54" t="s">
        <v>759</v>
      </c>
      <c r="CE54">
        <v>14.75</v>
      </c>
      <c r="CF54" t="s">
        <v>175</v>
      </c>
      <c r="CG54" t="s">
        <v>759</v>
      </c>
      <c r="CH54">
        <v>15.22</v>
      </c>
      <c r="CI54" t="s">
        <v>175</v>
      </c>
      <c r="CJ54" t="s">
        <v>759</v>
      </c>
      <c r="CK54">
        <v>15.18</v>
      </c>
      <c r="CL54" t="s">
        <v>175</v>
      </c>
      <c r="CM54" t="s">
        <v>759</v>
      </c>
      <c r="CN54">
        <v>14.91</v>
      </c>
      <c r="CO54" t="s">
        <v>175</v>
      </c>
      <c r="CP54" t="s">
        <v>759</v>
      </c>
      <c r="CQ54">
        <v>14.91</v>
      </c>
      <c r="CR54" t="s">
        <v>175</v>
      </c>
      <c r="CS54" t="s">
        <v>759</v>
      </c>
      <c r="CT54">
        <v>14.81</v>
      </c>
      <c r="CU54" t="s">
        <v>175</v>
      </c>
      <c r="CV54" t="s">
        <v>759</v>
      </c>
      <c r="CW54">
        <v>14.55</v>
      </c>
      <c r="CX54" t="s">
        <v>175</v>
      </c>
      <c r="CY54" t="s">
        <v>759</v>
      </c>
      <c r="CZ54">
        <v>14.44</v>
      </c>
      <c r="DA54" t="s">
        <v>175</v>
      </c>
      <c r="DB54" t="s">
        <v>759</v>
      </c>
      <c r="DC54">
        <v>14.21</v>
      </c>
      <c r="DD54" t="s">
        <v>175</v>
      </c>
      <c r="DE54" t="s">
        <v>759</v>
      </c>
      <c r="DF54">
        <v>14.31</v>
      </c>
      <c r="DG54" t="s">
        <v>175</v>
      </c>
      <c r="DH54" t="s">
        <v>759</v>
      </c>
      <c r="DI54">
        <v>14.55</v>
      </c>
      <c r="DJ54" t="s">
        <v>175</v>
      </c>
      <c r="DK54" t="s">
        <v>759</v>
      </c>
      <c r="DL54">
        <v>13.61</v>
      </c>
      <c r="DM54" t="s">
        <v>175</v>
      </c>
      <c r="DN54" t="s">
        <v>759</v>
      </c>
      <c r="DO54">
        <v>13.39</v>
      </c>
      <c r="DP54" t="s">
        <v>175</v>
      </c>
      <c r="DQ54" t="s">
        <v>759</v>
      </c>
      <c r="DR54">
        <v>14.25</v>
      </c>
      <c r="DS54" t="s">
        <v>175</v>
      </c>
      <c r="DT54" t="s">
        <v>315</v>
      </c>
      <c r="DU54">
        <v>4.4000000000000004</v>
      </c>
      <c r="DV54" t="s">
        <v>68</v>
      </c>
      <c r="DW54" t="s">
        <v>315</v>
      </c>
      <c r="DX54">
        <v>4.5999999999999996</v>
      </c>
      <c r="DY54" t="s">
        <v>68</v>
      </c>
      <c r="DZ54" t="s">
        <v>315</v>
      </c>
      <c r="EA54">
        <v>4.63</v>
      </c>
      <c r="EB54" t="s">
        <v>68</v>
      </c>
      <c r="EC54" t="s">
        <v>315</v>
      </c>
      <c r="ED54">
        <v>4.8899999999999997</v>
      </c>
      <c r="EE54" t="s">
        <v>68</v>
      </c>
      <c r="EF54" t="s">
        <v>315</v>
      </c>
      <c r="EG54">
        <v>5.66</v>
      </c>
      <c r="EH54" t="s">
        <v>68</v>
      </c>
      <c r="EI54" t="s">
        <v>315</v>
      </c>
      <c r="EJ54">
        <v>5.79</v>
      </c>
      <c r="EK54" t="s">
        <v>68</v>
      </c>
    </row>
    <row r="55" spans="1:141">
      <c r="A55" t="s">
        <v>759</v>
      </c>
      <c r="B55">
        <v>14.5</v>
      </c>
      <c r="C55" t="s">
        <v>175</v>
      </c>
      <c r="D55" t="s">
        <v>759</v>
      </c>
      <c r="E55">
        <v>14.5</v>
      </c>
      <c r="F55" t="s">
        <v>175</v>
      </c>
      <c r="G55" t="s">
        <v>379</v>
      </c>
      <c r="H55">
        <v>7.87</v>
      </c>
      <c r="I55" t="s">
        <v>176</v>
      </c>
      <c r="J55" t="s">
        <v>379</v>
      </c>
      <c r="K55">
        <v>8</v>
      </c>
      <c r="L55" t="s">
        <v>176</v>
      </c>
      <c r="M55" t="s">
        <v>379</v>
      </c>
      <c r="N55">
        <v>7.86</v>
      </c>
      <c r="O55" t="s">
        <v>176</v>
      </c>
      <c r="P55" t="s">
        <v>379</v>
      </c>
      <c r="Q55">
        <v>7.77</v>
      </c>
      <c r="R55" t="s">
        <v>176</v>
      </c>
      <c r="S55" t="s">
        <v>379</v>
      </c>
      <c r="T55">
        <v>7.94</v>
      </c>
      <c r="U55" t="s">
        <v>176</v>
      </c>
      <c r="V55" t="s">
        <v>379</v>
      </c>
      <c r="W55">
        <v>8.0500000000000007</v>
      </c>
      <c r="X55" t="s">
        <v>176</v>
      </c>
      <c r="Y55" t="s">
        <v>379</v>
      </c>
      <c r="Z55">
        <v>8.3000000000000007</v>
      </c>
      <c r="AA55" t="s">
        <v>176</v>
      </c>
      <c r="AB55" t="s">
        <v>379</v>
      </c>
      <c r="AC55">
        <v>8.5</v>
      </c>
      <c r="AD55" t="s">
        <v>176</v>
      </c>
      <c r="AE55" t="s">
        <v>379</v>
      </c>
      <c r="AF55">
        <v>8.5</v>
      </c>
      <c r="AG55" t="s">
        <v>176</v>
      </c>
      <c r="AH55" t="s">
        <v>379</v>
      </c>
      <c r="AI55">
        <v>8.32</v>
      </c>
      <c r="AJ55" t="s">
        <v>176</v>
      </c>
      <c r="AK55" t="s">
        <v>379</v>
      </c>
      <c r="AL55">
        <v>8.1</v>
      </c>
      <c r="AM55" t="s">
        <v>176</v>
      </c>
      <c r="AN55" t="s">
        <v>379</v>
      </c>
      <c r="AO55">
        <v>8.06</v>
      </c>
      <c r="AP55" t="s">
        <v>176</v>
      </c>
      <c r="AQ55" t="s">
        <v>379</v>
      </c>
      <c r="AR55">
        <v>8.1</v>
      </c>
      <c r="AS55" t="s">
        <v>176</v>
      </c>
      <c r="AT55" t="s">
        <v>379</v>
      </c>
      <c r="AU55">
        <v>8.1300000000000008</v>
      </c>
      <c r="AV55" t="s">
        <v>176</v>
      </c>
      <c r="AW55" t="s">
        <v>379</v>
      </c>
      <c r="AX55">
        <v>8.15</v>
      </c>
      <c r="AY55" t="s">
        <v>176</v>
      </c>
      <c r="AZ55" t="s">
        <v>379</v>
      </c>
      <c r="BA55">
        <v>8.3000000000000007</v>
      </c>
      <c r="BB55" t="s">
        <v>176</v>
      </c>
      <c r="BC55" t="s">
        <v>379</v>
      </c>
      <c r="BD55">
        <v>8.3000000000000007</v>
      </c>
      <c r="BE55" t="s">
        <v>176</v>
      </c>
      <c r="BF55" t="s">
        <v>379</v>
      </c>
      <c r="BG55">
        <v>8.18</v>
      </c>
      <c r="BH55" t="s">
        <v>176</v>
      </c>
      <c r="BI55" t="s">
        <v>379</v>
      </c>
      <c r="BJ55">
        <v>8.3000000000000007</v>
      </c>
      <c r="BK55" t="s">
        <v>176</v>
      </c>
      <c r="BL55" t="s">
        <v>379</v>
      </c>
      <c r="BM55">
        <v>8.1999999999999993</v>
      </c>
      <c r="BN55" t="s">
        <v>176</v>
      </c>
      <c r="BO55" t="s">
        <v>379</v>
      </c>
      <c r="BP55">
        <v>8.16</v>
      </c>
      <c r="BQ55" t="s">
        <v>176</v>
      </c>
      <c r="BR55" t="s">
        <v>379</v>
      </c>
      <c r="BS55">
        <v>8.1999999999999993</v>
      </c>
      <c r="BT55" t="s">
        <v>176</v>
      </c>
      <c r="BU55" t="s">
        <v>379</v>
      </c>
      <c r="BV55">
        <v>8.16</v>
      </c>
      <c r="BW55" t="s">
        <v>176</v>
      </c>
      <c r="BX55" t="s">
        <v>379</v>
      </c>
      <c r="BY55">
        <v>8.23</v>
      </c>
      <c r="BZ55" t="s">
        <v>176</v>
      </c>
      <c r="CA55" t="s">
        <v>379</v>
      </c>
      <c r="CB55">
        <v>8.1300000000000008</v>
      </c>
      <c r="CC55" t="s">
        <v>176</v>
      </c>
      <c r="CD55" t="s">
        <v>379</v>
      </c>
      <c r="CE55">
        <v>8.08</v>
      </c>
      <c r="CF55" t="s">
        <v>176</v>
      </c>
      <c r="CG55" t="s">
        <v>379</v>
      </c>
      <c r="CH55">
        <v>8.1300000000000008</v>
      </c>
      <c r="CI55" t="s">
        <v>176</v>
      </c>
      <c r="CJ55" t="s">
        <v>379</v>
      </c>
      <c r="CK55">
        <v>8.14</v>
      </c>
      <c r="CL55" t="s">
        <v>176</v>
      </c>
      <c r="CM55" t="s">
        <v>379</v>
      </c>
      <c r="CN55">
        <v>8.25</v>
      </c>
      <c r="CO55" t="s">
        <v>176</v>
      </c>
      <c r="CP55" t="s">
        <v>379</v>
      </c>
      <c r="CQ55">
        <v>8.1999999999999993</v>
      </c>
      <c r="CR55" t="s">
        <v>176</v>
      </c>
      <c r="CS55" t="s">
        <v>379</v>
      </c>
      <c r="CT55">
        <v>8.3000000000000007</v>
      </c>
      <c r="CU55" t="s">
        <v>176</v>
      </c>
      <c r="CV55" t="s">
        <v>379</v>
      </c>
      <c r="CW55">
        <v>8.23</v>
      </c>
      <c r="CX55" t="s">
        <v>176</v>
      </c>
      <c r="CY55" t="s">
        <v>379</v>
      </c>
      <c r="CZ55">
        <v>8.26</v>
      </c>
      <c r="DA55" t="s">
        <v>176</v>
      </c>
      <c r="DB55" t="s">
        <v>379</v>
      </c>
      <c r="DC55">
        <v>8.41</v>
      </c>
      <c r="DD55" t="s">
        <v>176</v>
      </c>
      <c r="DE55" t="s">
        <v>379</v>
      </c>
      <c r="DF55">
        <v>8.35</v>
      </c>
      <c r="DG55" t="s">
        <v>176</v>
      </c>
      <c r="DH55" t="s">
        <v>379</v>
      </c>
      <c r="DI55">
        <v>8.43</v>
      </c>
      <c r="DJ55" t="s">
        <v>176</v>
      </c>
      <c r="DK55" t="s">
        <v>379</v>
      </c>
      <c r="DL55">
        <v>7.65</v>
      </c>
      <c r="DM55" t="s">
        <v>176</v>
      </c>
      <c r="DN55" t="s">
        <v>379</v>
      </c>
      <c r="DO55">
        <v>7.51</v>
      </c>
      <c r="DP55" t="s">
        <v>176</v>
      </c>
      <c r="DQ55" t="s">
        <v>379</v>
      </c>
      <c r="DR55">
        <v>8.02</v>
      </c>
      <c r="DS55" t="s">
        <v>176</v>
      </c>
      <c r="DT55" t="s">
        <v>709</v>
      </c>
      <c r="DU55">
        <v>81.2</v>
      </c>
      <c r="DV55" t="s">
        <v>69</v>
      </c>
      <c r="DW55" t="s">
        <v>709</v>
      </c>
      <c r="DX55">
        <v>80.11</v>
      </c>
      <c r="DY55" t="s">
        <v>69</v>
      </c>
      <c r="DZ55" t="s">
        <v>709</v>
      </c>
      <c r="EA55">
        <v>79.900000000000006</v>
      </c>
      <c r="EB55" t="s">
        <v>69</v>
      </c>
      <c r="EC55" t="s">
        <v>709</v>
      </c>
      <c r="ED55">
        <v>82.85</v>
      </c>
      <c r="EE55" t="s">
        <v>69</v>
      </c>
      <c r="EF55" t="s">
        <v>709</v>
      </c>
      <c r="EG55">
        <v>84.96</v>
      </c>
      <c r="EH55" t="s">
        <v>69</v>
      </c>
      <c r="EI55" t="s">
        <v>709</v>
      </c>
      <c r="EJ55">
        <v>84.94</v>
      </c>
      <c r="EK55" t="s">
        <v>69</v>
      </c>
    </row>
    <row r="56" spans="1:141">
      <c r="A56" t="s">
        <v>379</v>
      </c>
      <c r="B56">
        <v>7.96</v>
      </c>
      <c r="C56" t="s">
        <v>176</v>
      </c>
      <c r="D56" t="s">
        <v>379</v>
      </c>
      <c r="E56">
        <v>8</v>
      </c>
      <c r="F56" t="s">
        <v>176</v>
      </c>
      <c r="G56" t="s">
        <v>315</v>
      </c>
      <c r="H56">
        <v>4.5599999999999996</v>
      </c>
      <c r="I56" t="s">
        <v>68</v>
      </c>
      <c r="J56" t="s">
        <v>315</v>
      </c>
      <c r="K56">
        <v>4.57</v>
      </c>
      <c r="L56" t="s">
        <v>68</v>
      </c>
      <c r="M56" t="s">
        <v>315</v>
      </c>
      <c r="N56">
        <v>4.4000000000000004</v>
      </c>
      <c r="O56" t="s">
        <v>68</v>
      </c>
      <c r="P56" t="s">
        <v>315</v>
      </c>
      <c r="Q56">
        <v>4.4000000000000004</v>
      </c>
      <c r="R56" t="s">
        <v>68</v>
      </c>
      <c r="S56" t="s">
        <v>315</v>
      </c>
      <c r="T56">
        <v>4.57</v>
      </c>
      <c r="U56" t="s">
        <v>68</v>
      </c>
      <c r="V56" t="s">
        <v>315</v>
      </c>
      <c r="W56">
        <v>4.4000000000000004</v>
      </c>
      <c r="X56" t="s">
        <v>68</v>
      </c>
      <c r="Y56" t="s">
        <v>315</v>
      </c>
      <c r="Z56">
        <v>4.7</v>
      </c>
      <c r="AA56" t="s">
        <v>68</v>
      </c>
      <c r="AB56" t="s">
        <v>315</v>
      </c>
      <c r="AC56">
        <v>4.55</v>
      </c>
      <c r="AD56" t="s">
        <v>68</v>
      </c>
      <c r="AE56" t="s">
        <v>315</v>
      </c>
      <c r="AF56">
        <v>4.59</v>
      </c>
      <c r="AG56" t="s">
        <v>68</v>
      </c>
      <c r="AH56" t="s">
        <v>315</v>
      </c>
      <c r="AI56">
        <v>4.43</v>
      </c>
      <c r="AJ56" t="s">
        <v>68</v>
      </c>
      <c r="AK56" t="s">
        <v>315</v>
      </c>
      <c r="AL56">
        <v>4.4800000000000004</v>
      </c>
      <c r="AM56" t="s">
        <v>68</v>
      </c>
      <c r="AN56" t="s">
        <v>315</v>
      </c>
      <c r="AO56">
        <v>4.4000000000000004</v>
      </c>
      <c r="AP56" t="s">
        <v>68</v>
      </c>
      <c r="AQ56" t="s">
        <v>315</v>
      </c>
      <c r="AR56">
        <v>4.53</v>
      </c>
      <c r="AS56" t="s">
        <v>68</v>
      </c>
      <c r="AT56" t="s">
        <v>315</v>
      </c>
      <c r="AU56">
        <v>4.4800000000000004</v>
      </c>
      <c r="AV56" t="s">
        <v>68</v>
      </c>
      <c r="AW56" t="s">
        <v>315</v>
      </c>
      <c r="AX56">
        <v>4.49</v>
      </c>
      <c r="AY56" t="s">
        <v>68</v>
      </c>
      <c r="AZ56" t="s">
        <v>315</v>
      </c>
      <c r="BA56">
        <v>4.47</v>
      </c>
      <c r="BB56" t="s">
        <v>68</v>
      </c>
      <c r="BC56" t="s">
        <v>315</v>
      </c>
      <c r="BD56">
        <v>4.28</v>
      </c>
      <c r="BE56" t="s">
        <v>68</v>
      </c>
      <c r="BF56" t="s">
        <v>315</v>
      </c>
      <c r="BG56">
        <v>4.29</v>
      </c>
      <c r="BH56" t="s">
        <v>68</v>
      </c>
      <c r="BI56" t="s">
        <v>315</v>
      </c>
      <c r="BJ56">
        <v>4.24</v>
      </c>
      <c r="BK56" t="s">
        <v>68</v>
      </c>
      <c r="BL56" t="s">
        <v>315</v>
      </c>
      <c r="BM56">
        <v>4.22</v>
      </c>
      <c r="BN56" t="s">
        <v>68</v>
      </c>
      <c r="BO56" t="s">
        <v>315</v>
      </c>
      <c r="BP56">
        <v>4.13</v>
      </c>
      <c r="BQ56" t="s">
        <v>68</v>
      </c>
      <c r="BR56" t="s">
        <v>315</v>
      </c>
      <c r="BS56">
        <v>4.1500000000000004</v>
      </c>
      <c r="BT56" t="s">
        <v>68</v>
      </c>
      <c r="BU56" t="s">
        <v>315</v>
      </c>
      <c r="BV56">
        <v>4.1900000000000004</v>
      </c>
      <c r="BW56" t="s">
        <v>68</v>
      </c>
      <c r="BX56" t="s">
        <v>315</v>
      </c>
      <c r="BY56">
        <v>4.1399999999999997</v>
      </c>
      <c r="BZ56" t="s">
        <v>68</v>
      </c>
      <c r="CA56" t="s">
        <v>315</v>
      </c>
      <c r="CB56">
        <v>4.28</v>
      </c>
      <c r="CC56" t="s">
        <v>68</v>
      </c>
      <c r="CD56" t="s">
        <v>315</v>
      </c>
      <c r="CE56">
        <v>4.2</v>
      </c>
      <c r="CF56" t="s">
        <v>68</v>
      </c>
      <c r="CG56" t="s">
        <v>315</v>
      </c>
      <c r="CH56">
        <v>4.26</v>
      </c>
      <c r="CI56" t="s">
        <v>68</v>
      </c>
      <c r="CJ56" t="s">
        <v>315</v>
      </c>
      <c r="CK56">
        <v>4.3</v>
      </c>
      <c r="CL56" t="s">
        <v>68</v>
      </c>
      <c r="CM56" t="s">
        <v>315</v>
      </c>
      <c r="CN56">
        <v>4.24</v>
      </c>
      <c r="CO56" t="s">
        <v>68</v>
      </c>
      <c r="CP56" t="s">
        <v>315</v>
      </c>
      <c r="CQ56">
        <v>4.17</v>
      </c>
      <c r="CR56" t="s">
        <v>68</v>
      </c>
      <c r="CS56" t="s">
        <v>315</v>
      </c>
      <c r="CT56">
        <v>4.3</v>
      </c>
      <c r="CU56" t="s">
        <v>68</v>
      </c>
      <c r="CV56" t="s">
        <v>315</v>
      </c>
      <c r="CW56">
        <v>4.3099999999999996</v>
      </c>
      <c r="CX56" t="s">
        <v>68</v>
      </c>
      <c r="CY56" t="s">
        <v>315</v>
      </c>
      <c r="CZ56">
        <v>4.17</v>
      </c>
      <c r="DA56" t="s">
        <v>68</v>
      </c>
      <c r="DB56" t="s">
        <v>315</v>
      </c>
      <c r="DC56">
        <v>4.13</v>
      </c>
      <c r="DD56" t="s">
        <v>68</v>
      </c>
      <c r="DE56" t="s">
        <v>315</v>
      </c>
      <c r="DF56">
        <v>4.1500000000000004</v>
      </c>
      <c r="DG56" t="s">
        <v>68</v>
      </c>
      <c r="DH56" t="s">
        <v>315</v>
      </c>
      <c r="DI56">
        <v>4.3499999999999996</v>
      </c>
      <c r="DJ56" t="s">
        <v>68</v>
      </c>
      <c r="DK56" t="s">
        <v>315</v>
      </c>
      <c r="DL56">
        <v>4.3</v>
      </c>
      <c r="DM56" t="s">
        <v>68</v>
      </c>
      <c r="DN56" t="s">
        <v>315</v>
      </c>
      <c r="DO56">
        <v>4.17</v>
      </c>
      <c r="DP56" t="s">
        <v>68</v>
      </c>
      <c r="DQ56" t="s">
        <v>315</v>
      </c>
      <c r="DR56">
        <v>4.3</v>
      </c>
      <c r="DS56" t="s">
        <v>68</v>
      </c>
      <c r="DT56" t="s">
        <v>338</v>
      </c>
      <c r="DU56">
        <v>0.81</v>
      </c>
      <c r="DV56" t="s">
        <v>114</v>
      </c>
      <c r="DW56" t="s">
        <v>338</v>
      </c>
      <c r="DX56">
        <v>0.81</v>
      </c>
      <c r="DY56" t="s">
        <v>114</v>
      </c>
      <c r="DZ56" t="s">
        <v>338</v>
      </c>
      <c r="EA56">
        <v>0.69</v>
      </c>
      <c r="EB56" t="s">
        <v>114</v>
      </c>
      <c r="EC56" t="s">
        <v>338</v>
      </c>
      <c r="ED56">
        <v>0.76</v>
      </c>
      <c r="EE56" t="s">
        <v>114</v>
      </c>
      <c r="EF56" t="s">
        <v>338</v>
      </c>
      <c r="EG56">
        <v>0.65</v>
      </c>
      <c r="EH56" t="s">
        <v>114</v>
      </c>
      <c r="EI56" t="s">
        <v>338</v>
      </c>
      <c r="EJ56">
        <v>0.68</v>
      </c>
      <c r="EK56" t="s">
        <v>114</v>
      </c>
    </row>
    <row r="57" spans="1:141">
      <c r="A57" t="s">
        <v>315</v>
      </c>
      <c r="B57">
        <v>4.71</v>
      </c>
      <c r="C57" t="s">
        <v>68</v>
      </c>
      <c r="D57" t="s">
        <v>315</v>
      </c>
      <c r="E57">
        <v>4.6399999999999997</v>
      </c>
      <c r="F57" t="s">
        <v>68</v>
      </c>
      <c r="G57" t="s">
        <v>709</v>
      </c>
      <c r="H57">
        <v>83.99</v>
      </c>
      <c r="I57" t="s">
        <v>69</v>
      </c>
      <c r="J57" t="s">
        <v>709</v>
      </c>
      <c r="K57">
        <v>83.53</v>
      </c>
      <c r="L57" t="s">
        <v>69</v>
      </c>
      <c r="M57" t="s">
        <v>709</v>
      </c>
      <c r="N57">
        <v>82.6</v>
      </c>
      <c r="O57" t="s">
        <v>69</v>
      </c>
      <c r="P57" t="s">
        <v>709</v>
      </c>
      <c r="Q57">
        <v>81.45</v>
      </c>
      <c r="R57" t="s">
        <v>69</v>
      </c>
      <c r="S57" t="s">
        <v>709</v>
      </c>
      <c r="T57">
        <v>81.599999999999994</v>
      </c>
      <c r="U57" t="s">
        <v>69</v>
      </c>
      <c r="V57" t="s">
        <v>709</v>
      </c>
      <c r="W57">
        <v>78.5</v>
      </c>
      <c r="X57" t="s">
        <v>69</v>
      </c>
      <c r="Y57" t="s">
        <v>709</v>
      </c>
      <c r="Z57">
        <v>79.11</v>
      </c>
      <c r="AA57" t="s">
        <v>69</v>
      </c>
      <c r="AB57" t="s">
        <v>709</v>
      </c>
      <c r="AC57">
        <v>78.849999999999994</v>
      </c>
      <c r="AD57" t="s">
        <v>69</v>
      </c>
      <c r="AE57" t="s">
        <v>709</v>
      </c>
      <c r="AF57">
        <v>79.099999999999994</v>
      </c>
      <c r="AG57" t="s">
        <v>69</v>
      </c>
      <c r="AH57" t="s">
        <v>709</v>
      </c>
      <c r="AI57">
        <v>77.5</v>
      </c>
      <c r="AJ57" t="s">
        <v>69</v>
      </c>
      <c r="AK57" t="s">
        <v>709</v>
      </c>
      <c r="AL57">
        <v>76.260000000000005</v>
      </c>
      <c r="AM57" t="s">
        <v>69</v>
      </c>
      <c r="AN57" t="s">
        <v>709</v>
      </c>
      <c r="AO57">
        <v>75</v>
      </c>
      <c r="AP57" t="s">
        <v>69</v>
      </c>
      <c r="AQ57" t="s">
        <v>709</v>
      </c>
      <c r="AR57">
        <v>76.3</v>
      </c>
      <c r="AS57" t="s">
        <v>69</v>
      </c>
      <c r="AT57" t="s">
        <v>709</v>
      </c>
      <c r="AU57">
        <v>76.48</v>
      </c>
      <c r="AV57" t="s">
        <v>69</v>
      </c>
      <c r="AW57" t="s">
        <v>709</v>
      </c>
      <c r="AX57">
        <v>76.400000000000006</v>
      </c>
      <c r="AY57" t="s">
        <v>69</v>
      </c>
      <c r="AZ57" t="s">
        <v>709</v>
      </c>
      <c r="BA57">
        <v>77.12</v>
      </c>
      <c r="BB57" t="s">
        <v>69</v>
      </c>
      <c r="BC57" t="s">
        <v>709</v>
      </c>
      <c r="BD57">
        <v>76.349999999999994</v>
      </c>
      <c r="BE57" t="s">
        <v>69</v>
      </c>
      <c r="BF57" t="s">
        <v>709</v>
      </c>
      <c r="BG57">
        <v>78</v>
      </c>
      <c r="BH57" t="s">
        <v>69</v>
      </c>
      <c r="BI57" t="s">
        <v>709</v>
      </c>
      <c r="BJ57">
        <v>77.44</v>
      </c>
      <c r="BK57" t="s">
        <v>69</v>
      </c>
      <c r="BL57" t="s">
        <v>709</v>
      </c>
      <c r="BM57">
        <v>77.209999999999994</v>
      </c>
      <c r="BN57" t="s">
        <v>69</v>
      </c>
      <c r="BO57" t="s">
        <v>709</v>
      </c>
      <c r="BP57">
        <v>77.5</v>
      </c>
      <c r="BQ57" t="s">
        <v>69</v>
      </c>
      <c r="BR57" t="s">
        <v>709</v>
      </c>
      <c r="BS57">
        <v>78.5</v>
      </c>
      <c r="BT57" t="s">
        <v>69</v>
      </c>
      <c r="BU57" t="s">
        <v>709</v>
      </c>
      <c r="BV57">
        <v>79.7</v>
      </c>
      <c r="BW57" t="s">
        <v>69</v>
      </c>
      <c r="BX57" t="s">
        <v>709</v>
      </c>
      <c r="BY57">
        <v>79.25</v>
      </c>
      <c r="BZ57" t="s">
        <v>69</v>
      </c>
      <c r="CA57" t="s">
        <v>709</v>
      </c>
      <c r="CB57">
        <v>79.97</v>
      </c>
      <c r="CC57" t="s">
        <v>69</v>
      </c>
      <c r="CD57" t="s">
        <v>709</v>
      </c>
      <c r="CE57">
        <v>79</v>
      </c>
      <c r="CF57" t="s">
        <v>69</v>
      </c>
      <c r="CG57" t="s">
        <v>709</v>
      </c>
      <c r="CH57">
        <v>79.739999999999995</v>
      </c>
      <c r="CI57" t="s">
        <v>69</v>
      </c>
      <c r="CJ57" t="s">
        <v>709</v>
      </c>
      <c r="CK57">
        <v>79.64</v>
      </c>
      <c r="CL57" t="s">
        <v>69</v>
      </c>
      <c r="CM57" t="s">
        <v>709</v>
      </c>
      <c r="CN57">
        <v>77.599999999999994</v>
      </c>
      <c r="CO57" t="s">
        <v>69</v>
      </c>
      <c r="CP57" t="s">
        <v>709</v>
      </c>
      <c r="CQ57">
        <v>75.7</v>
      </c>
      <c r="CR57" t="s">
        <v>69</v>
      </c>
      <c r="CS57" t="s">
        <v>709</v>
      </c>
      <c r="CT57">
        <v>77.11</v>
      </c>
      <c r="CU57" t="s">
        <v>69</v>
      </c>
      <c r="CV57" t="s">
        <v>709</v>
      </c>
      <c r="CW57">
        <v>77.5</v>
      </c>
      <c r="CX57" t="s">
        <v>69</v>
      </c>
      <c r="CY57" t="s">
        <v>709</v>
      </c>
      <c r="CZ57">
        <v>77.56</v>
      </c>
      <c r="DA57" t="s">
        <v>69</v>
      </c>
      <c r="DB57" t="s">
        <v>709</v>
      </c>
      <c r="DC57">
        <v>77.05</v>
      </c>
      <c r="DD57" t="s">
        <v>69</v>
      </c>
      <c r="DE57" t="s">
        <v>709</v>
      </c>
      <c r="DF57">
        <v>76.709999999999994</v>
      </c>
      <c r="DG57" t="s">
        <v>69</v>
      </c>
      <c r="DH57" t="s">
        <v>709</v>
      </c>
      <c r="DI57">
        <v>81.709999999999994</v>
      </c>
      <c r="DJ57" t="s">
        <v>69</v>
      </c>
      <c r="DK57" t="s">
        <v>709</v>
      </c>
      <c r="DL57">
        <v>78.599999999999994</v>
      </c>
      <c r="DM57" t="s">
        <v>69</v>
      </c>
      <c r="DN57" t="s">
        <v>709</v>
      </c>
      <c r="DO57">
        <v>76</v>
      </c>
      <c r="DP57" t="s">
        <v>69</v>
      </c>
      <c r="DQ57" t="s">
        <v>709</v>
      </c>
      <c r="DR57">
        <v>80.97</v>
      </c>
      <c r="DS57" t="s">
        <v>69</v>
      </c>
      <c r="DT57" t="s">
        <v>416</v>
      </c>
      <c r="DU57">
        <v>0.33</v>
      </c>
      <c r="DV57" t="s">
        <v>178</v>
      </c>
      <c r="DW57" t="s">
        <v>416</v>
      </c>
      <c r="DX57">
        <v>0.32</v>
      </c>
      <c r="DY57" t="s">
        <v>178</v>
      </c>
      <c r="DZ57" t="s">
        <v>416</v>
      </c>
      <c r="EA57">
        <v>0.32</v>
      </c>
      <c r="EB57" t="s">
        <v>178</v>
      </c>
      <c r="EC57" t="s">
        <v>416</v>
      </c>
      <c r="ED57">
        <v>0.31</v>
      </c>
      <c r="EE57" t="s">
        <v>178</v>
      </c>
      <c r="EF57" t="s">
        <v>416</v>
      </c>
      <c r="EG57">
        <v>0.31</v>
      </c>
      <c r="EH57" t="s">
        <v>178</v>
      </c>
      <c r="EI57" t="s">
        <v>416</v>
      </c>
      <c r="EJ57">
        <v>0.33</v>
      </c>
      <c r="EK57" t="s">
        <v>178</v>
      </c>
    </row>
    <row r="58" spans="1:141">
      <c r="A58" t="s">
        <v>709</v>
      </c>
      <c r="B58">
        <v>82.03</v>
      </c>
      <c r="C58" t="s">
        <v>69</v>
      </c>
      <c r="D58" t="s">
        <v>709</v>
      </c>
      <c r="E58">
        <v>83.1</v>
      </c>
      <c r="F58" t="s">
        <v>69</v>
      </c>
      <c r="G58" t="s">
        <v>338</v>
      </c>
      <c r="H58">
        <v>0.4</v>
      </c>
      <c r="I58" t="s">
        <v>114</v>
      </c>
      <c r="J58" t="s">
        <v>338</v>
      </c>
      <c r="K58">
        <v>0.39</v>
      </c>
      <c r="L58" t="s">
        <v>114</v>
      </c>
      <c r="M58" t="s">
        <v>338</v>
      </c>
      <c r="N58">
        <v>0.38</v>
      </c>
      <c r="O58" t="s">
        <v>114</v>
      </c>
      <c r="P58" t="s">
        <v>338</v>
      </c>
      <c r="Q58">
        <v>0.38</v>
      </c>
      <c r="R58" t="s">
        <v>114</v>
      </c>
      <c r="S58" t="s">
        <v>338</v>
      </c>
      <c r="T58">
        <v>0.38</v>
      </c>
      <c r="U58" t="s">
        <v>114</v>
      </c>
      <c r="V58" t="s">
        <v>338</v>
      </c>
      <c r="W58">
        <v>0.37</v>
      </c>
      <c r="X58" t="s">
        <v>114</v>
      </c>
      <c r="Y58" t="s">
        <v>338</v>
      </c>
      <c r="Z58">
        <v>0.37</v>
      </c>
      <c r="AA58" t="s">
        <v>114</v>
      </c>
      <c r="AB58" t="s">
        <v>338</v>
      </c>
      <c r="AC58">
        <v>0.37</v>
      </c>
      <c r="AD58" t="s">
        <v>114</v>
      </c>
      <c r="AE58" t="s">
        <v>338</v>
      </c>
      <c r="AF58">
        <v>0.37</v>
      </c>
      <c r="AG58" t="s">
        <v>114</v>
      </c>
      <c r="AH58" t="s">
        <v>338</v>
      </c>
      <c r="AI58">
        <v>0.37</v>
      </c>
      <c r="AJ58" t="s">
        <v>114</v>
      </c>
      <c r="AK58" t="s">
        <v>338</v>
      </c>
      <c r="AL58">
        <v>0.37</v>
      </c>
      <c r="AM58" t="s">
        <v>114</v>
      </c>
      <c r="AN58" t="s">
        <v>338</v>
      </c>
      <c r="AO58">
        <v>0.36</v>
      </c>
      <c r="AP58" t="s">
        <v>114</v>
      </c>
      <c r="AQ58" t="s">
        <v>338</v>
      </c>
      <c r="AR58">
        <v>0.39</v>
      </c>
      <c r="AS58" t="s">
        <v>114</v>
      </c>
      <c r="AT58" t="s">
        <v>338</v>
      </c>
      <c r="AU58">
        <v>0.42</v>
      </c>
      <c r="AV58" t="s">
        <v>114</v>
      </c>
      <c r="AW58" t="s">
        <v>338</v>
      </c>
      <c r="AX58">
        <v>0.42</v>
      </c>
      <c r="AY58" t="s">
        <v>114</v>
      </c>
      <c r="AZ58" t="s">
        <v>338</v>
      </c>
      <c r="BA58">
        <v>0.42</v>
      </c>
      <c r="BB58" t="s">
        <v>114</v>
      </c>
      <c r="BC58" t="s">
        <v>338</v>
      </c>
      <c r="BD58">
        <v>0.4</v>
      </c>
      <c r="BE58" t="s">
        <v>114</v>
      </c>
      <c r="BF58" t="s">
        <v>338</v>
      </c>
      <c r="BG58">
        <v>0.45</v>
      </c>
      <c r="BH58" t="s">
        <v>114</v>
      </c>
      <c r="BI58" t="s">
        <v>338</v>
      </c>
      <c r="BJ58">
        <v>0.46</v>
      </c>
      <c r="BK58" t="s">
        <v>114</v>
      </c>
      <c r="BL58" t="s">
        <v>338</v>
      </c>
      <c r="BM58">
        <v>0.43</v>
      </c>
      <c r="BN58" t="s">
        <v>114</v>
      </c>
      <c r="BO58" t="s">
        <v>338</v>
      </c>
      <c r="BP58">
        <v>0.43</v>
      </c>
      <c r="BQ58" t="s">
        <v>114</v>
      </c>
      <c r="BR58" t="s">
        <v>338</v>
      </c>
      <c r="BS58">
        <v>0.44</v>
      </c>
      <c r="BT58" t="s">
        <v>114</v>
      </c>
      <c r="BU58" t="s">
        <v>338</v>
      </c>
      <c r="BV58">
        <v>0.43</v>
      </c>
      <c r="BW58" t="s">
        <v>114</v>
      </c>
      <c r="BX58" t="s">
        <v>338</v>
      </c>
      <c r="BY58">
        <v>0.43</v>
      </c>
      <c r="BZ58" t="s">
        <v>114</v>
      </c>
      <c r="CA58" t="s">
        <v>338</v>
      </c>
      <c r="CB58">
        <v>0.43</v>
      </c>
      <c r="CC58" t="s">
        <v>114</v>
      </c>
      <c r="CD58" t="s">
        <v>338</v>
      </c>
      <c r="CE58">
        <v>0.43</v>
      </c>
      <c r="CF58" t="s">
        <v>114</v>
      </c>
      <c r="CG58" t="s">
        <v>338</v>
      </c>
      <c r="CH58">
        <v>0.43</v>
      </c>
      <c r="CI58" t="s">
        <v>114</v>
      </c>
      <c r="CJ58" t="s">
        <v>338</v>
      </c>
      <c r="CK58">
        <v>0.42</v>
      </c>
      <c r="CL58" t="s">
        <v>114</v>
      </c>
      <c r="CM58" t="s">
        <v>338</v>
      </c>
      <c r="CN58">
        <v>0.41</v>
      </c>
      <c r="CO58" t="s">
        <v>114</v>
      </c>
      <c r="CP58" t="s">
        <v>338</v>
      </c>
      <c r="CQ58">
        <v>0.45</v>
      </c>
      <c r="CR58" t="s">
        <v>114</v>
      </c>
      <c r="CS58" t="s">
        <v>338</v>
      </c>
      <c r="CT58">
        <v>0.46</v>
      </c>
      <c r="CU58" t="s">
        <v>114</v>
      </c>
      <c r="CV58" t="s">
        <v>338</v>
      </c>
      <c r="CW58">
        <v>0.47</v>
      </c>
      <c r="CX58" t="s">
        <v>114</v>
      </c>
      <c r="CY58" t="s">
        <v>338</v>
      </c>
      <c r="CZ58">
        <v>0.52</v>
      </c>
      <c r="DA58" t="s">
        <v>114</v>
      </c>
      <c r="DB58" t="s">
        <v>338</v>
      </c>
      <c r="DC58">
        <v>0.48</v>
      </c>
      <c r="DD58" t="s">
        <v>114</v>
      </c>
      <c r="DE58" t="s">
        <v>338</v>
      </c>
      <c r="DF58">
        <v>0.45</v>
      </c>
      <c r="DG58" t="s">
        <v>114</v>
      </c>
      <c r="DH58" t="s">
        <v>338</v>
      </c>
      <c r="DI58">
        <v>0.43</v>
      </c>
      <c r="DJ58" t="s">
        <v>114</v>
      </c>
      <c r="DK58" t="s">
        <v>338</v>
      </c>
      <c r="DL58">
        <v>0.46</v>
      </c>
      <c r="DM58" t="s">
        <v>114</v>
      </c>
      <c r="DN58" t="s">
        <v>338</v>
      </c>
      <c r="DO58">
        <v>0.44</v>
      </c>
      <c r="DP58" t="s">
        <v>114</v>
      </c>
      <c r="DQ58" t="s">
        <v>338</v>
      </c>
      <c r="DR58">
        <v>0.69</v>
      </c>
      <c r="DS58" t="s">
        <v>114</v>
      </c>
      <c r="DT58" t="s">
        <v>179</v>
      </c>
      <c r="DU58">
        <v>170.01</v>
      </c>
      <c r="DV58" t="s">
        <v>180</v>
      </c>
      <c r="DW58" t="s">
        <v>179</v>
      </c>
      <c r="DX58">
        <v>168</v>
      </c>
      <c r="DY58" t="s">
        <v>180</v>
      </c>
      <c r="DZ58" t="s">
        <v>179</v>
      </c>
      <c r="EA58">
        <v>167</v>
      </c>
      <c r="EB58" t="s">
        <v>180</v>
      </c>
      <c r="EC58" t="s">
        <v>179</v>
      </c>
      <c r="ED58">
        <v>165.51</v>
      </c>
      <c r="EE58" t="s">
        <v>180</v>
      </c>
      <c r="EF58" t="s">
        <v>179</v>
      </c>
      <c r="EG58">
        <v>175</v>
      </c>
      <c r="EH58" t="s">
        <v>180</v>
      </c>
      <c r="EI58" t="s">
        <v>179</v>
      </c>
      <c r="EJ58">
        <v>175.28</v>
      </c>
      <c r="EK58" t="s">
        <v>180</v>
      </c>
    </row>
    <row r="59" spans="1:141">
      <c r="A59" t="s">
        <v>338</v>
      </c>
      <c r="B59">
        <v>0.4</v>
      </c>
      <c r="C59" t="s">
        <v>114</v>
      </c>
      <c r="D59" t="s">
        <v>338</v>
      </c>
      <c r="E59">
        <v>0.4</v>
      </c>
      <c r="F59" t="s">
        <v>114</v>
      </c>
      <c r="G59" t="s">
        <v>416</v>
      </c>
      <c r="H59">
        <v>0.26</v>
      </c>
      <c r="I59" t="s">
        <v>178</v>
      </c>
      <c r="J59" t="s">
        <v>416</v>
      </c>
      <c r="K59">
        <v>0.26</v>
      </c>
      <c r="L59" t="s">
        <v>178</v>
      </c>
      <c r="M59" t="s">
        <v>416</v>
      </c>
      <c r="N59">
        <v>0.25</v>
      </c>
      <c r="O59" t="s">
        <v>178</v>
      </c>
      <c r="P59" t="s">
        <v>416</v>
      </c>
      <c r="Q59">
        <v>0.25</v>
      </c>
      <c r="R59" t="s">
        <v>178</v>
      </c>
      <c r="S59" t="s">
        <v>416</v>
      </c>
      <c r="T59">
        <v>0.25</v>
      </c>
      <c r="U59" t="s">
        <v>178</v>
      </c>
      <c r="V59" t="s">
        <v>416</v>
      </c>
      <c r="W59">
        <v>0.25</v>
      </c>
      <c r="X59" t="s">
        <v>178</v>
      </c>
      <c r="Y59" t="s">
        <v>416</v>
      </c>
      <c r="Z59">
        <v>0.25</v>
      </c>
      <c r="AA59" t="s">
        <v>178</v>
      </c>
      <c r="AB59" t="s">
        <v>416</v>
      </c>
      <c r="AC59">
        <v>0.25</v>
      </c>
      <c r="AD59" t="s">
        <v>178</v>
      </c>
      <c r="AE59" t="s">
        <v>416</v>
      </c>
      <c r="AF59">
        <v>0.25</v>
      </c>
      <c r="AG59" t="s">
        <v>178</v>
      </c>
      <c r="AH59" t="s">
        <v>416</v>
      </c>
      <c r="AI59">
        <v>0.25</v>
      </c>
      <c r="AJ59" t="s">
        <v>178</v>
      </c>
      <c r="AK59" t="s">
        <v>416</v>
      </c>
      <c r="AL59">
        <v>0.25</v>
      </c>
      <c r="AM59" t="s">
        <v>178</v>
      </c>
      <c r="AN59" t="s">
        <v>416</v>
      </c>
      <c r="AO59">
        <v>0.24</v>
      </c>
      <c r="AP59" t="s">
        <v>178</v>
      </c>
      <c r="AQ59" t="s">
        <v>416</v>
      </c>
      <c r="AR59">
        <v>0.25</v>
      </c>
      <c r="AS59" t="s">
        <v>178</v>
      </c>
      <c r="AT59" t="s">
        <v>416</v>
      </c>
      <c r="AU59">
        <v>0.25</v>
      </c>
      <c r="AV59" t="s">
        <v>178</v>
      </c>
      <c r="AW59" t="s">
        <v>416</v>
      </c>
      <c r="AX59">
        <v>0.27</v>
      </c>
      <c r="AY59" t="s">
        <v>178</v>
      </c>
      <c r="AZ59" t="s">
        <v>416</v>
      </c>
      <c r="BA59">
        <v>0.27</v>
      </c>
      <c r="BB59" t="s">
        <v>178</v>
      </c>
      <c r="BC59" t="s">
        <v>416</v>
      </c>
      <c r="BD59">
        <v>0.27</v>
      </c>
      <c r="BE59" t="s">
        <v>178</v>
      </c>
      <c r="BF59" t="s">
        <v>416</v>
      </c>
      <c r="BG59">
        <v>0.39</v>
      </c>
      <c r="BH59" t="s">
        <v>178</v>
      </c>
      <c r="BI59" t="s">
        <v>416</v>
      </c>
      <c r="BJ59">
        <v>0.41</v>
      </c>
      <c r="BK59" t="s">
        <v>178</v>
      </c>
      <c r="BL59" t="s">
        <v>416</v>
      </c>
      <c r="BM59">
        <v>0.38</v>
      </c>
      <c r="BN59" t="s">
        <v>178</v>
      </c>
      <c r="BO59" t="s">
        <v>416</v>
      </c>
      <c r="BP59">
        <v>0.39</v>
      </c>
      <c r="BQ59" t="s">
        <v>178</v>
      </c>
      <c r="BR59" t="s">
        <v>416</v>
      </c>
      <c r="BS59">
        <v>0.4</v>
      </c>
      <c r="BT59" t="s">
        <v>178</v>
      </c>
      <c r="BU59" t="s">
        <v>416</v>
      </c>
      <c r="BV59">
        <v>0.39</v>
      </c>
      <c r="BW59" t="s">
        <v>178</v>
      </c>
      <c r="BX59" t="s">
        <v>416</v>
      </c>
      <c r="BY59">
        <v>0.41</v>
      </c>
      <c r="BZ59" t="s">
        <v>178</v>
      </c>
      <c r="CA59" t="s">
        <v>416</v>
      </c>
      <c r="CB59">
        <v>0.41</v>
      </c>
      <c r="CC59" t="s">
        <v>178</v>
      </c>
      <c r="CD59" t="s">
        <v>416</v>
      </c>
      <c r="CE59">
        <v>0.39</v>
      </c>
      <c r="CF59" t="s">
        <v>178</v>
      </c>
      <c r="CG59" t="s">
        <v>416</v>
      </c>
      <c r="CH59">
        <v>0.41</v>
      </c>
      <c r="CI59" t="s">
        <v>178</v>
      </c>
      <c r="CJ59" t="s">
        <v>416</v>
      </c>
      <c r="CK59">
        <v>0.4</v>
      </c>
      <c r="CL59" t="s">
        <v>178</v>
      </c>
      <c r="CM59" t="s">
        <v>416</v>
      </c>
      <c r="CN59">
        <v>0.39</v>
      </c>
      <c r="CO59" t="s">
        <v>178</v>
      </c>
      <c r="CP59" t="s">
        <v>416</v>
      </c>
      <c r="CQ59">
        <v>0.39</v>
      </c>
      <c r="CR59" t="s">
        <v>178</v>
      </c>
      <c r="CS59" t="s">
        <v>416</v>
      </c>
      <c r="CT59">
        <v>0.37</v>
      </c>
      <c r="CU59" t="s">
        <v>178</v>
      </c>
      <c r="CV59" t="s">
        <v>416</v>
      </c>
      <c r="CW59">
        <v>0.36</v>
      </c>
      <c r="CX59" t="s">
        <v>178</v>
      </c>
      <c r="CY59" t="s">
        <v>416</v>
      </c>
      <c r="CZ59">
        <v>0.35</v>
      </c>
      <c r="DA59" t="s">
        <v>178</v>
      </c>
      <c r="DB59" t="s">
        <v>416</v>
      </c>
      <c r="DC59">
        <v>0.35</v>
      </c>
      <c r="DD59" t="s">
        <v>178</v>
      </c>
      <c r="DE59" t="s">
        <v>416</v>
      </c>
      <c r="DF59">
        <v>0.34</v>
      </c>
      <c r="DG59" t="s">
        <v>178</v>
      </c>
      <c r="DH59" t="s">
        <v>416</v>
      </c>
      <c r="DI59">
        <v>0.33</v>
      </c>
      <c r="DJ59" t="s">
        <v>178</v>
      </c>
      <c r="DK59" t="s">
        <v>416</v>
      </c>
      <c r="DL59">
        <v>0.32</v>
      </c>
      <c r="DM59" t="s">
        <v>178</v>
      </c>
      <c r="DN59" t="s">
        <v>416</v>
      </c>
      <c r="DO59">
        <v>0.32</v>
      </c>
      <c r="DP59" t="s">
        <v>178</v>
      </c>
      <c r="DQ59" t="s">
        <v>416</v>
      </c>
      <c r="DR59">
        <v>0.34</v>
      </c>
      <c r="DS59" t="s">
        <v>178</v>
      </c>
      <c r="DT59" t="s">
        <v>444</v>
      </c>
      <c r="DU59">
        <v>28.51</v>
      </c>
      <c r="DV59" t="s">
        <v>181</v>
      </c>
      <c r="DW59" t="s">
        <v>444</v>
      </c>
      <c r="DX59">
        <v>28.6</v>
      </c>
      <c r="DY59" t="s">
        <v>181</v>
      </c>
      <c r="DZ59" t="s">
        <v>444</v>
      </c>
      <c r="EA59">
        <v>27.74</v>
      </c>
      <c r="EB59" t="s">
        <v>181</v>
      </c>
      <c r="EC59" t="s">
        <v>444</v>
      </c>
      <c r="ED59">
        <v>27.08</v>
      </c>
      <c r="EE59" t="s">
        <v>181</v>
      </c>
      <c r="EF59" t="s">
        <v>444</v>
      </c>
      <c r="EG59">
        <v>32.6</v>
      </c>
      <c r="EH59" t="s">
        <v>181</v>
      </c>
      <c r="EI59" t="s">
        <v>444</v>
      </c>
      <c r="EJ59">
        <v>31.55</v>
      </c>
      <c r="EK59" t="s">
        <v>181</v>
      </c>
    </row>
    <row r="60" spans="1:141">
      <c r="A60" t="s">
        <v>416</v>
      </c>
      <c r="B60">
        <v>0.26</v>
      </c>
      <c r="C60" t="s">
        <v>178</v>
      </c>
      <c r="D60" t="s">
        <v>416</v>
      </c>
      <c r="E60">
        <v>0.26</v>
      </c>
      <c r="F60" t="s">
        <v>178</v>
      </c>
      <c r="G60" t="s">
        <v>179</v>
      </c>
      <c r="H60">
        <v>116.44</v>
      </c>
      <c r="I60" t="s">
        <v>180</v>
      </c>
      <c r="J60" t="s">
        <v>179</v>
      </c>
      <c r="K60">
        <v>115.88</v>
      </c>
      <c r="L60" t="s">
        <v>180</v>
      </c>
      <c r="M60" t="s">
        <v>179</v>
      </c>
      <c r="N60">
        <v>116.17</v>
      </c>
      <c r="O60" t="s">
        <v>180</v>
      </c>
      <c r="P60" t="s">
        <v>179</v>
      </c>
      <c r="Q60">
        <v>99.04</v>
      </c>
      <c r="R60" t="s">
        <v>180</v>
      </c>
      <c r="S60" t="s">
        <v>179</v>
      </c>
      <c r="T60">
        <v>98</v>
      </c>
      <c r="U60" t="s">
        <v>180</v>
      </c>
      <c r="V60" t="s">
        <v>179</v>
      </c>
      <c r="W60">
        <v>97.1</v>
      </c>
      <c r="X60" t="s">
        <v>180</v>
      </c>
      <c r="Y60" t="s">
        <v>179</v>
      </c>
      <c r="Z60">
        <v>97.22</v>
      </c>
      <c r="AA60" t="s">
        <v>180</v>
      </c>
      <c r="AB60" t="s">
        <v>179</v>
      </c>
      <c r="AC60">
        <v>96.97</v>
      </c>
      <c r="AD60" t="s">
        <v>180</v>
      </c>
      <c r="AE60" t="s">
        <v>179</v>
      </c>
      <c r="AF60">
        <v>95.58</v>
      </c>
      <c r="AG60" t="s">
        <v>180</v>
      </c>
      <c r="AH60" t="s">
        <v>179</v>
      </c>
      <c r="AI60">
        <v>95.49</v>
      </c>
      <c r="AJ60" t="s">
        <v>180</v>
      </c>
      <c r="AK60" t="s">
        <v>179</v>
      </c>
      <c r="AL60">
        <v>96</v>
      </c>
      <c r="AM60" t="s">
        <v>180</v>
      </c>
      <c r="AN60" t="s">
        <v>179</v>
      </c>
      <c r="AO60">
        <v>93.74</v>
      </c>
      <c r="AP60" t="s">
        <v>180</v>
      </c>
      <c r="AQ60" t="s">
        <v>179</v>
      </c>
      <c r="AR60">
        <v>95.51</v>
      </c>
      <c r="AS60" t="s">
        <v>180</v>
      </c>
      <c r="AT60" t="s">
        <v>179</v>
      </c>
      <c r="AU60">
        <v>96</v>
      </c>
      <c r="AV60" t="s">
        <v>180</v>
      </c>
      <c r="AW60" t="s">
        <v>179</v>
      </c>
      <c r="AX60">
        <v>96.01</v>
      </c>
      <c r="AY60" t="s">
        <v>180</v>
      </c>
      <c r="AZ60" t="s">
        <v>179</v>
      </c>
      <c r="BA60">
        <v>103.62</v>
      </c>
      <c r="BB60" t="s">
        <v>180</v>
      </c>
      <c r="BC60" t="s">
        <v>179</v>
      </c>
      <c r="BD60">
        <v>98.5</v>
      </c>
      <c r="BE60" t="s">
        <v>180</v>
      </c>
      <c r="BF60" t="s">
        <v>179</v>
      </c>
      <c r="BG60">
        <v>100.47</v>
      </c>
      <c r="BH60" t="s">
        <v>180</v>
      </c>
      <c r="BI60" t="s">
        <v>179</v>
      </c>
      <c r="BJ60">
        <v>100</v>
      </c>
      <c r="BK60" t="s">
        <v>180</v>
      </c>
      <c r="BL60" t="s">
        <v>179</v>
      </c>
      <c r="BM60">
        <v>107.78</v>
      </c>
      <c r="BN60" t="s">
        <v>180</v>
      </c>
      <c r="BO60" t="s">
        <v>179</v>
      </c>
      <c r="BP60">
        <v>105.5</v>
      </c>
      <c r="BQ60" t="s">
        <v>180</v>
      </c>
      <c r="BR60" t="s">
        <v>179</v>
      </c>
      <c r="BS60">
        <v>110</v>
      </c>
      <c r="BT60" t="s">
        <v>180</v>
      </c>
      <c r="BU60" t="s">
        <v>179</v>
      </c>
      <c r="BV60">
        <v>111.01</v>
      </c>
      <c r="BW60" t="s">
        <v>180</v>
      </c>
      <c r="BX60" t="s">
        <v>179</v>
      </c>
      <c r="BY60">
        <v>112</v>
      </c>
      <c r="BZ60" t="s">
        <v>180</v>
      </c>
      <c r="CA60" t="s">
        <v>179</v>
      </c>
      <c r="CB60">
        <v>117.98</v>
      </c>
      <c r="CC60" t="s">
        <v>180</v>
      </c>
      <c r="CD60" t="s">
        <v>179</v>
      </c>
      <c r="CE60">
        <v>128.13</v>
      </c>
      <c r="CF60" t="s">
        <v>180</v>
      </c>
      <c r="CG60" t="s">
        <v>179</v>
      </c>
      <c r="CH60">
        <v>130</v>
      </c>
      <c r="CI60" t="s">
        <v>180</v>
      </c>
      <c r="CJ60" t="s">
        <v>179</v>
      </c>
      <c r="CK60">
        <v>128.01</v>
      </c>
      <c r="CL60" t="s">
        <v>180</v>
      </c>
      <c r="CM60" t="s">
        <v>179</v>
      </c>
      <c r="CN60">
        <v>130</v>
      </c>
      <c r="CO60" t="s">
        <v>180</v>
      </c>
      <c r="CP60" t="s">
        <v>179</v>
      </c>
      <c r="CQ60">
        <v>131</v>
      </c>
      <c r="CR60" t="s">
        <v>180</v>
      </c>
      <c r="CS60" t="s">
        <v>179</v>
      </c>
      <c r="CT60">
        <v>129.99</v>
      </c>
      <c r="CU60" t="s">
        <v>180</v>
      </c>
      <c r="CV60" t="s">
        <v>179</v>
      </c>
      <c r="CW60">
        <v>130</v>
      </c>
      <c r="CX60" t="s">
        <v>180</v>
      </c>
      <c r="CY60" t="s">
        <v>179</v>
      </c>
      <c r="CZ60">
        <v>131.80000000000001</v>
      </c>
      <c r="DA60" t="s">
        <v>180</v>
      </c>
      <c r="DB60" t="s">
        <v>179</v>
      </c>
      <c r="DC60">
        <v>130.34</v>
      </c>
      <c r="DD60" t="s">
        <v>180</v>
      </c>
      <c r="DE60" t="s">
        <v>179</v>
      </c>
      <c r="DF60">
        <v>134.74</v>
      </c>
      <c r="DG60" t="s">
        <v>180</v>
      </c>
      <c r="DH60" t="s">
        <v>179</v>
      </c>
      <c r="DI60">
        <v>132.22999999999999</v>
      </c>
      <c r="DJ60" t="s">
        <v>180</v>
      </c>
      <c r="DK60" t="s">
        <v>179</v>
      </c>
      <c r="DL60">
        <v>140</v>
      </c>
      <c r="DM60" t="s">
        <v>180</v>
      </c>
      <c r="DN60" t="s">
        <v>179</v>
      </c>
      <c r="DO60">
        <v>141.99</v>
      </c>
      <c r="DP60" t="s">
        <v>180</v>
      </c>
      <c r="DQ60" t="s">
        <v>179</v>
      </c>
      <c r="DR60">
        <v>169</v>
      </c>
      <c r="DS60" t="s">
        <v>180</v>
      </c>
      <c r="DT60" t="s">
        <v>322</v>
      </c>
      <c r="DU60">
        <v>50.28</v>
      </c>
      <c r="DV60" t="s">
        <v>107</v>
      </c>
      <c r="DW60" t="s">
        <v>322</v>
      </c>
      <c r="DX60">
        <v>48.8</v>
      </c>
      <c r="DY60" t="s">
        <v>107</v>
      </c>
      <c r="DZ60" t="s">
        <v>322</v>
      </c>
      <c r="EA60">
        <v>48.6</v>
      </c>
      <c r="EB60" t="s">
        <v>107</v>
      </c>
      <c r="EC60" t="s">
        <v>322</v>
      </c>
      <c r="ED60">
        <v>49.22</v>
      </c>
      <c r="EE60" t="s">
        <v>107</v>
      </c>
      <c r="EF60" t="s">
        <v>322</v>
      </c>
      <c r="EG60">
        <v>50.87</v>
      </c>
      <c r="EH60" t="s">
        <v>107</v>
      </c>
      <c r="EI60" t="s">
        <v>322</v>
      </c>
      <c r="EJ60">
        <v>50.4</v>
      </c>
      <c r="EK60" t="s">
        <v>107</v>
      </c>
    </row>
    <row r="61" spans="1:141">
      <c r="A61" t="s">
        <v>179</v>
      </c>
      <c r="B61">
        <v>117</v>
      </c>
      <c r="C61" t="s">
        <v>180</v>
      </c>
      <c r="D61" t="s">
        <v>179</v>
      </c>
      <c r="E61">
        <v>117.11</v>
      </c>
      <c r="F61" t="s">
        <v>180</v>
      </c>
      <c r="G61" t="s">
        <v>444</v>
      </c>
      <c r="H61">
        <v>26.62</v>
      </c>
      <c r="I61" t="s">
        <v>181</v>
      </c>
      <c r="J61" t="s">
        <v>444</v>
      </c>
      <c r="K61">
        <v>26.37</v>
      </c>
      <c r="L61" t="s">
        <v>181</v>
      </c>
      <c r="M61" t="s">
        <v>444</v>
      </c>
      <c r="N61">
        <v>26.12</v>
      </c>
      <c r="O61" t="s">
        <v>181</v>
      </c>
      <c r="P61" t="s">
        <v>444</v>
      </c>
      <c r="Q61">
        <v>27</v>
      </c>
      <c r="R61" t="s">
        <v>181</v>
      </c>
      <c r="S61" t="s">
        <v>444</v>
      </c>
      <c r="T61">
        <v>26.51</v>
      </c>
      <c r="U61" t="s">
        <v>181</v>
      </c>
      <c r="V61" t="s">
        <v>444</v>
      </c>
      <c r="W61">
        <v>29.5</v>
      </c>
      <c r="X61" t="s">
        <v>181</v>
      </c>
      <c r="Y61" t="s">
        <v>444</v>
      </c>
      <c r="Z61">
        <v>28.79</v>
      </c>
      <c r="AA61" t="s">
        <v>181</v>
      </c>
      <c r="AB61" t="s">
        <v>444</v>
      </c>
      <c r="AC61">
        <v>28.78</v>
      </c>
      <c r="AD61" t="s">
        <v>181</v>
      </c>
      <c r="AE61" t="s">
        <v>444</v>
      </c>
      <c r="AF61">
        <v>28.3</v>
      </c>
      <c r="AG61" t="s">
        <v>181</v>
      </c>
      <c r="AH61" t="s">
        <v>444</v>
      </c>
      <c r="AI61">
        <v>27.78</v>
      </c>
      <c r="AJ61" t="s">
        <v>181</v>
      </c>
      <c r="AK61" t="s">
        <v>444</v>
      </c>
      <c r="AL61">
        <v>27.6</v>
      </c>
      <c r="AM61" t="s">
        <v>181</v>
      </c>
      <c r="AN61" t="s">
        <v>444</v>
      </c>
      <c r="AO61">
        <v>27.57</v>
      </c>
      <c r="AP61" t="s">
        <v>181</v>
      </c>
      <c r="AQ61" t="s">
        <v>444</v>
      </c>
      <c r="AR61">
        <v>27.89</v>
      </c>
      <c r="AS61" t="s">
        <v>181</v>
      </c>
      <c r="AT61" t="s">
        <v>444</v>
      </c>
      <c r="AU61">
        <v>27.38</v>
      </c>
      <c r="AV61" t="s">
        <v>181</v>
      </c>
      <c r="AW61" t="s">
        <v>444</v>
      </c>
      <c r="AX61">
        <v>26.65</v>
      </c>
      <c r="AY61" t="s">
        <v>181</v>
      </c>
      <c r="AZ61" t="s">
        <v>444</v>
      </c>
      <c r="BA61">
        <v>26.64</v>
      </c>
      <c r="BB61" t="s">
        <v>181</v>
      </c>
      <c r="BC61" t="s">
        <v>444</v>
      </c>
      <c r="BD61">
        <v>25.25</v>
      </c>
      <c r="BE61" t="s">
        <v>181</v>
      </c>
      <c r="BF61" t="s">
        <v>444</v>
      </c>
      <c r="BG61">
        <v>24.09</v>
      </c>
      <c r="BH61" t="s">
        <v>181</v>
      </c>
      <c r="BI61" t="s">
        <v>444</v>
      </c>
      <c r="BJ61">
        <v>23.75</v>
      </c>
      <c r="BK61" t="s">
        <v>181</v>
      </c>
      <c r="BL61" t="s">
        <v>444</v>
      </c>
      <c r="BM61">
        <v>23.01</v>
      </c>
      <c r="BN61" t="s">
        <v>181</v>
      </c>
      <c r="BO61" t="s">
        <v>444</v>
      </c>
      <c r="BP61">
        <v>23</v>
      </c>
      <c r="BQ61" t="s">
        <v>181</v>
      </c>
      <c r="BR61" t="s">
        <v>444</v>
      </c>
      <c r="BS61">
        <v>24.08</v>
      </c>
      <c r="BT61" t="s">
        <v>181</v>
      </c>
      <c r="BU61" t="s">
        <v>444</v>
      </c>
      <c r="BV61">
        <v>23.93</v>
      </c>
      <c r="BW61" t="s">
        <v>181</v>
      </c>
      <c r="BX61" t="s">
        <v>444</v>
      </c>
      <c r="BY61">
        <v>24.02</v>
      </c>
      <c r="BZ61" t="s">
        <v>181</v>
      </c>
      <c r="CA61" t="s">
        <v>444</v>
      </c>
      <c r="CB61">
        <v>24.06</v>
      </c>
      <c r="CC61" t="s">
        <v>181</v>
      </c>
      <c r="CD61" t="s">
        <v>444</v>
      </c>
      <c r="CE61">
        <v>24.22</v>
      </c>
      <c r="CF61" t="s">
        <v>181</v>
      </c>
      <c r="CG61" t="s">
        <v>444</v>
      </c>
      <c r="CH61">
        <v>24.6</v>
      </c>
      <c r="CI61" t="s">
        <v>181</v>
      </c>
      <c r="CJ61" t="s">
        <v>444</v>
      </c>
      <c r="CK61">
        <v>24.05</v>
      </c>
      <c r="CL61" t="s">
        <v>181</v>
      </c>
      <c r="CM61" t="s">
        <v>444</v>
      </c>
      <c r="CN61">
        <v>24.17</v>
      </c>
      <c r="CO61" t="s">
        <v>181</v>
      </c>
      <c r="CP61" t="s">
        <v>444</v>
      </c>
      <c r="CQ61">
        <v>23.61</v>
      </c>
      <c r="CR61" t="s">
        <v>181</v>
      </c>
      <c r="CS61" t="s">
        <v>444</v>
      </c>
      <c r="CT61">
        <v>24.01</v>
      </c>
      <c r="CU61" t="s">
        <v>181</v>
      </c>
      <c r="CV61" t="s">
        <v>444</v>
      </c>
      <c r="CW61">
        <v>23.61</v>
      </c>
      <c r="CX61" t="s">
        <v>181</v>
      </c>
      <c r="CY61" t="s">
        <v>444</v>
      </c>
      <c r="CZ61">
        <v>23.2</v>
      </c>
      <c r="DA61" t="s">
        <v>181</v>
      </c>
      <c r="DB61" t="s">
        <v>444</v>
      </c>
      <c r="DC61">
        <v>23.91</v>
      </c>
      <c r="DD61" t="s">
        <v>181</v>
      </c>
      <c r="DE61" t="s">
        <v>444</v>
      </c>
      <c r="DF61">
        <v>24.01</v>
      </c>
      <c r="DG61" t="s">
        <v>181</v>
      </c>
      <c r="DH61" t="s">
        <v>444</v>
      </c>
      <c r="DI61">
        <v>23.66</v>
      </c>
      <c r="DJ61" t="s">
        <v>181</v>
      </c>
      <c r="DK61" t="s">
        <v>444</v>
      </c>
      <c r="DL61">
        <v>22.26</v>
      </c>
      <c r="DM61" t="s">
        <v>181</v>
      </c>
      <c r="DN61" t="s">
        <v>444</v>
      </c>
      <c r="DO61">
        <v>21.79</v>
      </c>
      <c r="DP61" t="s">
        <v>181</v>
      </c>
      <c r="DQ61" t="s">
        <v>444</v>
      </c>
      <c r="DR61">
        <v>23.63</v>
      </c>
      <c r="DS61" t="s">
        <v>181</v>
      </c>
      <c r="DT61" t="s">
        <v>662</v>
      </c>
      <c r="DU61">
        <v>9.35</v>
      </c>
      <c r="DV61" t="s">
        <v>692</v>
      </c>
      <c r="DW61" t="s">
        <v>662</v>
      </c>
      <c r="DX61">
        <v>9.35</v>
      </c>
      <c r="DY61" t="s">
        <v>692</v>
      </c>
      <c r="DZ61" t="s">
        <v>662</v>
      </c>
      <c r="EA61">
        <v>9.35</v>
      </c>
      <c r="EB61" t="s">
        <v>692</v>
      </c>
      <c r="EC61" t="s">
        <v>662</v>
      </c>
      <c r="ED61">
        <v>9.35</v>
      </c>
      <c r="EE61" t="s">
        <v>692</v>
      </c>
      <c r="EF61" t="s">
        <v>662</v>
      </c>
      <c r="EG61">
        <v>9.35</v>
      </c>
      <c r="EH61" t="s">
        <v>692</v>
      </c>
      <c r="EI61" t="s">
        <v>662</v>
      </c>
      <c r="EJ61">
        <v>9.35</v>
      </c>
      <c r="EK61" t="s">
        <v>692</v>
      </c>
    </row>
    <row r="62" spans="1:141">
      <c r="A62" t="s">
        <v>444</v>
      </c>
      <c r="B62">
        <v>26.85</v>
      </c>
      <c r="C62" t="s">
        <v>181</v>
      </c>
      <c r="D62" t="s">
        <v>444</v>
      </c>
      <c r="E62">
        <v>26.17</v>
      </c>
      <c r="F62" t="s">
        <v>181</v>
      </c>
      <c r="G62" t="s">
        <v>322</v>
      </c>
      <c r="H62">
        <v>49</v>
      </c>
      <c r="I62" t="s">
        <v>107</v>
      </c>
      <c r="J62" t="s">
        <v>322</v>
      </c>
      <c r="K62">
        <v>48.89</v>
      </c>
      <c r="L62" t="s">
        <v>107</v>
      </c>
      <c r="M62" t="s">
        <v>322</v>
      </c>
      <c r="N62">
        <v>48.48</v>
      </c>
      <c r="O62" t="s">
        <v>107</v>
      </c>
      <c r="P62" t="s">
        <v>322</v>
      </c>
      <c r="Q62">
        <v>48.39</v>
      </c>
      <c r="R62" t="s">
        <v>107</v>
      </c>
      <c r="S62" t="s">
        <v>322</v>
      </c>
      <c r="T62">
        <v>48</v>
      </c>
      <c r="U62" t="s">
        <v>107</v>
      </c>
      <c r="V62" t="s">
        <v>322</v>
      </c>
      <c r="W62">
        <v>46.7</v>
      </c>
      <c r="X62" t="s">
        <v>107</v>
      </c>
      <c r="Y62" t="s">
        <v>322</v>
      </c>
      <c r="Z62">
        <v>47.37</v>
      </c>
      <c r="AA62" t="s">
        <v>107</v>
      </c>
      <c r="AB62" t="s">
        <v>322</v>
      </c>
      <c r="AC62">
        <v>51.82</v>
      </c>
      <c r="AD62" t="s">
        <v>107</v>
      </c>
      <c r="AE62" t="s">
        <v>322</v>
      </c>
      <c r="AF62">
        <v>62.18</v>
      </c>
      <c r="AG62" t="s">
        <v>107</v>
      </c>
      <c r="AH62" t="s">
        <v>322</v>
      </c>
      <c r="AI62">
        <v>61.96</v>
      </c>
      <c r="AJ62" t="s">
        <v>107</v>
      </c>
      <c r="AK62" t="s">
        <v>322</v>
      </c>
      <c r="AL62">
        <v>62.13</v>
      </c>
      <c r="AM62" t="s">
        <v>107</v>
      </c>
      <c r="AN62" t="s">
        <v>322</v>
      </c>
      <c r="AO62">
        <v>55.31</v>
      </c>
      <c r="AP62" t="s">
        <v>107</v>
      </c>
      <c r="AQ62" t="s">
        <v>322</v>
      </c>
      <c r="AR62">
        <v>64.91</v>
      </c>
      <c r="AS62" t="s">
        <v>107</v>
      </c>
      <c r="AT62" t="s">
        <v>322</v>
      </c>
      <c r="AU62">
        <v>66.599999999999994</v>
      </c>
      <c r="AV62" t="s">
        <v>107</v>
      </c>
      <c r="AW62" t="s">
        <v>322</v>
      </c>
      <c r="AX62">
        <v>64.19</v>
      </c>
      <c r="AY62" t="s">
        <v>107</v>
      </c>
      <c r="AZ62" t="s">
        <v>322</v>
      </c>
      <c r="BA62">
        <v>62</v>
      </c>
      <c r="BB62" t="s">
        <v>107</v>
      </c>
      <c r="BC62" t="s">
        <v>322</v>
      </c>
      <c r="BD62">
        <v>62</v>
      </c>
      <c r="BE62" t="s">
        <v>107</v>
      </c>
      <c r="BF62" t="s">
        <v>322</v>
      </c>
      <c r="BG62">
        <v>58.9</v>
      </c>
      <c r="BH62" t="s">
        <v>107</v>
      </c>
      <c r="BI62" t="s">
        <v>322</v>
      </c>
      <c r="BJ62">
        <v>57.64</v>
      </c>
      <c r="BK62" t="s">
        <v>107</v>
      </c>
      <c r="BL62" t="s">
        <v>322</v>
      </c>
      <c r="BM62">
        <v>53.55</v>
      </c>
      <c r="BN62" t="s">
        <v>107</v>
      </c>
      <c r="BO62" t="s">
        <v>322</v>
      </c>
      <c r="BP62">
        <v>55.32</v>
      </c>
      <c r="BQ62" t="s">
        <v>107</v>
      </c>
      <c r="BR62" t="s">
        <v>322</v>
      </c>
      <c r="BS62">
        <v>46.88</v>
      </c>
      <c r="BT62" t="s">
        <v>107</v>
      </c>
      <c r="BU62" t="s">
        <v>322</v>
      </c>
      <c r="BV62">
        <v>53.16</v>
      </c>
      <c r="BW62" t="s">
        <v>107</v>
      </c>
      <c r="BX62" t="s">
        <v>322</v>
      </c>
      <c r="BY62">
        <v>53.65</v>
      </c>
      <c r="BZ62" t="s">
        <v>107</v>
      </c>
      <c r="CA62" t="s">
        <v>322</v>
      </c>
      <c r="CB62">
        <v>54</v>
      </c>
      <c r="CC62" t="s">
        <v>107</v>
      </c>
      <c r="CD62" t="s">
        <v>322</v>
      </c>
      <c r="CE62">
        <v>55.08</v>
      </c>
      <c r="CF62" t="s">
        <v>107</v>
      </c>
      <c r="CG62" t="s">
        <v>322</v>
      </c>
      <c r="CH62">
        <v>54.94</v>
      </c>
      <c r="CI62" t="s">
        <v>107</v>
      </c>
      <c r="CJ62" t="s">
        <v>322</v>
      </c>
      <c r="CK62">
        <v>55.85</v>
      </c>
      <c r="CL62" t="s">
        <v>107</v>
      </c>
      <c r="CM62" t="s">
        <v>322</v>
      </c>
      <c r="CN62">
        <v>55</v>
      </c>
      <c r="CO62" t="s">
        <v>107</v>
      </c>
      <c r="CP62" t="s">
        <v>322</v>
      </c>
      <c r="CQ62">
        <v>54</v>
      </c>
      <c r="CR62" t="s">
        <v>107</v>
      </c>
      <c r="CS62" t="s">
        <v>322</v>
      </c>
      <c r="CT62">
        <v>53.03</v>
      </c>
      <c r="CU62" t="s">
        <v>107</v>
      </c>
      <c r="CV62" t="s">
        <v>322</v>
      </c>
      <c r="CW62">
        <v>53.13</v>
      </c>
      <c r="CX62" t="s">
        <v>107</v>
      </c>
      <c r="CY62" t="s">
        <v>322</v>
      </c>
      <c r="CZ62">
        <v>53</v>
      </c>
      <c r="DA62" t="s">
        <v>107</v>
      </c>
      <c r="DB62" t="s">
        <v>322</v>
      </c>
      <c r="DC62">
        <v>52.31</v>
      </c>
      <c r="DD62" t="s">
        <v>107</v>
      </c>
      <c r="DE62" t="s">
        <v>322</v>
      </c>
      <c r="DF62">
        <v>54</v>
      </c>
      <c r="DG62" t="s">
        <v>107</v>
      </c>
      <c r="DH62" t="s">
        <v>322</v>
      </c>
      <c r="DI62">
        <v>53.04</v>
      </c>
      <c r="DJ62" t="s">
        <v>107</v>
      </c>
      <c r="DK62" t="s">
        <v>322</v>
      </c>
      <c r="DL62">
        <v>53.75</v>
      </c>
      <c r="DM62" t="s">
        <v>107</v>
      </c>
      <c r="DN62" t="s">
        <v>322</v>
      </c>
      <c r="DO62">
        <v>53.84</v>
      </c>
      <c r="DP62" t="s">
        <v>107</v>
      </c>
      <c r="DQ62" t="s">
        <v>322</v>
      </c>
      <c r="DR62">
        <v>52.01</v>
      </c>
      <c r="DS62" t="s">
        <v>107</v>
      </c>
      <c r="DT62" t="s">
        <v>386</v>
      </c>
      <c r="DU62">
        <v>42</v>
      </c>
      <c r="DV62" t="s">
        <v>182</v>
      </c>
      <c r="DW62" t="s">
        <v>386</v>
      </c>
      <c r="DX62">
        <v>49</v>
      </c>
      <c r="DY62" t="s">
        <v>182</v>
      </c>
      <c r="DZ62" t="s">
        <v>386</v>
      </c>
      <c r="EA62">
        <v>49</v>
      </c>
      <c r="EB62" t="s">
        <v>182</v>
      </c>
      <c r="EC62" t="s">
        <v>386</v>
      </c>
      <c r="ED62">
        <v>49</v>
      </c>
      <c r="EE62" t="s">
        <v>182</v>
      </c>
      <c r="EF62" t="s">
        <v>386</v>
      </c>
      <c r="EG62">
        <v>47</v>
      </c>
      <c r="EH62" t="s">
        <v>182</v>
      </c>
      <c r="EI62" t="s">
        <v>386</v>
      </c>
      <c r="EJ62">
        <v>47</v>
      </c>
      <c r="EK62" t="s">
        <v>182</v>
      </c>
    </row>
    <row r="63" spans="1:141">
      <c r="A63" t="s">
        <v>322</v>
      </c>
      <c r="B63">
        <v>49.63</v>
      </c>
      <c r="C63" t="s">
        <v>107</v>
      </c>
      <c r="D63" t="s">
        <v>322</v>
      </c>
      <c r="E63">
        <v>49.4</v>
      </c>
      <c r="F63" t="s">
        <v>107</v>
      </c>
      <c r="G63" t="s">
        <v>662</v>
      </c>
      <c r="H63">
        <v>9.35</v>
      </c>
      <c r="I63" t="s">
        <v>692</v>
      </c>
      <c r="J63" t="s">
        <v>662</v>
      </c>
      <c r="K63">
        <v>9.35</v>
      </c>
      <c r="L63" t="s">
        <v>692</v>
      </c>
      <c r="M63" t="s">
        <v>662</v>
      </c>
      <c r="N63">
        <v>9.35</v>
      </c>
      <c r="O63" t="s">
        <v>692</v>
      </c>
      <c r="P63" t="s">
        <v>662</v>
      </c>
      <c r="Q63">
        <v>9.35</v>
      </c>
      <c r="R63" t="s">
        <v>692</v>
      </c>
      <c r="S63" t="s">
        <v>662</v>
      </c>
      <c r="T63">
        <v>9.35</v>
      </c>
      <c r="U63" t="s">
        <v>692</v>
      </c>
      <c r="V63" t="s">
        <v>662</v>
      </c>
      <c r="W63">
        <v>9.35</v>
      </c>
      <c r="X63" t="s">
        <v>692</v>
      </c>
      <c r="Y63" t="s">
        <v>662</v>
      </c>
      <c r="Z63">
        <v>9.35</v>
      </c>
      <c r="AA63" t="s">
        <v>692</v>
      </c>
      <c r="AB63" t="s">
        <v>662</v>
      </c>
      <c r="AC63">
        <v>9.35</v>
      </c>
      <c r="AD63" t="s">
        <v>692</v>
      </c>
      <c r="AE63" t="s">
        <v>662</v>
      </c>
      <c r="AF63">
        <v>9.35</v>
      </c>
      <c r="AG63" t="s">
        <v>692</v>
      </c>
      <c r="AH63" t="s">
        <v>662</v>
      </c>
      <c r="AI63">
        <v>9.35</v>
      </c>
      <c r="AJ63" t="s">
        <v>692</v>
      </c>
      <c r="AK63" t="s">
        <v>662</v>
      </c>
      <c r="AL63">
        <v>9.35</v>
      </c>
      <c r="AM63" t="s">
        <v>692</v>
      </c>
      <c r="AN63" t="s">
        <v>662</v>
      </c>
      <c r="AO63">
        <v>9.35</v>
      </c>
      <c r="AP63" t="s">
        <v>692</v>
      </c>
      <c r="AQ63" t="s">
        <v>662</v>
      </c>
      <c r="AR63">
        <v>9.35</v>
      </c>
      <c r="AS63" t="s">
        <v>692</v>
      </c>
      <c r="AT63" t="s">
        <v>662</v>
      </c>
      <c r="AU63">
        <v>9.35</v>
      </c>
      <c r="AV63" t="s">
        <v>692</v>
      </c>
      <c r="AW63" t="s">
        <v>662</v>
      </c>
      <c r="AX63">
        <v>9.35</v>
      </c>
      <c r="AY63" t="s">
        <v>692</v>
      </c>
      <c r="AZ63" t="s">
        <v>662</v>
      </c>
      <c r="BA63">
        <v>9.35</v>
      </c>
      <c r="BB63" t="s">
        <v>692</v>
      </c>
      <c r="BC63" t="s">
        <v>662</v>
      </c>
      <c r="BD63">
        <v>9.35</v>
      </c>
      <c r="BE63" t="s">
        <v>692</v>
      </c>
      <c r="BF63" t="s">
        <v>662</v>
      </c>
      <c r="BG63">
        <v>9.35</v>
      </c>
      <c r="BH63" t="s">
        <v>692</v>
      </c>
      <c r="BI63" t="s">
        <v>662</v>
      </c>
      <c r="BJ63">
        <v>9.35</v>
      </c>
      <c r="BK63" t="s">
        <v>692</v>
      </c>
      <c r="BL63" t="s">
        <v>662</v>
      </c>
      <c r="BM63">
        <v>9.35</v>
      </c>
      <c r="BN63" t="s">
        <v>692</v>
      </c>
      <c r="BO63" t="s">
        <v>662</v>
      </c>
      <c r="BP63">
        <v>9.35</v>
      </c>
      <c r="BQ63" t="s">
        <v>692</v>
      </c>
      <c r="BR63" t="s">
        <v>662</v>
      </c>
      <c r="BS63">
        <v>9.35</v>
      </c>
      <c r="BT63" t="s">
        <v>692</v>
      </c>
      <c r="BU63" t="s">
        <v>662</v>
      </c>
      <c r="BV63">
        <v>9.35</v>
      </c>
      <c r="BW63" t="s">
        <v>692</v>
      </c>
      <c r="BX63" t="s">
        <v>662</v>
      </c>
      <c r="BY63">
        <v>9.35</v>
      </c>
      <c r="BZ63" t="s">
        <v>692</v>
      </c>
      <c r="CA63" t="s">
        <v>662</v>
      </c>
      <c r="CB63">
        <v>9.35</v>
      </c>
      <c r="CC63" t="s">
        <v>692</v>
      </c>
      <c r="CD63" t="s">
        <v>662</v>
      </c>
      <c r="CE63">
        <v>9.35</v>
      </c>
      <c r="CF63" t="s">
        <v>692</v>
      </c>
      <c r="CG63" t="s">
        <v>662</v>
      </c>
      <c r="CH63">
        <v>9.35</v>
      </c>
      <c r="CI63" t="s">
        <v>692</v>
      </c>
      <c r="CJ63" t="s">
        <v>662</v>
      </c>
      <c r="CK63">
        <v>9.35</v>
      </c>
      <c r="CL63" t="s">
        <v>692</v>
      </c>
      <c r="CM63" t="s">
        <v>662</v>
      </c>
      <c r="CN63">
        <v>9.35</v>
      </c>
      <c r="CO63" t="s">
        <v>692</v>
      </c>
      <c r="CP63" t="s">
        <v>662</v>
      </c>
      <c r="CQ63">
        <v>9.35</v>
      </c>
      <c r="CR63" t="s">
        <v>692</v>
      </c>
      <c r="CS63" t="s">
        <v>662</v>
      </c>
      <c r="CT63">
        <v>9.35</v>
      </c>
      <c r="CU63" t="s">
        <v>692</v>
      </c>
      <c r="CV63" t="s">
        <v>662</v>
      </c>
      <c r="CW63">
        <v>9.35</v>
      </c>
      <c r="CX63" t="s">
        <v>692</v>
      </c>
      <c r="CY63" t="s">
        <v>662</v>
      </c>
      <c r="CZ63">
        <v>9.35</v>
      </c>
      <c r="DA63" t="s">
        <v>692</v>
      </c>
      <c r="DB63" t="s">
        <v>662</v>
      </c>
      <c r="DC63">
        <v>9.35</v>
      </c>
      <c r="DD63" t="s">
        <v>692</v>
      </c>
      <c r="DE63" t="s">
        <v>662</v>
      </c>
      <c r="DF63">
        <v>9.35</v>
      </c>
      <c r="DG63" t="s">
        <v>692</v>
      </c>
      <c r="DH63" t="s">
        <v>662</v>
      </c>
      <c r="DI63">
        <v>9.35</v>
      </c>
      <c r="DJ63" t="s">
        <v>692</v>
      </c>
      <c r="DK63" t="s">
        <v>662</v>
      </c>
      <c r="DL63">
        <v>9.35</v>
      </c>
      <c r="DM63" t="s">
        <v>692</v>
      </c>
      <c r="DN63" t="s">
        <v>662</v>
      </c>
      <c r="DO63">
        <v>9.35</v>
      </c>
      <c r="DP63" t="s">
        <v>692</v>
      </c>
      <c r="DQ63" t="s">
        <v>662</v>
      </c>
      <c r="DR63">
        <v>9.35</v>
      </c>
      <c r="DS63" t="s">
        <v>692</v>
      </c>
      <c r="DT63" t="s">
        <v>677</v>
      </c>
      <c r="DU63">
        <v>17.07</v>
      </c>
      <c r="DV63" t="s">
        <v>14</v>
      </c>
      <c r="DW63" t="s">
        <v>677</v>
      </c>
      <c r="DX63">
        <v>17.07</v>
      </c>
      <c r="DY63" t="s">
        <v>14</v>
      </c>
      <c r="DZ63" t="s">
        <v>677</v>
      </c>
      <c r="EA63">
        <v>17.07</v>
      </c>
      <c r="EB63" t="s">
        <v>14</v>
      </c>
      <c r="EC63" t="s">
        <v>677</v>
      </c>
      <c r="ED63">
        <v>17.07</v>
      </c>
      <c r="EE63" t="s">
        <v>14</v>
      </c>
      <c r="EF63" t="s">
        <v>677</v>
      </c>
      <c r="EG63">
        <v>17.07</v>
      </c>
      <c r="EH63" t="s">
        <v>14</v>
      </c>
      <c r="EI63" t="s">
        <v>677</v>
      </c>
      <c r="EJ63">
        <v>17.07</v>
      </c>
      <c r="EK63" t="s">
        <v>14</v>
      </c>
    </row>
    <row r="64" spans="1:141">
      <c r="A64" t="s">
        <v>662</v>
      </c>
      <c r="B64">
        <v>9.35</v>
      </c>
      <c r="C64" t="s">
        <v>692</v>
      </c>
      <c r="D64" t="s">
        <v>662</v>
      </c>
      <c r="E64">
        <v>9.35</v>
      </c>
      <c r="F64" t="s">
        <v>692</v>
      </c>
      <c r="G64" t="s">
        <v>386</v>
      </c>
      <c r="H64">
        <v>25</v>
      </c>
      <c r="I64" t="s">
        <v>182</v>
      </c>
      <c r="J64" t="s">
        <v>386</v>
      </c>
      <c r="K64">
        <v>25</v>
      </c>
      <c r="L64" t="s">
        <v>182</v>
      </c>
      <c r="M64" t="s">
        <v>386</v>
      </c>
      <c r="N64">
        <v>22</v>
      </c>
      <c r="O64" t="s">
        <v>182</v>
      </c>
      <c r="P64" t="s">
        <v>386</v>
      </c>
      <c r="Q64">
        <v>22</v>
      </c>
      <c r="R64" t="s">
        <v>182</v>
      </c>
      <c r="S64" t="s">
        <v>386</v>
      </c>
      <c r="T64">
        <v>23.49</v>
      </c>
      <c r="U64" t="s">
        <v>182</v>
      </c>
      <c r="V64" t="s">
        <v>386</v>
      </c>
      <c r="W64">
        <v>25</v>
      </c>
      <c r="X64" t="s">
        <v>182</v>
      </c>
      <c r="Y64" t="s">
        <v>386</v>
      </c>
      <c r="Z64">
        <v>25</v>
      </c>
      <c r="AA64" t="s">
        <v>182</v>
      </c>
      <c r="AB64" t="s">
        <v>386</v>
      </c>
      <c r="AC64">
        <v>22</v>
      </c>
      <c r="AD64" t="s">
        <v>182</v>
      </c>
      <c r="AE64" t="s">
        <v>386</v>
      </c>
      <c r="AF64">
        <v>22</v>
      </c>
      <c r="AG64" t="s">
        <v>182</v>
      </c>
      <c r="AH64" t="s">
        <v>386</v>
      </c>
      <c r="AI64">
        <v>22</v>
      </c>
      <c r="AJ64" t="s">
        <v>182</v>
      </c>
      <c r="AK64" t="s">
        <v>386</v>
      </c>
      <c r="AL64">
        <v>22</v>
      </c>
      <c r="AM64" t="s">
        <v>182</v>
      </c>
      <c r="AN64" t="s">
        <v>386</v>
      </c>
      <c r="AO64">
        <v>22</v>
      </c>
      <c r="AP64" t="s">
        <v>182</v>
      </c>
      <c r="AQ64" t="s">
        <v>386</v>
      </c>
      <c r="AR64">
        <v>24</v>
      </c>
      <c r="AS64" t="s">
        <v>182</v>
      </c>
      <c r="AT64" t="s">
        <v>386</v>
      </c>
      <c r="AU64">
        <v>24</v>
      </c>
      <c r="AV64" t="s">
        <v>182</v>
      </c>
      <c r="AW64" t="s">
        <v>386</v>
      </c>
      <c r="AX64">
        <v>22.1</v>
      </c>
      <c r="AY64" t="s">
        <v>182</v>
      </c>
      <c r="AZ64" t="s">
        <v>386</v>
      </c>
      <c r="BA64">
        <v>24</v>
      </c>
      <c r="BB64" t="s">
        <v>182</v>
      </c>
      <c r="BC64" t="s">
        <v>386</v>
      </c>
      <c r="BD64">
        <v>22</v>
      </c>
      <c r="BE64" t="s">
        <v>182</v>
      </c>
      <c r="BF64" t="s">
        <v>386</v>
      </c>
      <c r="BG64">
        <v>31</v>
      </c>
      <c r="BH64" t="s">
        <v>182</v>
      </c>
      <c r="BI64" t="s">
        <v>386</v>
      </c>
      <c r="BJ64">
        <v>31</v>
      </c>
      <c r="BK64" t="s">
        <v>182</v>
      </c>
      <c r="BL64" t="s">
        <v>386</v>
      </c>
      <c r="BM64">
        <v>34</v>
      </c>
      <c r="BN64" t="s">
        <v>182</v>
      </c>
      <c r="BO64" t="s">
        <v>386</v>
      </c>
      <c r="BP64">
        <v>33.99</v>
      </c>
      <c r="BQ64" t="s">
        <v>182</v>
      </c>
      <c r="BR64" t="s">
        <v>386</v>
      </c>
      <c r="BS64">
        <v>33.99</v>
      </c>
      <c r="BT64" t="s">
        <v>182</v>
      </c>
      <c r="BU64" t="s">
        <v>386</v>
      </c>
      <c r="BV64">
        <v>33.99</v>
      </c>
      <c r="BW64" t="s">
        <v>182</v>
      </c>
      <c r="BX64" t="s">
        <v>386</v>
      </c>
      <c r="BY64">
        <v>33.99</v>
      </c>
      <c r="BZ64" t="s">
        <v>182</v>
      </c>
      <c r="CA64" t="s">
        <v>386</v>
      </c>
      <c r="CB64">
        <v>33.99</v>
      </c>
      <c r="CC64" t="s">
        <v>182</v>
      </c>
      <c r="CD64" t="s">
        <v>386</v>
      </c>
      <c r="CE64">
        <v>33.99</v>
      </c>
      <c r="CF64" t="s">
        <v>182</v>
      </c>
      <c r="CG64" t="s">
        <v>386</v>
      </c>
      <c r="CH64">
        <v>33.99</v>
      </c>
      <c r="CI64" t="s">
        <v>182</v>
      </c>
      <c r="CJ64" t="s">
        <v>386</v>
      </c>
      <c r="CK64">
        <v>31</v>
      </c>
      <c r="CL64" t="s">
        <v>182</v>
      </c>
      <c r="CM64" t="s">
        <v>386</v>
      </c>
      <c r="CN64">
        <v>31</v>
      </c>
      <c r="CO64" t="s">
        <v>182</v>
      </c>
      <c r="CP64" t="s">
        <v>386</v>
      </c>
      <c r="CQ64">
        <v>34.42</v>
      </c>
      <c r="CR64" t="s">
        <v>182</v>
      </c>
      <c r="CS64" t="s">
        <v>386</v>
      </c>
      <c r="CT64">
        <v>36</v>
      </c>
      <c r="CU64" t="s">
        <v>182</v>
      </c>
      <c r="CV64" t="s">
        <v>386</v>
      </c>
      <c r="CW64">
        <v>37</v>
      </c>
      <c r="CX64" t="s">
        <v>182</v>
      </c>
      <c r="CY64" t="s">
        <v>386</v>
      </c>
      <c r="CZ64">
        <v>37</v>
      </c>
      <c r="DA64" t="s">
        <v>182</v>
      </c>
      <c r="DB64" t="s">
        <v>386</v>
      </c>
      <c r="DC64">
        <v>38</v>
      </c>
      <c r="DD64" t="s">
        <v>182</v>
      </c>
      <c r="DE64" t="s">
        <v>386</v>
      </c>
      <c r="DF64">
        <v>38</v>
      </c>
      <c r="DG64" t="s">
        <v>182</v>
      </c>
      <c r="DH64" t="s">
        <v>386</v>
      </c>
      <c r="DI64">
        <v>40</v>
      </c>
      <c r="DJ64" t="s">
        <v>182</v>
      </c>
      <c r="DK64" t="s">
        <v>386</v>
      </c>
      <c r="DL64">
        <v>40</v>
      </c>
      <c r="DM64" t="s">
        <v>182</v>
      </c>
      <c r="DN64" t="s">
        <v>386</v>
      </c>
      <c r="DO64">
        <v>32.25</v>
      </c>
      <c r="DP64" t="s">
        <v>182</v>
      </c>
      <c r="DQ64" t="s">
        <v>386</v>
      </c>
      <c r="DR64">
        <v>43.1</v>
      </c>
      <c r="DS64" t="s">
        <v>182</v>
      </c>
      <c r="DT64" t="s">
        <v>321</v>
      </c>
      <c r="DU64">
        <v>5.05</v>
      </c>
      <c r="DV64" t="s">
        <v>56</v>
      </c>
      <c r="DW64" t="s">
        <v>321</v>
      </c>
      <c r="DX64">
        <v>4.79</v>
      </c>
      <c r="DY64" t="s">
        <v>56</v>
      </c>
      <c r="DZ64" t="s">
        <v>321</v>
      </c>
      <c r="EA64">
        <v>4.87</v>
      </c>
      <c r="EB64" t="s">
        <v>56</v>
      </c>
      <c r="EC64" t="s">
        <v>321</v>
      </c>
      <c r="ED64">
        <v>5.13</v>
      </c>
      <c r="EE64" t="s">
        <v>56</v>
      </c>
      <c r="EF64" t="s">
        <v>321</v>
      </c>
      <c r="EG64">
        <v>5.16</v>
      </c>
      <c r="EH64" t="s">
        <v>56</v>
      </c>
      <c r="EI64" t="s">
        <v>321</v>
      </c>
      <c r="EJ64">
        <v>5.55</v>
      </c>
      <c r="EK64" t="s">
        <v>56</v>
      </c>
    </row>
    <row r="65" spans="1:141">
      <c r="A65" t="s">
        <v>386</v>
      </c>
      <c r="B65">
        <v>25</v>
      </c>
      <c r="C65" t="s">
        <v>182</v>
      </c>
      <c r="D65" t="s">
        <v>386</v>
      </c>
      <c r="E65">
        <v>25</v>
      </c>
      <c r="F65" t="s">
        <v>182</v>
      </c>
      <c r="G65" t="s">
        <v>677</v>
      </c>
      <c r="H65">
        <v>17.07</v>
      </c>
      <c r="I65" t="s">
        <v>14</v>
      </c>
      <c r="J65" t="s">
        <v>677</v>
      </c>
      <c r="K65">
        <v>17.07</v>
      </c>
      <c r="L65" t="s">
        <v>14</v>
      </c>
      <c r="M65" t="s">
        <v>677</v>
      </c>
      <c r="N65">
        <v>17.07</v>
      </c>
      <c r="O65" t="s">
        <v>14</v>
      </c>
      <c r="P65" t="s">
        <v>677</v>
      </c>
      <c r="Q65">
        <v>17.07</v>
      </c>
      <c r="R65" t="s">
        <v>14</v>
      </c>
      <c r="S65" t="s">
        <v>677</v>
      </c>
      <c r="T65">
        <v>17.07</v>
      </c>
      <c r="U65" t="s">
        <v>14</v>
      </c>
      <c r="V65" t="s">
        <v>677</v>
      </c>
      <c r="W65">
        <v>17.07</v>
      </c>
      <c r="X65" t="s">
        <v>14</v>
      </c>
      <c r="Y65" t="s">
        <v>677</v>
      </c>
      <c r="Z65">
        <v>17.07</v>
      </c>
      <c r="AA65" t="s">
        <v>14</v>
      </c>
      <c r="AB65" t="s">
        <v>677</v>
      </c>
      <c r="AC65">
        <v>17.07</v>
      </c>
      <c r="AD65" t="s">
        <v>14</v>
      </c>
      <c r="AE65" t="s">
        <v>677</v>
      </c>
      <c r="AF65">
        <v>17.07</v>
      </c>
      <c r="AG65" t="s">
        <v>14</v>
      </c>
      <c r="AH65" t="s">
        <v>677</v>
      </c>
      <c r="AI65">
        <v>17.07</v>
      </c>
      <c r="AJ65" t="s">
        <v>14</v>
      </c>
      <c r="AK65" t="s">
        <v>677</v>
      </c>
      <c r="AL65">
        <v>17.07</v>
      </c>
      <c r="AM65" t="s">
        <v>14</v>
      </c>
      <c r="AN65" t="s">
        <v>677</v>
      </c>
      <c r="AO65">
        <v>17.07</v>
      </c>
      <c r="AP65" t="s">
        <v>14</v>
      </c>
      <c r="AQ65" t="s">
        <v>677</v>
      </c>
      <c r="AR65">
        <v>17.07</v>
      </c>
      <c r="AS65" t="s">
        <v>14</v>
      </c>
      <c r="AT65" t="s">
        <v>677</v>
      </c>
      <c r="AU65">
        <v>17.07</v>
      </c>
      <c r="AV65" t="s">
        <v>14</v>
      </c>
      <c r="AW65" t="s">
        <v>677</v>
      </c>
      <c r="AX65">
        <v>17.07</v>
      </c>
      <c r="AY65" t="s">
        <v>14</v>
      </c>
      <c r="AZ65" t="s">
        <v>677</v>
      </c>
      <c r="BA65">
        <v>17.07</v>
      </c>
      <c r="BB65" t="s">
        <v>14</v>
      </c>
      <c r="BC65" t="s">
        <v>677</v>
      </c>
      <c r="BD65">
        <v>17.07</v>
      </c>
      <c r="BE65" t="s">
        <v>14</v>
      </c>
      <c r="BF65" t="s">
        <v>677</v>
      </c>
      <c r="BG65">
        <v>17.07</v>
      </c>
      <c r="BH65" t="s">
        <v>14</v>
      </c>
      <c r="BI65" t="s">
        <v>677</v>
      </c>
      <c r="BJ65">
        <v>17.07</v>
      </c>
      <c r="BK65" t="s">
        <v>14</v>
      </c>
      <c r="BL65" t="s">
        <v>677</v>
      </c>
      <c r="BM65">
        <v>17.07</v>
      </c>
      <c r="BN65" t="s">
        <v>14</v>
      </c>
      <c r="BO65" t="s">
        <v>677</v>
      </c>
      <c r="BP65">
        <v>17.07</v>
      </c>
      <c r="BQ65" t="s">
        <v>14</v>
      </c>
      <c r="BR65" t="s">
        <v>677</v>
      </c>
      <c r="BS65">
        <v>17.07</v>
      </c>
      <c r="BT65" t="s">
        <v>14</v>
      </c>
      <c r="BU65" t="s">
        <v>677</v>
      </c>
      <c r="BV65">
        <v>17.07</v>
      </c>
      <c r="BW65" t="s">
        <v>14</v>
      </c>
      <c r="BX65" t="s">
        <v>677</v>
      </c>
      <c r="BY65">
        <v>17.07</v>
      </c>
      <c r="BZ65" t="s">
        <v>14</v>
      </c>
      <c r="CA65" t="s">
        <v>677</v>
      </c>
      <c r="CB65">
        <v>17.07</v>
      </c>
      <c r="CC65" t="s">
        <v>14</v>
      </c>
      <c r="CD65" t="s">
        <v>677</v>
      </c>
      <c r="CE65">
        <v>17.07</v>
      </c>
      <c r="CF65" t="s">
        <v>14</v>
      </c>
      <c r="CG65" t="s">
        <v>677</v>
      </c>
      <c r="CH65">
        <v>17.07</v>
      </c>
      <c r="CI65" t="s">
        <v>14</v>
      </c>
      <c r="CJ65" t="s">
        <v>677</v>
      </c>
      <c r="CK65">
        <v>17.07</v>
      </c>
      <c r="CL65" t="s">
        <v>14</v>
      </c>
      <c r="CM65" t="s">
        <v>677</v>
      </c>
      <c r="CN65">
        <v>17.07</v>
      </c>
      <c r="CO65" t="s">
        <v>14</v>
      </c>
      <c r="CP65" t="s">
        <v>677</v>
      </c>
      <c r="CQ65">
        <v>17.07</v>
      </c>
      <c r="CR65" t="s">
        <v>14</v>
      </c>
      <c r="CS65" t="s">
        <v>677</v>
      </c>
      <c r="CT65">
        <v>17.07</v>
      </c>
      <c r="CU65" t="s">
        <v>14</v>
      </c>
      <c r="CV65" t="s">
        <v>677</v>
      </c>
      <c r="CW65">
        <v>17.07</v>
      </c>
      <c r="CX65" t="s">
        <v>14</v>
      </c>
      <c r="CY65" t="s">
        <v>677</v>
      </c>
      <c r="CZ65">
        <v>17.07</v>
      </c>
      <c r="DA65" t="s">
        <v>14</v>
      </c>
      <c r="DB65" t="s">
        <v>677</v>
      </c>
      <c r="DC65">
        <v>17.07</v>
      </c>
      <c r="DD65" t="s">
        <v>14</v>
      </c>
      <c r="DE65" t="s">
        <v>677</v>
      </c>
      <c r="DF65">
        <v>17.07</v>
      </c>
      <c r="DG65" t="s">
        <v>14</v>
      </c>
      <c r="DH65" t="s">
        <v>677</v>
      </c>
      <c r="DI65">
        <v>17.07</v>
      </c>
      <c r="DJ65" t="s">
        <v>14</v>
      </c>
      <c r="DK65" t="s">
        <v>677</v>
      </c>
      <c r="DL65">
        <v>17.07</v>
      </c>
      <c r="DM65" t="s">
        <v>14</v>
      </c>
      <c r="DN65" t="s">
        <v>677</v>
      </c>
      <c r="DO65">
        <v>17.07</v>
      </c>
      <c r="DP65" t="s">
        <v>14</v>
      </c>
      <c r="DQ65" t="s">
        <v>677</v>
      </c>
      <c r="DR65">
        <v>17.07</v>
      </c>
      <c r="DS65" t="s">
        <v>14</v>
      </c>
      <c r="DT65" t="s">
        <v>661</v>
      </c>
      <c r="DU65">
        <v>8</v>
      </c>
      <c r="DV65" t="s">
        <v>691</v>
      </c>
      <c r="DW65" t="s">
        <v>661</v>
      </c>
      <c r="DX65">
        <v>8</v>
      </c>
      <c r="DY65" t="s">
        <v>691</v>
      </c>
      <c r="DZ65" t="s">
        <v>661</v>
      </c>
      <c r="EA65">
        <v>8.01</v>
      </c>
      <c r="EB65" t="s">
        <v>691</v>
      </c>
      <c r="EC65" t="s">
        <v>661</v>
      </c>
      <c r="ED65">
        <v>7</v>
      </c>
      <c r="EE65" t="s">
        <v>691</v>
      </c>
      <c r="EF65" t="s">
        <v>661</v>
      </c>
      <c r="EG65">
        <v>7.22</v>
      </c>
      <c r="EH65" t="s">
        <v>691</v>
      </c>
      <c r="EI65" t="s">
        <v>661</v>
      </c>
      <c r="EJ65">
        <v>7.7</v>
      </c>
      <c r="EK65" t="s">
        <v>691</v>
      </c>
    </row>
    <row r="66" spans="1:141">
      <c r="A66" t="s">
        <v>677</v>
      </c>
      <c r="B66">
        <v>17.07</v>
      </c>
      <c r="C66" t="s">
        <v>14</v>
      </c>
      <c r="D66" t="s">
        <v>677</v>
      </c>
      <c r="E66">
        <v>17.07</v>
      </c>
      <c r="F66" t="s">
        <v>14</v>
      </c>
      <c r="G66" t="s">
        <v>321</v>
      </c>
      <c r="H66">
        <v>3.51</v>
      </c>
      <c r="I66" t="s">
        <v>56</v>
      </c>
      <c r="J66" t="s">
        <v>321</v>
      </c>
      <c r="K66">
        <v>3.55</v>
      </c>
      <c r="L66" t="s">
        <v>56</v>
      </c>
      <c r="M66" t="s">
        <v>321</v>
      </c>
      <c r="N66">
        <v>3.41</v>
      </c>
      <c r="O66" t="s">
        <v>56</v>
      </c>
      <c r="P66" t="s">
        <v>321</v>
      </c>
      <c r="Q66">
        <v>3.37</v>
      </c>
      <c r="R66" t="s">
        <v>56</v>
      </c>
      <c r="S66" t="s">
        <v>321</v>
      </c>
      <c r="T66">
        <v>3.46</v>
      </c>
      <c r="U66" t="s">
        <v>56</v>
      </c>
      <c r="V66" t="s">
        <v>321</v>
      </c>
      <c r="W66">
        <v>3.35</v>
      </c>
      <c r="X66" t="s">
        <v>56</v>
      </c>
      <c r="Y66" t="s">
        <v>321</v>
      </c>
      <c r="Z66">
        <v>3.44</v>
      </c>
      <c r="AA66" t="s">
        <v>56</v>
      </c>
      <c r="AB66" t="s">
        <v>321</v>
      </c>
      <c r="AC66">
        <v>3.39</v>
      </c>
      <c r="AD66" t="s">
        <v>56</v>
      </c>
      <c r="AE66" t="s">
        <v>321</v>
      </c>
      <c r="AF66">
        <v>3.37</v>
      </c>
      <c r="AG66" t="s">
        <v>56</v>
      </c>
      <c r="AH66" t="s">
        <v>321</v>
      </c>
      <c r="AI66">
        <v>3.38</v>
      </c>
      <c r="AJ66" t="s">
        <v>56</v>
      </c>
      <c r="AK66" t="s">
        <v>321</v>
      </c>
      <c r="AL66">
        <v>3.09</v>
      </c>
      <c r="AM66" t="s">
        <v>56</v>
      </c>
      <c r="AN66" t="s">
        <v>321</v>
      </c>
      <c r="AO66">
        <v>2.89</v>
      </c>
      <c r="AP66" t="s">
        <v>56</v>
      </c>
      <c r="AQ66" t="s">
        <v>321</v>
      </c>
      <c r="AR66">
        <v>2.93</v>
      </c>
      <c r="AS66" t="s">
        <v>56</v>
      </c>
      <c r="AT66" t="s">
        <v>321</v>
      </c>
      <c r="AU66">
        <v>2.83</v>
      </c>
      <c r="AV66" t="s">
        <v>56</v>
      </c>
      <c r="AW66" t="s">
        <v>321</v>
      </c>
      <c r="AX66">
        <v>3.04</v>
      </c>
      <c r="AY66" t="s">
        <v>56</v>
      </c>
      <c r="AZ66" t="s">
        <v>321</v>
      </c>
      <c r="BA66">
        <v>3.2</v>
      </c>
      <c r="BB66" t="s">
        <v>56</v>
      </c>
      <c r="BC66" t="s">
        <v>321</v>
      </c>
      <c r="BD66">
        <v>2.73</v>
      </c>
      <c r="BE66" t="s">
        <v>56</v>
      </c>
      <c r="BF66" t="s">
        <v>321</v>
      </c>
      <c r="BG66">
        <v>2.59</v>
      </c>
      <c r="BH66" t="s">
        <v>56</v>
      </c>
      <c r="BI66" t="s">
        <v>321</v>
      </c>
      <c r="BJ66">
        <v>2.63</v>
      </c>
      <c r="BK66" t="s">
        <v>56</v>
      </c>
      <c r="BL66" t="s">
        <v>321</v>
      </c>
      <c r="BM66">
        <v>2.66</v>
      </c>
      <c r="BN66" t="s">
        <v>56</v>
      </c>
      <c r="BO66" t="s">
        <v>321</v>
      </c>
      <c r="BP66">
        <v>2.71</v>
      </c>
      <c r="BQ66" t="s">
        <v>56</v>
      </c>
      <c r="BR66" t="s">
        <v>321</v>
      </c>
      <c r="BS66">
        <v>2.63</v>
      </c>
      <c r="BT66" t="s">
        <v>56</v>
      </c>
      <c r="BU66" t="s">
        <v>321</v>
      </c>
      <c r="BV66">
        <v>2.59</v>
      </c>
      <c r="BW66" t="s">
        <v>56</v>
      </c>
      <c r="BX66" t="s">
        <v>321</v>
      </c>
      <c r="BY66">
        <v>2.58</v>
      </c>
      <c r="BZ66" t="s">
        <v>56</v>
      </c>
      <c r="CA66" t="s">
        <v>321</v>
      </c>
      <c r="CB66">
        <v>2.56</v>
      </c>
      <c r="CC66" t="s">
        <v>56</v>
      </c>
      <c r="CD66" t="s">
        <v>321</v>
      </c>
      <c r="CE66">
        <v>2.57</v>
      </c>
      <c r="CF66" t="s">
        <v>56</v>
      </c>
      <c r="CG66" t="s">
        <v>321</v>
      </c>
      <c r="CH66">
        <v>2.5</v>
      </c>
      <c r="CI66" t="s">
        <v>56</v>
      </c>
      <c r="CJ66" t="s">
        <v>321</v>
      </c>
      <c r="CK66">
        <v>2.48</v>
      </c>
      <c r="CL66" t="s">
        <v>56</v>
      </c>
      <c r="CM66" t="s">
        <v>321</v>
      </c>
      <c r="CN66">
        <v>2.46</v>
      </c>
      <c r="CO66" t="s">
        <v>56</v>
      </c>
      <c r="CP66" t="s">
        <v>321</v>
      </c>
      <c r="CQ66">
        <v>2.5099999999999998</v>
      </c>
      <c r="CR66" t="s">
        <v>56</v>
      </c>
      <c r="CS66" t="s">
        <v>321</v>
      </c>
      <c r="CT66">
        <v>2.82</v>
      </c>
      <c r="CU66" t="s">
        <v>56</v>
      </c>
      <c r="CV66" t="s">
        <v>321</v>
      </c>
      <c r="CW66">
        <v>2.8</v>
      </c>
      <c r="CX66" t="s">
        <v>56</v>
      </c>
      <c r="CY66" t="s">
        <v>321</v>
      </c>
      <c r="CZ66">
        <v>2.86</v>
      </c>
      <c r="DA66" t="s">
        <v>56</v>
      </c>
      <c r="DB66" t="s">
        <v>321</v>
      </c>
      <c r="DC66">
        <v>3.02</v>
      </c>
      <c r="DD66" t="s">
        <v>56</v>
      </c>
      <c r="DE66" t="s">
        <v>321</v>
      </c>
      <c r="DF66">
        <v>3.18</v>
      </c>
      <c r="DG66" t="s">
        <v>56</v>
      </c>
      <c r="DH66" t="s">
        <v>321</v>
      </c>
      <c r="DI66">
        <v>3.38</v>
      </c>
      <c r="DJ66" t="s">
        <v>56</v>
      </c>
      <c r="DK66" t="s">
        <v>321</v>
      </c>
      <c r="DL66">
        <v>3.6</v>
      </c>
      <c r="DM66" t="s">
        <v>56</v>
      </c>
      <c r="DN66" t="s">
        <v>321</v>
      </c>
      <c r="DO66">
        <v>3.55</v>
      </c>
      <c r="DP66" t="s">
        <v>56</v>
      </c>
      <c r="DQ66" t="s">
        <v>321</v>
      </c>
      <c r="DR66">
        <v>4.6500000000000004</v>
      </c>
      <c r="DS66" t="s">
        <v>56</v>
      </c>
      <c r="DT66" t="s">
        <v>183</v>
      </c>
      <c r="DU66">
        <v>22.4</v>
      </c>
      <c r="DV66" t="s">
        <v>61</v>
      </c>
      <c r="DW66" t="s">
        <v>183</v>
      </c>
      <c r="DX66">
        <v>22.49</v>
      </c>
      <c r="DY66" t="s">
        <v>61</v>
      </c>
      <c r="DZ66" t="s">
        <v>183</v>
      </c>
      <c r="EA66">
        <v>21.5</v>
      </c>
      <c r="EB66" t="s">
        <v>61</v>
      </c>
      <c r="EC66" t="s">
        <v>183</v>
      </c>
      <c r="ED66">
        <v>21.36</v>
      </c>
      <c r="EE66" t="s">
        <v>61</v>
      </c>
      <c r="EF66" t="s">
        <v>183</v>
      </c>
      <c r="EG66">
        <v>20.41</v>
      </c>
      <c r="EH66" t="s">
        <v>61</v>
      </c>
      <c r="EI66" t="s">
        <v>183</v>
      </c>
      <c r="EJ66">
        <v>21.15</v>
      </c>
      <c r="EK66" t="s">
        <v>61</v>
      </c>
    </row>
    <row r="67" spans="1:141">
      <c r="A67" t="s">
        <v>321</v>
      </c>
      <c r="B67">
        <v>3.62</v>
      </c>
      <c r="C67" t="s">
        <v>56</v>
      </c>
      <c r="D67" t="s">
        <v>321</v>
      </c>
      <c r="E67">
        <v>3.52</v>
      </c>
      <c r="F67" t="s">
        <v>56</v>
      </c>
      <c r="G67" t="s">
        <v>661</v>
      </c>
      <c r="H67">
        <v>10</v>
      </c>
      <c r="I67" t="s">
        <v>691</v>
      </c>
      <c r="J67" t="s">
        <v>661</v>
      </c>
      <c r="K67">
        <v>10</v>
      </c>
      <c r="L67" t="s">
        <v>691</v>
      </c>
      <c r="M67" t="s">
        <v>661</v>
      </c>
      <c r="N67">
        <v>10</v>
      </c>
      <c r="O67" t="s">
        <v>691</v>
      </c>
      <c r="P67" t="s">
        <v>661</v>
      </c>
      <c r="Q67">
        <v>10</v>
      </c>
      <c r="R67" t="s">
        <v>691</v>
      </c>
      <c r="S67" t="s">
        <v>661</v>
      </c>
      <c r="T67">
        <v>9.14</v>
      </c>
      <c r="U67" t="s">
        <v>691</v>
      </c>
      <c r="V67" t="s">
        <v>661</v>
      </c>
      <c r="W67">
        <v>9.09</v>
      </c>
      <c r="X67" t="s">
        <v>691</v>
      </c>
      <c r="Y67" t="s">
        <v>661</v>
      </c>
      <c r="Z67">
        <v>9.09</v>
      </c>
      <c r="AA67" t="s">
        <v>691</v>
      </c>
      <c r="AB67" t="s">
        <v>661</v>
      </c>
      <c r="AC67">
        <v>10</v>
      </c>
      <c r="AD67" t="s">
        <v>691</v>
      </c>
      <c r="AE67" t="s">
        <v>661</v>
      </c>
      <c r="AF67">
        <v>9.51</v>
      </c>
      <c r="AG67" t="s">
        <v>691</v>
      </c>
      <c r="AH67" t="s">
        <v>661</v>
      </c>
      <c r="AI67">
        <v>9.51</v>
      </c>
      <c r="AJ67" t="s">
        <v>691</v>
      </c>
      <c r="AK67" t="s">
        <v>661</v>
      </c>
      <c r="AL67">
        <v>9.51</v>
      </c>
      <c r="AM67" t="s">
        <v>691</v>
      </c>
      <c r="AN67" t="s">
        <v>661</v>
      </c>
      <c r="AO67">
        <v>9.11</v>
      </c>
      <c r="AP67" t="s">
        <v>691</v>
      </c>
      <c r="AQ67" t="s">
        <v>661</v>
      </c>
      <c r="AR67">
        <v>10</v>
      </c>
      <c r="AS67" t="s">
        <v>691</v>
      </c>
      <c r="AT67" t="s">
        <v>661</v>
      </c>
      <c r="AU67">
        <v>10</v>
      </c>
      <c r="AV67" t="s">
        <v>691</v>
      </c>
      <c r="AW67" t="s">
        <v>661</v>
      </c>
      <c r="AX67">
        <v>10</v>
      </c>
      <c r="AY67" t="s">
        <v>691</v>
      </c>
      <c r="AZ67" t="s">
        <v>661</v>
      </c>
      <c r="BA67">
        <v>11.2</v>
      </c>
      <c r="BB67" t="s">
        <v>691</v>
      </c>
      <c r="BC67" t="s">
        <v>661</v>
      </c>
      <c r="BD67">
        <v>10.5</v>
      </c>
      <c r="BE67" t="s">
        <v>691</v>
      </c>
      <c r="BF67" t="s">
        <v>661</v>
      </c>
      <c r="BG67">
        <v>9.6</v>
      </c>
      <c r="BH67" t="s">
        <v>691</v>
      </c>
      <c r="BI67" t="s">
        <v>661</v>
      </c>
      <c r="BJ67">
        <v>9.6</v>
      </c>
      <c r="BK67" t="s">
        <v>691</v>
      </c>
      <c r="BL67" t="s">
        <v>661</v>
      </c>
      <c r="BM67">
        <v>9.0299999999999994</v>
      </c>
      <c r="BN67" t="s">
        <v>691</v>
      </c>
      <c r="BO67" t="s">
        <v>661</v>
      </c>
      <c r="BP67">
        <v>9</v>
      </c>
      <c r="BQ67" t="s">
        <v>691</v>
      </c>
      <c r="BR67" t="s">
        <v>661</v>
      </c>
      <c r="BS67">
        <v>9</v>
      </c>
      <c r="BT67" t="s">
        <v>691</v>
      </c>
      <c r="BU67" t="s">
        <v>661</v>
      </c>
      <c r="BV67">
        <v>9</v>
      </c>
      <c r="BW67" t="s">
        <v>691</v>
      </c>
      <c r="BX67" t="s">
        <v>661</v>
      </c>
      <c r="BY67">
        <v>9</v>
      </c>
      <c r="BZ67" t="s">
        <v>691</v>
      </c>
      <c r="CA67" t="s">
        <v>661</v>
      </c>
      <c r="CB67">
        <v>9.0500000000000007</v>
      </c>
      <c r="CC67" t="s">
        <v>691</v>
      </c>
      <c r="CD67" t="s">
        <v>661</v>
      </c>
      <c r="CE67">
        <v>9.0500000000000007</v>
      </c>
      <c r="CF67" t="s">
        <v>691</v>
      </c>
      <c r="CG67" t="s">
        <v>661</v>
      </c>
      <c r="CH67">
        <v>9.0500000000000007</v>
      </c>
      <c r="CI67" t="s">
        <v>691</v>
      </c>
      <c r="CJ67" t="s">
        <v>661</v>
      </c>
      <c r="CK67">
        <v>9.0500000000000007</v>
      </c>
      <c r="CL67" t="s">
        <v>691</v>
      </c>
      <c r="CM67" t="s">
        <v>661</v>
      </c>
      <c r="CN67">
        <v>9.0500000000000007</v>
      </c>
      <c r="CO67" t="s">
        <v>691</v>
      </c>
      <c r="CP67" t="s">
        <v>661</v>
      </c>
      <c r="CQ67">
        <v>10.99</v>
      </c>
      <c r="CR67" t="s">
        <v>691</v>
      </c>
      <c r="CS67" t="s">
        <v>661</v>
      </c>
      <c r="CT67">
        <v>8.5</v>
      </c>
      <c r="CU67" t="s">
        <v>691</v>
      </c>
      <c r="CV67" t="s">
        <v>661</v>
      </c>
      <c r="CW67">
        <v>9.5</v>
      </c>
      <c r="CX67" t="s">
        <v>691</v>
      </c>
      <c r="CY67" t="s">
        <v>661</v>
      </c>
      <c r="CZ67">
        <v>9.5</v>
      </c>
      <c r="DA67" t="s">
        <v>691</v>
      </c>
      <c r="DB67" t="s">
        <v>661</v>
      </c>
      <c r="DC67">
        <v>9.5</v>
      </c>
      <c r="DD67" t="s">
        <v>691</v>
      </c>
      <c r="DE67" t="s">
        <v>661</v>
      </c>
      <c r="DF67">
        <v>9.5</v>
      </c>
      <c r="DG67" t="s">
        <v>691</v>
      </c>
      <c r="DH67" t="s">
        <v>661</v>
      </c>
      <c r="DI67">
        <v>9.36</v>
      </c>
      <c r="DJ67" t="s">
        <v>691</v>
      </c>
      <c r="DK67" t="s">
        <v>661</v>
      </c>
      <c r="DL67">
        <v>8.2200000000000006</v>
      </c>
      <c r="DM67" t="s">
        <v>691</v>
      </c>
      <c r="DN67" t="s">
        <v>661</v>
      </c>
      <c r="DO67">
        <v>9</v>
      </c>
      <c r="DP67" t="s">
        <v>691</v>
      </c>
      <c r="DQ67" t="s">
        <v>661</v>
      </c>
      <c r="DR67">
        <v>8.59</v>
      </c>
      <c r="DS67" t="s">
        <v>691</v>
      </c>
      <c r="DT67" t="s">
        <v>184</v>
      </c>
      <c r="DU67">
        <v>2.48</v>
      </c>
      <c r="DV67" t="s">
        <v>185</v>
      </c>
      <c r="DW67" t="s">
        <v>184</v>
      </c>
      <c r="DX67">
        <v>2.4500000000000002</v>
      </c>
      <c r="DY67" t="s">
        <v>185</v>
      </c>
      <c r="DZ67" t="s">
        <v>184</v>
      </c>
      <c r="EA67">
        <v>2.42</v>
      </c>
      <c r="EB67" t="s">
        <v>185</v>
      </c>
      <c r="EC67" t="s">
        <v>184</v>
      </c>
      <c r="ED67">
        <v>2.4500000000000002</v>
      </c>
      <c r="EE67" t="s">
        <v>185</v>
      </c>
      <c r="EF67" t="s">
        <v>184</v>
      </c>
      <c r="EG67">
        <v>3.04</v>
      </c>
      <c r="EH67" t="s">
        <v>185</v>
      </c>
      <c r="EI67" t="s">
        <v>184</v>
      </c>
      <c r="EJ67">
        <v>3.18</v>
      </c>
      <c r="EK67" t="s">
        <v>185</v>
      </c>
    </row>
    <row r="68" spans="1:141">
      <c r="A68" t="s">
        <v>661</v>
      </c>
      <c r="B68">
        <v>10.01</v>
      </c>
      <c r="C68" t="s">
        <v>691</v>
      </c>
      <c r="D68" t="s">
        <v>661</v>
      </c>
      <c r="E68">
        <v>10</v>
      </c>
      <c r="F68" t="s">
        <v>691</v>
      </c>
      <c r="G68" t="s">
        <v>183</v>
      </c>
      <c r="H68">
        <v>27.51</v>
      </c>
      <c r="I68" t="s">
        <v>61</v>
      </c>
      <c r="J68" t="s">
        <v>183</v>
      </c>
      <c r="K68">
        <v>27.5</v>
      </c>
      <c r="L68" t="s">
        <v>61</v>
      </c>
      <c r="M68" t="s">
        <v>183</v>
      </c>
      <c r="N68">
        <v>27.11</v>
      </c>
      <c r="O68" t="s">
        <v>61</v>
      </c>
      <c r="P68" t="s">
        <v>183</v>
      </c>
      <c r="Q68">
        <v>27.04</v>
      </c>
      <c r="R68" t="s">
        <v>61</v>
      </c>
      <c r="S68" t="s">
        <v>183</v>
      </c>
      <c r="T68">
        <v>27.1</v>
      </c>
      <c r="U68" t="s">
        <v>61</v>
      </c>
      <c r="V68" t="s">
        <v>183</v>
      </c>
      <c r="W68">
        <v>27.48</v>
      </c>
      <c r="X68" t="s">
        <v>61</v>
      </c>
      <c r="Y68" t="s">
        <v>183</v>
      </c>
      <c r="Z68">
        <v>27.7</v>
      </c>
      <c r="AA68" t="s">
        <v>61</v>
      </c>
      <c r="AB68" t="s">
        <v>183</v>
      </c>
      <c r="AC68">
        <v>27.69</v>
      </c>
      <c r="AD68" t="s">
        <v>61</v>
      </c>
      <c r="AE68" t="s">
        <v>183</v>
      </c>
      <c r="AF68">
        <v>27.59</v>
      </c>
      <c r="AG68" t="s">
        <v>61</v>
      </c>
      <c r="AH68" t="s">
        <v>183</v>
      </c>
      <c r="AI68">
        <v>27.53</v>
      </c>
      <c r="AJ68" t="s">
        <v>61</v>
      </c>
      <c r="AK68" t="s">
        <v>183</v>
      </c>
      <c r="AL68">
        <v>27.43</v>
      </c>
      <c r="AM68" t="s">
        <v>61</v>
      </c>
      <c r="AN68" t="s">
        <v>183</v>
      </c>
      <c r="AO68">
        <v>26.94</v>
      </c>
      <c r="AP68" t="s">
        <v>61</v>
      </c>
      <c r="AQ68" t="s">
        <v>183</v>
      </c>
      <c r="AR68">
        <v>27.15</v>
      </c>
      <c r="AS68" t="s">
        <v>61</v>
      </c>
      <c r="AT68" t="s">
        <v>183</v>
      </c>
      <c r="AU68">
        <v>27.07</v>
      </c>
      <c r="AV68" t="s">
        <v>61</v>
      </c>
      <c r="AW68" t="s">
        <v>183</v>
      </c>
      <c r="AX68">
        <v>26.9</v>
      </c>
      <c r="AY68" t="s">
        <v>61</v>
      </c>
      <c r="AZ68" t="s">
        <v>183</v>
      </c>
      <c r="BA68">
        <v>27.13</v>
      </c>
      <c r="BB68" t="s">
        <v>61</v>
      </c>
      <c r="BC68" t="s">
        <v>183</v>
      </c>
      <c r="BD68">
        <v>27.09</v>
      </c>
      <c r="BE68" t="s">
        <v>61</v>
      </c>
      <c r="BF68" t="s">
        <v>183</v>
      </c>
      <c r="BG68">
        <v>27.3</v>
      </c>
      <c r="BH68" t="s">
        <v>61</v>
      </c>
      <c r="BI68" t="s">
        <v>183</v>
      </c>
      <c r="BJ68">
        <v>23.33</v>
      </c>
      <c r="BK68" t="s">
        <v>61</v>
      </c>
      <c r="BL68" t="s">
        <v>183</v>
      </c>
      <c r="BM68">
        <v>25</v>
      </c>
      <c r="BN68" t="s">
        <v>61</v>
      </c>
      <c r="BO68" t="s">
        <v>183</v>
      </c>
      <c r="BP68">
        <v>26.24</v>
      </c>
      <c r="BQ68" t="s">
        <v>61</v>
      </c>
      <c r="BR68" t="s">
        <v>183</v>
      </c>
      <c r="BS68">
        <v>27.28</v>
      </c>
      <c r="BT68" t="s">
        <v>61</v>
      </c>
      <c r="BU68" t="s">
        <v>183</v>
      </c>
      <c r="BV68">
        <v>27.43</v>
      </c>
      <c r="BW68" t="s">
        <v>61</v>
      </c>
      <c r="BX68" t="s">
        <v>183</v>
      </c>
      <c r="BY68">
        <v>27.06</v>
      </c>
      <c r="BZ68" t="s">
        <v>61</v>
      </c>
      <c r="CA68" t="s">
        <v>183</v>
      </c>
      <c r="CB68">
        <v>27</v>
      </c>
      <c r="CC68" t="s">
        <v>61</v>
      </c>
      <c r="CD68" t="s">
        <v>183</v>
      </c>
      <c r="CE68">
        <v>27.49</v>
      </c>
      <c r="CF68" t="s">
        <v>61</v>
      </c>
      <c r="CG68" t="s">
        <v>183</v>
      </c>
      <c r="CH68">
        <v>27.49</v>
      </c>
      <c r="CI68" t="s">
        <v>61</v>
      </c>
      <c r="CJ68" t="s">
        <v>183</v>
      </c>
      <c r="CK68">
        <v>27.01</v>
      </c>
      <c r="CL68" t="s">
        <v>61</v>
      </c>
      <c r="CM68" t="s">
        <v>183</v>
      </c>
      <c r="CN68">
        <v>27.07</v>
      </c>
      <c r="CO68" t="s">
        <v>61</v>
      </c>
      <c r="CP68" t="s">
        <v>183</v>
      </c>
      <c r="CQ68">
        <v>27</v>
      </c>
      <c r="CR68" t="s">
        <v>61</v>
      </c>
      <c r="CS68" t="s">
        <v>183</v>
      </c>
      <c r="CT68">
        <v>27.1</v>
      </c>
      <c r="CU68" t="s">
        <v>61</v>
      </c>
      <c r="CV68" t="s">
        <v>183</v>
      </c>
      <c r="CW68">
        <v>27.25</v>
      </c>
      <c r="CX68" t="s">
        <v>61</v>
      </c>
      <c r="CY68" t="s">
        <v>183</v>
      </c>
      <c r="CZ68">
        <v>27</v>
      </c>
      <c r="DA68" t="s">
        <v>61</v>
      </c>
      <c r="DB68" t="s">
        <v>183</v>
      </c>
      <c r="DC68">
        <v>26.76</v>
      </c>
      <c r="DD68" t="s">
        <v>61</v>
      </c>
      <c r="DE68" t="s">
        <v>183</v>
      </c>
      <c r="DF68">
        <v>26.93</v>
      </c>
      <c r="DG68" t="s">
        <v>61</v>
      </c>
      <c r="DH68" t="s">
        <v>183</v>
      </c>
      <c r="DI68">
        <v>26.39</v>
      </c>
      <c r="DJ68" t="s">
        <v>61</v>
      </c>
      <c r="DK68" t="s">
        <v>183</v>
      </c>
      <c r="DL68">
        <v>26.29</v>
      </c>
      <c r="DM68" t="s">
        <v>61</v>
      </c>
      <c r="DN68" t="s">
        <v>183</v>
      </c>
      <c r="DO68">
        <v>23.99</v>
      </c>
      <c r="DP68" t="s">
        <v>61</v>
      </c>
      <c r="DQ68" t="s">
        <v>183</v>
      </c>
      <c r="DR68">
        <v>22.97</v>
      </c>
      <c r="DS68" t="s">
        <v>61</v>
      </c>
      <c r="DT68" t="s">
        <v>449</v>
      </c>
      <c r="DU68">
        <v>77</v>
      </c>
      <c r="DV68" t="s">
        <v>47</v>
      </c>
      <c r="DW68" t="s">
        <v>449</v>
      </c>
      <c r="DX68">
        <v>76.59</v>
      </c>
      <c r="DY68" t="s">
        <v>47</v>
      </c>
      <c r="DZ68" t="s">
        <v>449</v>
      </c>
      <c r="EA68">
        <v>76</v>
      </c>
      <c r="EB68" t="s">
        <v>47</v>
      </c>
      <c r="EC68" t="s">
        <v>449</v>
      </c>
      <c r="ED68">
        <v>75.069999999999993</v>
      </c>
      <c r="EE68" t="s">
        <v>47</v>
      </c>
      <c r="EF68" t="s">
        <v>449</v>
      </c>
      <c r="EG68">
        <v>73.010000000000005</v>
      </c>
      <c r="EH68" t="s">
        <v>47</v>
      </c>
      <c r="EI68" t="s">
        <v>449</v>
      </c>
      <c r="EJ68">
        <v>73.8</v>
      </c>
      <c r="EK68" t="s">
        <v>47</v>
      </c>
    </row>
    <row r="69" spans="1:141">
      <c r="A69" t="s">
        <v>183</v>
      </c>
      <c r="B69">
        <v>27.18</v>
      </c>
      <c r="C69" t="s">
        <v>61</v>
      </c>
      <c r="D69" t="s">
        <v>183</v>
      </c>
      <c r="E69">
        <v>27.07</v>
      </c>
      <c r="F69" t="s">
        <v>61</v>
      </c>
      <c r="G69" t="s">
        <v>184</v>
      </c>
      <c r="H69">
        <v>2.35</v>
      </c>
      <c r="I69" t="s">
        <v>185</v>
      </c>
      <c r="J69" t="s">
        <v>184</v>
      </c>
      <c r="K69">
        <v>2.2999999999999998</v>
      </c>
      <c r="L69" t="s">
        <v>185</v>
      </c>
      <c r="M69" t="s">
        <v>184</v>
      </c>
      <c r="N69">
        <v>2.23</v>
      </c>
      <c r="O69" t="s">
        <v>185</v>
      </c>
      <c r="P69" t="s">
        <v>184</v>
      </c>
      <c r="Q69">
        <v>2.35</v>
      </c>
      <c r="R69" t="s">
        <v>185</v>
      </c>
      <c r="S69" t="s">
        <v>184</v>
      </c>
      <c r="T69">
        <v>2.36</v>
      </c>
      <c r="U69" t="s">
        <v>185</v>
      </c>
      <c r="V69" t="s">
        <v>184</v>
      </c>
      <c r="W69">
        <v>2.27</v>
      </c>
      <c r="X69" t="s">
        <v>185</v>
      </c>
      <c r="Y69" t="s">
        <v>184</v>
      </c>
      <c r="Z69">
        <v>2.38</v>
      </c>
      <c r="AA69" t="s">
        <v>185</v>
      </c>
      <c r="AB69" t="s">
        <v>184</v>
      </c>
      <c r="AC69">
        <v>2.46</v>
      </c>
      <c r="AD69" t="s">
        <v>185</v>
      </c>
      <c r="AE69" t="s">
        <v>184</v>
      </c>
      <c r="AF69">
        <v>2.4300000000000002</v>
      </c>
      <c r="AG69" t="s">
        <v>185</v>
      </c>
      <c r="AH69" t="s">
        <v>184</v>
      </c>
      <c r="AI69">
        <v>2.37</v>
      </c>
      <c r="AJ69" t="s">
        <v>185</v>
      </c>
      <c r="AK69" t="s">
        <v>184</v>
      </c>
      <c r="AL69">
        <v>2.37</v>
      </c>
      <c r="AM69" t="s">
        <v>185</v>
      </c>
      <c r="AN69" t="s">
        <v>184</v>
      </c>
      <c r="AO69">
        <v>2.29</v>
      </c>
      <c r="AP69" t="s">
        <v>185</v>
      </c>
      <c r="AQ69" t="s">
        <v>184</v>
      </c>
      <c r="AR69">
        <v>2.6</v>
      </c>
      <c r="AS69" t="s">
        <v>185</v>
      </c>
      <c r="AT69" t="s">
        <v>184</v>
      </c>
      <c r="AU69">
        <v>2.54</v>
      </c>
      <c r="AV69" t="s">
        <v>185</v>
      </c>
      <c r="AW69" t="s">
        <v>184</v>
      </c>
      <c r="AX69">
        <v>2.5499999999999998</v>
      </c>
      <c r="AY69" t="s">
        <v>185</v>
      </c>
      <c r="AZ69" t="s">
        <v>184</v>
      </c>
      <c r="BA69">
        <v>2.52</v>
      </c>
      <c r="BB69" t="s">
        <v>185</v>
      </c>
      <c r="BC69" t="s">
        <v>184</v>
      </c>
      <c r="BD69">
        <v>2.71</v>
      </c>
      <c r="BE69" t="s">
        <v>185</v>
      </c>
      <c r="BF69" t="s">
        <v>184</v>
      </c>
      <c r="BG69">
        <v>2.7</v>
      </c>
      <c r="BH69" t="s">
        <v>185</v>
      </c>
      <c r="BI69" t="s">
        <v>184</v>
      </c>
      <c r="BJ69">
        <v>2.67</v>
      </c>
      <c r="BK69" t="s">
        <v>185</v>
      </c>
      <c r="BL69" t="s">
        <v>184</v>
      </c>
      <c r="BM69">
        <v>2.52</v>
      </c>
      <c r="BN69" t="s">
        <v>185</v>
      </c>
      <c r="BO69" t="s">
        <v>184</v>
      </c>
      <c r="BP69">
        <v>2.5099999999999998</v>
      </c>
      <c r="BQ69" t="s">
        <v>185</v>
      </c>
      <c r="BR69" t="s">
        <v>184</v>
      </c>
      <c r="BS69">
        <v>2.5299999999999998</v>
      </c>
      <c r="BT69" t="s">
        <v>185</v>
      </c>
      <c r="BU69" t="s">
        <v>184</v>
      </c>
      <c r="BV69">
        <v>2.52</v>
      </c>
      <c r="BW69" t="s">
        <v>185</v>
      </c>
      <c r="BX69" t="s">
        <v>184</v>
      </c>
      <c r="BY69">
        <v>2.57</v>
      </c>
      <c r="BZ69" t="s">
        <v>185</v>
      </c>
      <c r="CA69" t="s">
        <v>184</v>
      </c>
      <c r="CB69">
        <v>2.5</v>
      </c>
      <c r="CC69" t="s">
        <v>185</v>
      </c>
      <c r="CD69" t="s">
        <v>184</v>
      </c>
      <c r="CE69">
        <v>2.48</v>
      </c>
      <c r="CF69" t="s">
        <v>185</v>
      </c>
      <c r="CG69" t="s">
        <v>184</v>
      </c>
      <c r="CH69">
        <v>2.5299999999999998</v>
      </c>
      <c r="CI69" t="s">
        <v>185</v>
      </c>
      <c r="CJ69" t="s">
        <v>184</v>
      </c>
      <c r="CK69">
        <v>2.54</v>
      </c>
      <c r="CL69" t="s">
        <v>185</v>
      </c>
      <c r="CM69" t="s">
        <v>184</v>
      </c>
      <c r="CN69">
        <v>2.5099999999999998</v>
      </c>
      <c r="CO69" t="s">
        <v>185</v>
      </c>
      <c r="CP69" t="s">
        <v>184</v>
      </c>
      <c r="CQ69">
        <v>2.48</v>
      </c>
      <c r="CR69" t="s">
        <v>185</v>
      </c>
      <c r="CS69" t="s">
        <v>184</v>
      </c>
      <c r="CT69">
        <v>2.5499999999999998</v>
      </c>
      <c r="CU69" t="s">
        <v>185</v>
      </c>
      <c r="CV69" t="s">
        <v>184</v>
      </c>
      <c r="CW69">
        <v>2.6</v>
      </c>
      <c r="CX69" t="s">
        <v>185</v>
      </c>
      <c r="CY69" t="s">
        <v>184</v>
      </c>
      <c r="CZ69">
        <v>2.54</v>
      </c>
      <c r="DA69" t="s">
        <v>185</v>
      </c>
      <c r="DB69" t="s">
        <v>184</v>
      </c>
      <c r="DC69">
        <v>2.7</v>
      </c>
      <c r="DD69" t="s">
        <v>185</v>
      </c>
      <c r="DE69" t="s">
        <v>184</v>
      </c>
      <c r="DF69">
        <v>2.83</v>
      </c>
      <c r="DG69" t="s">
        <v>185</v>
      </c>
      <c r="DH69" t="s">
        <v>184</v>
      </c>
      <c r="DI69">
        <v>2.46</v>
      </c>
      <c r="DJ69" t="s">
        <v>185</v>
      </c>
      <c r="DK69" t="s">
        <v>184</v>
      </c>
      <c r="DL69">
        <v>2.61</v>
      </c>
      <c r="DM69" t="s">
        <v>185</v>
      </c>
      <c r="DN69" t="s">
        <v>184</v>
      </c>
      <c r="DO69">
        <v>2.52</v>
      </c>
      <c r="DP69" t="s">
        <v>185</v>
      </c>
      <c r="DQ69" t="s">
        <v>184</v>
      </c>
      <c r="DR69">
        <v>2.64</v>
      </c>
      <c r="DS69" t="s">
        <v>185</v>
      </c>
      <c r="DT69" t="s">
        <v>452</v>
      </c>
      <c r="DU69">
        <v>92.34</v>
      </c>
      <c r="DV69" t="s">
        <v>130</v>
      </c>
      <c r="DW69" t="s">
        <v>452</v>
      </c>
      <c r="DX69">
        <v>90.5</v>
      </c>
      <c r="DY69" t="s">
        <v>130</v>
      </c>
      <c r="DZ69" t="s">
        <v>452</v>
      </c>
      <c r="EA69">
        <v>87.66</v>
      </c>
      <c r="EB69" t="s">
        <v>130</v>
      </c>
      <c r="EC69" t="s">
        <v>452</v>
      </c>
      <c r="ED69">
        <v>86.45</v>
      </c>
      <c r="EE69" t="s">
        <v>130</v>
      </c>
      <c r="EF69" t="s">
        <v>452</v>
      </c>
      <c r="EG69">
        <v>97</v>
      </c>
      <c r="EH69" t="s">
        <v>130</v>
      </c>
      <c r="EI69" t="s">
        <v>452</v>
      </c>
      <c r="EJ69">
        <v>102.95</v>
      </c>
      <c r="EK69" t="s">
        <v>130</v>
      </c>
    </row>
    <row r="70" spans="1:141">
      <c r="A70" t="s">
        <v>184</v>
      </c>
      <c r="B70">
        <v>2.42</v>
      </c>
      <c r="C70" t="s">
        <v>185</v>
      </c>
      <c r="D70" t="s">
        <v>184</v>
      </c>
      <c r="E70">
        <v>2.34</v>
      </c>
      <c r="F70" t="s">
        <v>185</v>
      </c>
      <c r="G70" t="s">
        <v>449</v>
      </c>
      <c r="H70">
        <v>74.489999999999995</v>
      </c>
      <c r="I70" t="s">
        <v>47</v>
      </c>
      <c r="J70" t="s">
        <v>449</v>
      </c>
      <c r="K70">
        <v>72.03</v>
      </c>
      <c r="L70" t="s">
        <v>47</v>
      </c>
      <c r="M70" t="s">
        <v>449</v>
      </c>
      <c r="N70">
        <v>69</v>
      </c>
      <c r="O70" t="s">
        <v>47</v>
      </c>
      <c r="P70" t="s">
        <v>449</v>
      </c>
      <c r="Q70">
        <v>69.099999999999994</v>
      </c>
      <c r="R70" t="s">
        <v>47</v>
      </c>
      <c r="S70" t="s">
        <v>449</v>
      </c>
      <c r="T70">
        <v>68.010000000000005</v>
      </c>
      <c r="U70" t="s">
        <v>47</v>
      </c>
      <c r="V70" t="s">
        <v>449</v>
      </c>
      <c r="W70">
        <v>68.5</v>
      </c>
      <c r="X70" t="s">
        <v>47</v>
      </c>
      <c r="Y70" t="s">
        <v>449</v>
      </c>
      <c r="Z70">
        <v>67.989999999999995</v>
      </c>
      <c r="AA70" t="s">
        <v>47</v>
      </c>
      <c r="AB70" t="s">
        <v>449</v>
      </c>
      <c r="AC70">
        <v>67.06</v>
      </c>
      <c r="AD70" t="s">
        <v>47</v>
      </c>
      <c r="AE70" t="s">
        <v>449</v>
      </c>
      <c r="AF70">
        <v>72.05</v>
      </c>
      <c r="AG70" t="s">
        <v>47</v>
      </c>
      <c r="AH70" t="s">
        <v>449</v>
      </c>
      <c r="AI70">
        <v>69.48</v>
      </c>
      <c r="AJ70" t="s">
        <v>47</v>
      </c>
      <c r="AK70" t="s">
        <v>449</v>
      </c>
      <c r="AL70">
        <v>70.11</v>
      </c>
      <c r="AM70" t="s">
        <v>47</v>
      </c>
      <c r="AN70" t="s">
        <v>449</v>
      </c>
      <c r="AO70">
        <v>70.989999999999995</v>
      </c>
      <c r="AP70" t="s">
        <v>47</v>
      </c>
      <c r="AQ70" t="s">
        <v>449</v>
      </c>
      <c r="AR70">
        <v>70.989999999999995</v>
      </c>
      <c r="AS70" t="s">
        <v>47</v>
      </c>
      <c r="AT70" t="s">
        <v>449</v>
      </c>
      <c r="AU70">
        <v>68.260000000000005</v>
      </c>
      <c r="AV70" t="s">
        <v>47</v>
      </c>
      <c r="AW70" t="s">
        <v>449</v>
      </c>
      <c r="AX70">
        <v>69</v>
      </c>
      <c r="AY70" t="s">
        <v>47</v>
      </c>
      <c r="AZ70" t="s">
        <v>449</v>
      </c>
      <c r="BA70">
        <v>69.11</v>
      </c>
      <c r="BB70" t="s">
        <v>47</v>
      </c>
      <c r="BC70" t="s">
        <v>449</v>
      </c>
      <c r="BD70">
        <v>67</v>
      </c>
      <c r="BE70" t="s">
        <v>47</v>
      </c>
      <c r="BF70" t="s">
        <v>449</v>
      </c>
      <c r="BG70">
        <v>69.989999999999995</v>
      </c>
      <c r="BH70" t="s">
        <v>47</v>
      </c>
      <c r="BI70" t="s">
        <v>449</v>
      </c>
      <c r="BJ70">
        <v>66</v>
      </c>
      <c r="BK70" t="s">
        <v>47</v>
      </c>
      <c r="BL70" t="s">
        <v>449</v>
      </c>
      <c r="BM70">
        <v>61</v>
      </c>
      <c r="BN70" t="s">
        <v>47</v>
      </c>
      <c r="BO70" t="s">
        <v>449</v>
      </c>
      <c r="BP70">
        <v>62.92</v>
      </c>
      <c r="BQ70" t="s">
        <v>47</v>
      </c>
      <c r="BR70" t="s">
        <v>449</v>
      </c>
      <c r="BS70">
        <v>62.92</v>
      </c>
      <c r="BT70" t="s">
        <v>47</v>
      </c>
      <c r="BU70" t="s">
        <v>449</v>
      </c>
      <c r="BV70">
        <v>66.84</v>
      </c>
      <c r="BW70" t="s">
        <v>47</v>
      </c>
      <c r="BX70" t="s">
        <v>449</v>
      </c>
      <c r="BY70">
        <v>62</v>
      </c>
      <c r="BZ70" t="s">
        <v>47</v>
      </c>
      <c r="CA70" t="s">
        <v>449</v>
      </c>
      <c r="CB70">
        <v>62.92</v>
      </c>
      <c r="CC70" t="s">
        <v>47</v>
      </c>
      <c r="CD70" t="s">
        <v>449</v>
      </c>
      <c r="CE70">
        <v>62</v>
      </c>
      <c r="CF70" t="s">
        <v>47</v>
      </c>
      <c r="CG70" t="s">
        <v>449</v>
      </c>
      <c r="CH70">
        <v>61.5</v>
      </c>
      <c r="CI70" t="s">
        <v>47</v>
      </c>
      <c r="CJ70" t="s">
        <v>449</v>
      </c>
      <c r="CK70">
        <v>75.400000000000006</v>
      </c>
      <c r="CL70" t="s">
        <v>47</v>
      </c>
      <c r="CM70" t="s">
        <v>449</v>
      </c>
      <c r="CN70">
        <v>72.650000000000006</v>
      </c>
      <c r="CO70" t="s">
        <v>47</v>
      </c>
      <c r="CP70" t="s">
        <v>449</v>
      </c>
      <c r="CQ70">
        <v>78.47</v>
      </c>
      <c r="CR70" t="s">
        <v>47</v>
      </c>
      <c r="CS70" t="s">
        <v>449</v>
      </c>
      <c r="CT70">
        <v>72.66</v>
      </c>
      <c r="CU70" t="s">
        <v>47</v>
      </c>
      <c r="CV70" t="s">
        <v>449</v>
      </c>
      <c r="CW70">
        <v>72.05</v>
      </c>
      <c r="CX70" t="s">
        <v>47</v>
      </c>
      <c r="CY70" t="s">
        <v>449</v>
      </c>
      <c r="CZ70">
        <v>71.37</v>
      </c>
      <c r="DA70" t="s">
        <v>47</v>
      </c>
      <c r="DB70" t="s">
        <v>449</v>
      </c>
      <c r="DC70">
        <v>73.2</v>
      </c>
      <c r="DD70" t="s">
        <v>47</v>
      </c>
      <c r="DE70" t="s">
        <v>449</v>
      </c>
      <c r="DF70">
        <v>73.209999999999994</v>
      </c>
      <c r="DG70" t="s">
        <v>47</v>
      </c>
      <c r="DH70" t="s">
        <v>449</v>
      </c>
      <c r="DI70">
        <v>79.2</v>
      </c>
      <c r="DJ70" t="s">
        <v>47</v>
      </c>
      <c r="DK70" t="s">
        <v>449</v>
      </c>
      <c r="DL70">
        <v>79.95</v>
      </c>
      <c r="DM70" t="s">
        <v>47</v>
      </c>
      <c r="DN70" t="s">
        <v>449</v>
      </c>
      <c r="DO70">
        <v>78.25</v>
      </c>
      <c r="DP70" t="s">
        <v>47</v>
      </c>
      <c r="DQ70" t="s">
        <v>449</v>
      </c>
      <c r="DR70">
        <v>81.17</v>
      </c>
      <c r="DS70" t="s">
        <v>47</v>
      </c>
      <c r="DT70" t="s">
        <v>324</v>
      </c>
      <c r="DU70">
        <v>4.38</v>
      </c>
      <c r="DV70" t="s">
        <v>464</v>
      </c>
      <c r="DW70" t="s">
        <v>324</v>
      </c>
      <c r="DX70">
        <v>4.3099999999999996</v>
      </c>
      <c r="DY70" t="s">
        <v>464</v>
      </c>
      <c r="DZ70" t="s">
        <v>324</v>
      </c>
      <c r="EA70">
        <v>4.24</v>
      </c>
      <c r="EB70" t="s">
        <v>464</v>
      </c>
      <c r="EC70" t="s">
        <v>324</v>
      </c>
      <c r="ED70">
        <v>4.26</v>
      </c>
      <c r="EE70" t="s">
        <v>464</v>
      </c>
      <c r="EF70" t="s">
        <v>324</v>
      </c>
      <c r="EG70">
        <v>4.28</v>
      </c>
      <c r="EH70" t="s">
        <v>464</v>
      </c>
      <c r="EI70" t="s">
        <v>324</v>
      </c>
      <c r="EJ70">
        <v>4.0999999999999996</v>
      </c>
      <c r="EK70" t="s">
        <v>464</v>
      </c>
    </row>
    <row r="71" spans="1:141">
      <c r="A71" t="s">
        <v>449</v>
      </c>
      <c r="B71">
        <v>74.790000000000006</v>
      </c>
      <c r="C71" t="s">
        <v>47</v>
      </c>
      <c r="D71" t="s">
        <v>449</v>
      </c>
      <c r="E71">
        <v>74</v>
      </c>
      <c r="F71" t="s">
        <v>47</v>
      </c>
      <c r="G71" t="s">
        <v>452</v>
      </c>
      <c r="H71">
        <v>52.01</v>
      </c>
      <c r="I71" t="s">
        <v>130</v>
      </c>
      <c r="J71" t="s">
        <v>452</v>
      </c>
      <c r="K71">
        <v>52.88</v>
      </c>
      <c r="L71" t="s">
        <v>130</v>
      </c>
      <c r="M71" t="s">
        <v>452</v>
      </c>
      <c r="N71">
        <v>54.96</v>
      </c>
      <c r="O71" t="s">
        <v>130</v>
      </c>
      <c r="P71" t="s">
        <v>452</v>
      </c>
      <c r="Q71">
        <v>54.33</v>
      </c>
      <c r="R71" t="s">
        <v>130</v>
      </c>
      <c r="S71" t="s">
        <v>452</v>
      </c>
      <c r="T71">
        <v>54.25</v>
      </c>
      <c r="U71" t="s">
        <v>130</v>
      </c>
      <c r="V71" t="s">
        <v>452</v>
      </c>
      <c r="W71">
        <v>51.5</v>
      </c>
      <c r="X71" t="s">
        <v>130</v>
      </c>
      <c r="Y71" t="s">
        <v>452</v>
      </c>
      <c r="Z71">
        <v>53.58</v>
      </c>
      <c r="AA71" t="s">
        <v>130</v>
      </c>
      <c r="AB71" t="s">
        <v>452</v>
      </c>
      <c r="AC71">
        <v>64.290000000000006</v>
      </c>
      <c r="AD71" t="s">
        <v>130</v>
      </c>
      <c r="AE71" t="s">
        <v>452</v>
      </c>
      <c r="AF71">
        <v>77</v>
      </c>
      <c r="AG71" t="s">
        <v>130</v>
      </c>
      <c r="AH71" t="s">
        <v>452</v>
      </c>
      <c r="AI71">
        <v>74.77</v>
      </c>
      <c r="AJ71" t="s">
        <v>130</v>
      </c>
      <c r="AK71" t="s">
        <v>452</v>
      </c>
      <c r="AL71">
        <v>73.989999999999995</v>
      </c>
      <c r="AM71" t="s">
        <v>130</v>
      </c>
      <c r="AN71" t="s">
        <v>452</v>
      </c>
      <c r="AO71">
        <v>69.849999999999994</v>
      </c>
      <c r="AP71" t="s">
        <v>130</v>
      </c>
      <c r="AQ71" t="s">
        <v>452</v>
      </c>
      <c r="AR71">
        <v>72.97</v>
      </c>
      <c r="AS71" t="s">
        <v>130</v>
      </c>
      <c r="AT71" t="s">
        <v>452</v>
      </c>
      <c r="AU71">
        <v>70.12</v>
      </c>
      <c r="AV71" t="s">
        <v>130</v>
      </c>
      <c r="AW71" t="s">
        <v>452</v>
      </c>
      <c r="AX71">
        <v>73.680000000000007</v>
      </c>
      <c r="AY71" t="s">
        <v>130</v>
      </c>
      <c r="AZ71" t="s">
        <v>452</v>
      </c>
      <c r="BA71">
        <v>70.03</v>
      </c>
      <c r="BB71" t="s">
        <v>130</v>
      </c>
      <c r="BC71" t="s">
        <v>452</v>
      </c>
      <c r="BD71">
        <v>65.5</v>
      </c>
      <c r="BE71" t="s">
        <v>130</v>
      </c>
      <c r="BF71" t="s">
        <v>452</v>
      </c>
      <c r="BG71">
        <v>62.66</v>
      </c>
      <c r="BH71" t="s">
        <v>130</v>
      </c>
      <c r="BI71" t="s">
        <v>452</v>
      </c>
      <c r="BJ71">
        <v>62.63</v>
      </c>
      <c r="BK71" t="s">
        <v>130</v>
      </c>
      <c r="BL71" t="s">
        <v>452</v>
      </c>
      <c r="BM71">
        <v>62.65</v>
      </c>
      <c r="BN71" t="s">
        <v>130</v>
      </c>
      <c r="BO71" t="s">
        <v>452</v>
      </c>
      <c r="BP71">
        <v>61.9</v>
      </c>
      <c r="BQ71" t="s">
        <v>130</v>
      </c>
      <c r="BR71" t="s">
        <v>452</v>
      </c>
      <c r="BS71">
        <v>62.25</v>
      </c>
      <c r="BT71" t="s">
        <v>130</v>
      </c>
      <c r="BU71" t="s">
        <v>452</v>
      </c>
      <c r="BV71">
        <v>61.95</v>
      </c>
      <c r="BW71" t="s">
        <v>130</v>
      </c>
      <c r="BX71" t="s">
        <v>452</v>
      </c>
      <c r="BY71">
        <v>60.55</v>
      </c>
      <c r="BZ71" t="s">
        <v>130</v>
      </c>
      <c r="CA71" t="s">
        <v>452</v>
      </c>
      <c r="CB71">
        <v>60</v>
      </c>
      <c r="CC71" t="s">
        <v>130</v>
      </c>
      <c r="CD71" t="s">
        <v>452</v>
      </c>
      <c r="CE71">
        <v>61.97</v>
      </c>
      <c r="CF71" t="s">
        <v>130</v>
      </c>
      <c r="CG71" t="s">
        <v>452</v>
      </c>
      <c r="CH71">
        <v>60</v>
      </c>
      <c r="CI71" t="s">
        <v>130</v>
      </c>
      <c r="CJ71" t="s">
        <v>452</v>
      </c>
      <c r="CK71">
        <v>59.62</v>
      </c>
      <c r="CL71" t="s">
        <v>130</v>
      </c>
      <c r="CM71" t="s">
        <v>452</v>
      </c>
      <c r="CN71">
        <v>56.33</v>
      </c>
      <c r="CO71" t="s">
        <v>130</v>
      </c>
      <c r="CP71" t="s">
        <v>452</v>
      </c>
      <c r="CQ71">
        <v>61.89</v>
      </c>
      <c r="CR71" t="s">
        <v>130</v>
      </c>
      <c r="CS71" t="s">
        <v>452</v>
      </c>
      <c r="CT71">
        <v>57.3</v>
      </c>
      <c r="CU71" t="s">
        <v>130</v>
      </c>
      <c r="CV71" t="s">
        <v>452</v>
      </c>
      <c r="CW71">
        <v>59.95</v>
      </c>
      <c r="CX71" t="s">
        <v>130</v>
      </c>
      <c r="CY71" t="s">
        <v>452</v>
      </c>
      <c r="CZ71">
        <v>60.23</v>
      </c>
      <c r="DA71" t="s">
        <v>130</v>
      </c>
      <c r="DB71" t="s">
        <v>452</v>
      </c>
      <c r="DC71">
        <v>59.95</v>
      </c>
      <c r="DD71" t="s">
        <v>130</v>
      </c>
      <c r="DE71" t="s">
        <v>452</v>
      </c>
      <c r="DF71">
        <v>59</v>
      </c>
      <c r="DG71" t="s">
        <v>130</v>
      </c>
      <c r="DH71" t="s">
        <v>452</v>
      </c>
      <c r="DI71">
        <v>63.83</v>
      </c>
      <c r="DJ71" t="s">
        <v>130</v>
      </c>
      <c r="DK71" t="s">
        <v>452</v>
      </c>
      <c r="DL71">
        <v>63.2</v>
      </c>
      <c r="DM71" t="s">
        <v>130</v>
      </c>
      <c r="DN71" t="s">
        <v>452</v>
      </c>
      <c r="DO71">
        <v>71.849999999999994</v>
      </c>
      <c r="DP71" t="s">
        <v>130</v>
      </c>
      <c r="DQ71" t="s">
        <v>452</v>
      </c>
      <c r="DR71">
        <v>106.38</v>
      </c>
      <c r="DS71" t="s">
        <v>130</v>
      </c>
      <c r="DT71" t="s">
        <v>186</v>
      </c>
      <c r="DU71">
        <v>34.89</v>
      </c>
      <c r="DV71" t="s">
        <v>187</v>
      </c>
      <c r="DW71" t="s">
        <v>186</v>
      </c>
      <c r="DX71">
        <v>32.6</v>
      </c>
      <c r="DY71" t="s">
        <v>187</v>
      </c>
      <c r="DZ71" t="s">
        <v>186</v>
      </c>
      <c r="EA71">
        <v>32.6</v>
      </c>
      <c r="EB71" t="s">
        <v>187</v>
      </c>
      <c r="EC71" t="s">
        <v>186</v>
      </c>
      <c r="ED71">
        <v>33.35</v>
      </c>
      <c r="EE71" t="s">
        <v>187</v>
      </c>
      <c r="EF71" t="s">
        <v>186</v>
      </c>
      <c r="EG71">
        <v>30.99</v>
      </c>
      <c r="EH71" t="s">
        <v>187</v>
      </c>
      <c r="EI71" t="s">
        <v>186</v>
      </c>
      <c r="EJ71">
        <v>31.99</v>
      </c>
      <c r="EK71" t="s">
        <v>187</v>
      </c>
    </row>
    <row r="72" spans="1:141">
      <c r="A72" t="s">
        <v>452</v>
      </c>
      <c r="B72">
        <v>50.5</v>
      </c>
      <c r="C72" t="s">
        <v>130</v>
      </c>
      <c r="D72" t="s">
        <v>452</v>
      </c>
      <c r="E72">
        <v>47.01</v>
      </c>
      <c r="F72" t="s">
        <v>130</v>
      </c>
      <c r="G72" t="s">
        <v>324</v>
      </c>
      <c r="H72">
        <v>4.3</v>
      </c>
      <c r="I72" t="s">
        <v>464</v>
      </c>
      <c r="J72" t="s">
        <v>324</v>
      </c>
      <c r="K72">
        <v>4.29</v>
      </c>
      <c r="L72" t="s">
        <v>464</v>
      </c>
      <c r="M72" t="s">
        <v>324</v>
      </c>
      <c r="N72">
        <v>4.2</v>
      </c>
      <c r="O72" t="s">
        <v>464</v>
      </c>
      <c r="P72" t="s">
        <v>324</v>
      </c>
      <c r="Q72">
        <v>4.24</v>
      </c>
      <c r="R72" t="s">
        <v>464</v>
      </c>
      <c r="S72" t="s">
        <v>324</v>
      </c>
      <c r="T72">
        <v>4.28</v>
      </c>
      <c r="U72" t="s">
        <v>464</v>
      </c>
      <c r="V72" t="s">
        <v>324</v>
      </c>
      <c r="W72">
        <v>4.2300000000000004</v>
      </c>
      <c r="X72" t="s">
        <v>464</v>
      </c>
      <c r="Y72" t="s">
        <v>324</v>
      </c>
      <c r="Z72">
        <v>4.37</v>
      </c>
      <c r="AA72" t="s">
        <v>464</v>
      </c>
      <c r="AB72" t="s">
        <v>324</v>
      </c>
      <c r="AC72">
        <v>4.3499999999999996</v>
      </c>
      <c r="AD72" t="s">
        <v>464</v>
      </c>
      <c r="AE72" t="s">
        <v>324</v>
      </c>
      <c r="AF72">
        <v>4.4000000000000004</v>
      </c>
      <c r="AG72" t="s">
        <v>464</v>
      </c>
      <c r="AH72" t="s">
        <v>324</v>
      </c>
      <c r="AI72">
        <v>4.51</v>
      </c>
      <c r="AJ72" t="s">
        <v>464</v>
      </c>
      <c r="AK72" t="s">
        <v>324</v>
      </c>
      <c r="AL72">
        <v>4.46</v>
      </c>
      <c r="AM72" t="s">
        <v>464</v>
      </c>
      <c r="AN72" t="s">
        <v>324</v>
      </c>
      <c r="AO72">
        <v>4.4400000000000004</v>
      </c>
      <c r="AP72" t="s">
        <v>464</v>
      </c>
      <c r="AQ72" t="s">
        <v>324</v>
      </c>
      <c r="AR72">
        <v>4.28</v>
      </c>
      <c r="AS72" t="s">
        <v>464</v>
      </c>
      <c r="AT72" t="s">
        <v>324</v>
      </c>
      <c r="AU72">
        <v>4.3099999999999996</v>
      </c>
      <c r="AV72" t="s">
        <v>464</v>
      </c>
      <c r="AW72" t="s">
        <v>324</v>
      </c>
      <c r="AX72">
        <v>4.3499999999999996</v>
      </c>
      <c r="AY72" t="s">
        <v>464</v>
      </c>
      <c r="AZ72" t="s">
        <v>324</v>
      </c>
      <c r="BA72">
        <v>4.32</v>
      </c>
      <c r="BB72" t="s">
        <v>464</v>
      </c>
      <c r="BC72" t="s">
        <v>324</v>
      </c>
      <c r="BD72">
        <v>4.25</v>
      </c>
      <c r="BE72" t="s">
        <v>464</v>
      </c>
      <c r="BF72" t="s">
        <v>324</v>
      </c>
      <c r="BG72">
        <v>4.38</v>
      </c>
      <c r="BH72" t="s">
        <v>464</v>
      </c>
      <c r="BI72" t="s">
        <v>324</v>
      </c>
      <c r="BJ72">
        <v>4.3499999999999996</v>
      </c>
      <c r="BK72" t="s">
        <v>464</v>
      </c>
      <c r="BL72" t="s">
        <v>324</v>
      </c>
      <c r="BM72">
        <v>4.2300000000000004</v>
      </c>
      <c r="BN72" t="s">
        <v>464</v>
      </c>
      <c r="BO72" t="s">
        <v>324</v>
      </c>
      <c r="BP72">
        <v>4.21</v>
      </c>
      <c r="BQ72" t="s">
        <v>464</v>
      </c>
      <c r="BR72" t="s">
        <v>324</v>
      </c>
      <c r="BS72">
        <v>4.32</v>
      </c>
      <c r="BT72" t="s">
        <v>464</v>
      </c>
      <c r="BU72" t="s">
        <v>324</v>
      </c>
      <c r="BV72">
        <v>4.29</v>
      </c>
      <c r="BW72" t="s">
        <v>464</v>
      </c>
      <c r="BX72" t="s">
        <v>324</v>
      </c>
      <c r="BY72">
        <v>4.43</v>
      </c>
      <c r="BZ72" t="s">
        <v>464</v>
      </c>
      <c r="CA72" t="s">
        <v>324</v>
      </c>
      <c r="CB72">
        <v>4.58</v>
      </c>
      <c r="CC72" t="s">
        <v>464</v>
      </c>
      <c r="CD72" t="s">
        <v>324</v>
      </c>
      <c r="CE72">
        <v>4.4000000000000004</v>
      </c>
      <c r="CF72" t="s">
        <v>464</v>
      </c>
      <c r="CG72" t="s">
        <v>324</v>
      </c>
      <c r="CH72">
        <v>4.33</v>
      </c>
      <c r="CI72" t="s">
        <v>464</v>
      </c>
      <c r="CJ72" t="s">
        <v>324</v>
      </c>
      <c r="CK72">
        <v>4.3</v>
      </c>
      <c r="CL72" t="s">
        <v>464</v>
      </c>
      <c r="CM72" t="s">
        <v>324</v>
      </c>
      <c r="CN72">
        <v>4.2300000000000004</v>
      </c>
      <c r="CO72" t="s">
        <v>464</v>
      </c>
      <c r="CP72" t="s">
        <v>324</v>
      </c>
      <c r="CQ72">
        <v>4.3899999999999997</v>
      </c>
      <c r="CR72" t="s">
        <v>464</v>
      </c>
      <c r="CS72" t="s">
        <v>324</v>
      </c>
      <c r="CT72">
        <v>4.29</v>
      </c>
      <c r="CU72" t="s">
        <v>464</v>
      </c>
      <c r="CV72" t="s">
        <v>324</v>
      </c>
      <c r="CW72">
        <v>4.33</v>
      </c>
      <c r="CX72" t="s">
        <v>464</v>
      </c>
      <c r="CY72" t="s">
        <v>324</v>
      </c>
      <c r="CZ72">
        <v>4.42</v>
      </c>
      <c r="DA72" t="s">
        <v>464</v>
      </c>
      <c r="DB72" t="s">
        <v>324</v>
      </c>
      <c r="DC72">
        <v>4.4800000000000004</v>
      </c>
      <c r="DD72" t="s">
        <v>464</v>
      </c>
      <c r="DE72" t="s">
        <v>324</v>
      </c>
      <c r="DF72">
        <v>4.4800000000000004</v>
      </c>
      <c r="DG72" t="s">
        <v>464</v>
      </c>
      <c r="DH72" t="s">
        <v>324</v>
      </c>
      <c r="DI72">
        <v>4.4800000000000004</v>
      </c>
      <c r="DJ72" t="s">
        <v>464</v>
      </c>
      <c r="DK72" t="s">
        <v>324</v>
      </c>
      <c r="DL72">
        <v>4.43</v>
      </c>
      <c r="DM72" t="s">
        <v>464</v>
      </c>
      <c r="DN72" t="s">
        <v>324</v>
      </c>
      <c r="DO72">
        <v>4.3</v>
      </c>
      <c r="DP72" t="s">
        <v>464</v>
      </c>
      <c r="DQ72" t="s">
        <v>324</v>
      </c>
      <c r="DR72">
        <v>4.49</v>
      </c>
      <c r="DS72" t="s">
        <v>464</v>
      </c>
      <c r="DT72" t="s">
        <v>349</v>
      </c>
      <c r="DU72">
        <v>1.1000000000000001</v>
      </c>
      <c r="DV72" t="s">
        <v>97</v>
      </c>
      <c r="DW72" t="s">
        <v>349</v>
      </c>
      <c r="DX72">
        <v>1.06</v>
      </c>
      <c r="DY72" t="s">
        <v>97</v>
      </c>
      <c r="DZ72" t="s">
        <v>349</v>
      </c>
      <c r="EA72">
        <v>1.06</v>
      </c>
      <c r="EB72" t="s">
        <v>97</v>
      </c>
      <c r="EC72" t="s">
        <v>349</v>
      </c>
      <c r="ED72">
        <v>1.04</v>
      </c>
      <c r="EE72" t="s">
        <v>97</v>
      </c>
      <c r="EF72" t="s">
        <v>349</v>
      </c>
      <c r="EG72">
        <v>1.02</v>
      </c>
      <c r="EH72" t="s">
        <v>97</v>
      </c>
      <c r="EI72" t="s">
        <v>349</v>
      </c>
      <c r="EJ72">
        <v>1.01</v>
      </c>
      <c r="EK72" t="s">
        <v>97</v>
      </c>
    </row>
    <row r="73" spans="1:141">
      <c r="A73" t="s">
        <v>324</v>
      </c>
      <c r="B73">
        <v>4.3499999999999996</v>
      </c>
      <c r="C73" t="s">
        <v>464</v>
      </c>
      <c r="D73" t="s">
        <v>324</v>
      </c>
      <c r="E73">
        <v>4.24</v>
      </c>
      <c r="F73" t="s">
        <v>464</v>
      </c>
      <c r="G73" t="s">
        <v>186</v>
      </c>
      <c r="H73">
        <v>29.45</v>
      </c>
      <c r="I73" t="s">
        <v>187</v>
      </c>
      <c r="J73" t="s">
        <v>186</v>
      </c>
      <c r="K73">
        <v>29.27</v>
      </c>
      <c r="L73" t="s">
        <v>187</v>
      </c>
      <c r="M73" t="s">
        <v>186</v>
      </c>
      <c r="N73">
        <v>29.53</v>
      </c>
      <c r="O73" t="s">
        <v>187</v>
      </c>
      <c r="P73" t="s">
        <v>186</v>
      </c>
      <c r="Q73">
        <v>29.46</v>
      </c>
      <c r="R73" t="s">
        <v>187</v>
      </c>
      <c r="S73" t="s">
        <v>186</v>
      </c>
      <c r="T73">
        <v>29.4</v>
      </c>
      <c r="U73" t="s">
        <v>187</v>
      </c>
      <c r="V73" t="s">
        <v>186</v>
      </c>
      <c r="W73">
        <v>29.5</v>
      </c>
      <c r="X73" t="s">
        <v>187</v>
      </c>
      <c r="Y73" t="s">
        <v>186</v>
      </c>
      <c r="Z73">
        <v>29.24</v>
      </c>
      <c r="AA73" t="s">
        <v>187</v>
      </c>
      <c r="AB73" t="s">
        <v>186</v>
      </c>
      <c r="AC73">
        <v>28.02</v>
      </c>
      <c r="AD73" t="s">
        <v>187</v>
      </c>
      <c r="AE73" t="s">
        <v>186</v>
      </c>
      <c r="AF73">
        <v>27.55</v>
      </c>
      <c r="AG73" t="s">
        <v>187</v>
      </c>
      <c r="AH73" t="s">
        <v>186</v>
      </c>
      <c r="AI73">
        <v>27.4</v>
      </c>
      <c r="AJ73" t="s">
        <v>187</v>
      </c>
      <c r="AK73" t="s">
        <v>186</v>
      </c>
      <c r="AL73">
        <v>27.8</v>
      </c>
      <c r="AM73" t="s">
        <v>187</v>
      </c>
      <c r="AN73" t="s">
        <v>186</v>
      </c>
      <c r="AO73">
        <v>27.52</v>
      </c>
      <c r="AP73" t="s">
        <v>187</v>
      </c>
      <c r="AQ73" t="s">
        <v>186</v>
      </c>
      <c r="AR73">
        <v>27.52</v>
      </c>
      <c r="AS73" t="s">
        <v>187</v>
      </c>
      <c r="AT73" t="s">
        <v>186</v>
      </c>
      <c r="AU73">
        <v>27.96</v>
      </c>
      <c r="AV73" t="s">
        <v>187</v>
      </c>
      <c r="AW73" t="s">
        <v>186</v>
      </c>
      <c r="AX73">
        <v>27.94</v>
      </c>
      <c r="AY73" t="s">
        <v>187</v>
      </c>
      <c r="AZ73" t="s">
        <v>186</v>
      </c>
      <c r="BA73">
        <v>28.15</v>
      </c>
      <c r="BB73" t="s">
        <v>187</v>
      </c>
      <c r="BC73" t="s">
        <v>186</v>
      </c>
      <c r="BD73">
        <v>28.51</v>
      </c>
      <c r="BE73" t="s">
        <v>187</v>
      </c>
      <c r="BF73" t="s">
        <v>186</v>
      </c>
      <c r="BG73">
        <v>29.95</v>
      </c>
      <c r="BH73" t="s">
        <v>187</v>
      </c>
      <c r="BI73" t="s">
        <v>186</v>
      </c>
      <c r="BJ73">
        <v>30.45</v>
      </c>
      <c r="BK73" t="s">
        <v>187</v>
      </c>
      <c r="BL73" t="s">
        <v>186</v>
      </c>
      <c r="BM73">
        <v>29.93</v>
      </c>
      <c r="BN73" t="s">
        <v>187</v>
      </c>
      <c r="BO73" t="s">
        <v>186</v>
      </c>
      <c r="BP73">
        <v>31.2</v>
      </c>
      <c r="BQ73" t="s">
        <v>187</v>
      </c>
      <c r="BR73" t="s">
        <v>186</v>
      </c>
      <c r="BS73">
        <v>31.73</v>
      </c>
      <c r="BT73" t="s">
        <v>187</v>
      </c>
      <c r="BU73" t="s">
        <v>186</v>
      </c>
      <c r="BV73">
        <v>31</v>
      </c>
      <c r="BW73" t="s">
        <v>187</v>
      </c>
      <c r="BX73" t="s">
        <v>186</v>
      </c>
      <c r="BY73">
        <v>31</v>
      </c>
      <c r="BZ73" t="s">
        <v>187</v>
      </c>
      <c r="CA73" t="s">
        <v>186</v>
      </c>
      <c r="CB73">
        <v>31</v>
      </c>
      <c r="CC73" t="s">
        <v>187</v>
      </c>
      <c r="CD73" t="s">
        <v>186</v>
      </c>
      <c r="CE73">
        <v>31.2</v>
      </c>
      <c r="CF73" t="s">
        <v>187</v>
      </c>
      <c r="CG73" t="s">
        <v>186</v>
      </c>
      <c r="CH73">
        <v>31.15</v>
      </c>
      <c r="CI73" t="s">
        <v>187</v>
      </c>
      <c r="CJ73" t="s">
        <v>186</v>
      </c>
      <c r="CK73">
        <v>31.3</v>
      </c>
      <c r="CL73" t="s">
        <v>187</v>
      </c>
      <c r="CM73" t="s">
        <v>186</v>
      </c>
      <c r="CN73">
        <v>31.3</v>
      </c>
      <c r="CO73" t="s">
        <v>187</v>
      </c>
      <c r="CP73" t="s">
        <v>186</v>
      </c>
      <c r="CQ73">
        <v>31</v>
      </c>
      <c r="CR73" t="s">
        <v>187</v>
      </c>
      <c r="CS73" t="s">
        <v>186</v>
      </c>
      <c r="CT73">
        <v>31.01</v>
      </c>
      <c r="CU73" t="s">
        <v>187</v>
      </c>
      <c r="CV73" t="s">
        <v>186</v>
      </c>
      <c r="CW73">
        <v>31.49</v>
      </c>
      <c r="CX73" t="s">
        <v>187</v>
      </c>
      <c r="CY73" t="s">
        <v>186</v>
      </c>
      <c r="CZ73">
        <v>31.22</v>
      </c>
      <c r="DA73" t="s">
        <v>187</v>
      </c>
      <c r="DB73" t="s">
        <v>186</v>
      </c>
      <c r="DC73">
        <v>31.11</v>
      </c>
      <c r="DD73" t="s">
        <v>187</v>
      </c>
      <c r="DE73" t="s">
        <v>186</v>
      </c>
      <c r="DF73">
        <v>30.25</v>
      </c>
      <c r="DG73" t="s">
        <v>187</v>
      </c>
      <c r="DH73" t="s">
        <v>186</v>
      </c>
      <c r="DI73">
        <v>32.75</v>
      </c>
      <c r="DJ73" t="s">
        <v>187</v>
      </c>
      <c r="DK73" t="s">
        <v>186</v>
      </c>
      <c r="DL73">
        <v>32.130000000000003</v>
      </c>
      <c r="DM73" t="s">
        <v>187</v>
      </c>
      <c r="DN73" t="s">
        <v>186</v>
      </c>
      <c r="DO73">
        <v>33.6</v>
      </c>
      <c r="DP73" t="s">
        <v>187</v>
      </c>
      <c r="DQ73" t="s">
        <v>186</v>
      </c>
      <c r="DR73">
        <v>35</v>
      </c>
      <c r="DS73" t="s">
        <v>187</v>
      </c>
      <c r="DT73" t="s">
        <v>188</v>
      </c>
      <c r="DU73">
        <v>22.6</v>
      </c>
      <c r="DV73" t="s">
        <v>41</v>
      </c>
      <c r="DW73" t="s">
        <v>188</v>
      </c>
      <c r="DX73">
        <v>22.41</v>
      </c>
      <c r="DY73" t="s">
        <v>41</v>
      </c>
      <c r="DZ73" t="s">
        <v>188</v>
      </c>
      <c r="EA73">
        <v>24.19</v>
      </c>
      <c r="EB73" t="s">
        <v>41</v>
      </c>
      <c r="EC73" t="s">
        <v>188</v>
      </c>
      <c r="ED73">
        <v>24</v>
      </c>
      <c r="EE73" t="s">
        <v>41</v>
      </c>
      <c r="EF73" t="s">
        <v>188</v>
      </c>
      <c r="EG73">
        <v>28.6</v>
      </c>
      <c r="EH73" t="s">
        <v>41</v>
      </c>
      <c r="EI73" t="s">
        <v>188</v>
      </c>
      <c r="EJ73">
        <v>31.6</v>
      </c>
      <c r="EK73" t="s">
        <v>41</v>
      </c>
    </row>
    <row r="74" spans="1:141">
      <c r="A74" t="s">
        <v>186</v>
      </c>
      <c r="B74">
        <v>29.56</v>
      </c>
      <c r="C74" t="s">
        <v>187</v>
      </c>
      <c r="D74" t="s">
        <v>186</v>
      </c>
      <c r="E74">
        <v>29.88</v>
      </c>
      <c r="F74" t="s">
        <v>187</v>
      </c>
      <c r="G74" t="s">
        <v>349</v>
      </c>
      <c r="H74">
        <v>0.76</v>
      </c>
      <c r="I74" t="s">
        <v>97</v>
      </c>
      <c r="J74" t="s">
        <v>349</v>
      </c>
      <c r="K74">
        <v>0.78</v>
      </c>
      <c r="L74" t="s">
        <v>97</v>
      </c>
      <c r="M74" t="s">
        <v>349</v>
      </c>
      <c r="N74">
        <v>0.74</v>
      </c>
      <c r="O74" t="s">
        <v>97</v>
      </c>
      <c r="P74" t="s">
        <v>349</v>
      </c>
      <c r="Q74">
        <v>0.74</v>
      </c>
      <c r="R74" t="s">
        <v>97</v>
      </c>
      <c r="S74" t="s">
        <v>349</v>
      </c>
      <c r="T74">
        <v>0.74</v>
      </c>
      <c r="U74" t="s">
        <v>97</v>
      </c>
      <c r="V74" t="s">
        <v>349</v>
      </c>
      <c r="W74">
        <v>0.72</v>
      </c>
      <c r="X74" t="s">
        <v>97</v>
      </c>
      <c r="Y74" t="s">
        <v>349</v>
      </c>
      <c r="Z74">
        <v>0.73</v>
      </c>
      <c r="AA74" t="s">
        <v>97</v>
      </c>
      <c r="AB74" t="s">
        <v>349</v>
      </c>
      <c r="AC74">
        <v>0.73</v>
      </c>
      <c r="AD74" t="s">
        <v>97</v>
      </c>
      <c r="AE74" t="s">
        <v>349</v>
      </c>
      <c r="AF74">
        <v>0.76</v>
      </c>
      <c r="AG74" t="s">
        <v>97</v>
      </c>
      <c r="AH74" t="s">
        <v>349</v>
      </c>
      <c r="AI74">
        <v>0.75</v>
      </c>
      <c r="AJ74" t="s">
        <v>97</v>
      </c>
      <c r="AK74" t="s">
        <v>349</v>
      </c>
      <c r="AL74">
        <v>0.74</v>
      </c>
      <c r="AM74" t="s">
        <v>97</v>
      </c>
      <c r="AN74" t="s">
        <v>349</v>
      </c>
      <c r="AO74">
        <v>0.72</v>
      </c>
      <c r="AP74" t="s">
        <v>97</v>
      </c>
      <c r="AQ74" t="s">
        <v>349</v>
      </c>
      <c r="AR74">
        <v>0.73</v>
      </c>
      <c r="AS74" t="s">
        <v>97</v>
      </c>
      <c r="AT74" t="s">
        <v>349</v>
      </c>
      <c r="AU74">
        <v>0.74</v>
      </c>
      <c r="AV74" t="s">
        <v>97</v>
      </c>
      <c r="AW74" t="s">
        <v>349</v>
      </c>
      <c r="AX74">
        <v>0.74</v>
      </c>
      <c r="AY74" t="s">
        <v>97</v>
      </c>
      <c r="AZ74" t="s">
        <v>349</v>
      </c>
      <c r="BA74">
        <v>0.74</v>
      </c>
      <c r="BB74" t="s">
        <v>97</v>
      </c>
      <c r="BC74" t="s">
        <v>349</v>
      </c>
      <c r="BD74">
        <v>0.75</v>
      </c>
      <c r="BE74" t="s">
        <v>97</v>
      </c>
      <c r="BF74" t="s">
        <v>349</v>
      </c>
      <c r="BG74">
        <v>1.03</v>
      </c>
      <c r="BH74" t="s">
        <v>97</v>
      </c>
      <c r="BI74" t="s">
        <v>349</v>
      </c>
      <c r="BJ74">
        <v>1.02</v>
      </c>
      <c r="BK74" t="s">
        <v>97</v>
      </c>
      <c r="BL74" t="s">
        <v>349</v>
      </c>
      <c r="BM74">
        <v>1.05</v>
      </c>
      <c r="BN74" t="s">
        <v>97</v>
      </c>
      <c r="BO74" t="s">
        <v>349</v>
      </c>
      <c r="BP74">
        <v>1.03</v>
      </c>
      <c r="BQ74" t="s">
        <v>97</v>
      </c>
      <c r="BR74" t="s">
        <v>349</v>
      </c>
      <c r="BS74">
        <v>1.02</v>
      </c>
      <c r="BT74" t="s">
        <v>97</v>
      </c>
      <c r="BU74" t="s">
        <v>349</v>
      </c>
      <c r="BV74">
        <v>1.1299999999999999</v>
      </c>
      <c r="BW74" t="s">
        <v>97</v>
      </c>
      <c r="BX74" t="s">
        <v>349</v>
      </c>
      <c r="BY74">
        <v>1.35</v>
      </c>
      <c r="BZ74" t="s">
        <v>97</v>
      </c>
      <c r="CA74" t="s">
        <v>349</v>
      </c>
      <c r="CB74">
        <v>1.36</v>
      </c>
      <c r="CC74" t="s">
        <v>97</v>
      </c>
      <c r="CD74" t="s">
        <v>349</v>
      </c>
      <c r="CE74">
        <v>1.42</v>
      </c>
      <c r="CF74" t="s">
        <v>97</v>
      </c>
      <c r="CG74" t="s">
        <v>349</v>
      </c>
      <c r="CH74">
        <v>1.44</v>
      </c>
      <c r="CI74" t="s">
        <v>97</v>
      </c>
      <c r="CJ74" t="s">
        <v>349</v>
      </c>
      <c r="CK74">
        <v>1.38</v>
      </c>
      <c r="CL74" t="s">
        <v>97</v>
      </c>
      <c r="CM74" t="s">
        <v>349</v>
      </c>
      <c r="CN74">
        <v>1.27</v>
      </c>
      <c r="CO74" t="s">
        <v>97</v>
      </c>
      <c r="CP74" t="s">
        <v>349</v>
      </c>
      <c r="CQ74">
        <v>1.35</v>
      </c>
      <c r="CR74" t="s">
        <v>97</v>
      </c>
      <c r="CS74" t="s">
        <v>349</v>
      </c>
      <c r="CT74">
        <v>1.24</v>
      </c>
      <c r="CU74" t="s">
        <v>97</v>
      </c>
      <c r="CV74" t="s">
        <v>349</v>
      </c>
      <c r="CW74">
        <v>1.35</v>
      </c>
      <c r="CX74" t="s">
        <v>97</v>
      </c>
      <c r="CY74" t="s">
        <v>349</v>
      </c>
      <c r="CZ74">
        <v>1.29</v>
      </c>
      <c r="DA74" t="s">
        <v>97</v>
      </c>
      <c r="DB74" t="s">
        <v>349</v>
      </c>
      <c r="DC74">
        <v>1.22</v>
      </c>
      <c r="DD74" t="s">
        <v>97</v>
      </c>
      <c r="DE74" t="s">
        <v>349</v>
      </c>
      <c r="DF74">
        <v>1.2</v>
      </c>
      <c r="DG74" t="s">
        <v>97</v>
      </c>
      <c r="DH74" t="s">
        <v>349</v>
      </c>
      <c r="DI74">
        <v>1.1399999999999999</v>
      </c>
      <c r="DJ74" t="s">
        <v>97</v>
      </c>
      <c r="DK74" t="s">
        <v>349</v>
      </c>
      <c r="DL74">
        <v>1.06</v>
      </c>
      <c r="DM74" t="s">
        <v>97</v>
      </c>
      <c r="DN74" t="s">
        <v>349</v>
      </c>
      <c r="DO74">
        <v>1.1100000000000001</v>
      </c>
      <c r="DP74" t="s">
        <v>97</v>
      </c>
      <c r="DQ74" t="s">
        <v>349</v>
      </c>
      <c r="DR74">
        <v>1.1599999999999999</v>
      </c>
      <c r="DS74" t="s">
        <v>97</v>
      </c>
      <c r="DT74" t="s">
        <v>191</v>
      </c>
      <c r="DU74">
        <v>260</v>
      </c>
      <c r="DV74" t="s">
        <v>192</v>
      </c>
      <c r="DW74" t="s">
        <v>191</v>
      </c>
      <c r="DX74">
        <v>266</v>
      </c>
      <c r="DY74" t="s">
        <v>192</v>
      </c>
      <c r="DZ74" t="s">
        <v>191</v>
      </c>
      <c r="EA74">
        <v>296.10000000000002</v>
      </c>
      <c r="EB74" t="s">
        <v>192</v>
      </c>
      <c r="EC74" t="s">
        <v>191</v>
      </c>
      <c r="ED74">
        <v>295</v>
      </c>
      <c r="EE74" t="s">
        <v>192</v>
      </c>
      <c r="EF74" t="s">
        <v>191</v>
      </c>
      <c r="EG74">
        <v>296</v>
      </c>
      <c r="EH74" t="s">
        <v>192</v>
      </c>
      <c r="EI74" t="s">
        <v>191</v>
      </c>
      <c r="EJ74">
        <v>294</v>
      </c>
      <c r="EK74" t="s">
        <v>192</v>
      </c>
    </row>
    <row r="75" spans="1:141">
      <c r="A75" t="s">
        <v>349</v>
      </c>
      <c r="B75">
        <v>0.74</v>
      </c>
      <c r="C75" t="s">
        <v>97</v>
      </c>
      <c r="D75" t="s">
        <v>349</v>
      </c>
      <c r="E75">
        <v>0.76</v>
      </c>
      <c r="F75" t="s">
        <v>97</v>
      </c>
      <c r="G75" t="s">
        <v>188</v>
      </c>
      <c r="H75">
        <v>24.5</v>
      </c>
      <c r="I75" t="s">
        <v>41</v>
      </c>
      <c r="J75" t="s">
        <v>188</v>
      </c>
      <c r="K75">
        <v>24.7</v>
      </c>
      <c r="L75" t="s">
        <v>41</v>
      </c>
      <c r="M75" t="s">
        <v>188</v>
      </c>
      <c r="N75">
        <v>23.41</v>
      </c>
      <c r="O75" t="s">
        <v>41</v>
      </c>
      <c r="P75" t="s">
        <v>188</v>
      </c>
      <c r="Q75">
        <v>23.46</v>
      </c>
      <c r="R75" t="s">
        <v>41</v>
      </c>
      <c r="S75" t="s">
        <v>188</v>
      </c>
      <c r="T75">
        <v>23.31</v>
      </c>
      <c r="U75" t="s">
        <v>41</v>
      </c>
      <c r="V75" t="s">
        <v>188</v>
      </c>
      <c r="W75">
        <v>22.31</v>
      </c>
      <c r="X75" t="s">
        <v>41</v>
      </c>
      <c r="Y75" t="s">
        <v>188</v>
      </c>
      <c r="Z75">
        <v>23.07</v>
      </c>
      <c r="AA75" t="s">
        <v>41</v>
      </c>
      <c r="AB75" t="s">
        <v>188</v>
      </c>
      <c r="AC75">
        <v>23.4</v>
      </c>
      <c r="AD75" t="s">
        <v>41</v>
      </c>
      <c r="AE75" t="s">
        <v>188</v>
      </c>
      <c r="AF75">
        <v>23.28</v>
      </c>
      <c r="AG75" t="s">
        <v>41</v>
      </c>
      <c r="AH75" t="s">
        <v>188</v>
      </c>
      <c r="AI75">
        <v>23.68</v>
      </c>
      <c r="AJ75" t="s">
        <v>41</v>
      </c>
      <c r="AK75" t="s">
        <v>188</v>
      </c>
      <c r="AL75">
        <v>22.99</v>
      </c>
      <c r="AM75" t="s">
        <v>41</v>
      </c>
      <c r="AN75" t="s">
        <v>188</v>
      </c>
      <c r="AO75">
        <v>23.13</v>
      </c>
      <c r="AP75" t="s">
        <v>41</v>
      </c>
      <c r="AQ75" t="s">
        <v>188</v>
      </c>
      <c r="AR75">
        <v>23.37</v>
      </c>
      <c r="AS75" t="s">
        <v>41</v>
      </c>
      <c r="AT75" t="s">
        <v>188</v>
      </c>
      <c r="AU75">
        <v>23.56</v>
      </c>
      <c r="AV75" t="s">
        <v>41</v>
      </c>
      <c r="AW75" t="s">
        <v>188</v>
      </c>
      <c r="AX75">
        <v>24.81</v>
      </c>
      <c r="AY75" t="s">
        <v>41</v>
      </c>
      <c r="AZ75" t="s">
        <v>188</v>
      </c>
      <c r="BA75">
        <v>25.38</v>
      </c>
      <c r="BB75" t="s">
        <v>41</v>
      </c>
      <c r="BC75" t="s">
        <v>188</v>
      </c>
      <c r="BD75">
        <v>26.03</v>
      </c>
      <c r="BE75" t="s">
        <v>41</v>
      </c>
      <c r="BF75" t="s">
        <v>188</v>
      </c>
      <c r="BG75">
        <v>26.34</v>
      </c>
      <c r="BH75" t="s">
        <v>41</v>
      </c>
      <c r="BI75" t="s">
        <v>188</v>
      </c>
      <c r="BJ75">
        <v>26.5</v>
      </c>
      <c r="BK75" t="s">
        <v>41</v>
      </c>
      <c r="BL75" t="s">
        <v>188</v>
      </c>
      <c r="BM75">
        <v>26.25</v>
      </c>
      <c r="BN75" t="s">
        <v>41</v>
      </c>
      <c r="BO75" t="s">
        <v>188</v>
      </c>
      <c r="BP75">
        <v>25.95</v>
      </c>
      <c r="BQ75" t="s">
        <v>41</v>
      </c>
      <c r="BR75" t="s">
        <v>188</v>
      </c>
      <c r="BS75">
        <v>26.03</v>
      </c>
      <c r="BT75" t="s">
        <v>41</v>
      </c>
      <c r="BU75" t="s">
        <v>188</v>
      </c>
      <c r="BV75">
        <v>25.7</v>
      </c>
      <c r="BW75" t="s">
        <v>41</v>
      </c>
      <c r="BX75" t="s">
        <v>188</v>
      </c>
      <c r="BY75">
        <v>25.6</v>
      </c>
      <c r="BZ75" t="s">
        <v>41</v>
      </c>
      <c r="CA75" t="s">
        <v>188</v>
      </c>
      <c r="CB75">
        <v>26</v>
      </c>
      <c r="CC75" t="s">
        <v>41</v>
      </c>
      <c r="CD75" t="s">
        <v>188</v>
      </c>
      <c r="CE75">
        <v>25.93</v>
      </c>
      <c r="CF75" t="s">
        <v>41</v>
      </c>
      <c r="CG75" t="s">
        <v>188</v>
      </c>
      <c r="CH75">
        <v>25.75</v>
      </c>
      <c r="CI75" t="s">
        <v>41</v>
      </c>
      <c r="CJ75" t="s">
        <v>188</v>
      </c>
      <c r="CK75">
        <v>25.2</v>
      </c>
      <c r="CL75" t="s">
        <v>41</v>
      </c>
      <c r="CM75" t="s">
        <v>188</v>
      </c>
      <c r="CN75">
        <v>25.08</v>
      </c>
      <c r="CO75" t="s">
        <v>41</v>
      </c>
      <c r="CP75" t="s">
        <v>188</v>
      </c>
      <c r="CQ75">
        <v>25.22</v>
      </c>
      <c r="CR75" t="s">
        <v>41</v>
      </c>
      <c r="CS75" t="s">
        <v>188</v>
      </c>
      <c r="CT75">
        <v>24.82</v>
      </c>
      <c r="CU75" t="s">
        <v>41</v>
      </c>
      <c r="CV75" t="s">
        <v>188</v>
      </c>
      <c r="CW75">
        <v>24.48</v>
      </c>
      <c r="CX75" t="s">
        <v>41</v>
      </c>
      <c r="CY75" t="s">
        <v>188</v>
      </c>
      <c r="CZ75">
        <v>24.27</v>
      </c>
      <c r="DA75" t="s">
        <v>41</v>
      </c>
      <c r="DB75" t="s">
        <v>188</v>
      </c>
      <c r="DC75">
        <v>24.22</v>
      </c>
      <c r="DD75" t="s">
        <v>41</v>
      </c>
      <c r="DE75" t="s">
        <v>188</v>
      </c>
      <c r="DF75">
        <v>24.12</v>
      </c>
      <c r="DG75" t="s">
        <v>41</v>
      </c>
      <c r="DH75" t="s">
        <v>188</v>
      </c>
      <c r="DI75">
        <v>24.57</v>
      </c>
      <c r="DJ75" t="s">
        <v>41</v>
      </c>
      <c r="DK75" t="s">
        <v>188</v>
      </c>
      <c r="DL75">
        <v>22.86</v>
      </c>
      <c r="DM75" t="s">
        <v>41</v>
      </c>
      <c r="DN75" t="s">
        <v>188</v>
      </c>
      <c r="DO75">
        <v>21.98</v>
      </c>
      <c r="DP75" t="s">
        <v>41</v>
      </c>
      <c r="DQ75" t="s">
        <v>188</v>
      </c>
      <c r="DR75">
        <v>23.5</v>
      </c>
      <c r="DS75" t="s">
        <v>41</v>
      </c>
      <c r="DT75" t="s">
        <v>420</v>
      </c>
      <c r="DU75">
        <v>2.09</v>
      </c>
      <c r="DV75" t="s">
        <v>39</v>
      </c>
      <c r="DW75" t="s">
        <v>420</v>
      </c>
      <c r="DX75">
        <v>1.98</v>
      </c>
      <c r="DY75" t="s">
        <v>39</v>
      </c>
      <c r="DZ75" t="s">
        <v>420</v>
      </c>
      <c r="EA75">
        <v>1.9</v>
      </c>
      <c r="EB75" t="s">
        <v>39</v>
      </c>
      <c r="EC75" t="s">
        <v>420</v>
      </c>
      <c r="ED75">
        <v>1.87</v>
      </c>
      <c r="EE75" t="s">
        <v>39</v>
      </c>
      <c r="EF75" t="s">
        <v>420</v>
      </c>
      <c r="EG75">
        <v>1.67</v>
      </c>
      <c r="EH75" t="s">
        <v>39</v>
      </c>
      <c r="EI75" t="s">
        <v>420</v>
      </c>
      <c r="EJ75">
        <v>1.77</v>
      </c>
      <c r="EK75" t="s">
        <v>39</v>
      </c>
    </row>
    <row r="76" spans="1:141">
      <c r="A76" t="s">
        <v>188</v>
      </c>
      <c r="B76">
        <v>24.02</v>
      </c>
      <c r="C76" t="s">
        <v>41</v>
      </c>
      <c r="D76" t="s">
        <v>188</v>
      </c>
      <c r="E76">
        <v>23.69</v>
      </c>
      <c r="F76" t="s">
        <v>41</v>
      </c>
      <c r="G76" t="s">
        <v>189</v>
      </c>
      <c r="H76">
        <v>0.28999999999999998</v>
      </c>
      <c r="I76" t="s">
        <v>190</v>
      </c>
      <c r="J76" t="s">
        <v>189</v>
      </c>
      <c r="K76">
        <v>0.28999999999999998</v>
      </c>
      <c r="L76" t="s">
        <v>190</v>
      </c>
      <c r="M76" t="s">
        <v>189</v>
      </c>
      <c r="N76">
        <v>0.28999999999999998</v>
      </c>
      <c r="O76" t="s">
        <v>190</v>
      </c>
      <c r="P76" t="s">
        <v>189</v>
      </c>
      <c r="Q76">
        <v>0.3</v>
      </c>
      <c r="R76" t="s">
        <v>190</v>
      </c>
      <c r="S76" t="s">
        <v>189</v>
      </c>
      <c r="T76">
        <v>0.31</v>
      </c>
      <c r="U76" t="s">
        <v>190</v>
      </c>
      <c r="V76" t="s">
        <v>189</v>
      </c>
      <c r="W76">
        <v>0.3</v>
      </c>
      <c r="X76" t="s">
        <v>190</v>
      </c>
      <c r="Y76" t="s">
        <v>189</v>
      </c>
      <c r="Z76">
        <v>0.31</v>
      </c>
      <c r="AA76" t="s">
        <v>190</v>
      </c>
      <c r="AB76" t="s">
        <v>189</v>
      </c>
      <c r="AC76">
        <v>0.33</v>
      </c>
      <c r="AD76" t="s">
        <v>190</v>
      </c>
      <c r="AE76" t="s">
        <v>189</v>
      </c>
      <c r="AF76">
        <v>0.34</v>
      </c>
      <c r="AG76" t="s">
        <v>190</v>
      </c>
      <c r="AH76" t="s">
        <v>189</v>
      </c>
      <c r="AI76">
        <v>0.34</v>
      </c>
      <c r="AJ76" t="s">
        <v>190</v>
      </c>
      <c r="AK76" t="s">
        <v>189</v>
      </c>
      <c r="AL76">
        <v>0.35</v>
      </c>
      <c r="AM76" t="s">
        <v>190</v>
      </c>
      <c r="AN76" t="s">
        <v>189</v>
      </c>
      <c r="AO76">
        <v>0.39</v>
      </c>
      <c r="AP76" t="s">
        <v>190</v>
      </c>
      <c r="AQ76" t="s">
        <v>189</v>
      </c>
      <c r="AR76">
        <v>0.5</v>
      </c>
      <c r="AS76" t="s">
        <v>190</v>
      </c>
      <c r="AT76" t="s">
        <v>189</v>
      </c>
      <c r="AU76">
        <v>0.6</v>
      </c>
      <c r="AV76" t="s">
        <v>190</v>
      </c>
      <c r="AW76" t="s">
        <v>189</v>
      </c>
      <c r="AX76">
        <v>0.64</v>
      </c>
      <c r="AY76" t="s">
        <v>190</v>
      </c>
      <c r="AZ76" t="s">
        <v>189</v>
      </c>
      <c r="BA76">
        <v>0.75</v>
      </c>
      <c r="BB76" t="s">
        <v>190</v>
      </c>
      <c r="BC76" t="s">
        <v>189</v>
      </c>
      <c r="BD76">
        <v>0.76</v>
      </c>
      <c r="BE76" t="s">
        <v>190</v>
      </c>
      <c r="BF76" t="s">
        <v>189</v>
      </c>
      <c r="BG76">
        <v>0.85</v>
      </c>
      <c r="BH76" t="s">
        <v>190</v>
      </c>
      <c r="BI76" t="s">
        <v>189</v>
      </c>
      <c r="BJ76">
        <v>0.86</v>
      </c>
      <c r="BK76" t="s">
        <v>190</v>
      </c>
      <c r="BL76" t="s">
        <v>189</v>
      </c>
      <c r="BM76">
        <v>0.82</v>
      </c>
      <c r="BN76" t="s">
        <v>190</v>
      </c>
      <c r="BO76" t="s">
        <v>189</v>
      </c>
      <c r="BP76">
        <v>0.79</v>
      </c>
      <c r="BQ76" t="s">
        <v>190</v>
      </c>
      <c r="BR76" t="s">
        <v>189</v>
      </c>
      <c r="BS76">
        <v>0.81</v>
      </c>
      <c r="BT76" t="s">
        <v>190</v>
      </c>
      <c r="BU76" t="s">
        <v>189</v>
      </c>
      <c r="BV76">
        <v>0.76</v>
      </c>
      <c r="BW76" t="s">
        <v>190</v>
      </c>
      <c r="BX76" t="s">
        <v>189</v>
      </c>
      <c r="BY76">
        <v>0.72</v>
      </c>
      <c r="BZ76" t="s">
        <v>190</v>
      </c>
      <c r="CA76" t="s">
        <v>189</v>
      </c>
      <c r="CB76">
        <v>0.79</v>
      </c>
      <c r="CC76" t="s">
        <v>190</v>
      </c>
      <c r="CD76" t="s">
        <v>189</v>
      </c>
      <c r="CE76">
        <v>0.75</v>
      </c>
      <c r="CF76" t="s">
        <v>190</v>
      </c>
      <c r="CG76" t="s">
        <v>189</v>
      </c>
      <c r="CH76">
        <v>0.73</v>
      </c>
      <c r="CI76" t="s">
        <v>190</v>
      </c>
      <c r="CJ76" t="s">
        <v>189</v>
      </c>
      <c r="CK76">
        <v>0.74</v>
      </c>
      <c r="CL76" t="s">
        <v>190</v>
      </c>
      <c r="CM76" t="s">
        <v>189</v>
      </c>
      <c r="CN76">
        <v>0.72</v>
      </c>
      <c r="CO76" t="s">
        <v>190</v>
      </c>
      <c r="CP76" t="s">
        <v>189</v>
      </c>
      <c r="CQ76">
        <v>0.72</v>
      </c>
      <c r="CR76" t="s">
        <v>190</v>
      </c>
      <c r="CS76" t="s">
        <v>189</v>
      </c>
      <c r="CT76">
        <v>0.7</v>
      </c>
      <c r="CU76" t="s">
        <v>190</v>
      </c>
      <c r="CV76" t="s">
        <v>189</v>
      </c>
      <c r="CW76">
        <v>0.66</v>
      </c>
      <c r="CX76" t="s">
        <v>190</v>
      </c>
      <c r="CY76" t="s">
        <v>189</v>
      </c>
      <c r="CZ76">
        <v>0.73</v>
      </c>
      <c r="DA76" t="s">
        <v>190</v>
      </c>
      <c r="DB76" t="s">
        <v>189</v>
      </c>
      <c r="DC76">
        <v>0.7</v>
      </c>
      <c r="DD76" t="s">
        <v>190</v>
      </c>
      <c r="DE76" t="s">
        <v>189</v>
      </c>
      <c r="DF76">
        <v>0.71</v>
      </c>
      <c r="DG76" t="s">
        <v>190</v>
      </c>
      <c r="DH76" t="s">
        <v>189</v>
      </c>
      <c r="DI76">
        <v>0.67</v>
      </c>
      <c r="DJ76" t="s">
        <v>190</v>
      </c>
      <c r="DK76" t="s">
        <v>191</v>
      </c>
      <c r="DL76">
        <v>226.88</v>
      </c>
      <c r="DM76" t="s">
        <v>192</v>
      </c>
      <c r="DN76" t="s">
        <v>191</v>
      </c>
      <c r="DO76">
        <v>221.21</v>
      </c>
      <c r="DP76" t="s">
        <v>192</v>
      </c>
      <c r="DQ76" t="s">
        <v>191</v>
      </c>
      <c r="DR76">
        <v>250</v>
      </c>
      <c r="DS76" t="s">
        <v>192</v>
      </c>
      <c r="DT76" t="s">
        <v>403</v>
      </c>
      <c r="DU76">
        <v>174.22</v>
      </c>
      <c r="DV76" t="s">
        <v>62</v>
      </c>
      <c r="DW76" t="s">
        <v>403</v>
      </c>
      <c r="DX76">
        <v>172.7</v>
      </c>
      <c r="DY76" t="s">
        <v>62</v>
      </c>
      <c r="DZ76" t="s">
        <v>403</v>
      </c>
      <c r="EA76">
        <v>179</v>
      </c>
      <c r="EB76" t="s">
        <v>62</v>
      </c>
      <c r="EC76" t="s">
        <v>403</v>
      </c>
      <c r="ED76">
        <v>184.96</v>
      </c>
      <c r="EE76" t="s">
        <v>62</v>
      </c>
      <c r="EF76" t="s">
        <v>403</v>
      </c>
      <c r="EG76">
        <v>202.54</v>
      </c>
      <c r="EH76" t="s">
        <v>62</v>
      </c>
      <c r="EI76" t="s">
        <v>403</v>
      </c>
      <c r="EJ76">
        <v>210.47</v>
      </c>
      <c r="EK76" t="s">
        <v>62</v>
      </c>
    </row>
    <row r="77" spans="1:141">
      <c r="A77" t="s">
        <v>189</v>
      </c>
      <c r="B77">
        <v>0.3</v>
      </c>
      <c r="C77" t="s">
        <v>190</v>
      </c>
      <c r="D77" t="s">
        <v>189</v>
      </c>
      <c r="E77">
        <v>0.3</v>
      </c>
      <c r="F77" t="s">
        <v>190</v>
      </c>
      <c r="G77" t="s">
        <v>191</v>
      </c>
      <c r="H77">
        <v>220</v>
      </c>
      <c r="I77" t="s">
        <v>192</v>
      </c>
      <c r="J77" t="s">
        <v>191</v>
      </c>
      <c r="K77">
        <v>220</v>
      </c>
      <c r="L77" t="s">
        <v>192</v>
      </c>
      <c r="M77" t="s">
        <v>191</v>
      </c>
      <c r="N77">
        <v>215</v>
      </c>
      <c r="O77" t="s">
        <v>192</v>
      </c>
      <c r="P77" t="s">
        <v>191</v>
      </c>
      <c r="Q77">
        <v>215.3</v>
      </c>
      <c r="R77" t="s">
        <v>192</v>
      </c>
      <c r="S77" t="s">
        <v>191</v>
      </c>
      <c r="T77">
        <v>223</v>
      </c>
      <c r="U77" t="s">
        <v>192</v>
      </c>
      <c r="V77" t="s">
        <v>191</v>
      </c>
      <c r="W77">
        <v>218.17</v>
      </c>
      <c r="X77" t="s">
        <v>192</v>
      </c>
      <c r="Y77" t="s">
        <v>191</v>
      </c>
      <c r="Z77">
        <v>250</v>
      </c>
      <c r="AA77" t="s">
        <v>192</v>
      </c>
      <c r="AB77" t="s">
        <v>191</v>
      </c>
      <c r="AC77">
        <v>228.9</v>
      </c>
      <c r="AD77" t="s">
        <v>192</v>
      </c>
      <c r="AE77" t="s">
        <v>191</v>
      </c>
      <c r="AF77">
        <v>228.94</v>
      </c>
      <c r="AG77" t="s">
        <v>192</v>
      </c>
      <c r="AH77" t="s">
        <v>191</v>
      </c>
      <c r="AI77">
        <v>225</v>
      </c>
      <c r="AJ77" t="s">
        <v>192</v>
      </c>
      <c r="AK77" t="s">
        <v>191</v>
      </c>
      <c r="AL77">
        <v>225</v>
      </c>
      <c r="AM77" t="s">
        <v>192</v>
      </c>
      <c r="AN77" t="s">
        <v>191</v>
      </c>
      <c r="AO77">
        <v>221.51</v>
      </c>
      <c r="AP77" t="s">
        <v>192</v>
      </c>
      <c r="AQ77" t="s">
        <v>191</v>
      </c>
      <c r="AR77">
        <v>226</v>
      </c>
      <c r="AS77" t="s">
        <v>192</v>
      </c>
      <c r="AT77" t="s">
        <v>191</v>
      </c>
      <c r="AU77">
        <v>226</v>
      </c>
      <c r="AV77" t="s">
        <v>192</v>
      </c>
      <c r="AW77" t="s">
        <v>191</v>
      </c>
      <c r="AX77">
        <v>225.5</v>
      </c>
      <c r="AY77" t="s">
        <v>192</v>
      </c>
      <c r="AZ77" t="s">
        <v>191</v>
      </c>
      <c r="BA77">
        <v>226.97</v>
      </c>
      <c r="BB77" t="s">
        <v>192</v>
      </c>
      <c r="BC77" t="s">
        <v>191</v>
      </c>
      <c r="BD77">
        <v>227.88</v>
      </c>
      <c r="BE77" t="s">
        <v>192</v>
      </c>
      <c r="BF77" t="s">
        <v>191</v>
      </c>
      <c r="BG77">
        <v>212.88</v>
      </c>
      <c r="BH77" t="s">
        <v>192</v>
      </c>
      <c r="BI77" t="s">
        <v>191</v>
      </c>
      <c r="BJ77">
        <v>212.75</v>
      </c>
      <c r="BK77" t="s">
        <v>192</v>
      </c>
      <c r="BL77" t="s">
        <v>191</v>
      </c>
      <c r="BM77">
        <v>216.8</v>
      </c>
      <c r="BN77" t="s">
        <v>192</v>
      </c>
      <c r="BO77" t="s">
        <v>191</v>
      </c>
      <c r="BP77">
        <v>208.7</v>
      </c>
      <c r="BQ77" t="s">
        <v>192</v>
      </c>
      <c r="BR77" t="s">
        <v>191</v>
      </c>
      <c r="BS77">
        <v>212.69</v>
      </c>
      <c r="BT77" t="s">
        <v>192</v>
      </c>
      <c r="BU77" t="s">
        <v>191</v>
      </c>
      <c r="BV77">
        <v>211</v>
      </c>
      <c r="BW77" t="s">
        <v>192</v>
      </c>
      <c r="BX77" t="s">
        <v>191</v>
      </c>
      <c r="BY77">
        <v>211.5</v>
      </c>
      <c r="BZ77" t="s">
        <v>192</v>
      </c>
      <c r="CA77" t="s">
        <v>191</v>
      </c>
      <c r="CB77">
        <v>211.85</v>
      </c>
      <c r="CC77" t="s">
        <v>192</v>
      </c>
      <c r="CD77" t="s">
        <v>191</v>
      </c>
      <c r="CE77">
        <v>210.01</v>
      </c>
      <c r="CF77" t="s">
        <v>192</v>
      </c>
      <c r="CG77" t="s">
        <v>191</v>
      </c>
      <c r="CH77">
        <v>208.41</v>
      </c>
      <c r="CI77" t="s">
        <v>192</v>
      </c>
      <c r="CJ77" t="s">
        <v>191</v>
      </c>
      <c r="CK77">
        <v>208.99</v>
      </c>
      <c r="CL77" t="s">
        <v>192</v>
      </c>
      <c r="CM77" t="s">
        <v>191</v>
      </c>
      <c r="CN77">
        <v>208</v>
      </c>
      <c r="CO77" t="s">
        <v>192</v>
      </c>
      <c r="CP77" t="s">
        <v>191</v>
      </c>
      <c r="CQ77">
        <v>211.9</v>
      </c>
      <c r="CR77" t="s">
        <v>192</v>
      </c>
      <c r="CS77" t="s">
        <v>191</v>
      </c>
      <c r="CT77">
        <v>209.9</v>
      </c>
      <c r="CU77" t="s">
        <v>192</v>
      </c>
      <c r="CV77" t="s">
        <v>191</v>
      </c>
      <c r="CW77">
        <v>207.1</v>
      </c>
      <c r="CX77" t="s">
        <v>192</v>
      </c>
      <c r="CY77" t="s">
        <v>191</v>
      </c>
      <c r="CZ77">
        <v>210</v>
      </c>
      <c r="DA77" t="s">
        <v>192</v>
      </c>
      <c r="DB77" t="s">
        <v>191</v>
      </c>
      <c r="DC77">
        <v>211</v>
      </c>
      <c r="DD77" t="s">
        <v>192</v>
      </c>
      <c r="DE77" t="s">
        <v>191</v>
      </c>
      <c r="DF77">
        <v>210</v>
      </c>
      <c r="DG77" t="s">
        <v>192</v>
      </c>
      <c r="DH77" t="s">
        <v>191</v>
      </c>
      <c r="DI77">
        <v>213.1</v>
      </c>
      <c r="DJ77" t="s">
        <v>192</v>
      </c>
      <c r="DK77" t="s">
        <v>420</v>
      </c>
      <c r="DL77">
        <v>1.55</v>
      </c>
      <c r="DM77" t="s">
        <v>39</v>
      </c>
      <c r="DN77" t="s">
        <v>420</v>
      </c>
      <c r="DO77">
        <v>1.55</v>
      </c>
      <c r="DP77" t="s">
        <v>39</v>
      </c>
      <c r="DQ77" t="s">
        <v>420</v>
      </c>
      <c r="DR77">
        <v>1.96</v>
      </c>
      <c r="DS77" t="s">
        <v>39</v>
      </c>
      <c r="DT77" t="s">
        <v>193</v>
      </c>
      <c r="DU77">
        <v>26.96</v>
      </c>
      <c r="DV77" t="s">
        <v>87</v>
      </c>
      <c r="DW77" t="s">
        <v>193</v>
      </c>
      <c r="DX77">
        <v>26.65</v>
      </c>
      <c r="DY77" t="s">
        <v>87</v>
      </c>
      <c r="DZ77" t="s">
        <v>193</v>
      </c>
      <c r="EA77">
        <v>27.25</v>
      </c>
      <c r="EB77" t="s">
        <v>87</v>
      </c>
      <c r="EC77" t="s">
        <v>193</v>
      </c>
      <c r="ED77">
        <v>26.22</v>
      </c>
      <c r="EE77" t="s">
        <v>87</v>
      </c>
      <c r="EF77" t="s">
        <v>193</v>
      </c>
      <c r="EG77">
        <v>12.81</v>
      </c>
      <c r="EH77" t="s">
        <v>87</v>
      </c>
      <c r="EI77" t="s">
        <v>193</v>
      </c>
      <c r="EJ77">
        <v>13.69</v>
      </c>
      <c r="EK77" t="s">
        <v>87</v>
      </c>
    </row>
    <row r="78" spans="1:141">
      <c r="A78" t="s">
        <v>191</v>
      </c>
      <c r="B78">
        <v>221</v>
      </c>
      <c r="C78" t="s">
        <v>192</v>
      </c>
      <c r="D78" t="s">
        <v>191</v>
      </c>
      <c r="E78">
        <v>222.25</v>
      </c>
      <c r="F78" t="s">
        <v>192</v>
      </c>
      <c r="G78" t="s">
        <v>420</v>
      </c>
      <c r="H78">
        <v>1.44</v>
      </c>
      <c r="I78" t="s">
        <v>39</v>
      </c>
      <c r="J78" t="s">
        <v>420</v>
      </c>
      <c r="K78">
        <v>1.46</v>
      </c>
      <c r="L78" t="s">
        <v>39</v>
      </c>
      <c r="M78" t="s">
        <v>420</v>
      </c>
      <c r="N78">
        <v>1.4</v>
      </c>
      <c r="O78" t="s">
        <v>39</v>
      </c>
      <c r="P78" t="s">
        <v>420</v>
      </c>
      <c r="Q78">
        <v>1.37</v>
      </c>
      <c r="R78" t="s">
        <v>39</v>
      </c>
      <c r="S78" t="s">
        <v>420</v>
      </c>
      <c r="T78">
        <v>1.37</v>
      </c>
      <c r="U78" t="s">
        <v>39</v>
      </c>
      <c r="V78" t="s">
        <v>420</v>
      </c>
      <c r="W78">
        <v>1.32</v>
      </c>
      <c r="X78" t="s">
        <v>39</v>
      </c>
      <c r="Y78" t="s">
        <v>420</v>
      </c>
      <c r="Z78">
        <v>1.35</v>
      </c>
      <c r="AA78" t="s">
        <v>39</v>
      </c>
      <c r="AB78" t="s">
        <v>420</v>
      </c>
      <c r="AC78">
        <v>1.34</v>
      </c>
      <c r="AD78" t="s">
        <v>39</v>
      </c>
      <c r="AE78" t="s">
        <v>420</v>
      </c>
      <c r="AF78">
        <v>1.33</v>
      </c>
      <c r="AG78" t="s">
        <v>39</v>
      </c>
      <c r="AH78" t="s">
        <v>420</v>
      </c>
      <c r="AI78">
        <v>1.35</v>
      </c>
      <c r="AJ78" t="s">
        <v>39</v>
      </c>
      <c r="AK78" t="s">
        <v>420</v>
      </c>
      <c r="AL78">
        <v>1.32</v>
      </c>
      <c r="AM78" t="s">
        <v>39</v>
      </c>
      <c r="AN78" t="s">
        <v>420</v>
      </c>
      <c r="AO78">
        <v>1.25</v>
      </c>
      <c r="AP78" t="s">
        <v>39</v>
      </c>
      <c r="AQ78" t="s">
        <v>420</v>
      </c>
      <c r="AR78">
        <v>1.28</v>
      </c>
      <c r="AS78" t="s">
        <v>39</v>
      </c>
      <c r="AT78" t="s">
        <v>420</v>
      </c>
      <c r="AU78">
        <v>1.29</v>
      </c>
      <c r="AV78" t="s">
        <v>39</v>
      </c>
      <c r="AW78" t="s">
        <v>420</v>
      </c>
      <c r="AX78">
        <v>1.35</v>
      </c>
      <c r="AY78" t="s">
        <v>39</v>
      </c>
      <c r="AZ78" t="s">
        <v>420</v>
      </c>
      <c r="BA78">
        <v>1.33</v>
      </c>
      <c r="BB78" t="s">
        <v>39</v>
      </c>
      <c r="BC78" t="s">
        <v>420</v>
      </c>
      <c r="BD78">
        <v>1.33</v>
      </c>
      <c r="BE78" t="s">
        <v>39</v>
      </c>
      <c r="BF78" t="s">
        <v>420</v>
      </c>
      <c r="BG78">
        <v>1.35</v>
      </c>
      <c r="BH78" t="s">
        <v>39</v>
      </c>
      <c r="BI78" t="s">
        <v>420</v>
      </c>
      <c r="BJ78">
        <v>1.34</v>
      </c>
      <c r="BK78" t="s">
        <v>39</v>
      </c>
      <c r="BL78" t="s">
        <v>420</v>
      </c>
      <c r="BM78">
        <v>1.29</v>
      </c>
      <c r="BN78" t="s">
        <v>39</v>
      </c>
      <c r="BO78" t="s">
        <v>420</v>
      </c>
      <c r="BP78">
        <v>1.28</v>
      </c>
      <c r="BQ78" t="s">
        <v>39</v>
      </c>
      <c r="BR78" t="s">
        <v>420</v>
      </c>
      <c r="BS78">
        <v>1.31</v>
      </c>
      <c r="BT78" t="s">
        <v>39</v>
      </c>
      <c r="BU78" t="s">
        <v>420</v>
      </c>
      <c r="BV78">
        <v>1.29</v>
      </c>
      <c r="BW78" t="s">
        <v>39</v>
      </c>
      <c r="BX78" t="s">
        <v>420</v>
      </c>
      <c r="BY78">
        <v>1.34</v>
      </c>
      <c r="BZ78" t="s">
        <v>39</v>
      </c>
      <c r="CA78" t="s">
        <v>420</v>
      </c>
      <c r="CB78">
        <v>1.33</v>
      </c>
      <c r="CC78" t="s">
        <v>39</v>
      </c>
      <c r="CD78" t="s">
        <v>420</v>
      </c>
      <c r="CE78">
        <v>1.32</v>
      </c>
      <c r="CF78" t="s">
        <v>39</v>
      </c>
      <c r="CG78" t="s">
        <v>420</v>
      </c>
      <c r="CH78">
        <v>1.32</v>
      </c>
      <c r="CI78" t="s">
        <v>39</v>
      </c>
      <c r="CJ78" t="s">
        <v>420</v>
      </c>
      <c r="CK78">
        <v>1.34</v>
      </c>
      <c r="CL78" t="s">
        <v>39</v>
      </c>
      <c r="CM78" t="s">
        <v>420</v>
      </c>
      <c r="CN78">
        <v>1.39</v>
      </c>
      <c r="CO78" t="s">
        <v>39</v>
      </c>
      <c r="CP78" t="s">
        <v>420</v>
      </c>
      <c r="CQ78">
        <v>1.35</v>
      </c>
      <c r="CR78" t="s">
        <v>39</v>
      </c>
      <c r="CS78" t="s">
        <v>420</v>
      </c>
      <c r="CT78">
        <v>1.34</v>
      </c>
      <c r="CU78" t="s">
        <v>39</v>
      </c>
      <c r="CV78" t="s">
        <v>420</v>
      </c>
      <c r="CW78">
        <v>1.32</v>
      </c>
      <c r="CX78" t="s">
        <v>39</v>
      </c>
      <c r="CY78" t="s">
        <v>420</v>
      </c>
      <c r="CZ78">
        <v>1.35</v>
      </c>
      <c r="DA78" t="s">
        <v>39</v>
      </c>
      <c r="DB78" t="s">
        <v>420</v>
      </c>
      <c r="DC78">
        <v>1.42</v>
      </c>
      <c r="DD78" t="s">
        <v>39</v>
      </c>
      <c r="DE78" t="s">
        <v>420</v>
      </c>
      <c r="DF78">
        <v>1.47</v>
      </c>
      <c r="DG78" t="s">
        <v>39</v>
      </c>
      <c r="DH78" t="s">
        <v>420</v>
      </c>
      <c r="DI78">
        <v>1.77</v>
      </c>
      <c r="DJ78" t="s">
        <v>39</v>
      </c>
      <c r="DK78" t="s">
        <v>403</v>
      </c>
      <c r="DL78">
        <v>146.16999999999999</v>
      </c>
      <c r="DM78" t="s">
        <v>62</v>
      </c>
      <c r="DN78" t="s">
        <v>403</v>
      </c>
      <c r="DO78">
        <v>150.26</v>
      </c>
      <c r="DP78" t="s">
        <v>62</v>
      </c>
      <c r="DQ78" t="s">
        <v>403</v>
      </c>
      <c r="DR78">
        <v>160.57</v>
      </c>
      <c r="DS78" t="s">
        <v>62</v>
      </c>
      <c r="DT78" t="s">
        <v>314</v>
      </c>
      <c r="DU78">
        <v>18.86</v>
      </c>
      <c r="DV78" t="s">
        <v>103</v>
      </c>
      <c r="DW78" t="s">
        <v>314</v>
      </c>
      <c r="DX78">
        <v>19</v>
      </c>
      <c r="DY78" t="s">
        <v>103</v>
      </c>
      <c r="DZ78" t="s">
        <v>314</v>
      </c>
      <c r="EA78">
        <v>19.63</v>
      </c>
      <c r="EB78" t="s">
        <v>103</v>
      </c>
      <c r="EC78" t="s">
        <v>314</v>
      </c>
      <c r="ED78">
        <v>19.25</v>
      </c>
      <c r="EE78" t="s">
        <v>103</v>
      </c>
      <c r="EF78" t="s">
        <v>314</v>
      </c>
      <c r="EG78">
        <v>12.49</v>
      </c>
      <c r="EH78" t="s">
        <v>103</v>
      </c>
      <c r="EI78" t="s">
        <v>314</v>
      </c>
      <c r="EJ78">
        <v>12.54</v>
      </c>
      <c r="EK78" t="s">
        <v>103</v>
      </c>
    </row>
    <row r="79" spans="1:141">
      <c r="A79" t="s">
        <v>420</v>
      </c>
      <c r="B79">
        <v>1.5</v>
      </c>
      <c r="C79" t="s">
        <v>39</v>
      </c>
      <c r="D79" t="s">
        <v>420</v>
      </c>
      <c r="E79">
        <v>1.44</v>
      </c>
      <c r="F79" t="s">
        <v>39</v>
      </c>
      <c r="G79" t="s">
        <v>403</v>
      </c>
      <c r="H79">
        <v>150.25</v>
      </c>
      <c r="I79" t="s">
        <v>62</v>
      </c>
      <c r="J79" t="s">
        <v>403</v>
      </c>
      <c r="K79">
        <v>148.30000000000001</v>
      </c>
      <c r="L79" t="s">
        <v>62</v>
      </c>
      <c r="M79" t="s">
        <v>403</v>
      </c>
      <c r="N79">
        <v>150</v>
      </c>
      <c r="O79" t="s">
        <v>62</v>
      </c>
      <c r="P79" t="s">
        <v>403</v>
      </c>
      <c r="Q79">
        <v>150.01</v>
      </c>
      <c r="R79" t="s">
        <v>62</v>
      </c>
      <c r="S79" t="s">
        <v>403</v>
      </c>
      <c r="T79">
        <v>150</v>
      </c>
      <c r="U79" t="s">
        <v>62</v>
      </c>
      <c r="V79" t="s">
        <v>403</v>
      </c>
      <c r="W79">
        <v>150.01</v>
      </c>
      <c r="X79" t="s">
        <v>62</v>
      </c>
      <c r="Y79" t="s">
        <v>403</v>
      </c>
      <c r="Z79">
        <v>150.9</v>
      </c>
      <c r="AA79" t="s">
        <v>62</v>
      </c>
      <c r="AB79" t="s">
        <v>403</v>
      </c>
      <c r="AC79">
        <v>156.80000000000001</v>
      </c>
      <c r="AD79" t="s">
        <v>62</v>
      </c>
      <c r="AE79" t="s">
        <v>403</v>
      </c>
      <c r="AF79">
        <v>160</v>
      </c>
      <c r="AG79" t="s">
        <v>62</v>
      </c>
      <c r="AH79" t="s">
        <v>403</v>
      </c>
      <c r="AI79">
        <v>166</v>
      </c>
      <c r="AJ79" t="s">
        <v>62</v>
      </c>
      <c r="AK79" t="s">
        <v>403</v>
      </c>
      <c r="AL79">
        <v>155.55000000000001</v>
      </c>
      <c r="AM79" t="s">
        <v>62</v>
      </c>
      <c r="AN79" t="s">
        <v>403</v>
      </c>
      <c r="AO79">
        <v>160.84</v>
      </c>
      <c r="AP79" t="s">
        <v>62</v>
      </c>
      <c r="AQ79" t="s">
        <v>403</v>
      </c>
      <c r="AR79">
        <v>166.29</v>
      </c>
      <c r="AS79" t="s">
        <v>62</v>
      </c>
      <c r="AT79" t="s">
        <v>403</v>
      </c>
      <c r="AU79">
        <v>164.6</v>
      </c>
      <c r="AV79" t="s">
        <v>62</v>
      </c>
      <c r="AW79" t="s">
        <v>403</v>
      </c>
      <c r="AX79">
        <v>158.71</v>
      </c>
      <c r="AY79" t="s">
        <v>62</v>
      </c>
      <c r="AZ79" t="s">
        <v>403</v>
      </c>
      <c r="BA79">
        <v>161.19</v>
      </c>
      <c r="BB79" t="s">
        <v>62</v>
      </c>
      <c r="BC79" t="s">
        <v>403</v>
      </c>
      <c r="BD79">
        <v>163.99</v>
      </c>
      <c r="BE79" t="s">
        <v>62</v>
      </c>
      <c r="BF79" t="s">
        <v>403</v>
      </c>
      <c r="BG79">
        <v>160.4</v>
      </c>
      <c r="BH79" t="s">
        <v>62</v>
      </c>
      <c r="BI79" t="s">
        <v>403</v>
      </c>
      <c r="BJ79">
        <v>160</v>
      </c>
      <c r="BK79" t="s">
        <v>62</v>
      </c>
      <c r="BL79" t="s">
        <v>403</v>
      </c>
      <c r="BM79">
        <v>156</v>
      </c>
      <c r="BN79" t="s">
        <v>62</v>
      </c>
      <c r="BO79" t="s">
        <v>403</v>
      </c>
      <c r="BP79">
        <v>145</v>
      </c>
      <c r="BQ79" t="s">
        <v>62</v>
      </c>
      <c r="BR79" t="s">
        <v>403</v>
      </c>
      <c r="BS79">
        <v>151</v>
      </c>
      <c r="BT79" t="s">
        <v>62</v>
      </c>
      <c r="BU79" t="s">
        <v>403</v>
      </c>
      <c r="BV79">
        <v>151</v>
      </c>
      <c r="BW79" t="s">
        <v>62</v>
      </c>
      <c r="BX79" t="s">
        <v>403</v>
      </c>
      <c r="BY79">
        <v>150.19999999999999</v>
      </c>
      <c r="BZ79" t="s">
        <v>62</v>
      </c>
      <c r="CA79" t="s">
        <v>403</v>
      </c>
      <c r="CB79">
        <v>149</v>
      </c>
      <c r="CC79" t="s">
        <v>62</v>
      </c>
      <c r="CD79" t="s">
        <v>403</v>
      </c>
      <c r="CE79">
        <v>150</v>
      </c>
      <c r="CF79" t="s">
        <v>62</v>
      </c>
      <c r="CG79" t="s">
        <v>403</v>
      </c>
      <c r="CH79">
        <v>151</v>
      </c>
      <c r="CI79" t="s">
        <v>62</v>
      </c>
      <c r="CJ79" t="s">
        <v>403</v>
      </c>
      <c r="CK79">
        <v>150</v>
      </c>
      <c r="CL79" t="s">
        <v>62</v>
      </c>
      <c r="CM79" t="s">
        <v>403</v>
      </c>
      <c r="CN79">
        <v>150.01</v>
      </c>
      <c r="CO79" t="s">
        <v>62</v>
      </c>
      <c r="CP79" t="s">
        <v>403</v>
      </c>
      <c r="CQ79">
        <v>146.25</v>
      </c>
      <c r="CR79" t="s">
        <v>62</v>
      </c>
      <c r="CS79" t="s">
        <v>403</v>
      </c>
      <c r="CT79">
        <v>147.52000000000001</v>
      </c>
      <c r="CU79" t="s">
        <v>62</v>
      </c>
      <c r="CV79" t="s">
        <v>403</v>
      </c>
      <c r="CW79">
        <v>150</v>
      </c>
      <c r="CX79" t="s">
        <v>62</v>
      </c>
      <c r="CY79" t="s">
        <v>403</v>
      </c>
      <c r="CZ79">
        <v>150</v>
      </c>
      <c r="DA79" t="s">
        <v>62</v>
      </c>
      <c r="DB79" t="s">
        <v>403</v>
      </c>
      <c r="DC79">
        <v>153.33000000000001</v>
      </c>
      <c r="DD79" t="s">
        <v>62</v>
      </c>
      <c r="DE79" t="s">
        <v>403</v>
      </c>
      <c r="DF79">
        <v>153.30000000000001</v>
      </c>
      <c r="DG79" t="s">
        <v>62</v>
      </c>
      <c r="DH79" t="s">
        <v>403</v>
      </c>
      <c r="DI79">
        <v>148.13</v>
      </c>
      <c r="DJ79" t="s">
        <v>62</v>
      </c>
      <c r="DK79" t="s">
        <v>193</v>
      </c>
      <c r="DL79">
        <v>27.3</v>
      </c>
      <c r="DM79" t="s">
        <v>87</v>
      </c>
      <c r="DN79" t="s">
        <v>193</v>
      </c>
      <c r="DO79">
        <v>26.95</v>
      </c>
      <c r="DP79" t="s">
        <v>87</v>
      </c>
      <c r="DQ79" t="s">
        <v>193</v>
      </c>
      <c r="DR79">
        <v>27.15</v>
      </c>
      <c r="DS79" t="s">
        <v>87</v>
      </c>
      <c r="DT79" t="s">
        <v>194</v>
      </c>
      <c r="DU79">
        <v>157.16999999999999</v>
      </c>
      <c r="DV79" t="s">
        <v>195</v>
      </c>
      <c r="DW79" t="s">
        <v>194</v>
      </c>
      <c r="DX79">
        <v>148</v>
      </c>
      <c r="DY79" t="s">
        <v>195</v>
      </c>
      <c r="DZ79" t="s">
        <v>194</v>
      </c>
      <c r="EA79">
        <v>159</v>
      </c>
      <c r="EB79" t="s">
        <v>195</v>
      </c>
      <c r="EC79" t="s">
        <v>194</v>
      </c>
      <c r="ED79">
        <v>156</v>
      </c>
      <c r="EE79" t="s">
        <v>195</v>
      </c>
      <c r="EF79" t="s">
        <v>194</v>
      </c>
      <c r="EG79">
        <v>158.02000000000001</v>
      </c>
      <c r="EH79" t="s">
        <v>195</v>
      </c>
      <c r="EI79" t="s">
        <v>194</v>
      </c>
      <c r="EJ79">
        <v>171</v>
      </c>
      <c r="EK79" t="s">
        <v>195</v>
      </c>
    </row>
    <row r="80" spans="1:141">
      <c r="A80" t="s">
        <v>403</v>
      </c>
      <c r="B80">
        <v>149.5</v>
      </c>
      <c r="C80" t="s">
        <v>62</v>
      </c>
      <c r="D80" t="s">
        <v>403</v>
      </c>
      <c r="E80">
        <v>150.19999999999999</v>
      </c>
      <c r="F80" t="s">
        <v>62</v>
      </c>
      <c r="G80" t="s">
        <v>193</v>
      </c>
      <c r="H80">
        <v>28.29</v>
      </c>
      <c r="I80" t="s">
        <v>87</v>
      </c>
      <c r="J80" t="s">
        <v>193</v>
      </c>
      <c r="K80">
        <v>27.9</v>
      </c>
      <c r="L80" t="s">
        <v>87</v>
      </c>
      <c r="M80" t="s">
        <v>193</v>
      </c>
      <c r="N80">
        <v>27.65</v>
      </c>
      <c r="O80" t="s">
        <v>87</v>
      </c>
      <c r="P80" t="s">
        <v>193</v>
      </c>
      <c r="Q80">
        <v>27.36</v>
      </c>
      <c r="R80" t="s">
        <v>87</v>
      </c>
      <c r="S80" t="s">
        <v>193</v>
      </c>
      <c r="T80">
        <v>27.54</v>
      </c>
      <c r="U80" t="s">
        <v>87</v>
      </c>
      <c r="V80" t="s">
        <v>193</v>
      </c>
      <c r="W80">
        <v>27.12</v>
      </c>
      <c r="X80" t="s">
        <v>87</v>
      </c>
      <c r="Y80" t="s">
        <v>193</v>
      </c>
      <c r="Z80">
        <v>28</v>
      </c>
      <c r="AA80" t="s">
        <v>87</v>
      </c>
      <c r="AB80" t="s">
        <v>193</v>
      </c>
      <c r="AC80">
        <v>28.5</v>
      </c>
      <c r="AD80" t="s">
        <v>87</v>
      </c>
      <c r="AE80" t="s">
        <v>193</v>
      </c>
      <c r="AF80">
        <v>28.01</v>
      </c>
      <c r="AG80" t="s">
        <v>87</v>
      </c>
      <c r="AH80" t="s">
        <v>193</v>
      </c>
      <c r="AI80">
        <v>27.29</v>
      </c>
      <c r="AJ80" t="s">
        <v>87</v>
      </c>
      <c r="AK80" t="s">
        <v>193</v>
      </c>
      <c r="AL80">
        <v>27.4</v>
      </c>
      <c r="AM80" t="s">
        <v>87</v>
      </c>
      <c r="AN80" t="s">
        <v>193</v>
      </c>
      <c r="AO80">
        <v>27.23</v>
      </c>
      <c r="AP80" t="s">
        <v>87</v>
      </c>
      <c r="AQ80" t="s">
        <v>193</v>
      </c>
      <c r="AR80">
        <v>27.65</v>
      </c>
      <c r="AS80" t="s">
        <v>87</v>
      </c>
      <c r="AT80" t="s">
        <v>193</v>
      </c>
      <c r="AU80">
        <v>28.62</v>
      </c>
      <c r="AV80" t="s">
        <v>87</v>
      </c>
      <c r="AW80" t="s">
        <v>193</v>
      </c>
      <c r="AX80">
        <v>28.5</v>
      </c>
      <c r="AY80" t="s">
        <v>87</v>
      </c>
      <c r="AZ80" t="s">
        <v>193</v>
      </c>
      <c r="BA80">
        <v>28.58</v>
      </c>
      <c r="BB80" t="s">
        <v>87</v>
      </c>
      <c r="BC80" t="s">
        <v>193</v>
      </c>
      <c r="BD80">
        <v>27.78</v>
      </c>
      <c r="BE80" t="s">
        <v>87</v>
      </c>
      <c r="BF80" t="s">
        <v>193</v>
      </c>
      <c r="BG80">
        <v>27.73</v>
      </c>
      <c r="BH80" t="s">
        <v>87</v>
      </c>
      <c r="BI80" t="s">
        <v>193</v>
      </c>
      <c r="BJ80">
        <v>27.58</v>
      </c>
      <c r="BK80" t="s">
        <v>87</v>
      </c>
      <c r="BL80" t="s">
        <v>193</v>
      </c>
      <c r="BM80">
        <v>27.36</v>
      </c>
      <c r="BN80" t="s">
        <v>87</v>
      </c>
      <c r="BO80" t="s">
        <v>193</v>
      </c>
      <c r="BP80">
        <v>27.2</v>
      </c>
      <c r="BQ80" t="s">
        <v>87</v>
      </c>
      <c r="BR80" t="s">
        <v>193</v>
      </c>
      <c r="BS80">
        <v>27.5</v>
      </c>
      <c r="BT80" t="s">
        <v>87</v>
      </c>
      <c r="BU80" t="s">
        <v>193</v>
      </c>
      <c r="BV80">
        <v>28</v>
      </c>
      <c r="BW80" t="s">
        <v>87</v>
      </c>
      <c r="BX80" t="s">
        <v>193</v>
      </c>
      <c r="BY80">
        <v>28</v>
      </c>
      <c r="BZ80" t="s">
        <v>87</v>
      </c>
      <c r="CA80" t="s">
        <v>193</v>
      </c>
      <c r="CB80">
        <v>28</v>
      </c>
      <c r="CC80" t="s">
        <v>87</v>
      </c>
      <c r="CD80" t="s">
        <v>193</v>
      </c>
      <c r="CE80">
        <v>27.9</v>
      </c>
      <c r="CF80" t="s">
        <v>87</v>
      </c>
      <c r="CG80" t="s">
        <v>193</v>
      </c>
      <c r="CH80">
        <v>28.05</v>
      </c>
      <c r="CI80" t="s">
        <v>87</v>
      </c>
      <c r="CJ80" t="s">
        <v>193</v>
      </c>
      <c r="CK80">
        <v>28.04</v>
      </c>
      <c r="CL80" t="s">
        <v>87</v>
      </c>
      <c r="CM80" t="s">
        <v>193</v>
      </c>
      <c r="CN80">
        <v>29</v>
      </c>
      <c r="CO80" t="s">
        <v>87</v>
      </c>
      <c r="CP80" t="s">
        <v>193</v>
      </c>
      <c r="CQ80">
        <v>28.5</v>
      </c>
      <c r="CR80" t="s">
        <v>87</v>
      </c>
      <c r="CS80" t="s">
        <v>193</v>
      </c>
      <c r="CT80">
        <v>27.98</v>
      </c>
      <c r="CU80" t="s">
        <v>87</v>
      </c>
      <c r="CV80" t="s">
        <v>193</v>
      </c>
      <c r="CW80">
        <v>27.65</v>
      </c>
      <c r="CX80" t="s">
        <v>87</v>
      </c>
      <c r="CY80" t="s">
        <v>193</v>
      </c>
      <c r="CZ80">
        <v>27.65</v>
      </c>
      <c r="DA80" t="s">
        <v>87</v>
      </c>
      <c r="DB80" t="s">
        <v>193</v>
      </c>
      <c r="DC80">
        <v>27.66</v>
      </c>
      <c r="DD80" t="s">
        <v>87</v>
      </c>
      <c r="DE80" t="s">
        <v>193</v>
      </c>
      <c r="DF80">
        <v>27.55</v>
      </c>
      <c r="DG80" t="s">
        <v>87</v>
      </c>
      <c r="DH80" t="s">
        <v>193</v>
      </c>
      <c r="DI80">
        <v>27.76</v>
      </c>
      <c r="DJ80" t="s">
        <v>87</v>
      </c>
      <c r="DK80" t="s">
        <v>314</v>
      </c>
      <c r="DL80">
        <v>16.21</v>
      </c>
      <c r="DM80" t="s">
        <v>103</v>
      </c>
      <c r="DN80" t="s">
        <v>314</v>
      </c>
      <c r="DO80">
        <v>16.100000000000001</v>
      </c>
      <c r="DP80" t="s">
        <v>103</v>
      </c>
      <c r="DQ80" t="s">
        <v>314</v>
      </c>
      <c r="DR80">
        <v>18.8</v>
      </c>
      <c r="DS80" t="s">
        <v>103</v>
      </c>
      <c r="DT80" t="s">
        <v>196</v>
      </c>
      <c r="DU80">
        <v>38.39</v>
      </c>
      <c r="DV80" t="s">
        <v>96</v>
      </c>
      <c r="DW80" t="s">
        <v>196</v>
      </c>
      <c r="DX80">
        <v>38.450000000000003</v>
      </c>
      <c r="DY80" t="s">
        <v>96</v>
      </c>
      <c r="DZ80" t="s">
        <v>196</v>
      </c>
      <c r="EA80">
        <v>38.4</v>
      </c>
      <c r="EB80" t="s">
        <v>96</v>
      </c>
      <c r="EC80" t="s">
        <v>196</v>
      </c>
      <c r="ED80">
        <v>38.06</v>
      </c>
      <c r="EE80" t="s">
        <v>96</v>
      </c>
      <c r="EF80" t="s">
        <v>196</v>
      </c>
      <c r="EG80">
        <v>40.26</v>
      </c>
      <c r="EH80" t="s">
        <v>96</v>
      </c>
      <c r="EI80" t="s">
        <v>196</v>
      </c>
      <c r="EJ80">
        <v>40</v>
      </c>
      <c r="EK80" t="s">
        <v>96</v>
      </c>
    </row>
    <row r="81" spans="1:141">
      <c r="A81" t="s">
        <v>193</v>
      </c>
      <c r="B81">
        <v>27.94</v>
      </c>
      <c r="C81" t="s">
        <v>87</v>
      </c>
      <c r="D81" t="s">
        <v>193</v>
      </c>
      <c r="E81">
        <v>27.15</v>
      </c>
      <c r="F81" t="s">
        <v>87</v>
      </c>
      <c r="G81" t="s">
        <v>314</v>
      </c>
      <c r="H81">
        <v>19.98</v>
      </c>
      <c r="I81" t="s">
        <v>103</v>
      </c>
      <c r="J81" t="s">
        <v>314</v>
      </c>
      <c r="K81">
        <v>19.489999999999998</v>
      </c>
      <c r="L81" t="s">
        <v>103</v>
      </c>
      <c r="M81" t="s">
        <v>314</v>
      </c>
      <c r="N81">
        <v>19.010000000000002</v>
      </c>
      <c r="O81" t="s">
        <v>103</v>
      </c>
      <c r="P81" t="s">
        <v>314</v>
      </c>
      <c r="Q81">
        <v>19</v>
      </c>
      <c r="R81" t="s">
        <v>103</v>
      </c>
      <c r="S81" t="s">
        <v>314</v>
      </c>
      <c r="T81">
        <v>18.899999999999999</v>
      </c>
      <c r="U81" t="s">
        <v>103</v>
      </c>
      <c r="V81" t="s">
        <v>314</v>
      </c>
      <c r="W81">
        <v>18.73</v>
      </c>
      <c r="X81" t="s">
        <v>103</v>
      </c>
      <c r="Y81" t="s">
        <v>314</v>
      </c>
      <c r="Z81">
        <v>18.91</v>
      </c>
      <c r="AA81" t="s">
        <v>103</v>
      </c>
      <c r="AB81" t="s">
        <v>314</v>
      </c>
      <c r="AC81">
        <v>18.89</v>
      </c>
      <c r="AD81" t="s">
        <v>103</v>
      </c>
      <c r="AE81" t="s">
        <v>314</v>
      </c>
      <c r="AF81">
        <v>18.8</v>
      </c>
      <c r="AG81" t="s">
        <v>103</v>
      </c>
      <c r="AH81" t="s">
        <v>314</v>
      </c>
      <c r="AI81">
        <v>18.600000000000001</v>
      </c>
      <c r="AJ81" t="s">
        <v>103</v>
      </c>
      <c r="AK81" t="s">
        <v>314</v>
      </c>
      <c r="AL81">
        <v>18.239999999999998</v>
      </c>
      <c r="AM81" t="s">
        <v>103</v>
      </c>
      <c r="AN81" t="s">
        <v>314</v>
      </c>
      <c r="AO81">
        <v>17.48</v>
      </c>
      <c r="AP81" t="s">
        <v>103</v>
      </c>
      <c r="AQ81" t="s">
        <v>314</v>
      </c>
      <c r="AR81">
        <v>17.61</v>
      </c>
      <c r="AS81" t="s">
        <v>103</v>
      </c>
      <c r="AT81" t="s">
        <v>314</v>
      </c>
      <c r="AU81">
        <v>17.78</v>
      </c>
      <c r="AV81" t="s">
        <v>103</v>
      </c>
      <c r="AW81" t="s">
        <v>314</v>
      </c>
      <c r="AX81">
        <v>18.8</v>
      </c>
      <c r="AY81" t="s">
        <v>103</v>
      </c>
      <c r="AZ81" t="s">
        <v>314</v>
      </c>
      <c r="BA81">
        <v>18.22</v>
      </c>
      <c r="BB81" t="s">
        <v>103</v>
      </c>
      <c r="BC81" t="s">
        <v>314</v>
      </c>
      <c r="BD81">
        <v>18</v>
      </c>
      <c r="BE81" t="s">
        <v>103</v>
      </c>
      <c r="BF81" t="s">
        <v>314</v>
      </c>
      <c r="BG81">
        <v>17.600000000000001</v>
      </c>
      <c r="BH81" t="s">
        <v>103</v>
      </c>
      <c r="BI81" t="s">
        <v>314</v>
      </c>
      <c r="BJ81">
        <v>17.53</v>
      </c>
      <c r="BK81" t="s">
        <v>103</v>
      </c>
      <c r="BL81" t="s">
        <v>314</v>
      </c>
      <c r="BM81">
        <v>16.600000000000001</v>
      </c>
      <c r="BN81" t="s">
        <v>103</v>
      </c>
      <c r="BO81" t="s">
        <v>314</v>
      </c>
      <c r="BP81">
        <v>16.61</v>
      </c>
      <c r="BQ81" t="s">
        <v>103</v>
      </c>
      <c r="BR81" t="s">
        <v>314</v>
      </c>
      <c r="BS81">
        <v>17.510000000000002</v>
      </c>
      <c r="BT81" t="s">
        <v>103</v>
      </c>
      <c r="BU81" t="s">
        <v>314</v>
      </c>
      <c r="BV81">
        <v>17.399999999999999</v>
      </c>
      <c r="BW81" t="s">
        <v>103</v>
      </c>
      <c r="BX81" t="s">
        <v>314</v>
      </c>
      <c r="BY81">
        <v>17.309999999999999</v>
      </c>
      <c r="BZ81" t="s">
        <v>103</v>
      </c>
      <c r="CA81" t="s">
        <v>314</v>
      </c>
      <c r="CB81">
        <v>17.37</v>
      </c>
      <c r="CC81" t="s">
        <v>103</v>
      </c>
      <c r="CD81" t="s">
        <v>314</v>
      </c>
      <c r="CE81">
        <v>17.25</v>
      </c>
      <c r="CF81" t="s">
        <v>103</v>
      </c>
      <c r="CG81" t="s">
        <v>314</v>
      </c>
      <c r="CH81">
        <v>17.100000000000001</v>
      </c>
      <c r="CI81" t="s">
        <v>103</v>
      </c>
      <c r="CJ81" t="s">
        <v>314</v>
      </c>
      <c r="CK81">
        <v>17.09</v>
      </c>
      <c r="CL81" t="s">
        <v>103</v>
      </c>
      <c r="CM81" t="s">
        <v>314</v>
      </c>
      <c r="CN81">
        <v>16.899999999999999</v>
      </c>
      <c r="CO81" t="s">
        <v>103</v>
      </c>
      <c r="CP81" t="s">
        <v>314</v>
      </c>
      <c r="CQ81">
        <v>16.03</v>
      </c>
      <c r="CR81" t="s">
        <v>103</v>
      </c>
      <c r="CS81" t="s">
        <v>314</v>
      </c>
      <c r="CT81">
        <v>16.63</v>
      </c>
      <c r="CU81" t="s">
        <v>103</v>
      </c>
      <c r="CV81" t="s">
        <v>314</v>
      </c>
      <c r="CW81">
        <v>16.3</v>
      </c>
      <c r="CX81" t="s">
        <v>103</v>
      </c>
      <c r="CY81" t="s">
        <v>314</v>
      </c>
      <c r="CZ81">
        <v>16.63</v>
      </c>
      <c r="DA81" t="s">
        <v>103</v>
      </c>
      <c r="DB81" t="s">
        <v>314</v>
      </c>
      <c r="DC81">
        <v>16.37</v>
      </c>
      <c r="DD81" t="s">
        <v>103</v>
      </c>
      <c r="DE81" t="s">
        <v>314</v>
      </c>
      <c r="DF81">
        <v>17.28</v>
      </c>
      <c r="DG81" t="s">
        <v>103</v>
      </c>
      <c r="DH81" t="s">
        <v>314</v>
      </c>
      <c r="DI81">
        <v>17.12</v>
      </c>
      <c r="DJ81" t="s">
        <v>103</v>
      </c>
      <c r="DK81" t="s">
        <v>194</v>
      </c>
      <c r="DL81">
        <v>162.69999999999999</v>
      </c>
      <c r="DM81" t="s">
        <v>195</v>
      </c>
      <c r="DN81" t="s">
        <v>194</v>
      </c>
      <c r="DO81">
        <v>158.54</v>
      </c>
      <c r="DP81" t="s">
        <v>195</v>
      </c>
      <c r="DQ81" t="s">
        <v>194</v>
      </c>
      <c r="DR81">
        <v>171.1</v>
      </c>
      <c r="DS81" t="s">
        <v>195</v>
      </c>
      <c r="DT81" t="s">
        <v>358</v>
      </c>
      <c r="DU81">
        <v>0.28999999999999998</v>
      </c>
      <c r="DV81" t="s">
        <v>475</v>
      </c>
      <c r="DW81" t="s">
        <v>358</v>
      </c>
      <c r="DX81">
        <v>0.32</v>
      </c>
      <c r="DY81" t="s">
        <v>475</v>
      </c>
      <c r="DZ81" t="s">
        <v>358</v>
      </c>
      <c r="EA81">
        <v>0.3</v>
      </c>
      <c r="EB81" t="s">
        <v>475</v>
      </c>
      <c r="EC81" t="s">
        <v>358</v>
      </c>
      <c r="ED81">
        <v>0.3</v>
      </c>
      <c r="EE81" t="s">
        <v>475</v>
      </c>
      <c r="EF81" t="s">
        <v>358</v>
      </c>
      <c r="EG81">
        <v>0.28999999999999998</v>
      </c>
      <c r="EH81" t="s">
        <v>475</v>
      </c>
      <c r="EI81" t="s">
        <v>358</v>
      </c>
      <c r="EJ81">
        <v>0.28000000000000003</v>
      </c>
      <c r="EK81" t="s">
        <v>475</v>
      </c>
    </row>
    <row r="82" spans="1:141">
      <c r="A82" t="s">
        <v>314</v>
      </c>
      <c r="B82">
        <v>19.670000000000002</v>
      </c>
      <c r="C82" t="s">
        <v>103</v>
      </c>
      <c r="D82" t="s">
        <v>314</v>
      </c>
      <c r="E82">
        <v>20.399999999999999</v>
      </c>
      <c r="F82" t="s">
        <v>103</v>
      </c>
      <c r="G82" t="s">
        <v>194</v>
      </c>
      <c r="H82">
        <v>116.01</v>
      </c>
      <c r="I82" t="s">
        <v>195</v>
      </c>
      <c r="J82" t="s">
        <v>194</v>
      </c>
      <c r="K82">
        <v>116.5</v>
      </c>
      <c r="L82" t="s">
        <v>195</v>
      </c>
      <c r="M82" t="s">
        <v>194</v>
      </c>
      <c r="N82">
        <v>117.36</v>
      </c>
      <c r="O82" t="s">
        <v>195</v>
      </c>
      <c r="P82" t="s">
        <v>194</v>
      </c>
      <c r="Q82">
        <v>115</v>
      </c>
      <c r="R82" t="s">
        <v>195</v>
      </c>
      <c r="S82" t="s">
        <v>194</v>
      </c>
      <c r="T82">
        <v>116</v>
      </c>
      <c r="U82" t="s">
        <v>195</v>
      </c>
      <c r="V82" t="s">
        <v>194</v>
      </c>
      <c r="W82">
        <v>115.46</v>
      </c>
      <c r="X82" t="s">
        <v>195</v>
      </c>
      <c r="Y82" t="s">
        <v>194</v>
      </c>
      <c r="Z82">
        <v>117</v>
      </c>
      <c r="AA82" t="s">
        <v>195</v>
      </c>
      <c r="AB82" t="s">
        <v>194</v>
      </c>
      <c r="AC82">
        <v>117</v>
      </c>
      <c r="AD82" t="s">
        <v>195</v>
      </c>
      <c r="AE82" t="s">
        <v>194</v>
      </c>
      <c r="AF82">
        <v>120.01</v>
      </c>
      <c r="AG82" t="s">
        <v>195</v>
      </c>
      <c r="AH82" t="s">
        <v>194</v>
      </c>
      <c r="AI82">
        <v>122.07</v>
      </c>
      <c r="AJ82" t="s">
        <v>195</v>
      </c>
      <c r="AK82" t="s">
        <v>194</v>
      </c>
      <c r="AL82">
        <v>121.78</v>
      </c>
      <c r="AM82" t="s">
        <v>195</v>
      </c>
      <c r="AN82" t="s">
        <v>194</v>
      </c>
      <c r="AO82">
        <v>125.96</v>
      </c>
      <c r="AP82" t="s">
        <v>195</v>
      </c>
      <c r="AQ82" t="s">
        <v>194</v>
      </c>
      <c r="AR82">
        <v>149.30000000000001</v>
      </c>
      <c r="AS82" t="s">
        <v>195</v>
      </c>
      <c r="AT82" t="s">
        <v>194</v>
      </c>
      <c r="AU82">
        <v>155.05000000000001</v>
      </c>
      <c r="AV82" t="s">
        <v>195</v>
      </c>
      <c r="AW82" t="s">
        <v>194</v>
      </c>
      <c r="AX82">
        <v>159.06</v>
      </c>
      <c r="AY82" t="s">
        <v>195</v>
      </c>
      <c r="AZ82" t="s">
        <v>194</v>
      </c>
      <c r="BA82">
        <v>165.15</v>
      </c>
      <c r="BB82" t="s">
        <v>195</v>
      </c>
      <c r="BC82" t="s">
        <v>194</v>
      </c>
      <c r="BD82">
        <v>157.58000000000001</v>
      </c>
      <c r="BE82" t="s">
        <v>195</v>
      </c>
      <c r="BF82" t="s">
        <v>194</v>
      </c>
      <c r="BG82">
        <v>152.58000000000001</v>
      </c>
      <c r="BH82" t="s">
        <v>195</v>
      </c>
      <c r="BI82" t="s">
        <v>194</v>
      </c>
      <c r="BJ82">
        <v>154.22</v>
      </c>
      <c r="BK82" t="s">
        <v>195</v>
      </c>
      <c r="BL82" t="s">
        <v>194</v>
      </c>
      <c r="BM82">
        <v>144</v>
      </c>
      <c r="BN82" t="s">
        <v>195</v>
      </c>
      <c r="BO82" t="s">
        <v>194</v>
      </c>
      <c r="BP82">
        <v>142.99</v>
      </c>
      <c r="BQ82" t="s">
        <v>195</v>
      </c>
      <c r="BR82" t="s">
        <v>194</v>
      </c>
      <c r="BS82">
        <v>147.6</v>
      </c>
      <c r="BT82" t="s">
        <v>195</v>
      </c>
      <c r="BU82" t="s">
        <v>194</v>
      </c>
      <c r="BV82">
        <v>145.47</v>
      </c>
      <c r="BW82" t="s">
        <v>195</v>
      </c>
      <c r="BX82" t="s">
        <v>194</v>
      </c>
      <c r="BY82">
        <v>142.43</v>
      </c>
      <c r="BZ82" t="s">
        <v>195</v>
      </c>
      <c r="CA82" t="s">
        <v>194</v>
      </c>
      <c r="CB82">
        <v>139.4</v>
      </c>
      <c r="CC82" t="s">
        <v>195</v>
      </c>
      <c r="CD82" t="s">
        <v>194</v>
      </c>
      <c r="CE82">
        <v>147.08000000000001</v>
      </c>
      <c r="CF82" t="s">
        <v>195</v>
      </c>
      <c r="CG82" t="s">
        <v>194</v>
      </c>
      <c r="CH82">
        <v>152</v>
      </c>
      <c r="CI82" t="s">
        <v>195</v>
      </c>
      <c r="CJ82" t="s">
        <v>194</v>
      </c>
      <c r="CK82">
        <v>150.72</v>
      </c>
      <c r="CL82" t="s">
        <v>195</v>
      </c>
      <c r="CM82" t="s">
        <v>194</v>
      </c>
      <c r="CN82">
        <v>152</v>
      </c>
      <c r="CO82" t="s">
        <v>195</v>
      </c>
      <c r="CP82" t="s">
        <v>194</v>
      </c>
      <c r="CQ82">
        <v>157.97999999999999</v>
      </c>
      <c r="CR82" t="s">
        <v>195</v>
      </c>
      <c r="CS82" t="s">
        <v>194</v>
      </c>
      <c r="CT82">
        <v>157.11000000000001</v>
      </c>
      <c r="CU82" t="s">
        <v>195</v>
      </c>
      <c r="CV82" t="s">
        <v>194</v>
      </c>
      <c r="CW82">
        <v>161</v>
      </c>
      <c r="CX82" t="s">
        <v>195</v>
      </c>
      <c r="CY82" t="s">
        <v>194</v>
      </c>
      <c r="CZ82">
        <v>159.80000000000001</v>
      </c>
      <c r="DA82" t="s">
        <v>195</v>
      </c>
      <c r="DB82" t="s">
        <v>194</v>
      </c>
      <c r="DC82">
        <v>174</v>
      </c>
      <c r="DD82" t="s">
        <v>195</v>
      </c>
      <c r="DE82" t="s">
        <v>194</v>
      </c>
      <c r="DF82">
        <v>173.09</v>
      </c>
      <c r="DG82" t="s">
        <v>195</v>
      </c>
      <c r="DH82" t="s">
        <v>194</v>
      </c>
      <c r="DI82">
        <v>174</v>
      </c>
      <c r="DJ82" t="s">
        <v>195</v>
      </c>
      <c r="DK82" t="s">
        <v>196</v>
      </c>
      <c r="DL82">
        <v>38.56</v>
      </c>
      <c r="DM82" t="s">
        <v>96</v>
      </c>
      <c r="DN82" t="s">
        <v>196</v>
      </c>
      <c r="DO82">
        <v>38.07</v>
      </c>
      <c r="DP82" t="s">
        <v>96</v>
      </c>
      <c r="DQ82" t="s">
        <v>196</v>
      </c>
      <c r="DR82">
        <v>38.58</v>
      </c>
      <c r="DS82" t="s">
        <v>96</v>
      </c>
      <c r="DT82" t="s">
        <v>197</v>
      </c>
      <c r="DU82">
        <v>7.92</v>
      </c>
      <c r="DV82" t="s">
        <v>198</v>
      </c>
      <c r="DW82" t="s">
        <v>197</v>
      </c>
      <c r="DX82">
        <v>7.63</v>
      </c>
      <c r="DY82" t="s">
        <v>198</v>
      </c>
      <c r="DZ82" t="s">
        <v>197</v>
      </c>
      <c r="EA82">
        <v>7.63</v>
      </c>
      <c r="EB82" t="s">
        <v>198</v>
      </c>
      <c r="EC82" t="s">
        <v>197</v>
      </c>
      <c r="ED82">
        <v>7.58</v>
      </c>
      <c r="EE82" t="s">
        <v>198</v>
      </c>
      <c r="EF82" t="s">
        <v>197</v>
      </c>
      <c r="EG82">
        <v>7.5</v>
      </c>
      <c r="EH82" t="s">
        <v>198</v>
      </c>
      <c r="EI82" t="s">
        <v>197</v>
      </c>
      <c r="EJ82">
        <v>8.32</v>
      </c>
      <c r="EK82" t="s">
        <v>198</v>
      </c>
    </row>
    <row r="83" spans="1:141">
      <c r="A83" t="s">
        <v>194</v>
      </c>
      <c r="B83">
        <v>116.6</v>
      </c>
      <c r="C83" t="s">
        <v>195</v>
      </c>
      <c r="D83" t="s">
        <v>194</v>
      </c>
      <c r="E83">
        <v>115.09</v>
      </c>
      <c r="F83" t="s">
        <v>195</v>
      </c>
      <c r="G83" t="s">
        <v>196</v>
      </c>
      <c r="H83">
        <v>38.31</v>
      </c>
      <c r="I83" t="s">
        <v>96</v>
      </c>
      <c r="J83" t="s">
        <v>196</v>
      </c>
      <c r="K83">
        <v>40.799999999999997</v>
      </c>
      <c r="L83" t="s">
        <v>96</v>
      </c>
      <c r="M83" t="s">
        <v>196</v>
      </c>
      <c r="N83">
        <v>39.5</v>
      </c>
      <c r="O83" t="s">
        <v>96</v>
      </c>
      <c r="P83" t="s">
        <v>196</v>
      </c>
      <c r="Q83">
        <v>38.799999999999997</v>
      </c>
      <c r="R83" t="s">
        <v>96</v>
      </c>
      <c r="S83" t="s">
        <v>196</v>
      </c>
      <c r="T83">
        <v>41.48</v>
      </c>
      <c r="U83" t="s">
        <v>96</v>
      </c>
      <c r="V83" t="s">
        <v>196</v>
      </c>
      <c r="W83">
        <v>40.200000000000003</v>
      </c>
      <c r="X83" t="s">
        <v>96</v>
      </c>
      <c r="Y83" t="s">
        <v>196</v>
      </c>
      <c r="Z83">
        <v>41.5</v>
      </c>
      <c r="AA83" t="s">
        <v>96</v>
      </c>
      <c r="AB83" t="s">
        <v>196</v>
      </c>
      <c r="AC83">
        <v>42.05</v>
      </c>
      <c r="AD83" t="s">
        <v>96</v>
      </c>
      <c r="AE83" t="s">
        <v>196</v>
      </c>
      <c r="AF83">
        <v>41.38</v>
      </c>
      <c r="AG83" t="s">
        <v>96</v>
      </c>
      <c r="AH83" t="s">
        <v>196</v>
      </c>
      <c r="AI83">
        <v>40.9</v>
      </c>
      <c r="AJ83" t="s">
        <v>96</v>
      </c>
      <c r="AK83" t="s">
        <v>196</v>
      </c>
      <c r="AL83">
        <v>40</v>
      </c>
      <c r="AM83" t="s">
        <v>96</v>
      </c>
      <c r="AN83" t="s">
        <v>196</v>
      </c>
      <c r="AO83">
        <v>39.35</v>
      </c>
      <c r="AP83" t="s">
        <v>96</v>
      </c>
      <c r="AQ83" t="s">
        <v>196</v>
      </c>
      <c r="AR83">
        <v>40.6</v>
      </c>
      <c r="AS83" t="s">
        <v>96</v>
      </c>
      <c r="AT83" t="s">
        <v>196</v>
      </c>
      <c r="AU83">
        <v>41.51</v>
      </c>
      <c r="AV83" t="s">
        <v>96</v>
      </c>
      <c r="AW83" t="s">
        <v>196</v>
      </c>
      <c r="AX83">
        <v>40.65</v>
      </c>
      <c r="AY83" t="s">
        <v>96</v>
      </c>
      <c r="AZ83" t="s">
        <v>196</v>
      </c>
      <c r="BA83">
        <v>41.25</v>
      </c>
      <c r="BB83" t="s">
        <v>96</v>
      </c>
      <c r="BC83" t="s">
        <v>196</v>
      </c>
      <c r="BD83">
        <v>41.39</v>
      </c>
      <c r="BE83" t="s">
        <v>96</v>
      </c>
      <c r="BF83" t="s">
        <v>196</v>
      </c>
      <c r="BG83">
        <v>43.46</v>
      </c>
      <c r="BH83" t="s">
        <v>96</v>
      </c>
      <c r="BI83" t="s">
        <v>196</v>
      </c>
      <c r="BJ83">
        <v>42.5</v>
      </c>
      <c r="BK83" t="s">
        <v>96</v>
      </c>
      <c r="BL83" t="s">
        <v>196</v>
      </c>
      <c r="BM83">
        <v>40.5</v>
      </c>
      <c r="BN83" t="s">
        <v>96</v>
      </c>
      <c r="BO83" t="s">
        <v>196</v>
      </c>
      <c r="BP83">
        <v>40.799999999999997</v>
      </c>
      <c r="BQ83" t="s">
        <v>96</v>
      </c>
      <c r="BR83" t="s">
        <v>196</v>
      </c>
      <c r="BS83">
        <v>41.01</v>
      </c>
      <c r="BT83" t="s">
        <v>96</v>
      </c>
      <c r="BU83" t="s">
        <v>196</v>
      </c>
      <c r="BV83">
        <v>40.880000000000003</v>
      </c>
      <c r="BW83" t="s">
        <v>96</v>
      </c>
      <c r="BX83" t="s">
        <v>196</v>
      </c>
      <c r="BY83">
        <v>40.99</v>
      </c>
      <c r="BZ83" t="s">
        <v>96</v>
      </c>
      <c r="CA83" t="s">
        <v>196</v>
      </c>
      <c r="CB83">
        <v>40.700000000000003</v>
      </c>
      <c r="CC83" t="s">
        <v>96</v>
      </c>
      <c r="CD83" t="s">
        <v>196</v>
      </c>
      <c r="CE83">
        <v>40.630000000000003</v>
      </c>
      <c r="CF83" t="s">
        <v>96</v>
      </c>
      <c r="CG83" t="s">
        <v>196</v>
      </c>
      <c r="CH83">
        <v>40.56</v>
      </c>
      <c r="CI83" t="s">
        <v>96</v>
      </c>
      <c r="CJ83" t="s">
        <v>196</v>
      </c>
      <c r="CK83">
        <v>40.46</v>
      </c>
      <c r="CL83" t="s">
        <v>96</v>
      </c>
      <c r="CM83" t="s">
        <v>196</v>
      </c>
      <c r="CN83">
        <v>39.96</v>
      </c>
      <c r="CO83" t="s">
        <v>96</v>
      </c>
      <c r="CP83" t="s">
        <v>196</v>
      </c>
      <c r="CQ83">
        <v>39.700000000000003</v>
      </c>
      <c r="CR83" t="s">
        <v>96</v>
      </c>
      <c r="CS83" t="s">
        <v>196</v>
      </c>
      <c r="CT83">
        <v>39.6</v>
      </c>
      <c r="CU83" t="s">
        <v>96</v>
      </c>
      <c r="CV83" t="s">
        <v>196</v>
      </c>
      <c r="CW83">
        <v>39</v>
      </c>
      <c r="CX83" t="s">
        <v>96</v>
      </c>
      <c r="CY83" t="s">
        <v>196</v>
      </c>
      <c r="CZ83">
        <v>39</v>
      </c>
      <c r="DA83" t="s">
        <v>96</v>
      </c>
      <c r="DB83" t="s">
        <v>196</v>
      </c>
      <c r="DC83">
        <v>40.380000000000003</v>
      </c>
      <c r="DD83" t="s">
        <v>96</v>
      </c>
      <c r="DE83" t="s">
        <v>196</v>
      </c>
      <c r="DF83">
        <v>41.2</v>
      </c>
      <c r="DG83" t="s">
        <v>96</v>
      </c>
      <c r="DH83" t="s">
        <v>196</v>
      </c>
      <c r="DI83">
        <v>40</v>
      </c>
      <c r="DJ83" t="s">
        <v>96</v>
      </c>
      <c r="DK83" t="s">
        <v>358</v>
      </c>
      <c r="DL83">
        <v>0.26</v>
      </c>
      <c r="DM83" t="s">
        <v>475</v>
      </c>
      <c r="DN83" t="s">
        <v>358</v>
      </c>
      <c r="DO83">
        <v>0.26</v>
      </c>
      <c r="DP83" t="s">
        <v>475</v>
      </c>
      <c r="DQ83" t="s">
        <v>358</v>
      </c>
      <c r="DR83">
        <v>0.28000000000000003</v>
      </c>
      <c r="DS83" t="s">
        <v>475</v>
      </c>
      <c r="DT83" t="s">
        <v>459</v>
      </c>
      <c r="DU83">
        <v>9.41</v>
      </c>
      <c r="DV83" t="s">
        <v>492</v>
      </c>
      <c r="DW83" t="s">
        <v>459</v>
      </c>
      <c r="DX83">
        <v>9.4</v>
      </c>
      <c r="DY83" t="s">
        <v>492</v>
      </c>
      <c r="DZ83" t="s">
        <v>459</v>
      </c>
      <c r="EA83">
        <v>9.41</v>
      </c>
      <c r="EB83" t="s">
        <v>492</v>
      </c>
      <c r="EC83" t="s">
        <v>459</v>
      </c>
      <c r="ED83">
        <v>9</v>
      </c>
      <c r="EE83" t="s">
        <v>492</v>
      </c>
      <c r="EF83" t="s">
        <v>459</v>
      </c>
      <c r="EG83">
        <v>13.17</v>
      </c>
      <c r="EH83" t="s">
        <v>492</v>
      </c>
      <c r="EI83" t="s">
        <v>459</v>
      </c>
      <c r="EJ83">
        <v>13.55</v>
      </c>
      <c r="EK83" t="s">
        <v>492</v>
      </c>
    </row>
    <row r="84" spans="1:141">
      <c r="A84" t="s">
        <v>196</v>
      </c>
      <c r="B84">
        <v>39.369999999999997</v>
      </c>
      <c r="C84" t="s">
        <v>96</v>
      </c>
      <c r="D84" t="s">
        <v>196</v>
      </c>
      <c r="E84">
        <v>38.86</v>
      </c>
      <c r="F84" t="s">
        <v>96</v>
      </c>
      <c r="G84" t="s">
        <v>358</v>
      </c>
      <c r="H84">
        <v>0.27</v>
      </c>
      <c r="I84" t="s">
        <v>475</v>
      </c>
      <c r="J84" t="s">
        <v>358</v>
      </c>
      <c r="K84">
        <v>0.27</v>
      </c>
      <c r="L84" t="s">
        <v>475</v>
      </c>
      <c r="M84" t="s">
        <v>358</v>
      </c>
      <c r="N84">
        <v>0.27</v>
      </c>
      <c r="O84" t="s">
        <v>475</v>
      </c>
      <c r="P84" t="s">
        <v>358</v>
      </c>
      <c r="Q84">
        <v>0.27</v>
      </c>
      <c r="R84" t="s">
        <v>475</v>
      </c>
      <c r="S84" t="s">
        <v>358</v>
      </c>
      <c r="T84">
        <v>0.27</v>
      </c>
      <c r="U84" t="s">
        <v>475</v>
      </c>
      <c r="V84" t="s">
        <v>358</v>
      </c>
      <c r="W84">
        <v>0.27</v>
      </c>
      <c r="X84" t="s">
        <v>475</v>
      </c>
      <c r="Y84" t="s">
        <v>358</v>
      </c>
      <c r="Z84">
        <v>0.27</v>
      </c>
      <c r="AA84" t="s">
        <v>475</v>
      </c>
      <c r="AB84" t="s">
        <v>358</v>
      </c>
      <c r="AC84">
        <v>0.27</v>
      </c>
      <c r="AD84" t="s">
        <v>475</v>
      </c>
      <c r="AE84" t="s">
        <v>358</v>
      </c>
      <c r="AF84">
        <v>0.27</v>
      </c>
      <c r="AG84" t="s">
        <v>475</v>
      </c>
      <c r="AH84" t="s">
        <v>358</v>
      </c>
      <c r="AI84">
        <v>0.27</v>
      </c>
      <c r="AJ84" t="s">
        <v>475</v>
      </c>
      <c r="AK84" t="s">
        <v>358</v>
      </c>
      <c r="AL84">
        <v>0.27</v>
      </c>
      <c r="AM84" t="s">
        <v>475</v>
      </c>
      <c r="AN84" t="s">
        <v>358</v>
      </c>
      <c r="AO84">
        <v>0.27</v>
      </c>
      <c r="AP84" t="s">
        <v>475</v>
      </c>
      <c r="AQ84" t="s">
        <v>358</v>
      </c>
      <c r="AR84">
        <v>0.27</v>
      </c>
      <c r="AS84" t="s">
        <v>475</v>
      </c>
      <c r="AT84" t="s">
        <v>358</v>
      </c>
      <c r="AU84">
        <v>0.27</v>
      </c>
      <c r="AV84" t="s">
        <v>475</v>
      </c>
      <c r="AW84" t="s">
        <v>358</v>
      </c>
      <c r="AX84">
        <v>0.28000000000000003</v>
      </c>
      <c r="AY84" t="s">
        <v>475</v>
      </c>
      <c r="AZ84" t="s">
        <v>358</v>
      </c>
      <c r="BA84">
        <v>0.28000000000000003</v>
      </c>
      <c r="BB84" t="s">
        <v>475</v>
      </c>
      <c r="BC84" t="s">
        <v>358</v>
      </c>
      <c r="BD84">
        <v>0.28999999999999998</v>
      </c>
      <c r="BE84" t="s">
        <v>475</v>
      </c>
      <c r="BF84" t="s">
        <v>358</v>
      </c>
      <c r="BG84">
        <v>0.28999999999999998</v>
      </c>
      <c r="BH84" t="s">
        <v>475</v>
      </c>
      <c r="BI84" t="s">
        <v>358</v>
      </c>
      <c r="BJ84">
        <v>0.28999999999999998</v>
      </c>
      <c r="BK84" t="s">
        <v>475</v>
      </c>
      <c r="BL84" t="s">
        <v>358</v>
      </c>
      <c r="BM84">
        <v>0.28999999999999998</v>
      </c>
      <c r="BN84" t="s">
        <v>475</v>
      </c>
      <c r="BO84" t="s">
        <v>358</v>
      </c>
      <c r="BP84">
        <v>0.28999999999999998</v>
      </c>
      <c r="BQ84" t="s">
        <v>475</v>
      </c>
      <c r="BR84" t="s">
        <v>358</v>
      </c>
      <c r="BS84">
        <v>0.28000000000000003</v>
      </c>
      <c r="BT84" t="s">
        <v>475</v>
      </c>
      <c r="BU84" t="s">
        <v>358</v>
      </c>
      <c r="BV84">
        <v>0.28000000000000003</v>
      </c>
      <c r="BW84" t="s">
        <v>475</v>
      </c>
      <c r="BX84" t="s">
        <v>358</v>
      </c>
      <c r="BY84">
        <v>0.28000000000000003</v>
      </c>
      <c r="BZ84" t="s">
        <v>475</v>
      </c>
      <c r="CA84" t="s">
        <v>358</v>
      </c>
      <c r="CB84">
        <v>0.28000000000000003</v>
      </c>
      <c r="CC84" t="s">
        <v>475</v>
      </c>
      <c r="CD84" t="s">
        <v>358</v>
      </c>
      <c r="CE84">
        <v>0.28000000000000003</v>
      </c>
      <c r="CF84" t="s">
        <v>475</v>
      </c>
      <c r="CG84" t="s">
        <v>358</v>
      </c>
      <c r="CH84">
        <v>0.28000000000000003</v>
      </c>
      <c r="CI84" t="s">
        <v>475</v>
      </c>
      <c r="CJ84" t="s">
        <v>358</v>
      </c>
      <c r="CK84">
        <v>0.28000000000000003</v>
      </c>
      <c r="CL84" t="s">
        <v>475</v>
      </c>
      <c r="CM84" t="s">
        <v>358</v>
      </c>
      <c r="CN84">
        <v>0.28000000000000003</v>
      </c>
      <c r="CO84" t="s">
        <v>475</v>
      </c>
      <c r="CP84" t="s">
        <v>358</v>
      </c>
      <c r="CQ84">
        <v>0.28000000000000003</v>
      </c>
      <c r="CR84" t="s">
        <v>475</v>
      </c>
      <c r="CS84" t="s">
        <v>358</v>
      </c>
      <c r="CT84">
        <v>0.27</v>
      </c>
      <c r="CU84" t="s">
        <v>475</v>
      </c>
      <c r="CV84" t="s">
        <v>358</v>
      </c>
      <c r="CW84">
        <v>0.27</v>
      </c>
      <c r="CX84" t="s">
        <v>475</v>
      </c>
      <c r="CY84" t="s">
        <v>358</v>
      </c>
      <c r="CZ84">
        <v>0.27</v>
      </c>
      <c r="DA84" t="s">
        <v>475</v>
      </c>
      <c r="DB84" t="s">
        <v>358</v>
      </c>
      <c r="DC84">
        <v>0.27</v>
      </c>
      <c r="DD84" t="s">
        <v>475</v>
      </c>
      <c r="DE84" t="s">
        <v>358</v>
      </c>
      <c r="DF84">
        <v>0.27</v>
      </c>
      <c r="DG84" t="s">
        <v>475</v>
      </c>
      <c r="DH84" t="s">
        <v>358</v>
      </c>
      <c r="DI84">
        <v>0.24</v>
      </c>
      <c r="DJ84" t="s">
        <v>475</v>
      </c>
      <c r="DK84" t="s">
        <v>197</v>
      </c>
      <c r="DL84">
        <v>7.72</v>
      </c>
      <c r="DM84" t="s">
        <v>198</v>
      </c>
      <c r="DN84" t="s">
        <v>197</v>
      </c>
      <c r="DO84">
        <v>7.36</v>
      </c>
      <c r="DP84" t="s">
        <v>198</v>
      </c>
      <c r="DQ84" t="s">
        <v>197</v>
      </c>
      <c r="DR84">
        <v>8.39</v>
      </c>
      <c r="DS84" t="s">
        <v>198</v>
      </c>
      <c r="DT84" t="s">
        <v>432</v>
      </c>
      <c r="DU84">
        <v>6.59</v>
      </c>
      <c r="DV84" t="s">
        <v>486</v>
      </c>
      <c r="DW84" t="s">
        <v>432</v>
      </c>
      <c r="DX84">
        <v>6.55</v>
      </c>
      <c r="DY84" t="s">
        <v>486</v>
      </c>
      <c r="DZ84" t="s">
        <v>432</v>
      </c>
      <c r="EA84">
        <v>6.55</v>
      </c>
      <c r="EB84" t="s">
        <v>486</v>
      </c>
      <c r="EC84" t="s">
        <v>432</v>
      </c>
      <c r="ED84">
        <v>6.5</v>
      </c>
      <c r="EE84" t="s">
        <v>486</v>
      </c>
      <c r="EF84" t="s">
        <v>432</v>
      </c>
      <c r="EG84">
        <v>6.5</v>
      </c>
      <c r="EH84" t="s">
        <v>486</v>
      </c>
      <c r="EI84" t="s">
        <v>432</v>
      </c>
      <c r="EJ84">
        <v>6.5</v>
      </c>
      <c r="EK84" t="s">
        <v>486</v>
      </c>
    </row>
    <row r="85" spans="1:141">
      <c r="A85" t="s">
        <v>358</v>
      </c>
      <c r="B85">
        <v>0.27</v>
      </c>
      <c r="C85" t="s">
        <v>475</v>
      </c>
      <c r="D85" t="s">
        <v>358</v>
      </c>
      <c r="E85">
        <v>0.27</v>
      </c>
      <c r="F85" t="s">
        <v>475</v>
      </c>
      <c r="G85" t="s">
        <v>197</v>
      </c>
      <c r="H85">
        <v>7.6</v>
      </c>
      <c r="I85" t="s">
        <v>198</v>
      </c>
      <c r="J85" t="s">
        <v>197</v>
      </c>
      <c r="K85">
        <v>7.54</v>
      </c>
      <c r="L85" t="s">
        <v>198</v>
      </c>
      <c r="M85" t="s">
        <v>197</v>
      </c>
      <c r="N85">
        <v>7.3</v>
      </c>
      <c r="O85" t="s">
        <v>198</v>
      </c>
      <c r="P85" t="s">
        <v>197</v>
      </c>
      <c r="Q85">
        <v>7.28</v>
      </c>
      <c r="R85" t="s">
        <v>198</v>
      </c>
      <c r="S85" t="s">
        <v>197</v>
      </c>
      <c r="T85">
        <v>7.32</v>
      </c>
      <c r="U85" t="s">
        <v>198</v>
      </c>
      <c r="V85" t="s">
        <v>197</v>
      </c>
      <c r="W85">
        <v>7.08</v>
      </c>
      <c r="X85" t="s">
        <v>198</v>
      </c>
      <c r="Y85" t="s">
        <v>197</v>
      </c>
      <c r="Z85">
        <v>7.29</v>
      </c>
      <c r="AA85" t="s">
        <v>198</v>
      </c>
      <c r="AB85" t="s">
        <v>197</v>
      </c>
      <c r="AC85">
        <v>7.7</v>
      </c>
      <c r="AD85" t="s">
        <v>198</v>
      </c>
      <c r="AE85" t="s">
        <v>197</v>
      </c>
      <c r="AF85">
        <v>7.86</v>
      </c>
      <c r="AG85" t="s">
        <v>198</v>
      </c>
      <c r="AH85" t="s">
        <v>197</v>
      </c>
      <c r="AI85">
        <v>7.87</v>
      </c>
      <c r="AJ85" t="s">
        <v>198</v>
      </c>
      <c r="AK85" t="s">
        <v>197</v>
      </c>
      <c r="AL85">
        <v>8.35</v>
      </c>
      <c r="AM85" t="s">
        <v>198</v>
      </c>
      <c r="AN85" t="s">
        <v>197</v>
      </c>
      <c r="AO85">
        <v>8.01</v>
      </c>
      <c r="AP85" t="s">
        <v>198</v>
      </c>
      <c r="AQ85" t="s">
        <v>197</v>
      </c>
      <c r="AR85">
        <v>8.3800000000000008</v>
      </c>
      <c r="AS85" t="s">
        <v>198</v>
      </c>
      <c r="AT85" t="s">
        <v>197</v>
      </c>
      <c r="AU85">
        <v>8.3000000000000007</v>
      </c>
      <c r="AV85" t="s">
        <v>198</v>
      </c>
      <c r="AW85" t="s">
        <v>197</v>
      </c>
      <c r="AX85">
        <v>8.11</v>
      </c>
      <c r="AY85" t="s">
        <v>198</v>
      </c>
      <c r="AZ85" t="s">
        <v>197</v>
      </c>
      <c r="BA85">
        <v>8.16</v>
      </c>
      <c r="BB85" t="s">
        <v>198</v>
      </c>
      <c r="BC85" t="s">
        <v>197</v>
      </c>
      <c r="BD85">
        <v>8.74</v>
      </c>
      <c r="BE85" t="s">
        <v>198</v>
      </c>
      <c r="BF85" t="s">
        <v>197</v>
      </c>
      <c r="BG85">
        <v>8.56</v>
      </c>
      <c r="BH85" t="s">
        <v>198</v>
      </c>
      <c r="BI85" t="s">
        <v>197</v>
      </c>
      <c r="BJ85">
        <v>8.77</v>
      </c>
      <c r="BK85" t="s">
        <v>198</v>
      </c>
      <c r="BL85" t="s">
        <v>197</v>
      </c>
      <c r="BM85">
        <v>8.5</v>
      </c>
      <c r="BN85" t="s">
        <v>198</v>
      </c>
      <c r="BO85" t="s">
        <v>197</v>
      </c>
      <c r="BP85">
        <v>8.5399999999999991</v>
      </c>
      <c r="BQ85" t="s">
        <v>198</v>
      </c>
      <c r="BR85" t="s">
        <v>197</v>
      </c>
      <c r="BS85">
        <v>8.74</v>
      </c>
      <c r="BT85" t="s">
        <v>198</v>
      </c>
      <c r="BU85" t="s">
        <v>197</v>
      </c>
      <c r="BV85">
        <v>8.6</v>
      </c>
      <c r="BW85" t="s">
        <v>198</v>
      </c>
      <c r="BX85" t="s">
        <v>197</v>
      </c>
      <c r="BY85">
        <v>8.57</v>
      </c>
      <c r="BZ85" t="s">
        <v>198</v>
      </c>
      <c r="CA85" t="s">
        <v>197</v>
      </c>
      <c r="CB85">
        <v>8.6199999999999992</v>
      </c>
      <c r="CC85" t="s">
        <v>198</v>
      </c>
      <c r="CD85" t="s">
        <v>197</v>
      </c>
      <c r="CE85">
        <v>8.86</v>
      </c>
      <c r="CF85" t="s">
        <v>198</v>
      </c>
      <c r="CG85" t="s">
        <v>197</v>
      </c>
      <c r="CH85">
        <v>8.73</v>
      </c>
      <c r="CI85" t="s">
        <v>198</v>
      </c>
      <c r="CJ85" t="s">
        <v>197</v>
      </c>
      <c r="CK85">
        <v>8.65</v>
      </c>
      <c r="CL85" t="s">
        <v>198</v>
      </c>
      <c r="CM85" t="s">
        <v>197</v>
      </c>
      <c r="CN85">
        <v>8.69</v>
      </c>
      <c r="CO85" t="s">
        <v>198</v>
      </c>
      <c r="CP85" t="s">
        <v>197</v>
      </c>
      <c r="CQ85">
        <v>8.5399999999999991</v>
      </c>
      <c r="CR85" t="s">
        <v>198</v>
      </c>
      <c r="CS85" t="s">
        <v>197</v>
      </c>
      <c r="CT85">
        <v>8.58</v>
      </c>
      <c r="CU85" t="s">
        <v>198</v>
      </c>
      <c r="CV85" t="s">
        <v>197</v>
      </c>
      <c r="CW85">
        <v>8.5299999999999994</v>
      </c>
      <c r="CX85" t="s">
        <v>198</v>
      </c>
      <c r="CY85" t="s">
        <v>197</v>
      </c>
      <c r="CZ85">
        <v>8.56</v>
      </c>
      <c r="DA85" t="s">
        <v>198</v>
      </c>
      <c r="DB85" t="s">
        <v>197</v>
      </c>
      <c r="DC85">
        <v>8.5500000000000007</v>
      </c>
      <c r="DD85" t="s">
        <v>198</v>
      </c>
      <c r="DE85" t="s">
        <v>197</v>
      </c>
      <c r="DF85">
        <v>8.5</v>
      </c>
      <c r="DG85" t="s">
        <v>198</v>
      </c>
      <c r="DH85" t="s">
        <v>197</v>
      </c>
      <c r="DI85">
        <v>8</v>
      </c>
      <c r="DJ85" t="s">
        <v>198</v>
      </c>
      <c r="DK85" t="s">
        <v>459</v>
      </c>
      <c r="DL85">
        <v>9</v>
      </c>
      <c r="DM85" t="s">
        <v>492</v>
      </c>
      <c r="DN85" t="s">
        <v>459</v>
      </c>
      <c r="DO85">
        <v>9.15</v>
      </c>
      <c r="DP85" t="s">
        <v>492</v>
      </c>
      <c r="DQ85" t="s">
        <v>459</v>
      </c>
      <c r="DR85">
        <v>9.77</v>
      </c>
      <c r="DS85" t="s">
        <v>492</v>
      </c>
      <c r="DT85" t="s">
        <v>422</v>
      </c>
      <c r="DU85">
        <v>8.36</v>
      </c>
      <c r="DV85" t="s">
        <v>199</v>
      </c>
      <c r="DW85" t="s">
        <v>422</v>
      </c>
      <c r="DX85">
        <v>8.7200000000000006</v>
      </c>
      <c r="DY85" t="s">
        <v>199</v>
      </c>
      <c r="DZ85" t="s">
        <v>422</v>
      </c>
      <c r="EA85">
        <v>8.52</v>
      </c>
      <c r="EB85" t="s">
        <v>199</v>
      </c>
      <c r="EC85" t="s">
        <v>422</v>
      </c>
      <c r="ED85">
        <v>8.16</v>
      </c>
      <c r="EE85" t="s">
        <v>199</v>
      </c>
      <c r="EF85" t="s">
        <v>422</v>
      </c>
      <c r="EG85">
        <v>8.68</v>
      </c>
      <c r="EH85" t="s">
        <v>199</v>
      </c>
      <c r="EI85" t="s">
        <v>422</v>
      </c>
      <c r="EJ85">
        <v>8.4499999999999993</v>
      </c>
      <c r="EK85" t="s">
        <v>199</v>
      </c>
    </row>
    <row r="86" spans="1:141">
      <c r="A86" t="s">
        <v>197</v>
      </c>
      <c r="B86">
        <v>7.71</v>
      </c>
      <c r="C86" t="s">
        <v>198</v>
      </c>
      <c r="D86" t="s">
        <v>197</v>
      </c>
      <c r="E86">
        <v>7.53</v>
      </c>
      <c r="F86" t="s">
        <v>198</v>
      </c>
      <c r="G86" t="s">
        <v>459</v>
      </c>
      <c r="H86">
        <v>9.44</v>
      </c>
      <c r="I86" t="s">
        <v>492</v>
      </c>
      <c r="J86" t="s">
        <v>459</v>
      </c>
      <c r="K86">
        <v>9.6999999999999993</v>
      </c>
      <c r="L86" t="s">
        <v>492</v>
      </c>
      <c r="M86" t="s">
        <v>459</v>
      </c>
      <c r="N86">
        <v>9.23</v>
      </c>
      <c r="O86" t="s">
        <v>492</v>
      </c>
      <c r="P86" t="s">
        <v>459</v>
      </c>
      <c r="Q86">
        <v>9.23</v>
      </c>
      <c r="R86" t="s">
        <v>492</v>
      </c>
      <c r="S86" t="s">
        <v>459</v>
      </c>
      <c r="T86">
        <v>9.24</v>
      </c>
      <c r="U86" t="s">
        <v>492</v>
      </c>
      <c r="V86" t="s">
        <v>459</v>
      </c>
      <c r="W86">
        <v>10.85</v>
      </c>
      <c r="X86" t="s">
        <v>492</v>
      </c>
      <c r="Y86" t="s">
        <v>459</v>
      </c>
      <c r="Z86">
        <v>9.5</v>
      </c>
      <c r="AA86" t="s">
        <v>492</v>
      </c>
      <c r="AB86" t="s">
        <v>459</v>
      </c>
      <c r="AC86">
        <v>9.15</v>
      </c>
      <c r="AD86" t="s">
        <v>492</v>
      </c>
      <c r="AE86" t="s">
        <v>459</v>
      </c>
      <c r="AF86">
        <v>9.41</v>
      </c>
      <c r="AG86" t="s">
        <v>492</v>
      </c>
      <c r="AH86" t="s">
        <v>459</v>
      </c>
      <c r="AI86">
        <v>9.6</v>
      </c>
      <c r="AJ86" t="s">
        <v>492</v>
      </c>
      <c r="AK86" t="s">
        <v>459</v>
      </c>
      <c r="AL86">
        <v>9.75</v>
      </c>
      <c r="AM86" t="s">
        <v>492</v>
      </c>
      <c r="AN86" t="s">
        <v>459</v>
      </c>
      <c r="AO86">
        <v>9.24</v>
      </c>
      <c r="AP86" t="s">
        <v>492</v>
      </c>
      <c r="AQ86" t="s">
        <v>459</v>
      </c>
      <c r="AR86">
        <v>10.39</v>
      </c>
      <c r="AS86" t="s">
        <v>492</v>
      </c>
      <c r="AT86" t="s">
        <v>459</v>
      </c>
      <c r="AU86">
        <v>9.6999999999999993</v>
      </c>
      <c r="AV86" t="s">
        <v>492</v>
      </c>
      <c r="AW86" t="s">
        <v>459</v>
      </c>
      <c r="AX86">
        <v>10.33</v>
      </c>
      <c r="AY86" t="s">
        <v>492</v>
      </c>
      <c r="AZ86" t="s">
        <v>459</v>
      </c>
      <c r="BA86">
        <v>10.28</v>
      </c>
      <c r="BB86" t="s">
        <v>492</v>
      </c>
      <c r="BC86" t="s">
        <v>459</v>
      </c>
      <c r="BD86">
        <v>9.98</v>
      </c>
      <c r="BE86" t="s">
        <v>492</v>
      </c>
      <c r="BF86" t="s">
        <v>459</v>
      </c>
      <c r="BG86">
        <v>10</v>
      </c>
      <c r="BH86" t="s">
        <v>492</v>
      </c>
      <c r="BI86" t="s">
        <v>459</v>
      </c>
      <c r="BJ86">
        <v>9.4</v>
      </c>
      <c r="BK86" t="s">
        <v>492</v>
      </c>
      <c r="BL86" t="s">
        <v>459</v>
      </c>
      <c r="BM86">
        <v>9.8000000000000007</v>
      </c>
      <c r="BN86" t="s">
        <v>492</v>
      </c>
      <c r="BO86" t="s">
        <v>459</v>
      </c>
      <c r="BP86">
        <v>10.29</v>
      </c>
      <c r="BQ86" t="s">
        <v>492</v>
      </c>
      <c r="BR86" t="s">
        <v>459</v>
      </c>
      <c r="BS86">
        <v>10.19</v>
      </c>
      <c r="BT86" t="s">
        <v>492</v>
      </c>
      <c r="BU86" t="s">
        <v>459</v>
      </c>
      <c r="BV86">
        <v>10</v>
      </c>
      <c r="BW86" t="s">
        <v>492</v>
      </c>
      <c r="BX86" t="s">
        <v>459</v>
      </c>
      <c r="BY86">
        <v>9.9700000000000006</v>
      </c>
      <c r="BZ86" t="s">
        <v>492</v>
      </c>
      <c r="CA86" t="s">
        <v>459</v>
      </c>
      <c r="CB86">
        <v>9.9700000000000006</v>
      </c>
      <c r="CC86" t="s">
        <v>492</v>
      </c>
      <c r="CD86" t="s">
        <v>459</v>
      </c>
      <c r="CE86">
        <v>9.4</v>
      </c>
      <c r="CF86" t="s">
        <v>492</v>
      </c>
      <c r="CG86" t="s">
        <v>459</v>
      </c>
      <c r="CH86">
        <v>9.8800000000000008</v>
      </c>
      <c r="CI86" t="s">
        <v>492</v>
      </c>
      <c r="CJ86" t="s">
        <v>459</v>
      </c>
      <c r="CK86">
        <v>9.36</v>
      </c>
      <c r="CL86" t="s">
        <v>492</v>
      </c>
      <c r="CM86" t="s">
        <v>459</v>
      </c>
      <c r="CN86">
        <v>9.9700000000000006</v>
      </c>
      <c r="CO86" t="s">
        <v>492</v>
      </c>
      <c r="CP86" t="s">
        <v>459</v>
      </c>
      <c r="CQ86">
        <v>9.9499999999999993</v>
      </c>
      <c r="CR86" t="s">
        <v>492</v>
      </c>
      <c r="CS86" t="s">
        <v>459</v>
      </c>
      <c r="CT86">
        <v>10.1</v>
      </c>
      <c r="CU86" t="s">
        <v>492</v>
      </c>
      <c r="CV86" t="s">
        <v>459</v>
      </c>
      <c r="CW86">
        <v>9.36</v>
      </c>
      <c r="CX86" t="s">
        <v>492</v>
      </c>
      <c r="CY86" t="s">
        <v>459</v>
      </c>
      <c r="CZ86">
        <v>9.41</v>
      </c>
      <c r="DA86" t="s">
        <v>492</v>
      </c>
      <c r="DB86" t="s">
        <v>459</v>
      </c>
      <c r="DC86">
        <v>9.9700000000000006</v>
      </c>
      <c r="DD86" t="s">
        <v>492</v>
      </c>
      <c r="DE86" t="s">
        <v>459</v>
      </c>
      <c r="DF86">
        <v>9.92</v>
      </c>
      <c r="DG86" t="s">
        <v>492</v>
      </c>
      <c r="DH86" t="s">
        <v>459</v>
      </c>
      <c r="DI86">
        <v>9.64</v>
      </c>
      <c r="DJ86" t="s">
        <v>492</v>
      </c>
      <c r="DK86" t="s">
        <v>432</v>
      </c>
      <c r="DL86">
        <v>6.82</v>
      </c>
      <c r="DM86" t="s">
        <v>486</v>
      </c>
      <c r="DN86" t="s">
        <v>432</v>
      </c>
      <c r="DO86">
        <v>6.88</v>
      </c>
      <c r="DP86" t="s">
        <v>486</v>
      </c>
      <c r="DQ86" t="s">
        <v>432</v>
      </c>
      <c r="DR86">
        <v>6.9</v>
      </c>
      <c r="DS86" t="s">
        <v>486</v>
      </c>
      <c r="DT86" t="s">
        <v>200</v>
      </c>
      <c r="DU86">
        <v>0.4</v>
      </c>
      <c r="DV86" t="s">
        <v>95</v>
      </c>
      <c r="DW86" t="s">
        <v>200</v>
      </c>
      <c r="DX86">
        <v>0.39</v>
      </c>
      <c r="DY86" t="s">
        <v>95</v>
      </c>
      <c r="DZ86" t="s">
        <v>200</v>
      </c>
      <c r="EA86">
        <v>0.39</v>
      </c>
      <c r="EB86" t="s">
        <v>95</v>
      </c>
      <c r="EC86" t="s">
        <v>200</v>
      </c>
      <c r="ED86">
        <v>0.39</v>
      </c>
      <c r="EE86" t="s">
        <v>95</v>
      </c>
      <c r="EF86" t="s">
        <v>200</v>
      </c>
      <c r="EG86">
        <v>0.39</v>
      </c>
      <c r="EH86" t="s">
        <v>95</v>
      </c>
      <c r="EI86" t="s">
        <v>200</v>
      </c>
      <c r="EJ86">
        <v>0.39</v>
      </c>
      <c r="EK86" t="s">
        <v>95</v>
      </c>
    </row>
    <row r="87" spans="1:141">
      <c r="A87" t="s">
        <v>459</v>
      </c>
      <c r="B87">
        <v>9.5</v>
      </c>
      <c r="C87" t="s">
        <v>492</v>
      </c>
      <c r="D87" t="s">
        <v>459</v>
      </c>
      <c r="E87">
        <v>9.49</v>
      </c>
      <c r="F87" t="s">
        <v>492</v>
      </c>
      <c r="G87" t="s">
        <v>432</v>
      </c>
      <c r="H87">
        <v>6.8</v>
      </c>
      <c r="I87" t="s">
        <v>486</v>
      </c>
      <c r="J87" t="s">
        <v>432</v>
      </c>
      <c r="K87">
        <v>6.8</v>
      </c>
      <c r="L87" t="s">
        <v>486</v>
      </c>
      <c r="M87" t="s">
        <v>432</v>
      </c>
      <c r="N87">
        <v>6.8</v>
      </c>
      <c r="O87" t="s">
        <v>486</v>
      </c>
      <c r="P87" t="s">
        <v>432</v>
      </c>
      <c r="Q87">
        <v>6.8</v>
      </c>
      <c r="R87" t="s">
        <v>486</v>
      </c>
      <c r="S87" t="s">
        <v>432</v>
      </c>
      <c r="T87">
        <v>6.66</v>
      </c>
      <c r="U87" t="s">
        <v>486</v>
      </c>
      <c r="V87" t="s">
        <v>432</v>
      </c>
      <c r="W87">
        <v>6.77</v>
      </c>
      <c r="X87" t="s">
        <v>486</v>
      </c>
      <c r="Y87" t="s">
        <v>432</v>
      </c>
      <c r="Z87">
        <v>6.76</v>
      </c>
      <c r="AA87" t="s">
        <v>486</v>
      </c>
      <c r="AB87" t="s">
        <v>432</v>
      </c>
      <c r="AC87">
        <v>6.8</v>
      </c>
      <c r="AD87" t="s">
        <v>486</v>
      </c>
      <c r="AE87" t="s">
        <v>432</v>
      </c>
      <c r="AF87">
        <v>6.8</v>
      </c>
      <c r="AG87" t="s">
        <v>486</v>
      </c>
      <c r="AH87" t="s">
        <v>432</v>
      </c>
      <c r="AI87">
        <v>6.7</v>
      </c>
      <c r="AJ87" t="s">
        <v>486</v>
      </c>
      <c r="AK87" t="s">
        <v>432</v>
      </c>
      <c r="AL87">
        <v>6.7</v>
      </c>
      <c r="AM87" t="s">
        <v>486</v>
      </c>
      <c r="AN87" t="s">
        <v>432</v>
      </c>
      <c r="AO87">
        <v>6.77</v>
      </c>
      <c r="AP87" t="s">
        <v>486</v>
      </c>
      <c r="AQ87" t="s">
        <v>432</v>
      </c>
      <c r="AR87">
        <v>6.83</v>
      </c>
      <c r="AS87" t="s">
        <v>486</v>
      </c>
      <c r="AT87" t="s">
        <v>432</v>
      </c>
      <c r="AU87">
        <v>6.9</v>
      </c>
      <c r="AV87" t="s">
        <v>486</v>
      </c>
      <c r="AW87" t="s">
        <v>432</v>
      </c>
      <c r="AX87">
        <v>6.76</v>
      </c>
      <c r="AY87" t="s">
        <v>486</v>
      </c>
      <c r="AZ87" t="s">
        <v>432</v>
      </c>
      <c r="BA87">
        <v>6.89</v>
      </c>
      <c r="BB87" t="s">
        <v>486</v>
      </c>
      <c r="BC87" t="s">
        <v>432</v>
      </c>
      <c r="BD87">
        <v>7</v>
      </c>
      <c r="BE87" t="s">
        <v>486</v>
      </c>
      <c r="BF87" t="s">
        <v>432</v>
      </c>
      <c r="BG87">
        <v>7.03</v>
      </c>
      <c r="BH87" t="s">
        <v>486</v>
      </c>
      <c r="BI87" t="s">
        <v>432</v>
      </c>
      <c r="BJ87">
        <v>7.01</v>
      </c>
      <c r="BK87" t="s">
        <v>486</v>
      </c>
      <c r="BL87" t="s">
        <v>432</v>
      </c>
      <c r="BM87">
        <v>7</v>
      </c>
      <c r="BN87" t="s">
        <v>486</v>
      </c>
      <c r="BO87" t="s">
        <v>432</v>
      </c>
      <c r="BP87">
        <v>7</v>
      </c>
      <c r="BQ87" t="s">
        <v>486</v>
      </c>
      <c r="BR87" t="s">
        <v>432</v>
      </c>
      <c r="BS87">
        <v>7</v>
      </c>
      <c r="BT87" t="s">
        <v>486</v>
      </c>
      <c r="BU87" t="s">
        <v>432</v>
      </c>
      <c r="BV87">
        <v>7</v>
      </c>
      <c r="BW87" t="s">
        <v>486</v>
      </c>
      <c r="BX87" t="s">
        <v>432</v>
      </c>
      <c r="BY87">
        <v>7</v>
      </c>
      <c r="BZ87" t="s">
        <v>486</v>
      </c>
      <c r="CA87" t="s">
        <v>432</v>
      </c>
      <c r="CB87">
        <v>6.99</v>
      </c>
      <c r="CC87" t="s">
        <v>486</v>
      </c>
      <c r="CD87" t="s">
        <v>432</v>
      </c>
      <c r="CE87">
        <v>7</v>
      </c>
      <c r="CF87" t="s">
        <v>486</v>
      </c>
      <c r="CG87" t="s">
        <v>432</v>
      </c>
      <c r="CH87">
        <v>7.04</v>
      </c>
      <c r="CI87" t="s">
        <v>486</v>
      </c>
      <c r="CJ87" t="s">
        <v>432</v>
      </c>
      <c r="CK87">
        <v>7.05</v>
      </c>
      <c r="CL87" t="s">
        <v>486</v>
      </c>
      <c r="CM87" t="s">
        <v>432</v>
      </c>
      <c r="CN87">
        <v>7</v>
      </c>
      <c r="CO87" t="s">
        <v>486</v>
      </c>
      <c r="CP87" t="s">
        <v>432</v>
      </c>
      <c r="CQ87">
        <v>7</v>
      </c>
      <c r="CR87" t="s">
        <v>486</v>
      </c>
      <c r="CS87" t="s">
        <v>432</v>
      </c>
      <c r="CT87">
        <v>7.01</v>
      </c>
      <c r="CU87" t="s">
        <v>486</v>
      </c>
      <c r="CV87" t="s">
        <v>432</v>
      </c>
      <c r="CW87">
        <v>6.94</v>
      </c>
      <c r="CX87" t="s">
        <v>486</v>
      </c>
      <c r="CY87" t="s">
        <v>432</v>
      </c>
      <c r="CZ87">
        <v>6.94</v>
      </c>
      <c r="DA87" t="s">
        <v>486</v>
      </c>
      <c r="DB87" t="s">
        <v>432</v>
      </c>
      <c r="DC87">
        <v>7.05</v>
      </c>
      <c r="DD87" t="s">
        <v>486</v>
      </c>
      <c r="DE87" t="s">
        <v>432</v>
      </c>
      <c r="DF87">
        <v>7</v>
      </c>
      <c r="DG87" t="s">
        <v>486</v>
      </c>
      <c r="DH87" t="s">
        <v>432</v>
      </c>
      <c r="DI87">
        <v>7</v>
      </c>
      <c r="DJ87" t="s">
        <v>486</v>
      </c>
      <c r="DK87" t="s">
        <v>422</v>
      </c>
      <c r="DL87">
        <v>5.92</v>
      </c>
      <c r="DM87" t="s">
        <v>199</v>
      </c>
      <c r="DN87" t="s">
        <v>422</v>
      </c>
      <c r="DO87">
        <v>5.95</v>
      </c>
      <c r="DP87" t="s">
        <v>199</v>
      </c>
      <c r="DQ87" t="s">
        <v>422</v>
      </c>
      <c r="DR87">
        <v>9.44</v>
      </c>
      <c r="DS87" t="s">
        <v>199</v>
      </c>
      <c r="DT87" t="s">
        <v>670</v>
      </c>
      <c r="DU87">
        <v>10.79</v>
      </c>
      <c r="DV87" t="s">
        <v>698</v>
      </c>
      <c r="DW87" t="s">
        <v>670</v>
      </c>
      <c r="DX87">
        <v>10.68</v>
      </c>
      <c r="DY87" t="s">
        <v>698</v>
      </c>
      <c r="DZ87" t="s">
        <v>670</v>
      </c>
      <c r="EA87">
        <v>11</v>
      </c>
      <c r="EB87" t="s">
        <v>698</v>
      </c>
      <c r="EC87" t="s">
        <v>670</v>
      </c>
      <c r="ED87">
        <v>11</v>
      </c>
      <c r="EE87" t="s">
        <v>698</v>
      </c>
      <c r="EF87" t="s">
        <v>670</v>
      </c>
      <c r="EG87">
        <v>10.99</v>
      </c>
      <c r="EH87" t="s">
        <v>698</v>
      </c>
      <c r="EI87" t="s">
        <v>670</v>
      </c>
      <c r="EJ87">
        <v>10.11</v>
      </c>
      <c r="EK87" t="s">
        <v>698</v>
      </c>
    </row>
    <row r="88" spans="1:141">
      <c r="A88" t="s">
        <v>432</v>
      </c>
      <c r="B88">
        <v>6.8</v>
      </c>
      <c r="C88" t="s">
        <v>486</v>
      </c>
      <c r="D88" t="s">
        <v>432</v>
      </c>
      <c r="E88">
        <v>6.8</v>
      </c>
      <c r="F88" t="s">
        <v>486</v>
      </c>
      <c r="G88" t="s">
        <v>422</v>
      </c>
      <c r="H88">
        <v>5.3</v>
      </c>
      <c r="I88" t="s">
        <v>199</v>
      </c>
      <c r="J88" t="s">
        <v>422</v>
      </c>
      <c r="K88">
        <v>5.36</v>
      </c>
      <c r="L88" t="s">
        <v>199</v>
      </c>
      <c r="M88" t="s">
        <v>422</v>
      </c>
      <c r="N88">
        <v>5.31</v>
      </c>
      <c r="O88" t="s">
        <v>199</v>
      </c>
      <c r="P88" t="s">
        <v>422</v>
      </c>
      <c r="Q88">
        <v>5.28</v>
      </c>
      <c r="R88" t="s">
        <v>199</v>
      </c>
      <c r="S88" t="s">
        <v>422</v>
      </c>
      <c r="T88">
        <v>5.18</v>
      </c>
      <c r="U88" t="s">
        <v>199</v>
      </c>
      <c r="V88" t="s">
        <v>422</v>
      </c>
      <c r="W88">
        <v>4.97</v>
      </c>
      <c r="X88" t="s">
        <v>199</v>
      </c>
      <c r="Y88" t="s">
        <v>422</v>
      </c>
      <c r="Z88">
        <v>5.16</v>
      </c>
      <c r="AA88" t="s">
        <v>199</v>
      </c>
      <c r="AB88" t="s">
        <v>422</v>
      </c>
      <c r="AC88">
        <v>5.04</v>
      </c>
      <c r="AD88" t="s">
        <v>199</v>
      </c>
      <c r="AE88" t="s">
        <v>422</v>
      </c>
      <c r="AF88">
        <v>5.08</v>
      </c>
      <c r="AG88" t="s">
        <v>199</v>
      </c>
      <c r="AH88" t="s">
        <v>422</v>
      </c>
      <c r="AI88">
        <v>4.95</v>
      </c>
      <c r="AJ88" t="s">
        <v>199</v>
      </c>
      <c r="AK88" t="s">
        <v>422</v>
      </c>
      <c r="AL88">
        <v>5.05</v>
      </c>
      <c r="AM88" t="s">
        <v>199</v>
      </c>
      <c r="AN88" t="s">
        <v>422</v>
      </c>
      <c r="AO88">
        <v>5.3</v>
      </c>
      <c r="AP88" t="s">
        <v>199</v>
      </c>
      <c r="AQ88" t="s">
        <v>422</v>
      </c>
      <c r="AR88">
        <v>5.14</v>
      </c>
      <c r="AS88" t="s">
        <v>199</v>
      </c>
      <c r="AT88" t="s">
        <v>422</v>
      </c>
      <c r="AU88">
        <v>5.12</v>
      </c>
      <c r="AV88" t="s">
        <v>199</v>
      </c>
      <c r="AW88" t="s">
        <v>422</v>
      </c>
      <c r="AX88">
        <v>5.13</v>
      </c>
      <c r="AY88" t="s">
        <v>199</v>
      </c>
      <c r="AZ88" t="s">
        <v>422</v>
      </c>
      <c r="BA88">
        <v>5.0999999999999996</v>
      </c>
      <c r="BB88" t="s">
        <v>199</v>
      </c>
      <c r="BC88" t="s">
        <v>422</v>
      </c>
      <c r="BD88">
        <v>5.23</v>
      </c>
      <c r="BE88" t="s">
        <v>199</v>
      </c>
      <c r="BF88" t="s">
        <v>422</v>
      </c>
      <c r="BG88">
        <v>5</v>
      </c>
      <c r="BH88" t="s">
        <v>199</v>
      </c>
      <c r="BI88" t="s">
        <v>422</v>
      </c>
      <c r="BJ88">
        <v>5</v>
      </c>
      <c r="BK88" t="s">
        <v>199</v>
      </c>
      <c r="BL88" t="s">
        <v>422</v>
      </c>
      <c r="BM88">
        <v>4.8899999999999997</v>
      </c>
      <c r="BN88" t="s">
        <v>199</v>
      </c>
      <c r="BO88" t="s">
        <v>422</v>
      </c>
      <c r="BP88">
        <v>4.87</v>
      </c>
      <c r="BQ88" t="s">
        <v>199</v>
      </c>
      <c r="BR88" t="s">
        <v>422</v>
      </c>
      <c r="BS88">
        <v>4.9400000000000004</v>
      </c>
      <c r="BT88" t="s">
        <v>199</v>
      </c>
      <c r="BU88" t="s">
        <v>422</v>
      </c>
      <c r="BV88">
        <v>5</v>
      </c>
      <c r="BW88" t="s">
        <v>199</v>
      </c>
      <c r="BX88" t="s">
        <v>422</v>
      </c>
      <c r="BY88">
        <v>5</v>
      </c>
      <c r="BZ88" t="s">
        <v>199</v>
      </c>
      <c r="CA88" t="s">
        <v>422</v>
      </c>
      <c r="CB88">
        <v>5.07</v>
      </c>
      <c r="CC88" t="s">
        <v>199</v>
      </c>
      <c r="CD88" t="s">
        <v>422</v>
      </c>
      <c r="CE88">
        <v>5.0999999999999996</v>
      </c>
      <c r="CF88" t="s">
        <v>199</v>
      </c>
      <c r="CG88" t="s">
        <v>422</v>
      </c>
      <c r="CH88">
        <v>5.01</v>
      </c>
      <c r="CI88" t="s">
        <v>199</v>
      </c>
      <c r="CJ88" t="s">
        <v>422</v>
      </c>
      <c r="CK88">
        <v>5.05</v>
      </c>
      <c r="CL88" t="s">
        <v>199</v>
      </c>
      <c r="CM88" t="s">
        <v>422</v>
      </c>
      <c r="CN88">
        <v>5.1100000000000003</v>
      </c>
      <c r="CO88" t="s">
        <v>199</v>
      </c>
      <c r="CP88" t="s">
        <v>422</v>
      </c>
      <c r="CQ88">
        <v>5.26</v>
      </c>
      <c r="CR88" t="s">
        <v>199</v>
      </c>
      <c r="CS88" t="s">
        <v>422</v>
      </c>
      <c r="CT88">
        <v>5.25</v>
      </c>
      <c r="CU88" t="s">
        <v>199</v>
      </c>
      <c r="CV88" t="s">
        <v>422</v>
      </c>
      <c r="CW88">
        <v>5.17</v>
      </c>
      <c r="CX88" t="s">
        <v>199</v>
      </c>
      <c r="CY88" t="s">
        <v>422</v>
      </c>
      <c r="CZ88">
        <v>5.12</v>
      </c>
      <c r="DA88" t="s">
        <v>199</v>
      </c>
      <c r="DB88" t="s">
        <v>422</v>
      </c>
      <c r="DC88">
        <v>5.89</v>
      </c>
      <c r="DD88" t="s">
        <v>199</v>
      </c>
      <c r="DE88" t="s">
        <v>422</v>
      </c>
      <c r="DF88">
        <v>6.21</v>
      </c>
      <c r="DG88" t="s">
        <v>199</v>
      </c>
      <c r="DH88" t="s">
        <v>422</v>
      </c>
      <c r="DI88">
        <v>6</v>
      </c>
      <c r="DJ88" t="s">
        <v>199</v>
      </c>
      <c r="DK88" t="s">
        <v>200</v>
      </c>
      <c r="DL88">
        <v>0.38</v>
      </c>
      <c r="DM88" t="s">
        <v>95</v>
      </c>
      <c r="DN88" t="s">
        <v>200</v>
      </c>
      <c r="DO88">
        <v>0.38</v>
      </c>
      <c r="DP88" t="s">
        <v>95</v>
      </c>
      <c r="DQ88" t="s">
        <v>200</v>
      </c>
      <c r="DR88">
        <v>0.4</v>
      </c>
      <c r="DS88" t="s">
        <v>95</v>
      </c>
      <c r="DT88" t="s">
        <v>201</v>
      </c>
      <c r="DU88">
        <v>0.28000000000000003</v>
      </c>
      <c r="DV88" t="s">
        <v>121</v>
      </c>
      <c r="DW88" t="s">
        <v>201</v>
      </c>
      <c r="DX88">
        <v>0.27</v>
      </c>
      <c r="DY88" t="s">
        <v>121</v>
      </c>
      <c r="DZ88" t="s">
        <v>201</v>
      </c>
      <c r="EA88">
        <v>0.27</v>
      </c>
      <c r="EB88" t="s">
        <v>121</v>
      </c>
      <c r="EC88" t="s">
        <v>201</v>
      </c>
      <c r="ED88">
        <v>0.26</v>
      </c>
      <c r="EE88" t="s">
        <v>121</v>
      </c>
      <c r="EF88" t="s">
        <v>201</v>
      </c>
      <c r="EG88">
        <v>0.24</v>
      </c>
      <c r="EH88" t="s">
        <v>121</v>
      </c>
      <c r="EI88" t="s">
        <v>201</v>
      </c>
      <c r="EJ88">
        <v>0.25</v>
      </c>
      <c r="EK88" t="s">
        <v>121</v>
      </c>
    </row>
    <row r="89" spans="1:141">
      <c r="A89" t="s">
        <v>422</v>
      </c>
      <c r="B89">
        <v>5.37</v>
      </c>
      <c r="C89" t="s">
        <v>199</v>
      </c>
      <c r="D89" t="s">
        <v>422</v>
      </c>
      <c r="E89">
        <v>5.31</v>
      </c>
      <c r="F89" t="s">
        <v>199</v>
      </c>
      <c r="G89" t="s">
        <v>200</v>
      </c>
      <c r="H89">
        <v>0.4</v>
      </c>
      <c r="I89" t="s">
        <v>95</v>
      </c>
      <c r="J89" t="s">
        <v>200</v>
      </c>
      <c r="K89">
        <v>0.4</v>
      </c>
      <c r="L89" t="s">
        <v>95</v>
      </c>
      <c r="M89" t="s">
        <v>200</v>
      </c>
      <c r="N89">
        <v>0.38</v>
      </c>
      <c r="O89" t="s">
        <v>95</v>
      </c>
      <c r="P89" t="s">
        <v>200</v>
      </c>
      <c r="Q89">
        <v>0.37</v>
      </c>
      <c r="R89" t="s">
        <v>95</v>
      </c>
      <c r="S89" t="s">
        <v>200</v>
      </c>
      <c r="T89">
        <v>0.38</v>
      </c>
      <c r="U89" t="s">
        <v>95</v>
      </c>
      <c r="V89" t="s">
        <v>200</v>
      </c>
      <c r="W89">
        <v>0.38</v>
      </c>
      <c r="X89" t="s">
        <v>95</v>
      </c>
      <c r="Y89" t="s">
        <v>200</v>
      </c>
      <c r="Z89">
        <v>0.38</v>
      </c>
      <c r="AA89" t="s">
        <v>95</v>
      </c>
      <c r="AB89" t="s">
        <v>200</v>
      </c>
      <c r="AC89">
        <v>0.38</v>
      </c>
      <c r="AD89" t="s">
        <v>95</v>
      </c>
      <c r="AE89" t="s">
        <v>200</v>
      </c>
      <c r="AF89">
        <v>0.37</v>
      </c>
      <c r="AG89" t="s">
        <v>95</v>
      </c>
      <c r="AH89" t="s">
        <v>200</v>
      </c>
      <c r="AI89">
        <v>0.38</v>
      </c>
      <c r="AJ89" t="s">
        <v>95</v>
      </c>
      <c r="AK89" t="s">
        <v>200</v>
      </c>
      <c r="AL89">
        <v>0.37</v>
      </c>
      <c r="AM89" t="s">
        <v>95</v>
      </c>
      <c r="AN89" t="s">
        <v>200</v>
      </c>
      <c r="AO89">
        <v>0.36</v>
      </c>
      <c r="AP89" t="s">
        <v>95</v>
      </c>
      <c r="AQ89" t="s">
        <v>200</v>
      </c>
      <c r="AR89">
        <v>0.37</v>
      </c>
      <c r="AS89" t="s">
        <v>95</v>
      </c>
      <c r="AT89" t="s">
        <v>200</v>
      </c>
      <c r="AU89">
        <v>0.39</v>
      </c>
      <c r="AV89" t="s">
        <v>95</v>
      </c>
      <c r="AW89" t="s">
        <v>200</v>
      </c>
      <c r="AX89">
        <v>0.39</v>
      </c>
      <c r="AY89" t="s">
        <v>95</v>
      </c>
      <c r="AZ89" t="s">
        <v>200</v>
      </c>
      <c r="BA89">
        <v>0.42</v>
      </c>
      <c r="BB89" t="s">
        <v>95</v>
      </c>
      <c r="BC89" t="s">
        <v>200</v>
      </c>
      <c r="BD89">
        <v>0.38</v>
      </c>
      <c r="BE89" t="s">
        <v>95</v>
      </c>
      <c r="BF89" t="s">
        <v>200</v>
      </c>
      <c r="BG89">
        <v>0.39</v>
      </c>
      <c r="BH89" t="s">
        <v>95</v>
      </c>
      <c r="BI89" t="s">
        <v>200</v>
      </c>
      <c r="BJ89">
        <v>0.39</v>
      </c>
      <c r="BK89" t="s">
        <v>95</v>
      </c>
      <c r="BL89" t="s">
        <v>200</v>
      </c>
      <c r="BM89">
        <v>0.41</v>
      </c>
      <c r="BN89" t="s">
        <v>95</v>
      </c>
      <c r="BO89" t="s">
        <v>200</v>
      </c>
      <c r="BP89">
        <v>0.43</v>
      </c>
      <c r="BQ89" t="s">
        <v>95</v>
      </c>
      <c r="BR89" t="s">
        <v>200</v>
      </c>
      <c r="BS89">
        <v>0.46</v>
      </c>
      <c r="BT89" t="s">
        <v>95</v>
      </c>
      <c r="BU89" t="s">
        <v>200</v>
      </c>
      <c r="BV89">
        <v>0.45</v>
      </c>
      <c r="BW89" t="s">
        <v>95</v>
      </c>
      <c r="BX89" t="s">
        <v>200</v>
      </c>
      <c r="BY89">
        <v>0.43</v>
      </c>
      <c r="BZ89" t="s">
        <v>95</v>
      </c>
      <c r="CA89" t="s">
        <v>200</v>
      </c>
      <c r="CB89">
        <v>0.43</v>
      </c>
      <c r="CC89" t="s">
        <v>95</v>
      </c>
      <c r="CD89" t="s">
        <v>200</v>
      </c>
      <c r="CE89">
        <v>0.42</v>
      </c>
      <c r="CF89" t="s">
        <v>95</v>
      </c>
      <c r="CG89" t="s">
        <v>200</v>
      </c>
      <c r="CH89">
        <v>0.43</v>
      </c>
      <c r="CI89" t="s">
        <v>95</v>
      </c>
      <c r="CJ89" t="s">
        <v>200</v>
      </c>
      <c r="CK89">
        <v>0.44</v>
      </c>
      <c r="CL89" t="s">
        <v>95</v>
      </c>
      <c r="CM89" t="s">
        <v>200</v>
      </c>
      <c r="CN89">
        <v>0.43</v>
      </c>
      <c r="CO89" t="s">
        <v>95</v>
      </c>
      <c r="CP89" t="s">
        <v>200</v>
      </c>
      <c r="CQ89">
        <v>0.42</v>
      </c>
      <c r="CR89" t="s">
        <v>95</v>
      </c>
      <c r="CS89" t="s">
        <v>200</v>
      </c>
      <c r="CT89">
        <v>0.41</v>
      </c>
      <c r="CU89" t="s">
        <v>95</v>
      </c>
      <c r="CV89" t="s">
        <v>200</v>
      </c>
      <c r="CW89">
        <v>0.4</v>
      </c>
      <c r="CX89" t="s">
        <v>95</v>
      </c>
      <c r="CY89" t="s">
        <v>200</v>
      </c>
      <c r="CZ89">
        <v>0.42</v>
      </c>
      <c r="DA89" t="s">
        <v>95</v>
      </c>
      <c r="DB89" t="s">
        <v>200</v>
      </c>
      <c r="DC89">
        <v>0.4</v>
      </c>
      <c r="DD89" t="s">
        <v>95</v>
      </c>
      <c r="DE89" t="s">
        <v>200</v>
      </c>
      <c r="DF89">
        <v>0.41</v>
      </c>
      <c r="DG89" t="s">
        <v>95</v>
      </c>
      <c r="DH89" t="s">
        <v>200</v>
      </c>
      <c r="DI89">
        <v>0.4</v>
      </c>
      <c r="DJ89" t="s">
        <v>95</v>
      </c>
      <c r="DK89" t="s">
        <v>670</v>
      </c>
      <c r="DL89">
        <v>17</v>
      </c>
      <c r="DM89" t="s">
        <v>698</v>
      </c>
      <c r="DN89" t="s">
        <v>670</v>
      </c>
      <c r="DO89">
        <v>16</v>
      </c>
      <c r="DP89" t="s">
        <v>698</v>
      </c>
      <c r="DQ89" t="s">
        <v>670</v>
      </c>
      <c r="DR89">
        <v>12.89</v>
      </c>
      <c r="DS89" t="s">
        <v>698</v>
      </c>
      <c r="DT89" t="s">
        <v>392</v>
      </c>
      <c r="DU89">
        <v>26.87</v>
      </c>
      <c r="DV89" t="s">
        <v>202</v>
      </c>
      <c r="DW89" t="s">
        <v>392</v>
      </c>
      <c r="DX89">
        <v>25.5</v>
      </c>
      <c r="DY89" t="s">
        <v>202</v>
      </c>
      <c r="DZ89" t="s">
        <v>392</v>
      </c>
      <c r="EA89">
        <v>25.7</v>
      </c>
      <c r="EB89" t="s">
        <v>202</v>
      </c>
      <c r="EC89" t="s">
        <v>392</v>
      </c>
      <c r="ED89">
        <v>25.83</v>
      </c>
      <c r="EE89" t="s">
        <v>202</v>
      </c>
      <c r="EF89" t="s">
        <v>392</v>
      </c>
      <c r="EG89">
        <v>24.9</v>
      </c>
      <c r="EH89" t="s">
        <v>202</v>
      </c>
      <c r="EI89" t="s">
        <v>392</v>
      </c>
      <c r="EJ89">
        <v>26.6</v>
      </c>
      <c r="EK89" t="s">
        <v>202</v>
      </c>
    </row>
    <row r="90" spans="1:141">
      <c r="A90" t="s">
        <v>200</v>
      </c>
      <c r="B90">
        <v>0.41</v>
      </c>
      <c r="C90" t="s">
        <v>95</v>
      </c>
      <c r="D90" t="s">
        <v>200</v>
      </c>
      <c r="E90">
        <v>0.4</v>
      </c>
      <c r="F90" t="s">
        <v>95</v>
      </c>
      <c r="G90" t="s">
        <v>670</v>
      </c>
      <c r="H90">
        <v>11.5</v>
      </c>
      <c r="I90" t="s">
        <v>698</v>
      </c>
      <c r="J90" t="s">
        <v>670</v>
      </c>
      <c r="K90">
        <v>11.5</v>
      </c>
      <c r="L90" t="s">
        <v>698</v>
      </c>
      <c r="M90" t="s">
        <v>670</v>
      </c>
      <c r="N90">
        <v>10</v>
      </c>
      <c r="O90" t="s">
        <v>698</v>
      </c>
      <c r="P90" t="s">
        <v>670</v>
      </c>
      <c r="Q90">
        <v>10</v>
      </c>
      <c r="R90" t="s">
        <v>698</v>
      </c>
      <c r="S90" t="s">
        <v>670</v>
      </c>
      <c r="T90">
        <v>10.050000000000001</v>
      </c>
      <c r="U90" t="s">
        <v>698</v>
      </c>
      <c r="V90" t="s">
        <v>670</v>
      </c>
      <c r="W90">
        <v>10.050000000000001</v>
      </c>
      <c r="X90" t="s">
        <v>698</v>
      </c>
      <c r="Y90" t="s">
        <v>670</v>
      </c>
      <c r="Z90">
        <v>10.050000000000001</v>
      </c>
      <c r="AA90" t="s">
        <v>698</v>
      </c>
      <c r="AB90" t="s">
        <v>670</v>
      </c>
      <c r="AC90">
        <v>11</v>
      </c>
      <c r="AD90" t="s">
        <v>698</v>
      </c>
      <c r="AE90" t="s">
        <v>670</v>
      </c>
      <c r="AF90">
        <v>11</v>
      </c>
      <c r="AG90" t="s">
        <v>698</v>
      </c>
      <c r="AH90" t="s">
        <v>670</v>
      </c>
      <c r="AI90">
        <v>11</v>
      </c>
      <c r="AJ90" t="s">
        <v>698</v>
      </c>
      <c r="AK90" t="s">
        <v>670</v>
      </c>
      <c r="AL90">
        <v>11</v>
      </c>
      <c r="AM90" t="s">
        <v>698</v>
      </c>
      <c r="AN90" t="s">
        <v>670</v>
      </c>
      <c r="AO90">
        <v>7.71</v>
      </c>
      <c r="AP90" t="s">
        <v>698</v>
      </c>
      <c r="AQ90" t="s">
        <v>670</v>
      </c>
      <c r="AR90">
        <v>8.91</v>
      </c>
      <c r="AS90" t="s">
        <v>698</v>
      </c>
      <c r="AT90" t="s">
        <v>670</v>
      </c>
      <c r="AU90">
        <v>8.91</v>
      </c>
      <c r="AV90" t="s">
        <v>698</v>
      </c>
      <c r="AW90" t="s">
        <v>670</v>
      </c>
      <c r="AX90">
        <v>10</v>
      </c>
      <c r="AY90" t="s">
        <v>698</v>
      </c>
      <c r="AZ90" t="s">
        <v>670</v>
      </c>
      <c r="BA90">
        <v>10.3</v>
      </c>
      <c r="BB90" t="s">
        <v>698</v>
      </c>
      <c r="BC90" t="s">
        <v>670</v>
      </c>
      <c r="BD90">
        <v>11.01</v>
      </c>
      <c r="BE90" t="s">
        <v>698</v>
      </c>
      <c r="BF90" t="s">
        <v>670</v>
      </c>
      <c r="BG90">
        <v>10.029999999999999</v>
      </c>
      <c r="BH90" t="s">
        <v>698</v>
      </c>
      <c r="BI90" t="s">
        <v>670</v>
      </c>
      <c r="BJ90">
        <v>10.029999999999999</v>
      </c>
      <c r="BK90" t="s">
        <v>698</v>
      </c>
      <c r="BL90" t="s">
        <v>670</v>
      </c>
      <c r="BM90">
        <v>10</v>
      </c>
      <c r="BN90" t="s">
        <v>698</v>
      </c>
      <c r="BO90" t="s">
        <v>670</v>
      </c>
      <c r="BP90">
        <v>10</v>
      </c>
      <c r="BQ90" t="s">
        <v>698</v>
      </c>
      <c r="BR90" t="s">
        <v>670</v>
      </c>
      <c r="BS90">
        <v>10</v>
      </c>
      <c r="BT90" t="s">
        <v>698</v>
      </c>
      <c r="BU90" t="s">
        <v>670</v>
      </c>
      <c r="BV90">
        <v>12</v>
      </c>
      <c r="BW90" t="s">
        <v>698</v>
      </c>
      <c r="BX90" t="s">
        <v>670</v>
      </c>
      <c r="BY90">
        <v>12</v>
      </c>
      <c r="BZ90" t="s">
        <v>698</v>
      </c>
      <c r="CA90" t="s">
        <v>670</v>
      </c>
      <c r="CB90">
        <v>11</v>
      </c>
      <c r="CC90" t="s">
        <v>698</v>
      </c>
      <c r="CD90" t="s">
        <v>670</v>
      </c>
      <c r="CE90">
        <v>11</v>
      </c>
      <c r="CF90" t="s">
        <v>698</v>
      </c>
      <c r="CG90" t="s">
        <v>670</v>
      </c>
      <c r="CH90">
        <v>11</v>
      </c>
      <c r="CI90" t="s">
        <v>698</v>
      </c>
      <c r="CJ90" t="s">
        <v>670</v>
      </c>
      <c r="CK90">
        <v>10.02</v>
      </c>
      <c r="CL90" t="s">
        <v>698</v>
      </c>
      <c r="CM90" t="s">
        <v>670</v>
      </c>
      <c r="CN90">
        <v>10.02</v>
      </c>
      <c r="CO90" t="s">
        <v>698</v>
      </c>
      <c r="CP90" t="s">
        <v>670</v>
      </c>
      <c r="CQ90">
        <v>10.95</v>
      </c>
      <c r="CR90" t="s">
        <v>698</v>
      </c>
      <c r="CS90" t="s">
        <v>670</v>
      </c>
      <c r="CT90">
        <v>10</v>
      </c>
      <c r="CU90" t="s">
        <v>698</v>
      </c>
      <c r="CV90" t="s">
        <v>670</v>
      </c>
      <c r="CW90">
        <v>10.11</v>
      </c>
      <c r="CX90" t="s">
        <v>698</v>
      </c>
      <c r="CY90" t="s">
        <v>670</v>
      </c>
      <c r="CZ90">
        <v>10.11</v>
      </c>
      <c r="DA90" t="s">
        <v>698</v>
      </c>
      <c r="DB90" t="s">
        <v>670</v>
      </c>
      <c r="DC90">
        <v>10</v>
      </c>
      <c r="DD90" t="s">
        <v>698</v>
      </c>
      <c r="DE90" t="s">
        <v>670</v>
      </c>
      <c r="DF90">
        <v>10</v>
      </c>
      <c r="DG90" t="s">
        <v>698</v>
      </c>
      <c r="DH90" t="s">
        <v>670</v>
      </c>
      <c r="DI90">
        <v>17</v>
      </c>
      <c r="DJ90" t="s">
        <v>698</v>
      </c>
      <c r="DK90" t="s">
        <v>201</v>
      </c>
      <c r="DL90">
        <v>0.26</v>
      </c>
      <c r="DM90" t="s">
        <v>121</v>
      </c>
      <c r="DN90" t="s">
        <v>201</v>
      </c>
      <c r="DO90">
        <v>0.26</v>
      </c>
      <c r="DP90" t="s">
        <v>121</v>
      </c>
      <c r="DQ90" t="s">
        <v>201</v>
      </c>
      <c r="DR90">
        <v>0.28000000000000003</v>
      </c>
      <c r="DS90" t="s">
        <v>121</v>
      </c>
      <c r="DT90" t="s">
        <v>404</v>
      </c>
      <c r="DU90">
        <v>2.73</v>
      </c>
      <c r="DV90" t="s">
        <v>54</v>
      </c>
      <c r="DW90" t="s">
        <v>404</v>
      </c>
      <c r="DX90">
        <v>2.7</v>
      </c>
      <c r="DY90" t="s">
        <v>54</v>
      </c>
      <c r="DZ90" t="s">
        <v>404</v>
      </c>
      <c r="EA90">
        <v>2.73</v>
      </c>
      <c r="EB90" t="s">
        <v>54</v>
      </c>
      <c r="EC90" t="s">
        <v>404</v>
      </c>
      <c r="ED90">
        <v>2.77</v>
      </c>
      <c r="EE90" t="s">
        <v>54</v>
      </c>
      <c r="EF90" t="s">
        <v>404</v>
      </c>
      <c r="EG90">
        <v>2.73</v>
      </c>
      <c r="EH90" t="s">
        <v>54</v>
      </c>
      <c r="EI90" t="s">
        <v>404</v>
      </c>
      <c r="EJ90">
        <v>2.86</v>
      </c>
      <c r="EK90" t="s">
        <v>54</v>
      </c>
    </row>
    <row r="91" spans="1:141">
      <c r="A91" t="s">
        <v>670</v>
      </c>
      <c r="B91">
        <v>11.5</v>
      </c>
      <c r="C91" t="s">
        <v>698</v>
      </c>
      <c r="D91" t="s">
        <v>670</v>
      </c>
      <c r="E91">
        <v>11.5</v>
      </c>
      <c r="F91" t="s">
        <v>698</v>
      </c>
      <c r="G91" t="s">
        <v>201</v>
      </c>
      <c r="H91">
        <v>0.25</v>
      </c>
      <c r="I91" t="s">
        <v>121</v>
      </c>
      <c r="J91" t="s">
        <v>201</v>
      </c>
      <c r="K91">
        <v>0.26</v>
      </c>
      <c r="L91" t="s">
        <v>121</v>
      </c>
      <c r="M91" t="s">
        <v>201</v>
      </c>
      <c r="N91">
        <v>0.24</v>
      </c>
      <c r="O91" t="s">
        <v>121</v>
      </c>
      <c r="P91" t="s">
        <v>201</v>
      </c>
      <c r="Q91">
        <v>0.24</v>
      </c>
      <c r="R91" t="s">
        <v>121</v>
      </c>
      <c r="S91" t="s">
        <v>201</v>
      </c>
      <c r="T91">
        <v>0.24</v>
      </c>
      <c r="U91" t="s">
        <v>121</v>
      </c>
      <c r="V91" t="s">
        <v>201</v>
      </c>
      <c r="W91">
        <v>0.23</v>
      </c>
      <c r="X91" t="s">
        <v>121</v>
      </c>
      <c r="Y91" t="s">
        <v>201</v>
      </c>
      <c r="Z91">
        <v>0.24</v>
      </c>
      <c r="AA91" t="s">
        <v>121</v>
      </c>
      <c r="AB91" t="s">
        <v>201</v>
      </c>
      <c r="AC91">
        <v>0.24</v>
      </c>
      <c r="AD91" t="s">
        <v>121</v>
      </c>
      <c r="AE91" t="s">
        <v>201</v>
      </c>
      <c r="AF91">
        <v>0.23</v>
      </c>
      <c r="AG91" t="s">
        <v>121</v>
      </c>
      <c r="AH91" t="s">
        <v>201</v>
      </c>
      <c r="AI91">
        <v>0.24</v>
      </c>
      <c r="AJ91" t="s">
        <v>121</v>
      </c>
      <c r="AK91" t="s">
        <v>201</v>
      </c>
      <c r="AL91">
        <v>0.23</v>
      </c>
      <c r="AM91" t="s">
        <v>121</v>
      </c>
      <c r="AN91" t="s">
        <v>201</v>
      </c>
      <c r="AO91">
        <v>0.22</v>
      </c>
      <c r="AP91" t="s">
        <v>121</v>
      </c>
      <c r="AQ91" t="s">
        <v>201</v>
      </c>
      <c r="AR91">
        <v>0.23</v>
      </c>
      <c r="AS91" t="s">
        <v>121</v>
      </c>
      <c r="AT91" t="s">
        <v>201</v>
      </c>
      <c r="AU91">
        <v>0.23</v>
      </c>
      <c r="AV91" t="s">
        <v>121</v>
      </c>
      <c r="AW91" t="s">
        <v>201</v>
      </c>
      <c r="AX91">
        <v>0.24</v>
      </c>
      <c r="AY91" t="s">
        <v>121</v>
      </c>
      <c r="AZ91" t="s">
        <v>201</v>
      </c>
      <c r="BA91">
        <v>0.24</v>
      </c>
      <c r="BB91" t="s">
        <v>121</v>
      </c>
      <c r="BC91" t="s">
        <v>201</v>
      </c>
      <c r="BD91">
        <v>0.23</v>
      </c>
      <c r="BE91" t="s">
        <v>121</v>
      </c>
      <c r="BF91" t="s">
        <v>201</v>
      </c>
      <c r="BG91">
        <v>0.28000000000000003</v>
      </c>
      <c r="BH91" t="s">
        <v>121</v>
      </c>
      <c r="BI91" t="s">
        <v>201</v>
      </c>
      <c r="BJ91">
        <v>0.32</v>
      </c>
      <c r="BK91" t="s">
        <v>121</v>
      </c>
      <c r="BL91" t="s">
        <v>201</v>
      </c>
      <c r="BM91">
        <v>0.32</v>
      </c>
      <c r="BN91" t="s">
        <v>121</v>
      </c>
      <c r="BO91" t="s">
        <v>201</v>
      </c>
      <c r="BP91">
        <v>0.3</v>
      </c>
      <c r="BQ91" t="s">
        <v>121</v>
      </c>
      <c r="BR91" t="s">
        <v>201</v>
      </c>
      <c r="BS91">
        <v>0.3</v>
      </c>
      <c r="BT91" t="s">
        <v>121</v>
      </c>
      <c r="BU91" t="s">
        <v>201</v>
      </c>
      <c r="BV91">
        <v>0.3</v>
      </c>
      <c r="BW91" t="s">
        <v>121</v>
      </c>
      <c r="BX91" t="s">
        <v>201</v>
      </c>
      <c r="BY91">
        <v>0.28999999999999998</v>
      </c>
      <c r="BZ91" t="s">
        <v>121</v>
      </c>
      <c r="CA91" t="s">
        <v>201</v>
      </c>
      <c r="CB91">
        <v>0.28999999999999998</v>
      </c>
      <c r="CC91" t="s">
        <v>121</v>
      </c>
      <c r="CD91" t="s">
        <v>201</v>
      </c>
      <c r="CE91">
        <v>0.28999999999999998</v>
      </c>
      <c r="CF91" t="s">
        <v>121</v>
      </c>
      <c r="CG91" t="s">
        <v>201</v>
      </c>
      <c r="CH91">
        <v>0.32</v>
      </c>
      <c r="CI91" t="s">
        <v>121</v>
      </c>
      <c r="CJ91" t="s">
        <v>201</v>
      </c>
      <c r="CK91">
        <v>0.3</v>
      </c>
      <c r="CL91" t="s">
        <v>121</v>
      </c>
      <c r="CM91" t="s">
        <v>201</v>
      </c>
      <c r="CN91">
        <v>0.28999999999999998</v>
      </c>
      <c r="CO91" t="s">
        <v>121</v>
      </c>
      <c r="CP91" t="s">
        <v>201</v>
      </c>
      <c r="CQ91">
        <v>0.28999999999999998</v>
      </c>
      <c r="CR91" t="s">
        <v>121</v>
      </c>
      <c r="CS91" t="s">
        <v>201</v>
      </c>
      <c r="CT91">
        <v>0.28000000000000003</v>
      </c>
      <c r="CU91" t="s">
        <v>121</v>
      </c>
      <c r="CV91" t="s">
        <v>201</v>
      </c>
      <c r="CW91">
        <v>0.28000000000000003</v>
      </c>
      <c r="CX91" t="s">
        <v>121</v>
      </c>
      <c r="CY91" t="s">
        <v>201</v>
      </c>
      <c r="CZ91">
        <v>0.28000000000000003</v>
      </c>
      <c r="DA91" t="s">
        <v>121</v>
      </c>
      <c r="DB91" t="s">
        <v>201</v>
      </c>
      <c r="DC91">
        <v>0.28999999999999998</v>
      </c>
      <c r="DD91" t="s">
        <v>121</v>
      </c>
      <c r="DE91" t="s">
        <v>201</v>
      </c>
      <c r="DF91">
        <v>0.28000000000000003</v>
      </c>
      <c r="DG91" t="s">
        <v>121</v>
      </c>
      <c r="DH91" t="s">
        <v>201</v>
      </c>
      <c r="DI91">
        <v>0.28000000000000003</v>
      </c>
      <c r="DJ91" t="s">
        <v>121</v>
      </c>
      <c r="DK91" t="s">
        <v>392</v>
      </c>
      <c r="DL91">
        <v>28.25</v>
      </c>
      <c r="DM91" t="s">
        <v>202</v>
      </c>
      <c r="DN91" t="s">
        <v>392</v>
      </c>
      <c r="DO91">
        <v>27.61</v>
      </c>
      <c r="DP91" t="s">
        <v>202</v>
      </c>
      <c r="DQ91" t="s">
        <v>392</v>
      </c>
      <c r="DR91">
        <v>27.7</v>
      </c>
      <c r="DS91" t="s">
        <v>202</v>
      </c>
      <c r="DT91" t="s">
        <v>203</v>
      </c>
      <c r="DU91">
        <v>2.4</v>
      </c>
      <c r="DV91" t="s">
        <v>55</v>
      </c>
      <c r="DW91" t="s">
        <v>203</v>
      </c>
      <c r="DX91">
        <v>2.33</v>
      </c>
      <c r="DY91" t="s">
        <v>55</v>
      </c>
      <c r="DZ91" t="s">
        <v>203</v>
      </c>
      <c r="EA91">
        <v>2.34</v>
      </c>
      <c r="EB91" t="s">
        <v>55</v>
      </c>
      <c r="EC91" t="s">
        <v>203</v>
      </c>
      <c r="ED91">
        <v>2.2799999999999998</v>
      </c>
      <c r="EE91" t="s">
        <v>55</v>
      </c>
      <c r="EF91" t="s">
        <v>203</v>
      </c>
      <c r="EG91">
        <v>2.09</v>
      </c>
      <c r="EH91" t="s">
        <v>55</v>
      </c>
      <c r="EI91" t="s">
        <v>203</v>
      </c>
      <c r="EJ91">
        <v>2.1800000000000002</v>
      </c>
      <c r="EK91" t="s">
        <v>55</v>
      </c>
    </row>
    <row r="92" spans="1:141">
      <c r="A92" t="s">
        <v>201</v>
      </c>
      <c r="B92">
        <v>0.24</v>
      </c>
      <c r="C92" t="s">
        <v>121</v>
      </c>
      <c r="D92" t="s">
        <v>201</v>
      </c>
      <c r="E92">
        <v>0.25</v>
      </c>
      <c r="F92" t="s">
        <v>121</v>
      </c>
      <c r="G92" t="s">
        <v>392</v>
      </c>
      <c r="H92">
        <v>30.7</v>
      </c>
      <c r="I92" t="s">
        <v>202</v>
      </c>
      <c r="J92" t="s">
        <v>392</v>
      </c>
      <c r="K92">
        <v>30.66</v>
      </c>
      <c r="L92" t="s">
        <v>202</v>
      </c>
      <c r="M92" t="s">
        <v>392</v>
      </c>
      <c r="N92">
        <v>30.26</v>
      </c>
      <c r="O92" t="s">
        <v>202</v>
      </c>
      <c r="P92" t="s">
        <v>392</v>
      </c>
      <c r="Q92">
        <v>0.79</v>
      </c>
      <c r="R92" t="s">
        <v>202</v>
      </c>
      <c r="S92" t="s">
        <v>392</v>
      </c>
      <c r="T92">
        <v>30.3</v>
      </c>
      <c r="U92" t="s">
        <v>202</v>
      </c>
      <c r="V92" t="s">
        <v>392</v>
      </c>
      <c r="W92">
        <v>30.61</v>
      </c>
      <c r="X92" t="s">
        <v>202</v>
      </c>
      <c r="Y92" t="s">
        <v>392</v>
      </c>
      <c r="Z92">
        <v>31.4</v>
      </c>
      <c r="AA92" t="s">
        <v>202</v>
      </c>
      <c r="AB92" t="s">
        <v>392</v>
      </c>
      <c r="AC92">
        <v>30.82</v>
      </c>
      <c r="AD92" t="s">
        <v>202</v>
      </c>
      <c r="AE92" t="s">
        <v>392</v>
      </c>
      <c r="AF92">
        <v>31</v>
      </c>
      <c r="AG92" t="s">
        <v>202</v>
      </c>
      <c r="AH92" t="s">
        <v>392</v>
      </c>
      <c r="AI92">
        <v>30.67</v>
      </c>
      <c r="AJ92" t="s">
        <v>202</v>
      </c>
      <c r="AK92" t="s">
        <v>392</v>
      </c>
      <c r="AL92">
        <v>30.2</v>
      </c>
      <c r="AM92" t="s">
        <v>202</v>
      </c>
      <c r="AN92" t="s">
        <v>392</v>
      </c>
      <c r="AO92">
        <v>32</v>
      </c>
      <c r="AP92" t="s">
        <v>202</v>
      </c>
      <c r="AQ92" t="s">
        <v>392</v>
      </c>
      <c r="AR92">
        <v>32.61</v>
      </c>
      <c r="AS92" t="s">
        <v>202</v>
      </c>
      <c r="AT92" t="s">
        <v>392</v>
      </c>
      <c r="AU92">
        <v>32.33</v>
      </c>
      <c r="AV92" t="s">
        <v>202</v>
      </c>
      <c r="AW92" t="s">
        <v>392</v>
      </c>
      <c r="AX92">
        <v>32.9</v>
      </c>
      <c r="AY92" t="s">
        <v>202</v>
      </c>
      <c r="AZ92" t="s">
        <v>392</v>
      </c>
      <c r="BA92">
        <v>31.7</v>
      </c>
      <c r="BB92" t="s">
        <v>202</v>
      </c>
      <c r="BC92" t="s">
        <v>392</v>
      </c>
      <c r="BD92">
        <v>30.59</v>
      </c>
      <c r="BE92" t="s">
        <v>202</v>
      </c>
      <c r="BF92" t="s">
        <v>392</v>
      </c>
      <c r="BG92">
        <v>30.16</v>
      </c>
      <c r="BH92" t="s">
        <v>202</v>
      </c>
      <c r="BI92" t="s">
        <v>392</v>
      </c>
      <c r="BJ92">
        <v>30.3</v>
      </c>
      <c r="BK92" t="s">
        <v>202</v>
      </c>
      <c r="BL92" t="s">
        <v>392</v>
      </c>
      <c r="BM92">
        <v>30.15</v>
      </c>
      <c r="BN92" t="s">
        <v>202</v>
      </c>
      <c r="BO92" t="s">
        <v>392</v>
      </c>
      <c r="BP92">
        <v>29.95</v>
      </c>
      <c r="BQ92" t="s">
        <v>202</v>
      </c>
      <c r="BR92" t="s">
        <v>392</v>
      </c>
      <c r="BS92">
        <v>30.3</v>
      </c>
      <c r="BT92" t="s">
        <v>202</v>
      </c>
      <c r="BU92" t="s">
        <v>392</v>
      </c>
      <c r="BV92">
        <v>30.34</v>
      </c>
      <c r="BW92" t="s">
        <v>202</v>
      </c>
      <c r="BX92" t="s">
        <v>392</v>
      </c>
      <c r="BY92">
        <v>31.6</v>
      </c>
      <c r="BZ92" t="s">
        <v>202</v>
      </c>
      <c r="CA92" t="s">
        <v>392</v>
      </c>
      <c r="CB92">
        <v>31.4</v>
      </c>
      <c r="CC92" t="s">
        <v>202</v>
      </c>
      <c r="CD92" t="s">
        <v>392</v>
      </c>
      <c r="CE92">
        <v>32.020000000000003</v>
      </c>
      <c r="CF92" t="s">
        <v>202</v>
      </c>
      <c r="CG92" t="s">
        <v>392</v>
      </c>
      <c r="CH92">
        <v>31.2</v>
      </c>
      <c r="CI92" t="s">
        <v>202</v>
      </c>
      <c r="CJ92" t="s">
        <v>392</v>
      </c>
      <c r="CK92">
        <v>31.04</v>
      </c>
      <c r="CL92" t="s">
        <v>202</v>
      </c>
      <c r="CM92" t="s">
        <v>392</v>
      </c>
      <c r="CN92">
        <v>30.59</v>
      </c>
      <c r="CO92" t="s">
        <v>202</v>
      </c>
      <c r="CP92" t="s">
        <v>392</v>
      </c>
      <c r="CQ92">
        <v>30.11</v>
      </c>
      <c r="CR92" t="s">
        <v>202</v>
      </c>
      <c r="CS92" t="s">
        <v>392</v>
      </c>
      <c r="CT92">
        <v>30.88</v>
      </c>
      <c r="CU92" t="s">
        <v>202</v>
      </c>
      <c r="CV92" t="s">
        <v>392</v>
      </c>
      <c r="CW92">
        <v>30.29</v>
      </c>
      <c r="CX92" t="s">
        <v>202</v>
      </c>
      <c r="CY92" t="s">
        <v>392</v>
      </c>
      <c r="CZ92">
        <v>29.98</v>
      </c>
      <c r="DA92" t="s">
        <v>202</v>
      </c>
      <c r="DB92" t="s">
        <v>392</v>
      </c>
      <c r="DC92">
        <v>30.41</v>
      </c>
      <c r="DD92" t="s">
        <v>202</v>
      </c>
      <c r="DE92" t="s">
        <v>392</v>
      </c>
      <c r="DF92">
        <v>30.15</v>
      </c>
      <c r="DG92" t="s">
        <v>202</v>
      </c>
      <c r="DH92" t="s">
        <v>392</v>
      </c>
      <c r="DI92">
        <v>28.96</v>
      </c>
      <c r="DJ92" t="s">
        <v>202</v>
      </c>
      <c r="DK92" t="s">
        <v>404</v>
      </c>
      <c r="DL92">
        <v>2.7</v>
      </c>
      <c r="DM92" t="s">
        <v>54</v>
      </c>
      <c r="DN92" t="s">
        <v>404</v>
      </c>
      <c r="DO92">
        <v>2.67</v>
      </c>
      <c r="DP92" t="s">
        <v>54</v>
      </c>
      <c r="DQ92" t="s">
        <v>404</v>
      </c>
      <c r="DR92">
        <v>2.81</v>
      </c>
      <c r="DS92" t="s">
        <v>54</v>
      </c>
      <c r="DT92" t="s">
        <v>413</v>
      </c>
      <c r="DU92">
        <v>40.520000000000003</v>
      </c>
      <c r="DV92" t="s">
        <v>139</v>
      </c>
      <c r="DW92" t="s">
        <v>413</v>
      </c>
      <c r="DX92">
        <v>40</v>
      </c>
      <c r="DY92" t="s">
        <v>139</v>
      </c>
      <c r="DZ92" t="s">
        <v>413</v>
      </c>
      <c r="EA92">
        <v>40.450000000000003</v>
      </c>
      <c r="EB92" t="s">
        <v>139</v>
      </c>
      <c r="EC92" t="s">
        <v>413</v>
      </c>
      <c r="ED92">
        <v>39.53</v>
      </c>
      <c r="EE92" t="s">
        <v>139</v>
      </c>
      <c r="EF92" t="s">
        <v>413</v>
      </c>
      <c r="EG92">
        <v>34.049999999999997</v>
      </c>
      <c r="EH92" t="s">
        <v>139</v>
      </c>
      <c r="EI92" t="s">
        <v>413</v>
      </c>
      <c r="EJ92">
        <v>34.9</v>
      </c>
      <c r="EK92" t="s">
        <v>139</v>
      </c>
    </row>
    <row r="93" spans="1:141">
      <c r="A93" t="s">
        <v>392</v>
      </c>
      <c r="B93">
        <v>31.8</v>
      </c>
      <c r="C93" t="s">
        <v>202</v>
      </c>
      <c r="D93" t="s">
        <v>392</v>
      </c>
      <c r="E93">
        <v>31</v>
      </c>
      <c r="F93" t="s">
        <v>202</v>
      </c>
      <c r="G93" t="s">
        <v>404</v>
      </c>
      <c r="H93">
        <v>2.81</v>
      </c>
      <c r="I93" t="s">
        <v>54</v>
      </c>
      <c r="J93" t="s">
        <v>404</v>
      </c>
      <c r="K93">
        <v>2.79</v>
      </c>
      <c r="L93" t="s">
        <v>54</v>
      </c>
      <c r="M93" t="s">
        <v>404</v>
      </c>
      <c r="N93">
        <v>2.71</v>
      </c>
      <c r="O93" t="s">
        <v>54</v>
      </c>
      <c r="P93" t="s">
        <v>392</v>
      </c>
      <c r="Q93">
        <v>30.39</v>
      </c>
      <c r="R93" t="s">
        <v>202</v>
      </c>
      <c r="S93" t="s">
        <v>404</v>
      </c>
      <c r="T93">
        <v>2.7</v>
      </c>
      <c r="U93" t="s">
        <v>54</v>
      </c>
      <c r="V93" t="s">
        <v>404</v>
      </c>
      <c r="W93">
        <v>2.74</v>
      </c>
      <c r="X93" t="s">
        <v>54</v>
      </c>
      <c r="Y93" t="s">
        <v>404</v>
      </c>
      <c r="Z93">
        <v>2.77</v>
      </c>
      <c r="AA93" t="s">
        <v>54</v>
      </c>
      <c r="AB93" t="s">
        <v>404</v>
      </c>
      <c r="AC93">
        <v>2.78</v>
      </c>
      <c r="AD93" t="s">
        <v>54</v>
      </c>
      <c r="AE93" t="s">
        <v>404</v>
      </c>
      <c r="AF93">
        <v>2.74</v>
      </c>
      <c r="AG93" t="s">
        <v>54</v>
      </c>
      <c r="AH93" t="s">
        <v>404</v>
      </c>
      <c r="AI93">
        <v>2.72</v>
      </c>
      <c r="AJ93" t="s">
        <v>54</v>
      </c>
      <c r="AK93" t="s">
        <v>404</v>
      </c>
      <c r="AL93">
        <v>2.67</v>
      </c>
      <c r="AM93" t="s">
        <v>54</v>
      </c>
      <c r="AN93" t="s">
        <v>404</v>
      </c>
      <c r="AO93">
        <v>2.61</v>
      </c>
      <c r="AP93" t="s">
        <v>54</v>
      </c>
      <c r="AQ93" t="s">
        <v>404</v>
      </c>
      <c r="AR93">
        <v>2.7</v>
      </c>
      <c r="AS93" t="s">
        <v>54</v>
      </c>
      <c r="AT93" t="s">
        <v>404</v>
      </c>
      <c r="AU93">
        <v>2.74</v>
      </c>
      <c r="AV93" t="s">
        <v>54</v>
      </c>
      <c r="AW93" t="s">
        <v>404</v>
      </c>
      <c r="AX93">
        <v>2.72</v>
      </c>
      <c r="AY93" t="s">
        <v>54</v>
      </c>
      <c r="AZ93" t="s">
        <v>404</v>
      </c>
      <c r="BA93">
        <v>2.71</v>
      </c>
      <c r="BB93" t="s">
        <v>54</v>
      </c>
      <c r="BC93" t="s">
        <v>404</v>
      </c>
      <c r="BD93">
        <v>2.64</v>
      </c>
      <c r="BE93" t="s">
        <v>54</v>
      </c>
      <c r="BF93" t="s">
        <v>404</v>
      </c>
      <c r="BG93">
        <v>2.63</v>
      </c>
      <c r="BH93" t="s">
        <v>54</v>
      </c>
      <c r="BI93" t="s">
        <v>404</v>
      </c>
      <c r="BJ93">
        <v>2.63</v>
      </c>
      <c r="BK93" t="s">
        <v>54</v>
      </c>
      <c r="BL93" t="s">
        <v>404</v>
      </c>
      <c r="BM93">
        <v>2.56</v>
      </c>
      <c r="BN93" t="s">
        <v>54</v>
      </c>
      <c r="BO93" t="s">
        <v>404</v>
      </c>
      <c r="BP93">
        <v>2.58</v>
      </c>
      <c r="BQ93" t="s">
        <v>54</v>
      </c>
      <c r="BR93" t="s">
        <v>404</v>
      </c>
      <c r="BS93">
        <v>2.62</v>
      </c>
      <c r="BT93" t="s">
        <v>54</v>
      </c>
      <c r="BU93" t="s">
        <v>404</v>
      </c>
      <c r="BV93">
        <v>2.63</v>
      </c>
      <c r="BW93" t="s">
        <v>54</v>
      </c>
      <c r="BX93" t="s">
        <v>404</v>
      </c>
      <c r="BY93">
        <v>2.63</v>
      </c>
      <c r="BZ93" t="s">
        <v>54</v>
      </c>
      <c r="CA93" t="s">
        <v>392</v>
      </c>
      <c r="CB93">
        <v>0.79</v>
      </c>
      <c r="CC93" t="s">
        <v>202</v>
      </c>
      <c r="CD93" t="s">
        <v>404</v>
      </c>
      <c r="CE93">
        <v>2.63</v>
      </c>
      <c r="CF93" t="s">
        <v>54</v>
      </c>
      <c r="CG93" t="s">
        <v>404</v>
      </c>
      <c r="CH93">
        <v>2.63</v>
      </c>
      <c r="CI93" t="s">
        <v>54</v>
      </c>
      <c r="CJ93" t="s">
        <v>404</v>
      </c>
      <c r="CK93">
        <v>2.62</v>
      </c>
      <c r="CL93" t="s">
        <v>54</v>
      </c>
      <c r="CM93" t="s">
        <v>404</v>
      </c>
      <c r="CN93">
        <v>2.61</v>
      </c>
      <c r="CO93" t="s">
        <v>54</v>
      </c>
      <c r="CP93" t="s">
        <v>404</v>
      </c>
      <c r="CQ93">
        <v>2.72</v>
      </c>
      <c r="CR93" t="s">
        <v>54</v>
      </c>
      <c r="CS93" t="s">
        <v>404</v>
      </c>
      <c r="CT93">
        <v>2.78</v>
      </c>
      <c r="CU93" t="s">
        <v>54</v>
      </c>
      <c r="CV93" t="s">
        <v>404</v>
      </c>
      <c r="CW93">
        <v>2.73</v>
      </c>
      <c r="CX93" t="s">
        <v>54</v>
      </c>
      <c r="CY93" t="s">
        <v>404</v>
      </c>
      <c r="CZ93">
        <v>2.79</v>
      </c>
      <c r="DA93" t="s">
        <v>54</v>
      </c>
      <c r="DB93" t="s">
        <v>404</v>
      </c>
      <c r="DC93">
        <v>2.82</v>
      </c>
      <c r="DD93" t="s">
        <v>54</v>
      </c>
      <c r="DE93" t="s">
        <v>404</v>
      </c>
      <c r="DF93">
        <v>2.89</v>
      </c>
      <c r="DG93" t="s">
        <v>54</v>
      </c>
      <c r="DH93" t="s">
        <v>404</v>
      </c>
      <c r="DI93">
        <v>2.75</v>
      </c>
      <c r="DJ93" t="s">
        <v>54</v>
      </c>
      <c r="DK93" t="s">
        <v>203</v>
      </c>
      <c r="DL93">
        <v>2.1</v>
      </c>
      <c r="DM93" t="s">
        <v>55</v>
      </c>
      <c r="DN93" t="s">
        <v>203</v>
      </c>
      <c r="DO93">
        <v>2.08</v>
      </c>
      <c r="DP93" t="s">
        <v>55</v>
      </c>
      <c r="DQ93" t="s">
        <v>203</v>
      </c>
      <c r="DR93">
        <v>2.44</v>
      </c>
      <c r="DS93" t="s">
        <v>55</v>
      </c>
      <c r="DT93" t="s">
        <v>204</v>
      </c>
      <c r="DU93">
        <v>7.11</v>
      </c>
      <c r="DV93" t="s">
        <v>205</v>
      </c>
      <c r="DW93" t="s">
        <v>204</v>
      </c>
      <c r="DX93">
        <v>7.22</v>
      </c>
      <c r="DY93" t="s">
        <v>205</v>
      </c>
      <c r="DZ93" t="s">
        <v>204</v>
      </c>
      <c r="EA93">
        <v>7.47</v>
      </c>
      <c r="EB93" t="s">
        <v>205</v>
      </c>
      <c r="EC93" t="s">
        <v>204</v>
      </c>
      <c r="ED93">
        <v>7.6</v>
      </c>
      <c r="EE93" t="s">
        <v>205</v>
      </c>
      <c r="EF93" t="s">
        <v>204</v>
      </c>
      <c r="EG93">
        <v>7.38</v>
      </c>
      <c r="EH93" t="s">
        <v>205</v>
      </c>
      <c r="EI93" t="s">
        <v>204</v>
      </c>
      <c r="EJ93">
        <v>7.61</v>
      </c>
      <c r="EK93" t="s">
        <v>205</v>
      </c>
    </row>
    <row r="94" spans="1:141">
      <c r="A94" t="s">
        <v>404</v>
      </c>
      <c r="B94">
        <v>2.81</v>
      </c>
      <c r="C94" t="s">
        <v>54</v>
      </c>
      <c r="D94" t="s">
        <v>404</v>
      </c>
      <c r="E94">
        <v>2.79</v>
      </c>
      <c r="F94" t="s">
        <v>54</v>
      </c>
      <c r="G94" t="s">
        <v>203</v>
      </c>
      <c r="H94">
        <v>2.11</v>
      </c>
      <c r="I94" t="s">
        <v>55</v>
      </c>
      <c r="J94" t="s">
        <v>203</v>
      </c>
      <c r="K94">
        <v>2.12</v>
      </c>
      <c r="L94" t="s">
        <v>55</v>
      </c>
      <c r="M94" t="s">
        <v>203</v>
      </c>
      <c r="N94">
        <v>2.0299999999999998</v>
      </c>
      <c r="O94" t="s">
        <v>55</v>
      </c>
      <c r="P94" t="s">
        <v>404</v>
      </c>
      <c r="Q94">
        <v>2.67</v>
      </c>
      <c r="R94" t="s">
        <v>54</v>
      </c>
      <c r="S94" t="s">
        <v>203</v>
      </c>
      <c r="T94">
        <v>2.0299999999999998</v>
      </c>
      <c r="U94" t="s">
        <v>55</v>
      </c>
      <c r="V94" t="s">
        <v>203</v>
      </c>
      <c r="W94">
        <v>1.95</v>
      </c>
      <c r="X94" t="s">
        <v>55</v>
      </c>
      <c r="Y94" t="s">
        <v>203</v>
      </c>
      <c r="Z94">
        <v>2.0699999999999998</v>
      </c>
      <c r="AA94" t="s">
        <v>55</v>
      </c>
      <c r="AB94" t="s">
        <v>203</v>
      </c>
      <c r="AC94">
        <v>2.0499999999999998</v>
      </c>
      <c r="AD94" t="s">
        <v>55</v>
      </c>
      <c r="AE94" t="s">
        <v>203</v>
      </c>
      <c r="AF94">
        <v>2.0099999999999998</v>
      </c>
      <c r="AG94" t="s">
        <v>55</v>
      </c>
      <c r="AH94" t="s">
        <v>203</v>
      </c>
      <c r="AI94">
        <v>1.99</v>
      </c>
      <c r="AJ94" t="s">
        <v>55</v>
      </c>
      <c r="AK94" t="s">
        <v>203</v>
      </c>
      <c r="AL94">
        <v>1.96</v>
      </c>
      <c r="AM94" t="s">
        <v>55</v>
      </c>
      <c r="AN94" t="s">
        <v>203</v>
      </c>
      <c r="AO94">
        <v>1.89</v>
      </c>
      <c r="AP94" t="s">
        <v>55</v>
      </c>
      <c r="AQ94" t="s">
        <v>203</v>
      </c>
      <c r="AR94">
        <v>1.95</v>
      </c>
      <c r="AS94" t="s">
        <v>55</v>
      </c>
      <c r="AT94" t="s">
        <v>203</v>
      </c>
      <c r="AU94">
        <v>1.99</v>
      </c>
      <c r="AV94" t="s">
        <v>55</v>
      </c>
      <c r="AW94" t="s">
        <v>203</v>
      </c>
      <c r="AX94">
        <v>1.98</v>
      </c>
      <c r="AY94" t="s">
        <v>55</v>
      </c>
      <c r="AZ94" t="s">
        <v>203</v>
      </c>
      <c r="BA94">
        <v>1.93</v>
      </c>
      <c r="BB94" t="s">
        <v>55</v>
      </c>
      <c r="BC94" t="s">
        <v>203</v>
      </c>
      <c r="BD94">
        <v>1.94</v>
      </c>
      <c r="BE94" t="s">
        <v>55</v>
      </c>
      <c r="BF94" t="s">
        <v>203</v>
      </c>
      <c r="BG94">
        <v>2.08</v>
      </c>
      <c r="BH94" t="s">
        <v>55</v>
      </c>
      <c r="BI94" t="s">
        <v>203</v>
      </c>
      <c r="BJ94">
        <v>2.02</v>
      </c>
      <c r="BK94" t="s">
        <v>55</v>
      </c>
      <c r="BL94" t="s">
        <v>203</v>
      </c>
      <c r="BM94">
        <v>1.97</v>
      </c>
      <c r="BN94" t="s">
        <v>55</v>
      </c>
      <c r="BO94" t="s">
        <v>203</v>
      </c>
      <c r="BP94">
        <v>2.0099999999999998</v>
      </c>
      <c r="BQ94" t="s">
        <v>55</v>
      </c>
      <c r="BR94" t="s">
        <v>203</v>
      </c>
      <c r="BS94">
        <v>2.08</v>
      </c>
      <c r="BT94" t="s">
        <v>55</v>
      </c>
      <c r="BU94" t="s">
        <v>203</v>
      </c>
      <c r="BV94">
        <v>2.09</v>
      </c>
      <c r="BW94" t="s">
        <v>55</v>
      </c>
      <c r="BX94" t="s">
        <v>203</v>
      </c>
      <c r="BY94">
        <v>2.0499999999999998</v>
      </c>
      <c r="BZ94" t="s">
        <v>55</v>
      </c>
      <c r="CA94" t="s">
        <v>404</v>
      </c>
      <c r="CB94">
        <v>2.63</v>
      </c>
      <c r="CC94" t="s">
        <v>54</v>
      </c>
      <c r="CD94" t="s">
        <v>203</v>
      </c>
      <c r="CE94">
        <v>2.0299999999999998</v>
      </c>
      <c r="CF94" t="s">
        <v>55</v>
      </c>
      <c r="CG94" t="s">
        <v>203</v>
      </c>
      <c r="CH94">
        <v>2.09</v>
      </c>
      <c r="CI94" t="s">
        <v>55</v>
      </c>
      <c r="CJ94" t="s">
        <v>203</v>
      </c>
      <c r="CK94">
        <v>2.16</v>
      </c>
      <c r="CL94" t="s">
        <v>55</v>
      </c>
      <c r="CM94" t="s">
        <v>203</v>
      </c>
      <c r="CN94">
        <v>2.11</v>
      </c>
      <c r="CO94" t="s">
        <v>55</v>
      </c>
      <c r="CP94" t="s">
        <v>203</v>
      </c>
      <c r="CQ94">
        <v>2.0499999999999998</v>
      </c>
      <c r="CR94" t="s">
        <v>55</v>
      </c>
      <c r="CS94" t="s">
        <v>203</v>
      </c>
      <c r="CT94">
        <v>2.08</v>
      </c>
      <c r="CU94" t="s">
        <v>55</v>
      </c>
      <c r="CV94" t="s">
        <v>203</v>
      </c>
      <c r="CW94">
        <v>2.04</v>
      </c>
      <c r="CX94" t="s">
        <v>55</v>
      </c>
      <c r="CY94" t="s">
        <v>203</v>
      </c>
      <c r="CZ94">
        <v>2.06</v>
      </c>
      <c r="DA94" t="s">
        <v>55</v>
      </c>
      <c r="DB94" t="s">
        <v>203</v>
      </c>
      <c r="DC94">
        <v>2.08</v>
      </c>
      <c r="DD94" t="s">
        <v>55</v>
      </c>
      <c r="DE94" t="s">
        <v>203</v>
      </c>
      <c r="DF94">
        <v>2.08</v>
      </c>
      <c r="DG94" t="s">
        <v>55</v>
      </c>
      <c r="DH94" t="s">
        <v>203</v>
      </c>
      <c r="DI94">
        <v>2.2000000000000002</v>
      </c>
      <c r="DJ94" t="s">
        <v>55</v>
      </c>
      <c r="DK94" t="s">
        <v>413</v>
      </c>
      <c r="DL94">
        <v>35.57</v>
      </c>
      <c r="DM94" t="s">
        <v>139</v>
      </c>
      <c r="DN94" t="s">
        <v>413</v>
      </c>
      <c r="DO94">
        <v>33.450000000000003</v>
      </c>
      <c r="DP94" t="s">
        <v>139</v>
      </c>
      <c r="DQ94" t="s">
        <v>413</v>
      </c>
      <c r="DR94">
        <v>34.65</v>
      </c>
      <c r="DS94" t="s">
        <v>139</v>
      </c>
      <c r="DT94" t="s">
        <v>206</v>
      </c>
      <c r="DU94">
        <v>1.33</v>
      </c>
      <c r="DV94" t="s">
        <v>207</v>
      </c>
      <c r="DW94" t="s">
        <v>206</v>
      </c>
      <c r="DX94">
        <v>1.41</v>
      </c>
      <c r="DY94" t="s">
        <v>207</v>
      </c>
      <c r="DZ94" t="s">
        <v>206</v>
      </c>
      <c r="EA94">
        <v>1.51</v>
      </c>
      <c r="EB94" t="s">
        <v>207</v>
      </c>
      <c r="EC94" t="s">
        <v>206</v>
      </c>
      <c r="ED94">
        <v>1.57</v>
      </c>
      <c r="EE94" t="s">
        <v>207</v>
      </c>
      <c r="EF94" t="s">
        <v>206</v>
      </c>
      <c r="EG94">
        <v>1.39</v>
      </c>
      <c r="EH94" t="s">
        <v>207</v>
      </c>
      <c r="EI94" t="s">
        <v>206</v>
      </c>
      <c r="EJ94">
        <v>1.49</v>
      </c>
      <c r="EK94" t="s">
        <v>207</v>
      </c>
    </row>
    <row r="95" spans="1:141">
      <c r="A95" t="s">
        <v>203</v>
      </c>
      <c r="B95">
        <v>2.12</v>
      </c>
      <c r="C95" t="s">
        <v>55</v>
      </c>
      <c r="D95" t="s">
        <v>203</v>
      </c>
      <c r="E95">
        <v>2.06</v>
      </c>
      <c r="F95" t="s">
        <v>55</v>
      </c>
      <c r="G95" t="s">
        <v>413</v>
      </c>
      <c r="H95">
        <v>23.55</v>
      </c>
      <c r="I95" t="s">
        <v>139</v>
      </c>
      <c r="J95" t="s">
        <v>413</v>
      </c>
      <c r="K95">
        <v>24.72</v>
      </c>
      <c r="L95" t="s">
        <v>139</v>
      </c>
      <c r="M95" t="s">
        <v>413</v>
      </c>
      <c r="N95">
        <v>25.95</v>
      </c>
      <c r="O95" t="s">
        <v>139</v>
      </c>
      <c r="P95" t="s">
        <v>203</v>
      </c>
      <c r="Q95">
        <v>2.0299999999999998</v>
      </c>
      <c r="R95" t="s">
        <v>55</v>
      </c>
      <c r="S95" t="s">
        <v>413</v>
      </c>
      <c r="T95">
        <v>25.65</v>
      </c>
      <c r="U95" t="s">
        <v>139</v>
      </c>
      <c r="V95" t="s">
        <v>413</v>
      </c>
      <c r="W95">
        <v>26.92</v>
      </c>
      <c r="X95" t="s">
        <v>139</v>
      </c>
      <c r="Y95" t="s">
        <v>413</v>
      </c>
      <c r="Z95">
        <v>27.7</v>
      </c>
      <c r="AA95" t="s">
        <v>139</v>
      </c>
      <c r="AB95" t="s">
        <v>413</v>
      </c>
      <c r="AC95">
        <v>26.99</v>
      </c>
      <c r="AD95" t="s">
        <v>139</v>
      </c>
      <c r="AE95" t="s">
        <v>413</v>
      </c>
      <c r="AF95">
        <v>27.4</v>
      </c>
      <c r="AG95" t="s">
        <v>139</v>
      </c>
      <c r="AH95" t="s">
        <v>413</v>
      </c>
      <c r="AI95">
        <v>26.99</v>
      </c>
      <c r="AJ95" t="s">
        <v>139</v>
      </c>
      <c r="AK95" t="s">
        <v>413</v>
      </c>
      <c r="AL95">
        <v>25.82</v>
      </c>
      <c r="AM95" t="s">
        <v>139</v>
      </c>
      <c r="AN95" t="s">
        <v>413</v>
      </c>
      <c r="AO95">
        <v>23.89</v>
      </c>
      <c r="AP95" t="s">
        <v>139</v>
      </c>
      <c r="AQ95" t="s">
        <v>413</v>
      </c>
      <c r="AR95">
        <v>26.19</v>
      </c>
      <c r="AS95" t="s">
        <v>139</v>
      </c>
      <c r="AT95" t="s">
        <v>413</v>
      </c>
      <c r="AU95">
        <v>27.49</v>
      </c>
      <c r="AV95" t="s">
        <v>139</v>
      </c>
      <c r="AW95" t="s">
        <v>413</v>
      </c>
      <c r="AX95">
        <v>30</v>
      </c>
      <c r="AY95" t="s">
        <v>139</v>
      </c>
      <c r="AZ95" t="s">
        <v>413</v>
      </c>
      <c r="BA95">
        <v>28.09</v>
      </c>
      <c r="BB95" t="s">
        <v>139</v>
      </c>
      <c r="BC95" t="s">
        <v>413</v>
      </c>
      <c r="BD95">
        <v>27.07</v>
      </c>
      <c r="BE95" t="s">
        <v>139</v>
      </c>
      <c r="BF95" t="s">
        <v>413</v>
      </c>
      <c r="BG95">
        <v>26.29</v>
      </c>
      <c r="BH95" t="s">
        <v>139</v>
      </c>
      <c r="BI95" t="s">
        <v>413</v>
      </c>
      <c r="BJ95">
        <v>26.15</v>
      </c>
      <c r="BK95" t="s">
        <v>139</v>
      </c>
      <c r="BL95" t="s">
        <v>413</v>
      </c>
      <c r="BM95">
        <v>27.26</v>
      </c>
      <c r="BN95" t="s">
        <v>139</v>
      </c>
      <c r="BO95" t="s">
        <v>413</v>
      </c>
      <c r="BP95">
        <v>26.3</v>
      </c>
      <c r="BQ95" t="s">
        <v>139</v>
      </c>
      <c r="BR95" t="s">
        <v>413</v>
      </c>
      <c r="BS95">
        <v>26.49</v>
      </c>
      <c r="BT95" t="s">
        <v>139</v>
      </c>
      <c r="BU95" t="s">
        <v>413</v>
      </c>
      <c r="BV95">
        <v>26.6</v>
      </c>
      <c r="BW95" t="s">
        <v>139</v>
      </c>
      <c r="BX95" t="s">
        <v>413</v>
      </c>
      <c r="BY95">
        <v>25.52</v>
      </c>
      <c r="BZ95" t="s">
        <v>139</v>
      </c>
      <c r="CA95" t="s">
        <v>203</v>
      </c>
      <c r="CB95">
        <v>2.0299999999999998</v>
      </c>
      <c r="CC95" t="s">
        <v>55</v>
      </c>
      <c r="CD95" t="s">
        <v>413</v>
      </c>
      <c r="CE95">
        <v>25.97</v>
      </c>
      <c r="CF95" t="s">
        <v>139</v>
      </c>
      <c r="CG95" t="s">
        <v>413</v>
      </c>
      <c r="CH95">
        <v>26.7</v>
      </c>
      <c r="CI95" t="s">
        <v>139</v>
      </c>
      <c r="CJ95" t="s">
        <v>413</v>
      </c>
      <c r="CK95">
        <v>27.18</v>
      </c>
      <c r="CL95" t="s">
        <v>139</v>
      </c>
      <c r="CM95" t="s">
        <v>413</v>
      </c>
      <c r="CN95">
        <v>25.9</v>
      </c>
      <c r="CO95" t="s">
        <v>139</v>
      </c>
      <c r="CP95" t="s">
        <v>413</v>
      </c>
      <c r="CQ95">
        <v>26.01</v>
      </c>
      <c r="CR95" t="s">
        <v>139</v>
      </c>
      <c r="CS95" t="s">
        <v>413</v>
      </c>
      <c r="CT95">
        <v>26.09</v>
      </c>
      <c r="CU95" t="s">
        <v>139</v>
      </c>
      <c r="CV95" t="s">
        <v>413</v>
      </c>
      <c r="CW95">
        <v>26.01</v>
      </c>
      <c r="CX95" t="s">
        <v>139</v>
      </c>
      <c r="CY95" t="s">
        <v>413</v>
      </c>
      <c r="CZ95">
        <v>28.49</v>
      </c>
      <c r="DA95" t="s">
        <v>139</v>
      </c>
      <c r="DB95" t="s">
        <v>413</v>
      </c>
      <c r="DC95">
        <v>34.61</v>
      </c>
      <c r="DD95" t="s">
        <v>139</v>
      </c>
      <c r="DE95" t="s">
        <v>413</v>
      </c>
      <c r="DF95">
        <v>34.1</v>
      </c>
      <c r="DG95" t="s">
        <v>139</v>
      </c>
      <c r="DH95" t="s">
        <v>413</v>
      </c>
      <c r="DI95">
        <v>33.630000000000003</v>
      </c>
      <c r="DJ95" t="s">
        <v>139</v>
      </c>
      <c r="DK95" t="s">
        <v>204</v>
      </c>
      <c r="DL95">
        <v>6.11</v>
      </c>
      <c r="DM95" t="s">
        <v>205</v>
      </c>
      <c r="DN95" t="s">
        <v>204</v>
      </c>
      <c r="DO95">
        <v>6.25</v>
      </c>
      <c r="DP95" t="s">
        <v>205</v>
      </c>
      <c r="DQ95" t="s">
        <v>204</v>
      </c>
      <c r="DR95">
        <v>6.62</v>
      </c>
      <c r="DS95" t="s">
        <v>205</v>
      </c>
      <c r="DT95" t="s">
        <v>208</v>
      </c>
      <c r="DU95">
        <v>8.94</v>
      </c>
      <c r="DV95" t="s">
        <v>17</v>
      </c>
      <c r="DW95" t="s">
        <v>208</v>
      </c>
      <c r="DX95">
        <v>9.4499999999999993</v>
      </c>
      <c r="DY95" t="s">
        <v>17</v>
      </c>
      <c r="DZ95" t="s">
        <v>208</v>
      </c>
      <c r="EA95">
        <v>9.7100000000000009</v>
      </c>
      <c r="EB95" t="s">
        <v>17</v>
      </c>
      <c r="EC95" t="s">
        <v>208</v>
      </c>
      <c r="ED95">
        <v>9.67</v>
      </c>
      <c r="EE95" t="s">
        <v>17</v>
      </c>
      <c r="EF95" t="s">
        <v>208</v>
      </c>
      <c r="EG95">
        <v>9.27</v>
      </c>
      <c r="EH95" t="s">
        <v>17</v>
      </c>
      <c r="EI95" t="s">
        <v>208</v>
      </c>
      <c r="EJ95">
        <v>9.18</v>
      </c>
      <c r="EK95" t="s">
        <v>17</v>
      </c>
    </row>
    <row r="96" spans="1:141">
      <c r="A96" t="s">
        <v>413</v>
      </c>
      <c r="B96">
        <v>22.4</v>
      </c>
      <c r="C96" t="s">
        <v>139</v>
      </c>
      <c r="D96" t="s">
        <v>413</v>
      </c>
      <c r="E96">
        <v>23.5</v>
      </c>
      <c r="F96" t="s">
        <v>139</v>
      </c>
      <c r="G96" t="s">
        <v>204</v>
      </c>
      <c r="H96">
        <v>6.26</v>
      </c>
      <c r="I96" t="s">
        <v>205</v>
      </c>
      <c r="J96" t="s">
        <v>204</v>
      </c>
      <c r="K96">
        <v>6.24</v>
      </c>
      <c r="L96" t="s">
        <v>205</v>
      </c>
      <c r="M96" t="s">
        <v>204</v>
      </c>
      <c r="N96">
        <v>6.14</v>
      </c>
      <c r="O96" t="s">
        <v>205</v>
      </c>
      <c r="P96" t="s">
        <v>413</v>
      </c>
      <c r="Q96">
        <v>26.97</v>
      </c>
      <c r="R96" t="s">
        <v>139</v>
      </c>
      <c r="S96" t="s">
        <v>204</v>
      </c>
      <c r="T96">
        <v>6.13</v>
      </c>
      <c r="U96" t="s">
        <v>205</v>
      </c>
      <c r="V96" t="s">
        <v>204</v>
      </c>
      <c r="W96">
        <v>5.98</v>
      </c>
      <c r="X96" t="s">
        <v>205</v>
      </c>
      <c r="Y96" t="s">
        <v>204</v>
      </c>
      <c r="Z96">
        <v>6.11</v>
      </c>
      <c r="AA96" t="s">
        <v>205</v>
      </c>
      <c r="AB96" t="s">
        <v>204</v>
      </c>
      <c r="AC96">
        <v>6.1</v>
      </c>
      <c r="AD96" t="s">
        <v>205</v>
      </c>
      <c r="AE96" t="s">
        <v>204</v>
      </c>
      <c r="AF96">
        <v>6.04</v>
      </c>
      <c r="AG96" t="s">
        <v>205</v>
      </c>
      <c r="AH96" t="s">
        <v>204</v>
      </c>
      <c r="AI96">
        <v>6.05</v>
      </c>
      <c r="AJ96" t="s">
        <v>205</v>
      </c>
      <c r="AK96" t="s">
        <v>204</v>
      </c>
      <c r="AL96">
        <v>6.02</v>
      </c>
      <c r="AM96" t="s">
        <v>205</v>
      </c>
      <c r="AN96" t="s">
        <v>204</v>
      </c>
      <c r="AO96">
        <v>5.84</v>
      </c>
      <c r="AP96" t="s">
        <v>205</v>
      </c>
      <c r="AQ96" t="s">
        <v>204</v>
      </c>
      <c r="AR96">
        <v>6.03</v>
      </c>
      <c r="AS96" t="s">
        <v>205</v>
      </c>
      <c r="AT96" t="s">
        <v>204</v>
      </c>
      <c r="AU96">
        <v>6.05</v>
      </c>
      <c r="AV96" t="s">
        <v>205</v>
      </c>
      <c r="AW96" t="s">
        <v>204</v>
      </c>
      <c r="AX96">
        <v>6.11</v>
      </c>
      <c r="AY96" t="s">
        <v>205</v>
      </c>
      <c r="AZ96" t="s">
        <v>204</v>
      </c>
      <c r="BA96">
        <v>6.06</v>
      </c>
      <c r="BB96" t="s">
        <v>205</v>
      </c>
      <c r="BC96" t="s">
        <v>204</v>
      </c>
      <c r="BD96">
        <v>6.07</v>
      </c>
      <c r="BE96" t="s">
        <v>205</v>
      </c>
      <c r="BF96" t="s">
        <v>204</v>
      </c>
      <c r="BG96">
        <v>6.09</v>
      </c>
      <c r="BH96" t="s">
        <v>205</v>
      </c>
      <c r="BI96" t="s">
        <v>204</v>
      </c>
      <c r="BJ96">
        <v>6.35</v>
      </c>
      <c r="BK96" t="s">
        <v>205</v>
      </c>
      <c r="BL96" t="s">
        <v>204</v>
      </c>
      <c r="BM96">
        <v>6</v>
      </c>
      <c r="BN96" t="s">
        <v>205</v>
      </c>
      <c r="BO96" t="s">
        <v>204</v>
      </c>
      <c r="BP96">
        <v>5.94</v>
      </c>
      <c r="BQ96" t="s">
        <v>205</v>
      </c>
      <c r="BR96" t="s">
        <v>204</v>
      </c>
      <c r="BS96">
        <v>6.05</v>
      </c>
      <c r="BT96" t="s">
        <v>205</v>
      </c>
      <c r="BU96" t="s">
        <v>204</v>
      </c>
      <c r="BV96">
        <v>6.09</v>
      </c>
      <c r="BW96" t="s">
        <v>205</v>
      </c>
      <c r="BX96" t="s">
        <v>204</v>
      </c>
      <c r="BY96">
        <v>6.08</v>
      </c>
      <c r="BZ96" t="s">
        <v>205</v>
      </c>
      <c r="CA96" t="s">
        <v>413</v>
      </c>
      <c r="CB96">
        <v>25.79</v>
      </c>
      <c r="CC96" t="s">
        <v>139</v>
      </c>
      <c r="CD96" t="s">
        <v>204</v>
      </c>
      <c r="CE96">
        <v>6.09</v>
      </c>
      <c r="CF96" t="s">
        <v>205</v>
      </c>
      <c r="CG96" t="s">
        <v>204</v>
      </c>
      <c r="CH96">
        <v>6.12</v>
      </c>
      <c r="CI96" t="s">
        <v>205</v>
      </c>
      <c r="CJ96" t="s">
        <v>204</v>
      </c>
      <c r="CK96">
        <v>6.12</v>
      </c>
      <c r="CL96" t="s">
        <v>205</v>
      </c>
      <c r="CM96" t="s">
        <v>204</v>
      </c>
      <c r="CN96">
        <v>6.09</v>
      </c>
      <c r="CO96" t="s">
        <v>205</v>
      </c>
      <c r="CP96" t="s">
        <v>204</v>
      </c>
      <c r="CQ96">
        <v>6.03</v>
      </c>
      <c r="CR96" t="s">
        <v>205</v>
      </c>
      <c r="CS96" t="s">
        <v>204</v>
      </c>
      <c r="CT96">
        <v>6.06</v>
      </c>
      <c r="CU96" t="s">
        <v>205</v>
      </c>
      <c r="CV96" t="s">
        <v>204</v>
      </c>
      <c r="CW96">
        <v>5.96</v>
      </c>
      <c r="CX96" t="s">
        <v>205</v>
      </c>
      <c r="CY96" t="s">
        <v>204</v>
      </c>
      <c r="CZ96">
        <v>6.01</v>
      </c>
      <c r="DA96" t="s">
        <v>205</v>
      </c>
      <c r="DB96" t="s">
        <v>204</v>
      </c>
      <c r="DC96">
        <v>6.06</v>
      </c>
      <c r="DD96" t="s">
        <v>205</v>
      </c>
      <c r="DE96" t="s">
        <v>204</v>
      </c>
      <c r="DF96">
        <v>6.08</v>
      </c>
      <c r="DG96" t="s">
        <v>205</v>
      </c>
      <c r="DH96" t="s">
        <v>204</v>
      </c>
      <c r="DI96">
        <v>6.4</v>
      </c>
      <c r="DJ96" t="s">
        <v>205</v>
      </c>
      <c r="DK96" t="s">
        <v>206</v>
      </c>
      <c r="DL96">
        <v>1.05</v>
      </c>
      <c r="DM96" t="s">
        <v>207</v>
      </c>
      <c r="DN96" t="s">
        <v>206</v>
      </c>
      <c r="DO96">
        <v>1.1599999999999999</v>
      </c>
      <c r="DP96" t="s">
        <v>207</v>
      </c>
      <c r="DQ96" t="s">
        <v>206</v>
      </c>
      <c r="DR96">
        <v>1.25</v>
      </c>
      <c r="DS96" t="s">
        <v>207</v>
      </c>
      <c r="DT96" t="s">
        <v>209</v>
      </c>
      <c r="DU96">
        <v>24</v>
      </c>
      <c r="DV96" t="s">
        <v>210</v>
      </c>
      <c r="DW96" t="s">
        <v>209</v>
      </c>
      <c r="DX96">
        <v>23.99</v>
      </c>
      <c r="DY96" t="s">
        <v>210</v>
      </c>
      <c r="DZ96" t="s">
        <v>209</v>
      </c>
      <c r="EA96">
        <v>23.73</v>
      </c>
      <c r="EB96" t="s">
        <v>210</v>
      </c>
      <c r="EC96" t="s">
        <v>209</v>
      </c>
      <c r="ED96">
        <v>23.94</v>
      </c>
      <c r="EE96" t="s">
        <v>210</v>
      </c>
      <c r="EF96" t="s">
        <v>209</v>
      </c>
      <c r="EG96">
        <v>23.4</v>
      </c>
      <c r="EH96" t="s">
        <v>210</v>
      </c>
      <c r="EI96" t="s">
        <v>209</v>
      </c>
      <c r="EJ96">
        <v>24.26</v>
      </c>
      <c r="EK96" t="s">
        <v>210</v>
      </c>
    </row>
    <row r="97" spans="1:141">
      <c r="A97" t="s">
        <v>204</v>
      </c>
      <c r="B97">
        <v>6.42</v>
      </c>
      <c r="C97" t="s">
        <v>205</v>
      </c>
      <c r="D97" t="s">
        <v>204</v>
      </c>
      <c r="E97">
        <v>6.27</v>
      </c>
      <c r="F97" t="s">
        <v>205</v>
      </c>
      <c r="G97" t="s">
        <v>206</v>
      </c>
      <c r="H97">
        <v>0.73</v>
      </c>
      <c r="I97" t="s">
        <v>207</v>
      </c>
      <c r="J97" t="s">
        <v>206</v>
      </c>
      <c r="K97">
        <v>0.71</v>
      </c>
      <c r="L97" t="s">
        <v>207</v>
      </c>
      <c r="M97" t="s">
        <v>206</v>
      </c>
      <c r="N97">
        <v>0.7</v>
      </c>
      <c r="O97" t="s">
        <v>207</v>
      </c>
      <c r="P97" t="s">
        <v>204</v>
      </c>
      <c r="Q97">
        <v>6.12</v>
      </c>
      <c r="R97" t="s">
        <v>205</v>
      </c>
      <c r="S97" t="s">
        <v>206</v>
      </c>
      <c r="T97">
        <v>0.72</v>
      </c>
      <c r="U97" t="s">
        <v>207</v>
      </c>
      <c r="V97" t="s">
        <v>206</v>
      </c>
      <c r="W97">
        <v>0.71</v>
      </c>
      <c r="X97" t="s">
        <v>207</v>
      </c>
      <c r="Y97" t="s">
        <v>206</v>
      </c>
      <c r="Z97">
        <v>0.71</v>
      </c>
      <c r="AA97" t="s">
        <v>207</v>
      </c>
      <c r="AB97" t="s">
        <v>206</v>
      </c>
      <c r="AC97">
        <v>0.74</v>
      </c>
      <c r="AD97" t="s">
        <v>207</v>
      </c>
      <c r="AE97" t="s">
        <v>206</v>
      </c>
      <c r="AF97">
        <v>0.74</v>
      </c>
      <c r="AG97" t="s">
        <v>207</v>
      </c>
      <c r="AH97" t="s">
        <v>206</v>
      </c>
      <c r="AI97">
        <v>0.78</v>
      </c>
      <c r="AJ97" t="s">
        <v>207</v>
      </c>
      <c r="AK97" t="s">
        <v>206</v>
      </c>
      <c r="AL97">
        <v>0.82</v>
      </c>
      <c r="AM97" t="s">
        <v>207</v>
      </c>
      <c r="AN97" t="s">
        <v>206</v>
      </c>
      <c r="AO97">
        <v>0.87</v>
      </c>
      <c r="AP97" t="s">
        <v>207</v>
      </c>
      <c r="AQ97" t="s">
        <v>206</v>
      </c>
      <c r="AR97">
        <v>0.86</v>
      </c>
      <c r="AS97" t="s">
        <v>207</v>
      </c>
      <c r="AT97" t="s">
        <v>206</v>
      </c>
      <c r="AU97">
        <v>0.84</v>
      </c>
      <c r="AV97" t="s">
        <v>207</v>
      </c>
      <c r="AW97" t="s">
        <v>206</v>
      </c>
      <c r="AX97">
        <v>0.87</v>
      </c>
      <c r="AY97" t="s">
        <v>207</v>
      </c>
      <c r="AZ97" t="s">
        <v>206</v>
      </c>
      <c r="BA97">
        <v>0.85</v>
      </c>
      <c r="BB97" t="s">
        <v>207</v>
      </c>
      <c r="BC97" t="s">
        <v>206</v>
      </c>
      <c r="BD97">
        <v>0.83</v>
      </c>
      <c r="BE97" t="s">
        <v>207</v>
      </c>
      <c r="BF97" t="s">
        <v>206</v>
      </c>
      <c r="BG97">
        <v>0.83</v>
      </c>
      <c r="BH97" t="s">
        <v>207</v>
      </c>
      <c r="BI97" t="s">
        <v>206</v>
      </c>
      <c r="BJ97">
        <v>0.83</v>
      </c>
      <c r="BK97" t="s">
        <v>207</v>
      </c>
      <c r="BL97" t="s">
        <v>206</v>
      </c>
      <c r="BM97">
        <v>0.82</v>
      </c>
      <c r="BN97" t="s">
        <v>207</v>
      </c>
      <c r="BO97" t="s">
        <v>206</v>
      </c>
      <c r="BP97">
        <v>0.79</v>
      </c>
      <c r="BQ97" t="s">
        <v>207</v>
      </c>
      <c r="BR97" t="s">
        <v>206</v>
      </c>
      <c r="BS97">
        <v>0.82</v>
      </c>
      <c r="BT97" t="s">
        <v>207</v>
      </c>
      <c r="BU97" t="s">
        <v>206</v>
      </c>
      <c r="BV97">
        <v>0.83</v>
      </c>
      <c r="BW97" t="s">
        <v>207</v>
      </c>
      <c r="BX97" t="s">
        <v>206</v>
      </c>
      <c r="BY97">
        <v>0.83</v>
      </c>
      <c r="BZ97" t="s">
        <v>207</v>
      </c>
      <c r="CA97" t="s">
        <v>204</v>
      </c>
      <c r="CB97">
        <v>6.11</v>
      </c>
      <c r="CC97" t="s">
        <v>205</v>
      </c>
      <c r="CD97" t="s">
        <v>206</v>
      </c>
      <c r="CE97">
        <v>0.79</v>
      </c>
      <c r="CF97" t="s">
        <v>207</v>
      </c>
      <c r="CG97" t="s">
        <v>206</v>
      </c>
      <c r="CH97">
        <v>0.82</v>
      </c>
      <c r="CI97" t="s">
        <v>207</v>
      </c>
      <c r="CJ97" t="s">
        <v>206</v>
      </c>
      <c r="CK97">
        <v>0.81</v>
      </c>
      <c r="CL97" t="s">
        <v>207</v>
      </c>
      <c r="CM97" t="s">
        <v>206</v>
      </c>
      <c r="CN97">
        <v>0.79</v>
      </c>
      <c r="CO97" t="s">
        <v>207</v>
      </c>
      <c r="CP97" t="s">
        <v>206</v>
      </c>
      <c r="CQ97">
        <v>0.8</v>
      </c>
      <c r="CR97" t="s">
        <v>207</v>
      </c>
      <c r="CS97" t="s">
        <v>206</v>
      </c>
      <c r="CT97">
        <v>0.8</v>
      </c>
      <c r="CU97" t="s">
        <v>207</v>
      </c>
      <c r="CV97" t="s">
        <v>206</v>
      </c>
      <c r="CW97">
        <v>0.88</v>
      </c>
      <c r="CX97" t="s">
        <v>207</v>
      </c>
      <c r="CY97" t="s">
        <v>206</v>
      </c>
      <c r="CZ97">
        <v>0.94</v>
      </c>
      <c r="DA97" t="s">
        <v>207</v>
      </c>
      <c r="DB97" t="s">
        <v>206</v>
      </c>
      <c r="DC97">
        <v>0.91</v>
      </c>
      <c r="DD97" t="s">
        <v>207</v>
      </c>
      <c r="DE97" t="s">
        <v>206</v>
      </c>
      <c r="DF97">
        <v>0.91</v>
      </c>
      <c r="DG97" t="s">
        <v>207</v>
      </c>
      <c r="DH97" t="s">
        <v>206</v>
      </c>
      <c r="DI97">
        <v>0.91</v>
      </c>
      <c r="DJ97" t="s">
        <v>207</v>
      </c>
      <c r="DK97" t="s">
        <v>208</v>
      </c>
      <c r="DL97">
        <v>8</v>
      </c>
      <c r="DM97" t="s">
        <v>17</v>
      </c>
      <c r="DN97" t="s">
        <v>208</v>
      </c>
      <c r="DO97">
        <v>8.11</v>
      </c>
      <c r="DP97" t="s">
        <v>17</v>
      </c>
      <c r="DQ97" t="s">
        <v>208</v>
      </c>
      <c r="DR97">
        <v>8.92</v>
      </c>
      <c r="DS97" t="s">
        <v>17</v>
      </c>
      <c r="DT97" t="s">
        <v>649</v>
      </c>
      <c r="DU97">
        <v>1.07</v>
      </c>
      <c r="DV97" t="s">
        <v>131</v>
      </c>
      <c r="DW97" t="s">
        <v>649</v>
      </c>
      <c r="DX97">
        <v>1.06</v>
      </c>
      <c r="DY97" t="s">
        <v>131</v>
      </c>
      <c r="DZ97" t="s">
        <v>649</v>
      </c>
      <c r="EA97">
        <v>1.06</v>
      </c>
      <c r="EB97" t="s">
        <v>131</v>
      </c>
      <c r="EC97" t="s">
        <v>649</v>
      </c>
      <c r="ED97">
        <v>1.1000000000000001</v>
      </c>
      <c r="EE97" t="s">
        <v>131</v>
      </c>
      <c r="EF97" t="s">
        <v>649</v>
      </c>
      <c r="EG97">
        <v>1.06</v>
      </c>
      <c r="EH97" t="s">
        <v>131</v>
      </c>
      <c r="EI97" t="s">
        <v>649</v>
      </c>
      <c r="EJ97">
        <v>1.06</v>
      </c>
      <c r="EK97" t="s">
        <v>131</v>
      </c>
    </row>
    <row r="98" spans="1:141">
      <c r="A98" t="s">
        <v>206</v>
      </c>
      <c r="B98">
        <v>0.78</v>
      </c>
      <c r="C98" t="s">
        <v>207</v>
      </c>
      <c r="D98" t="s">
        <v>206</v>
      </c>
      <c r="E98">
        <v>0.74</v>
      </c>
      <c r="F98" t="s">
        <v>207</v>
      </c>
      <c r="G98" t="s">
        <v>208</v>
      </c>
      <c r="H98">
        <v>7.99</v>
      </c>
      <c r="I98" t="s">
        <v>17</v>
      </c>
      <c r="J98" t="s">
        <v>208</v>
      </c>
      <c r="K98">
        <v>7.81</v>
      </c>
      <c r="L98" t="s">
        <v>17</v>
      </c>
      <c r="M98" t="s">
        <v>208</v>
      </c>
      <c r="N98">
        <v>7.65</v>
      </c>
      <c r="O98" t="s">
        <v>17</v>
      </c>
      <c r="P98" t="s">
        <v>206</v>
      </c>
      <c r="Q98">
        <v>0.69</v>
      </c>
      <c r="R98" t="s">
        <v>207</v>
      </c>
      <c r="S98" t="s">
        <v>208</v>
      </c>
      <c r="T98">
        <v>7.58</v>
      </c>
      <c r="U98" t="s">
        <v>17</v>
      </c>
      <c r="V98" t="s">
        <v>208</v>
      </c>
      <c r="W98">
        <v>7.56</v>
      </c>
      <c r="X98" t="s">
        <v>17</v>
      </c>
      <c r="Y98" t="s">
        <v>208</v>
      </c>
      <c r="Z98">
        <v>7.66</v>
      </c>
      <c r="AA98" t="s">
        <v>17</v>
      </c>
      <c r="AB98" t="s">
        <v>208</v>
      </c>
      <c r="AC98">
        <v>7.6</v>
      </c>
      <c r="AD98" t="s">
        <v>17</v>
      </c>
      <c r="AE98" t="s">
        <v>208</v>
      </c>
      <c r="AF98">
        <v>7.52</v>
      </c>
      <c r="AG98" t="s">
        <v>17</v>
      </c>
      <c r="AH98" t="s">
        <v>208</v>
      </c>
      <c r="AI98">
        <v>7.4</v>
      </c>
      <c r="AJ98" t="s">
        <v>17</v>
      </c>
      <c r="AK98" t="s">
        <v>208</v>
      </c>
      <c r="AL98">
        <v>7.2</v>
      </c>
      <c r="AM98" t="s">
        <v>17</v>
      </c>
      <c r="AN98" t="s">
        <v>208</v>
      </c>
      <c r="AO98">
        <v>6.8</v>
      </c>
      <c r="AP98" t="s">
        <v>17</v>
      </c>
      <c r="AQ98" t="s">
        <v>208</v>
      </c>
      <c r="AR98">
        <v>7.15</v>
      </c>
      <c r="AS98" t="s">
        <v>17</v>
      </c>
      <c r="AT98" t="s">
        <v>208</v>
      </c>
      <c r="AU98">
        <v>7.19</v>
      </c>
      <c r="AV98" t="s">
        <v>17</v>
      </c>
      <c r="AW98" t="s">
        <v>208</v>
      </c>
      <c r="AX98">
        <v>7.01</v>
      </c>
      <c r="AY98" t="s">
        <v>17</v>
      </c>
      <c r="AZ98" t="s">
        <v>208</v>
      </c>
      <c r="BA98">
        <v>7.01</v>
      </c>
      <c r="BB98" t="s">
        <v>17</v>
      </c>
      <c r="BC98" t="s">
        <v>208</v>
      </c>
      <c r="BD98">
        <v>6.86</v>
      </c>
      <c r="BE98" t="s">
        <v>17</v>
      </c>
      <c r="BF98" t="s">
        <v>208</v>
      </c>
      <c r="BG98">
        <v>6.77</v>
      </c>
      <c r="BH98" t="s">
        <v>17</v>
      </c>
      <c r="BI98" t="s">
        <v>208</v>
      </c>
      <c r="BJ98">
        <v>6.78</v>
      </c>
      <c r="BK98" t="s">
        <v>17</v>
      </c>
      <c r="BL98" t="s">
        <v>208</v>
      </c>
      <c r="BM98">
        <v>6.68</v>
      </c>
      <c r="BN98" t="s">
        <v>17</v>
      </c>
      <c r="BO98" t="s">
        <v>208</v>
      </c>
      <c r="BP98">
        <v>6.9</v>
      </c>
      <c r="BQ98" t="s">
        <v>17</v>
      </c>
      <c r="BR98" t="s">
        <v>208</v>
      </c>
      <c r="BS98">
        <v>7.4</v>
      </c>
      <c r="BT98" t="s">
        <v>17</v>
      </c>
      <c r="BU98" t="s">
        <v>208</v>
      </c>
      <c r="BV98">
        <v>7.51</v>
      </c>
      <c r="BW98" t="s">
        <v>17</v>
      </c>
      <c r="BX98" t="s">
        <v>208</v>
      </c>
      <c r="BY98">
        <v>7.55</v>
      </c>
      <c r="BZ98" t="s">
        <v>17</v>
      </c>
      <c r="CA98" t="s">
        <v>206</v>
      </c>
      <c r="CB98">
        <v>0.82</v>
      </c>
      <c r="CC98" t="s">
        <v>207</v>
      </c>
      <c r="CD98" t="s">
        <v>208</v>
      </c>
      <c r="CE98">
        <v>7.64</v>
      </c>
      <c r="CF98" t="s">
        <v>17</v>
      </c>
      <c r="CG98" t="s">
        <v>208</v>
      </c>
      <c r="CH98">
        <v>7.56</v>
      </c>
      <c r="CI98" t="s">
        <v>17</v>
      </c>
      <c r="CJ98" t="s">
        <v>208</v>
      </c>
      <c r="CK98">
        <v>7.49</v>
      </c>
      <c r="CL98" t="s">
        <v>17</v>
      </c>
      <c r="CM98" t="s">
        <v>208</v>
      </c>
      <c r="CN98">
        <v>7.69</v>
      </c>
      <c r="CO98" t="s">
        <v>17</v>
      </c>
      <c r="CP98" t="s">
        <v>208</v>
      </c>
      <c r="CQ98">
        <v>7.67</v>
      </c>
      <c r="CR98" t="s">
        <v>17</v>
      </c>
      <c r="CS98" t="s">
        <v>208</v>
      </c>
      <c r="CT98">
        <v>8.08</v>
      </c>
      <c r="CU98" t="s">
        <v>17</v>
      </c>
      <c r="CV98" t="s">
        <v>208</v>
      </c>
      <c r="CW98">
        <v>7.92</v>
      </c>
      <c r="CX98" t="s">
        <v>17</v>
      </c>
      <c r="CY98" t="s">
        <v>208</v>
      </c>
      <c r="CZ98">
        <v>8.5399999999999991</v>
      </c>
      <c r="DA98" t="s">
        <v>17</v>
      </c>
      <c r="DB98" t="s">
        <v>208</v>
      </c>
      <c r="DC98">
        <v>9.3000000000000007</v>
      </c>
      <c r="DD98" t="s">
        <v>17</v>
      </c>
      <c r="DE98" t="s">
        <v>208</v>
      </c>
      <c r="DF98">
        <v>9.31</v>
      </c>
      <c r="DG98" t="s">
        <v>17</v>
      </c>
      <c r="DH98" t="s">
        <v>208</v>
      </c>
      <c r="DI98">
        <v>8.26</v>
      </c>
      <c r="DJ98" t="s">
        <v>17</v>
      </c>
      <c r="DK98" t="s">
        <v>209</v>
      </c>
      <c r="DL98">
        <v>23.7</v>
      </c>
      <c r="DM98" t="s">
        <v>210</v>
      </c>
      <c r="DN98" t="s">
        <v>209</v>
      </c>
      <c r="DO98">
        <v>21.87</v>
      </c>
      <c r="DP98" t="s">
        <v>210</v>
      </c>
      <c r="DQ98" t="s">
        <v>209</v>
      </c>
      <c r="DR98">
        <v>25.01</v>
      </c>
      <c r="DS98" t="s">
        <v>210</v>
      </c>
      <c r="DT98" t="s">
        <v>369</v>
      </c>
      <c r="DU98">
        <v>5.92</v>
      </c>
      <c r="DV98" t="s">
        <v>134</v>
      </c>
      <c r="DW98" t="s">
        <v>369</v>
      </c>
      <c r="DX98">
        <v>5.56</v>
      </c>
      <c r="DY98" t="s">
        <v>134</v>
      </c>
      <c r="DZ98" t="s">
        <v>369</v>
      </c>
      <c r="EA98">
        <v>5.73</v>
      </c>
      <c r="EB98" t="s">
        <v>134</v>
      </c>
      <c r="EC98" t="s">
        <v>369</v>
      </c>
      <c r="ED98">
        <v>5.79</v>
      </c>
      <c r="EE98" t="s">
        <v>134</v>
      </c>
      <c r="EF98" t="s">
        <v>369</v>
      </c>
      <c r="EG98">
        <v>6.64</v>
      </c>
      <c r="EH98" t="s">
        <v>134</v>
      </c>
      <c r="EI98" t="s">
        <v>369</v>
      </c>
      <c r="EJ98">
        <v>6.95</v>
      </c>
      <c r="EK98" t="s">
        <v>134</v>
      </c>
    </row>
    <row r="99" spans="1:141">
      <c r="A99" t="s">
        <v>208</v>
      </c>
      <c r="B99">
        <v>8</v>
      </c>
      <c r="C99" t="s">
        <v>17</v>
      </c>
      <c r="D99" t="s">
        <v>208</v>
      </c>
      <c r="E99">
        <v>7.8</v>
      </c>
      <c r="F99" t="s">
        <v>17</v>
      </c>
      <c r="G99" t="s">
        <v>209</v>
      </c>
      <c r="H99">
        <v>24.18</v>
      </c>
      <c r="I99" t="s">
        <v>210</v>
      </c>
      <c r="J99" t="s">
        <v>209</v>
      </c>
      <c r="K99">
        <v>24.12</v>
      </c>
      <c r="L99" t="s">
        <v>210</v>
      </c>
      <c r="M99" t="s">
        <v>209</v>
      </c>
      <c r="N99">
        <v>23.91</v>
      </c>
      <c r="O99" t="s">
        <v>210</v>
      </c>
      <c r="P99" t="s">
        <v>208</v>
      </c>
      <c r="Q99">
        <v>7.57</v>
      </c>
      <c r="R99" t="s">
        <v>17</v>
      </c>
      <c r="S99" t="s">
        <v>209</v>
      </c>
      <c r="T99">
        <v>23.47</v>
      </c>
      <c r="U99" t="s">
        <v>210</v>
      </c>
      <c r="V99" t="s">
        <v>209</v>
      </c>
      <c r="W99">
        <v>23.01</v>
      </c>
      <c r="X99" t="s">
        <v>210</v>
      </c>
      <c r="Y99" t="s">
        <v>209</v>
      </c>
      <c r="Z99">
        <v>23.7</v>
      </c>
      <c r="AA99" t="s">
        <v>210</v>
      </c>
      <c r="AB99" t="s">
        <v>209</v>
      </c>
      <c r="AC99">
        <v>24.16</v>
      </c>
      <c r="AD99" t="s">
        <v>210</v>
      </c>
      <c r="AE99" t="s">
        <v>209</v>
      </c>
      <c r="AF99">
        <v>24.2</v>
      </c>
      <c r="AG99" t="s">
        <v>210</v>
      </c>
      <c r="AH99" t="s">
        <v>209</v>
      </c>
      <c r="AI99">
        <v>24.51</v>
      </c>
      <c r="AJ99" t="s">
        <v>210</v>
      </c>
      <c r="AK99" t="s">
        <v>209</v>
      </c>
      <c r="AL99">
        <v>24.12</v>
      </c>
      <c r="AM99" t="s">
        <v>210</v>
      </c>
      <c r="AN99" t="s">
        <v>209</v>
      </c>
      <c r="AO99">
        <v>23.5</v>
      </c>
      <c r="AP99" t="s">
        <v>210</v>
      </c>
      <c r="AQ99" t="s">
        <v>209</v>
      </c>
      <c r="AR99">
        <v>24</v>
      </c>
      <c r="AS99" t="s">
        <v>210</v>
      </c>
      <c r="AT99" t="s">
        <v>209</v>
      </c>
      <c r="AU99">
        <v>24.48</v>
      </c>
      <c r="AV99" t="s">
        <v>210</v>
      </c>
      <c r="AW99" t="s">
        <v>209</v>
      </c>
      <c r="AX99">
        <v>24.54</v>
      </c>
      <c r="AY99" t="s">
        <v>210</v>
      </c>
      <c r="AZ99" t="s">
        <v>209</v>
      </c>
      <c r="BA99">
        <v>24.4</v>
      </c>
      <c r="BB99" t="s">
        <v>210</v>
      </c>
      <c r="BC99" t="s">
        <v>209</v>
      </c>
      <c r="BD99">
        <v>23.76</v>
      </c>
      <c r="BE99" t="s">
        <v>210</v>
      </c>
      <c r="BF99" t="s">
        <v>209</v>
      </c>
      <c r="BG99">
        <v>24.49</v>
      </c>
      <c r="BH99" t="s">
        <v>210</v>
      </c>
      <c r="BI99" t="s">
        <v>209</v>
      </c>
      <c r="BJ99">
        <v>24.8</v>
      </c>
      <c r="BK99" t="s">
        <v>210</v>
      </c>
      <c r="BL99" t="s">
        <v>209</v>
      </c>
      <c r="BM99">
        <v>23.52</v>
      </c>
      <c r="BN99" t="s">
        <v>210</v>
      </c>
      <c r="BO99" t="s">
        <v>209</v>
      </c>
      <c r="BP99">
        <v>23.9</v>
      </c>
      <c r="BQ99" t="s">
        <v>210</v>
      </c>
      <c r="BR99" t="s">
        <v>209</v>
      </c>
      <c r="BS99">
        <v>24.69</v>
      </c>
      <c r="BT99" t="s">
        <v>210</v>
      </c>
      <c r="BU99" t="s">
        <v>209</v>
      </c>
      <c r="BV99">
        <v>24.52</v>
      </c>
      <c r="BW99" t="s">
        <v>210</v>
      </c>
      <c r="BX99" t="s">
        <v>209</v>
      </c>
      <c r="BY99">
        <v>25.45</v>
      </c>
      <c r="BZ99" t="s">
        <v>210</v>
      </c>
      <c r="CA99" t="s">
        <v>208</v>
      </c>
      <c r="CB99">
        <v>7.55</v>
      </c>
      <c r="CC99" t="s">
        <v>17</v>
      </c>
      <c r="CD99" t="s">
        <v>209</v>
      </c>
      <c r="CE99">
        <v>25.25</v>
      </c>
      <c r="CF99" t="s">
        <v>210</v>
      </c>
      <c r="CG99" t="s">
        <v>209</v>
      </c>
      <c r="CH99">
        <v>25.5</v>
      </c>
      <c r="CI99" t="s">
        <v>210</v>
      </c>
      <c r="CJ99" t="s">
        <v>209</v>
      </c>
      <c r="CK99">
        <v>25.3</v>
      </c>
      <c r="CL99" t="s">
        <v>210</v>
      </c>
      <c r="CM99" t="s">
        <v>209</v>
      </c>
      <c r="CN99">
        <v>25.25</v>
      </c>
      <c r="CO99" t="s">
        <v>210</v>
      </c>
      <c r="CP99" t="s">
        <v>209</v>
      </c>
      <c r="CQ99">
        <v>24.99</v>
      </c>
      <c r="CR99" t="s">
        <v>210</v>
      </c>
      <c r="CS99" t="s">
        <v>209</v>
      </c>
      <c r="CT99">
        <v>24.77</v>
      </c>
      <c r="CU99" t="s">
        <v>210</v>
      </c>
      <c r="CV99" t="s">
        <v>209</v>
      </c>
      <c r="CW99">
        <v>23.84</v>
      </c>
      <c r="CX99" t="s">
        <v>210</v>
      </c>
      <c r="CY99" t="s">
        <v>209</v>
      </c>
      <c r="CZ99">
        <v>24.7</v>
      </c>
      <c r="DA99" t="s">
        <v>210</v>
      </c>
      <c r="DB99" t="s">
        <v>209</v>
      </c>
      <c r="DC99">
        <v>25.18</v>
      </c>
      <c r="DD99" t="s">
        <v>210</v>
      </c>
      <c r="DE99" t="s">
        <v>209</v>
      </c>
      <c r="DF99">
        <v>25.12</v>
      </c>
      <c r="DG99" t="s">
        <v>210</v>
      </c>
      <c r="DH99" t="s">
        <v>209</v>
      </c>
      <c r="DI99">
        <v>24.05</v>
      </c>
      <c r="DJ99" t="s">
        <v>210</v>
      </c>
      <c r="DK99" t="s">
        <v>649</v>
      </c>
      <c r="DL99">
        <v>1.01</v>
      </c>
      <c r="DM99" t="s">
        <v>131</v>
      </c>
      <c r="DN99" t="s">
        <v>649</v>
      </c>
      <c r="DO99">
        <v>1.04</v>
      </c>
      <c r="DP99" t="s">
        <v>131</v>
      </c>
      <c r="DQ99" t="s">
        <v>649</v>
      </c>
      <c r="DR99">
        <v>1.08</v>
      </c>
      <c r="DS99" t="s">
        <v>131</v>
      </c>
      <c r="DT99" t="s">
        <v>366</v>
      </c>
      <c r="DU99">
        <v>9.18</v>
      </c>
      <c r="DV99" t="s">
        <v>478</v>
      </c>
      <c r="DW99" t="s">
        <v>366</v>
      </c>
      <c r="DX99">
        <v>9.6</v>
      </c>
      <c r="DY99" t="s">
        <v>478</v>
      </c>
      <c r="DZ99" t="s">
        <v>366</v>
      </c>
      <c r="EA99">
        <v>9.4</v>
      </c>
      <c r="EB99" t="s">
        <v>478</v>
      </c>
      <c r="EC99" t="s">
        <v>366</v>
      </c>
      <c r="ED99">
        <v>9.57</v>
      </c>
      <c r="EE99" t="s">
        <v>478</v>
      </c>
      <c r="EF99" t="s">
        <v>366</v>
      </c>
      <c r="EG99">
        <v>8.25</v>
      </c>
      <c r="EH99" t="s">
        <v>478</v>
      </c>
      <c r="EI99" t="s">
        <v>366</v>
      </c>
      <c r="EJ99">
        <v>8.09</v>
      </c>
      <c r="EK99" t="s">
        <v>478</v>
      </c>
    </row>
    <row r="100" spans="1:141">
      <c r="A100" t="s">
        <v>209</v>
      </c>
      <c r="B100">
        <v>24.88</v>
      </c>
      <c r="C100" t="s">
        <v>210</v>
      </c>
      <c r="D100" t="s">
        <v>209</v>
      </c>
      <c r="E100">
        <v>24.36</v>
      </c>
      <c r="F100" t="s">
        <v>210</v>
      </c>
      <c r="G100" t="s">
        <v>649</v>
      </c>
      <c r="H100">
        <v>1.1000000000000001</v>
      </c>
      <c r="I100" t="s">
        <v>131</v>
      </c>
      <c r="J100" t="s">
        <v>649</v>
      </c>
      <c r="K100">
        <v>1.1000000000000001</v>
      </c>
      <c r="L100" t="s">
        <v>131</v>
      </c>
      <c r="M100" t="s">
        <v>649</v>
      </c>
      <c r="N100">
        <v>1.1000000000000001</v>
      </c>
      <c r="O100" t="s">
        <v>131</v>
      </c>
      <c r="P100" t="s">
        <v>209</v>
      </c>
      <c r="Q100">
        <v>23.7</v>
      </c>
      <c r="R100" t="s">
        <v>210</v>
      </c>
      <c r="S100" t="s">
        <v>649</v>
      </c>
      <c r="T100">
        <v>1.1000000000000001</v>
      </c>
      <c r="U100" t="s">
        <v>131</v>
      </c>
      <c r="V100" t="s">
        <v>649</v>
      </c>
      <c r="W100">
        <v>1.1000000000000001</v>
      </c>
      <c r="X100" t="s">
        <v>131</v>
      </c>
      <c r="Y100" t="s">
        <v>649</v>
      </c>
      <c r="Z100">
        <v>1.1000000000000001</v>
      </c>
      <c r="AA100" t="s">
        <v>131</v>
      </c>
      <c r="AB100" t="s">
        <v>649</v>
      </c>
      <c r="AC100">
        <v>1.1000000000000001</v>
      </c>
      <c r="AD100" t="s">
        <v>131</v>
      </c>
      <c r="AE100" t="s">
        <v>649</v>
      </c>
      <c r="AF100">
        <v>1.1000000000000001</v>
      </c>
      <c r="AG100" t="s">
        <v>131</v>
      </c>
      <c r="AH100" t="s">
        <v>649</v>
      </c>
      <c r="AI100">
        <v>1.1000000000000001</v>
      </c>
      <c r="AJ100" t="s">
        <v>131</v>
      </c>
      <c r="AK100" t="s">
        <v>649</v>
      </c>
      <c r="AL100">
        <v>1.1000000000000001</v>
      </c>
      <c r="AM100" t="s">
        <v>131</v>
      </c>
      <c r="AN100" t="s">
        <v>649</v>
      </c>
      <c r="AO100">
        <v>1.1000000000000001</v>
      </c>
      <c r="AP100" t="s">
        <v>131</v>
      </c>
      <c r="AQ100" t="s">
        <v>649</v>
      </c>
      <c r="AR100">
        <v>1.1000000000000001</v>
      </c>
      <c r="AS100" t="s">
        <v>131</v>
      </c>
      <c r="AT100" t="s">
        <v>649</v>
      </c>
      <c r="AU100">
        <v>1.1000000000000001</v>
      </c>
      <c r="AV100" t="s">
        <v>131</v>
      </c>
      <c r="AW100" t="s">
        <v>649</v>
      </c>
      <c r="AX100">
        <v>1.1000000000000001</v>
      </c>
      <c r="AY100" t="s">
        <v>131</v>
      </c>
      <c r="AZ100" t="s">
        <v>649</v>
      </c>
      <c r="BA100">
        <v>1.1000000000000001</v>
      </c>
      <c r="BB100" t="s">
        <v>131</v>
      </c>
      <c r="BC100" t="s">
        <v>649</v>
      </c>
      <c r="BD100">
        <v>1.1000000000000001</v>
      </c>
      <c r="BE100" t="s">
        <v>131</v>
      </c>
      <c r="BF100" t="s">
        <v>649</v>
      </c>
      <c r="BG100">
        <v>1.1000000000000001</v>
      </c>
      <c r="BH100" t="s">
        <v>131</v>
      </c>
      <c r="BI100" t="s">
        <v>649</v>
      </c>
      <c r="BJ100">
        <v>1.1000000000000001</v>
      </c>
      <c r="BK100" t="s">
        <v>131</v>
      </c>
      <c r="BL100" t="s">
        <v>649</v>
      </c>
      <c r="BM100">
        <v>1.1000000000000001</v>
      </c>
      <c r="BN100" t="s">
        <v>131</v>
      </c>
      <c r="BO100" t="s">
        <v>649</v>
      </c>
      <c r="BP100">
        <v>1.1000000000000001</v>
      </c>
      <c r="BQ100" t="s">
        <v>131</v>
      </c>
      <c r="BR100" t="s">
        <v>649</v>
      </c>
      <c r="BS100">
        <v>1.1000000000000001</v>
      </c>
      <c r="BT100" t="s">
        <v>131</v>
      </c>
      <c r="BU100" t="s">
        <v>649</v>
      </c>
      <c r="BV100">
        <v>1.1000000000000001</v>
      </c>
      <c r="BW100" t="s">
        <v>131</v>
      </c>
      <c r="BX100" t="s">
        <v>649</v>
      </c>
      <c r="BY100">
        <v>1.1000000000000001</v>
      </c>
      <c r="BZ100" t="s">
        <v>131</v>
      </c>
      <c r="CA100" t="s">
        <v>209</v>
      </c>
      <c r="CB100">
        <v>25.07</v>
      </c>
      <c r="CC100" t="s">
        <v>210</v>
      </c>
      <c r="CD100" t="s">
        <v>649</v>
      </c>
      <c r="CE100">
        <v>1.1000000000000001</v>
      </c>
      <c r="CF100" t="s">
        <v>131</v>
      </c>
      <c r="CG100" t="s">
        <v>649</v>
      </c>
      <c r="CH100">
        <v>1.1000000000000001</v>
      </c>
      <c r="CI100" t="s">
        <v>131</v>
      </c>
      <c r="CJ100" t="s">
        <v>649</v>
      </c>
      <c r="CK100">
        <v>1.1000000000000001</v>
      </c>
      <c r="CL100" t="s">
        <v>131</v>
      </c>
      <c r="CM100" t="s">
        <v>649</v>
      </c>
      <c r="CN100">
        <v>1.1000000000000001</v>
      </c>
      <c r="CO100" t="s">
        <v>131</v>
      </c>
      <c r="CP100" t="s">
        <v>649</v>
      </c>
      <c r="CQ100">
        <v>1.1000000000000001</v>
      </c>
      <c r="CR100" t="s">
        <v>131</v>
      </c>
      <c r="CS100" t="s">
        <v>649</v>
      </c>
      <c r="CT100">
        <v>1.0900000000000001</v>
      </c>
      <c r="CU100" t="s">
        <v>131</v>
      </c>
      <c r="CV100" t="s">
        <v>649</v>
      </c>
      <c r="CW100">
        <v>1.0900000000000001</v>
      </c>
      <c r="CX100" t="s">
        <v>131</v>
      </c>
      <c r="CY100" t="s">
        <v>649</v>
      </c>
      <c r="CZ100">
        <v>1.04</v>
      </c>
      <c r="DA100" t="s">
        <v>131</v>
      </c>
      <c r="DB100" t="s">
        <v>649</v>
      </c>
      <c r="DC100">
        <v>1.04</v>
      </c>
      <c r="DD100" t="s">
        <v>131</v>
      </c>
      <c r="DE100" t="s">
        <v>649</v>
      </c>
      <c r="DF100">
        <v>0.99</v>
      </c>
      <c r="DG100" t="s">
        <v>131</v>
      </c>
      <c r="DH100" t="s">
        <v>649</v>
      </c>
      <c r="DI100">
        <v>0.98</v>
      </c>
      <c r="DJ100" t="s">
        <v>131</v>
      </c>
      <c r="DK100" t="s">
        <v>369</v>
      </c>
      <c r="DL100">
        <v>4.76</v>
      </c>
      <c r="DM100" t="s">
        <v>134</v>
      </c>
      <c r="DN100" t="s">
        <v>369</v>
      </c>
      <c r="DO100">
        <v>4.7</v>
      </c>
      <c r="DP100" t="s">
        <v>134</v>
      </c>
      <c r="DQ100" t="s">
        <v>369</v>
      </c>
      <c r="DR100">
        <v>5.47</v>
      </c>
      <c r="DS100" t="s">
        <v>134</v>
      </c>
      <c r="DT100" t="s">
        <v>367</v>
      </c>
      <c r="DU100">
        <v>0.14000000000000001</v>
      </c>
      <c r="DV100" t="s">
        <v>479</v>
      </c>
      <c r="DW100" t="s">
        <v>367</v>
      </c>
      <c r="DX100">
        <v>0.12</v>
      </c>
      <c r="DY100" t="s">
        <v>479</v>
      </c>
      <c r="DZ100" t="s">
        <v>367</v>
      </c>
      <c r="EA100">
        <v>0.12</v>
      </c>
      <c r="EB100" t="s">
        <v>479</v>
      </c>
      <c r="EC100" t="s">
        <v>367</v>
      </c>
      <c r="ED100">
        <v>0.12</v>
      </c>
      <c r="EE100" t="s">
        <v>479</v>
      </c>
      <c r="EF100" t="s">
        <v>367</v>
      </c>
      <c r="EG100">
        <v>0.13</v>
      </c>
      <c r="EH100" t="s">
        <v>479</v>
      </c>
      <c r="EI100" t="s">
        <v>367</v>
      </c>
      <c r="EJ100">
        <v>0.12</v>
      </c>
      <c r="EK100" t="s">
        <v>479</v>
      </c>
    </row>
    <row r="101" spans="1:141">
      <c r="A101" t="s">
        <v>649</v>
      </c>
      <c r="B101">
        <v>1.1000000000000001</v>
      </c>
      <c r="C101" t="s">
        <v>131</v>
      </c>
      <c r="D101" t="s">
        <v>649</v>
      </c>
      <c r="E101">
        <v>1.1000000000000001</v>
      </c>
      <c r="F101" t="s">
        <v>131</v>
      </c>
      <c r="G101" t="s">
        <v>369</v>
      </c>
      <c r="H101">
        <v>4.5199999999999996</v>
      </c>
      <c r="I101" t="s">
        <v>134</v>
      </c>
      <c r="J101" t="s">
        <v>369</v>
      </c>
      <c r="K101">
        <v>4.54</v>
      </c>
      <c r="L101" t="s">
        <v>134</v>
      </c>
      <c r="M101" t="s">
        <v>369</v>
      </c>
      <c r="N101">
        <v>4.5</v>
      </c>
      <c r="O101" t="s">
        <v>134</v>
      </c>
      <c r="P101" t="s">
        <v>649</v>
      </c>
      <c r="Q101">
        <v>1.1000000000000001</v>
      </c>
      <c r="R101" t="s">
        <v>131</v>
      </c>
      <c r="S101" t="s">
        <v>369</v>
      </c>
      <c r="T101">
        <v>4.42</v>
      </c>
      <c r="U101" t="s">
        <v>134</v>
      </c>
      <c r="V101" t="s">
        <v>369</v>
      </c>
      <c r="W101">
        <v>4.33</v>
      </c>
      <c r="X101" t="s">
        <v>134</v>
      </c>
      <c r="Y101" t="s">
        <v>369</v>
      </c>
      <c r="Z101">
        <v>4.42</v>
      </c>
      <c r="AA101" t="s">
        <v>134</v>
      </c>
      <c r="AB101" t="s">
        <v>369</v>
      </c>
      <c r="AC101">
        <v>4.5599999999999996</v>
      </c>
      <c r="AD101" t="s">
        <v>134</v>
      </c>
      <c r="AE101" t="s">
        <v>369</v>
      </c>
      <c r="AF101">
        <v>4.6100000000000003</v>
      </c>
      <c r="AG101" t="s">
        <v>134</v>
      </c>
      <c r="AH101" t="s">
        <v>369</v>
      </c>
      <c r="AI101">
        <v>4.97</v>
      </c>
      <c r="AJ101" t="s">
        <v>134</v>
      </c>
      <c r="AK101" t="s">
        <v>369</v>
      </c>
      <c r="AL101">
        <v>5.96</v>
      </c>
      <c r="AM101" t="s">
        <v>134</v>
      </c>
      <c r="AN101" t="s">
        <v>369</v>
      </c>
      <c r="AO101">
        <v>5.42</v>
      </c>
      <c r="AP101" t="s">
        <v>134</v>
      </c>
      <c r="AQ101" t="s">
        <v>369</v>
      </c>
      <c r="AR101">
        <v>5.42</v>
      </c>
      <c r="AS101" t="s">
        <v>134</v>
      </c>
      <c r="AT101" t="s">
        <v>369</v>
      </c>
      <c r="AU101">
        <v>5.29</v>
      </c>
      <c r="AV101" t="s">
        <v>134</v>
      </c>
      <c r="AW101" t="s">
        <v>369</v>
      </c>
      <c r="AX101">
        <v>5.29</v>
      </c>
      <c r="AY101" t="s">
        <v>134</v>
      </c>
      <c r="AZ101" t="s">
        <v>369</v>
      </c>
      <c r="BA101">
        <v>5.42</v>
      </c>
      <c r="BB101" t="s">
        <v>134</v>
      </c>
      <c r="BC101" t="s">
        <v>369</v>
      </c>
      <c r="BD101">
        <v>5.38</v>
      </c>
      <c r="BE101" t="s">
        <v>134</v>
      </c>
      <c r="BF101" t="s">
        <v>369</v>
      </c>
      <c r="BG101">
        <v>5.23</v>
      </c>
      <c r="BH101" t="s">
        <v>134</v>
      </c>
      <c r="BI101" t="s">
        <v>369</v>
      </c>
      <c r="BJ101">
        <v>5.18</v>
      </c>
      <c r="BK101" t="s">
        <v>134</v>
      </c>
      <c r="BL101" t="s">
        <v>369</v>
      </c>
      <c r="BM101">
        <v>4.59</v>
      </c>
      <c r="BN101" t="s">
        <v>134</v>
      </c>
      <c r="BO101" t="s">
        <v>369</v>
      </c>
      <c r="BP101">
        <v>4.72</v>
      </c>
      <c r="BQ101" t="s">
        <v>134</v>
      </c>
      <c r="BR101" t="s">
        <v>369</v>
      </c>
      <c r="BS101">
        <v>4.9800000000000004</v>
      </c>
      <c r="BT101" t="s">
        <v>134</v>
      </c>
      <c r="BU101" t="s">
        <v>369</v>
      </c>
      <c r="BV101">
        <v>4.9400000000000004</v>
      </c>
      <c r="BW101" t="s">
        <v>134</v>
      </c>
      <c r="BX101" t="s">
        <v>369</v>
      </c>
      <c r="BY101">
        <v>4.87</v>
      </c>
      <c r="BZ101" t="s">
        <v>134</v>
      </c>
      <c r="CA101" t="s">
        <v>649</v>
      </c>
      <c r="CB101">
        <v>1.1000000000000001</v>
      </c>
      <c r="CC101" t="s">
        <v>131</v>
      </c>
      <c r="CD101" t="s">
        <v>369</v>
      </c>
      <c r="CE101">
        <v>4.82</v>
      </c>
      <c r="CF101" t="s">
        <v>134</v>
      </c>
      <c r="CG101" t="s">
        <v>369</v>
      </c>
      <c r="CH101">
        <v>4.8600000000000003</v>
      </c>
      <c r="CI101" t="s">
        <v>134</v>
      </c>
      <c r="CJ101" t="s">
        <v>369</v>
      </c>
      <c r="CK101">
        <v>4.8499999999999996</v>
      </c>
      <c r="CL101" t="s">
        <v>134</v>
      </c>
      <c r="CM101" t="s">
        <v>369</v>
      </c>
      <c r="CN101">
        <v>4.79</v>
      </c>
      <c r="CO101" t="s">
        <v>134</v>
      </c>
      <c r="CP101" t="s">
        <v>369</v>
      </c>
      <c r="CQ101">
        <v>4.8</v>
      </c>
      <c r="CR101" t="s">
        <v>134</v>
      </c>
      <c r="CS101" t="s">
        <v>369</v>
      </c>
      <c r="CT101">
        <v>5.05</v>
      </c>
      <c r="CU101" t="s">
        <v>134</v>
      </c>
      <c r="CV101" t="s">
        <v>369</v>
      </c>
      <c r="CW101">
        <v>5.15</v>
      </c>
      <c r="CX101" t="s">
        <v>134</v>
      </c>
      <c r="CY101" t="s">
        <v>369</v>
      </c>
      <c r="CZ101">
        <v>5.04</v>
      </c>
      <c r="DA101" t="s">
        <v>134</v>
      </c>
      <c r="DB101" t="s">
        <v>369</v>
      </c>
      <c r="DC101">
        <v>5.04</v>
      </c>
      <c r="DD101" t="s">
        <v>134</v>
      </c>
      <c r="DE101" t="s">
        <v>369</v>
      </c>
      <c r="DF101">
        <v>5.08</v>
      </c>
      <c r="DG101" t="s">
        <v>134</v>
      </c>
      <c r="DH101" t="s">
        <v>369</v>
      </c>
      <c r="DI101">
        <v>5.05</v>
      </c>
      <c r="DJ101" t="s">
        <v>134</v>
      </c>
      <c r="DK101" t="s">
        <v>366</v>
      </c>
      <c r="DL101">
        <v>9.7200000000000006</v>
      </c>
      <c r="DM101" t="s">
        <v>478</v>
      </c>
      <c r="DN101" t="s">
        <v>366</v>
      </c>
      <c r="DO101">
        <v>10.46</v>
      </c>
      <c r="DP101" t="s">
        <v>478</v>
      </c>
      <c r="DQ101" t="s">
        <v>366</v>
      </c>
      <c r="DR101">
        <v>9.83</v>
      </c>
      <c r="DS101" t="s">
        <v>478</v>
      </c>
      <c r="DT101" t="s">
        <v>211</v>
      </c>
      <c r="DU101">
        <v>138.16</v>
      </c>
      <c r="DV101" t="s">
        <v>212</v>
      </c>
      <c r="DW101" t="s">
        <v>211</v>
      </c>
      <c r="DX101">
        <v>138.15</v>
      </c>
      <c r="DY101" t="s">
        <v>212</v>
      </c>
      <c r="DZ101" t="s">
        <v>211</v>
      </c>
      <c r="EA101">
        <v>138.16</v>
      </c>
      <c r="EB101" t="s">
        <v>212</v>
      </c>
      <c r="EC101" t="s">
        <v>211</v>
      </c>
      <c r="ED101">
        <v>138.15</v>
      </c>
      <c r="EE101" t="s">
        <v>212</v>
      </c>
      <c r="EF101" t="s">
        <v>211</v>
      </c>
      <c r="EG101">
        <v>138.15</v>
      </c>
      <c r="EH101" t="s">
        <v>212</v>
      </c>
      <c r="EI101" t="s">
        <v>211</v>
      </c>
      <c r="EJ101">
        <v>138.15</v>
      </c>
      <c r="EK101" t="s">
        <v>212</v>
      </c>
    </row>
    <row r="102" spans="1:141">
      <c r="A102" t="s">
        <v>369</v>
      </c>
      <c r="B102">
        <v>4.54</v>
      </c>
      <c r="C102" t="s">
        <v>134</v>
      </c>
      <c r="D102" t="s">
        <v>369</v>
      </c>
      <c r="E102">
        <v>4.4400000000000004</v>
      </c>
      <c r="F102" t="s">
        <v>134</v>
      </c>
      <c r="G102" t="s">
        <v>366</v>
      </c>
      <c r="H102">
        <v>9.19</v>
      </c>
      <c r="I102" t="s">
        <v>478</v>
      </c>
      <c r="J102" t="s">
        <v>366</v>
      </c>
      <c r="K102">
        <v>9.64</v>
      </c>
      <c r="L102" t="s">
        <v>478</v>
      </c>
      <c r="M102" t="s">
        <v>366</v>
      </c>
      <c r="N102">
        <v>9.5299999999999994</v>
      </c>
      <c r="O102" t="s">
        <v>478</v>
      </c>
      <c r="P102" t="s">
        <v>369</v>
      </c>
      <c r="Q102">
        <v>4.45</v>
      </c>
      <c r="R102" t="s">
        <v>134</v>
      </c>
      <c r="S102" t="s">
        <v>366</v>
      </c>
      <c r="T102">
        <v>9.65</v>
      </c>
      <c r="U102" t="s">
        <v>478</v>
      </c>
      <c r="V102" t="s">
        <v>366</v>
      </c>
      <c r="W102">
        <v>9.58</v>
      </c>
      <c r="X102" t="s">
        <v>478</v>
      </c>
      <c r="Y102" t="s">
        <v>366</v>
      </c>
      <c r="Z102">
        <v>9.92</v>
      </c>
      <c r="AA102" t="s">
        <v>478</v>
      </c>
      <c r="AB102" t="s">
        <v>366</v>
      </c>
      <c r="AC102">
        <v>10.93</v>
      </c>
      <c r="AD102" t="s">
        <v>478</v>
      </c>
      <c r="AE102" t="s">
        <v>366</v>
      </c>
      <c r="AF102">
        <v>11.47</v>
      </c>
      <c r="AG102" t="s">
        <v>478</v>
      </c>
      <c r="AH102" t="s">
        <v>366</v>
      </c>
      <c r="AI102">
        <v>12.04</v>
      </c>
      <c r="AJ102" t="s">
        <v>478</v>
      </c>
      <c r="AK102" t="s">
        <v>366</v>
      </c>
      <c r="AL102">
        <v>12.64</v>
      </c>
      <c r="AM102" t="s">
        <v>478</v>
      </c>
      <c r="AN102" t="s">
        <v>366</v>
      </c>
      <c r="AO102">
        <v>11.56</v>
      </c>
      <c r="AP102" t="s">
        <v>478</v>
      </c>
      <c r="AQ102" t="s">
        <v>366</v>
      </c>
      <c r="AR102">
        <v>11.4</v>
      </c>
      <c r="AS102" t="s">
        <v>478</v>
      </c>
      <c r="AT102" t="s">
        <v>366</v>
      </c>
      <c r="AU102">
        <v>11.8</v>
      </c>
      <c r="AV102" t="s">
        <v>478</v>
      </c>
      <c r="AW102" t="s">
        <v>366</v>
      </c>
      <c r="AX102">
        <v>11.09</v>
      </c>
      <c r="AY102" t="s">
        <v>478</v>
      </c>
      <c r="AZ102" t="s">
        <v>366</v>
      </c>
      <c r="BA102">
        <v>10.6</v>
      </c>
      <c r="BB102" t="s">
        <v>478</v>
      </c>
      <c r="BC102" t="s">
        <v>366</v>
      </c>
      <c r="BD102">
        <v>10.83</v>
      </c>
      <c r="BE102" t="s">
        <v>478</v>
      </c>
      <c r="BF102" t="s">
        <v>366</v>
      </c>
      <c r="BG102">
        <v>10.06</v>
      </c>
      <c r="BH102" t="s">
        <v>478</v>
      </c>
      <c r="BI102" t="s">
        <v>366</v>
      </c>
      <c r="BJ102">
        <v>10.1</v>
      </c>
      <c r="BK102" t="s">
        <v>478</v>
      </c>
      <c r="BL102" t="s">
        <v>366</v>
      </c>
      <c r="BM102">
        <v>9.41</v>
      </c>
      <c r="BN102" t="s">
        <v>478</v>
      </c>
      <c r="BO102" t="s">
        <v>366</v>
      </c>
      <c r="BP102">
        <v>9.24</v>
      </c>
      <c r="BQ102" t="s">
        <v>478</v>
      </c>
      <c r="BR102" t="s">
        <v>366</v>
      </c>
      <c r="BS102">
        <v>9.15</v>
      </c>
      <c r="BT102" t="s">
        <v>478</v>
      </c>
      <c r="BU102" t="s">
        <v>366</v>
      </c>
      <c r="BV102">
        <v>9.0500000000000007</v>
      </c>
      <c r="BW102" t="s">
        <v>478</v>
      </c>
      <c r="BX102" t="s">
        <v>366</v>
      </c>
      <c r="BY102">
        <v>9.23</v>
      </c>
      <c r="BZ102" t="s">
        <v>478</v>
      </c>
      <c r="CA102" t="s">
        <v>369</v>
      </c>
      <c r="CB102">
        <v>4.8600000000000003</v>
      </c>
      <c r="CC102" t="s">
        <v>134</v>
      </c>
      <c r="CD102" t="s">
        <v>366</v>
      </c>
      <c r="CE102">
        <v>8.93</v>
      </c>
      <c r="CF102" t="s">
        <v>478</v>
      </c>
      <c r="CG102" t="s">
        <v>366</v>
      </c>
      <c r="CH102">
        <v>8.9</v>
      </c>
      <c r="CI102" t="s">
        <v>478</v>
      </c>
      <c r="CJ102" t="s">
        <v>366</v>
      </c>
      <c r="CK102">
        <v>8.84</v>
      </c>
      <c r="CL102" t="s">
        <v>478</v>
      </c>
      <c r="CM102" t="s">
        <v>366</v>
      </c>
      <c r="CN102">
        <v>8.8699999999999992</v>
      </c>
      <c r="CO102" t="s">
        <v>478</v>
      </c>
      <c r="CP102" t="s">
        <v>366</v>
      </c>
      <c r="CQ102">
        <v>8.89</v>
      </c>
      <c r="CR102" t="s">
        <v>478</v>
      </c>
      <c r="CS102" t="s">
        <v>366</v>
      </c>
      <c r="CT102">
        <v>8.66</v>
      </c>
      <c r="CU102" t="s">
        <v>478</v>
      </c>
      <c r="CV102" t="s">
        <v>366</v>
      </c>
      <c r="CW102">
        <v>8.6</v>
      </c>
      <c r="CX102" t="s">
        <v>478</v>
      </c>
      <c r="CY102" t="s">
        <v>366</v>
      </c>
      <c r="CZ102">
        <v>9.43</v>
      </c>
      <c r="DA102" t="s">
        <v>478</v>
      </c>
      <c r="DB102" t="s">
        <v>366</v>
      </c>
      <c r="DC102">
        <v>8.85</v>
      </c>
      <c r="DD102" t="s">
        <v>478</v>
      </c>
      <c r="DE102" t="s">
        <v>366</v>
      </c>
      <c r="DF102">
        <v>8.83</v>
      </c>
      <c r="DG102" t="s">
        <v>478</v>
      </c>
      <c r="DH102" t="s">
        <v>366</v>
      </c>
      <c r="DI102">
        <v>8.75</v>
      </c>
      <c r="DJ102" t="s">
        <v>478</v>
      </c>
      <c r="DK102" t="s">
        <v>367</v>
      </c>
      <c r="DL102">
        <v>0.09</v>
      </c>
      <c r="DM102" t="s">
        <v>479</v>
      </c>
      <c r="DN102" t="s">
        <v>367</v>
      </c>
      <c r="DO102">
        <v>0.09</v>
      </c>
      <c r="DP102" t="s">
        <v>479</v>
      </c>
      <c r="DQ102" t="s">
        <v>367</v>
      </c>
      <c r="DR102">
        <v>0.2</v>
      </c>
      <c r="DS102" t="s">
        <v>479</v>
      </c>
      <c r="DT102" t="s">
        <v>213</v>
      </c>
      <c r="DU102">
        <v>35.25</v>
      </c>
      <c r="DV102" t="s">
        <v>37</v>
      </c>
      <c r="DW102" t="s">
        <v>213</v>
      </c>
      <c r="DX102">
        <v>37.01</v>
      </c>
      <c r="DY102" t="s">
        <v>37</v>
      </c>
      <c r="DZ102" t="s">
        <v>213</v>
      </c>
      <c r="EA102">
        <v>36.47</v>
      </c>
      <c r="EB102" t="s">
        <v>37</v>
      </c>
      <c r="EC102" t="s">
        <v>213</v>
      </c>
      <c r="ED102">
        <v>36.130000000000003</v>
      </c>
      <c r="EE102" t="s">
        <v>37</v>
      </c>
      <c r="EF102" t="s">
        <v>213</v>
      </c>
      <c r="EG102">
        <v>37.880000000000003</v>
      </c>
      <c r="EH102" t="s">
        <v>37</v>
      </c>
      <c r="EI102" t="s">
        <v>213</v>
      </c>
      <c r="EJ102">
        <v>38.700000000000003</v>
      </c>
      <c r="EK102" t="s">
        <v>37</v>
      </c>
    </row>
    <row r="103" spans="1:141">
      <c r="A103" t="s">
        <v>366</v>
      </c>
      <c r="B103">
        <v>8.7799999999999994</v>
      </c>
      <c r="C103" t="s">
        <v>478</v>
      </c>
      <c r="D103" t="s">
        <v>366</v>
      </c>
      <c r="E103">
        <v>9.2100000000000009</v>
      </c>
      <c r="F103" t="s">
        <v>478</v>
      </c>
      <c r="G103" t="s">
        <v>367</v>
      </c>
      <c r="H103">
        <v>0.09</v>
      </c>
      <c r="I103" t="s">
        <v>479</v>
      </c>
      <c r="J103" t="s">
        <v>367</v>
      </c>
      <c r="K103">
        <v>0.09</v>
      </c>
      <c r="L103" t="s">
        <v>479</v>
      </c>
      <c r="M103" t="s">
        <v>367</v>
      </c>
      <c r="N103">
        <v>0.09</v>
      </c>
      <c r="O103" t="s">
        <v>479</v>
      </c>
      <c r="P103" t="s">
        <v>366</v>
      </c>
      <c r="Q103">
        <v>10</v>
      </c>
      <c r="R103" t="s">
        <v>478</v>
      </c>
      <c r="S103" t="s">
        <v>367</v>
      </c>
      <c r="T103">
        <v>0.09</v>
      </c>
      <c r="U103" t="s">
        <v>479</v>
      </c>
      <c r="V103" t="s">
        <v>367</v>
      </c>
      <c r="W103">
        <v>0.09</v>
      </c>
      <c r="X103" t="s">
        <v>479</v>
      </c>
      <c r="Y103" t="s">
        <v>367</v>
      </c>
      <c r="Z103">
        <v>0.09</v>
      </c>
      <c r="AA103" t="s">
        <v>479</v>
      </c>
      <c r="AB103" t="s">
        <v>367</v>
      </c>
      <c r="AC103">
        <v>0.09</v>
      </c>
      <c r="AD103" t="s">
        <v>479</v>
      </c>
      <c r="AE103" t="s">
        <v>367</v>
      </c>
      <c r="AF103">
        <v>0.1</v>
      </c>
      <c r="AG103" t="s">
        <v>479</v>
      </c>
      <c r="AH103" t="s">
        <v>367</v>
      </c>
      <c r="AI103">
        <v>0.1</v>
      </c>
      <c r="AJ103" t="s">
        <v>479</v>
      </c>
      <c r="AK103" t="s">
        <v>367</v>
      </c>
      <c r="AL103">
        <v>0.1</v>
      </c>
      <c r="AM103" t="s">
        <v>479</v>
      </c>
      <c r="AN103" t="s">
        <v>367</v>
      </c>
      <c r="AO103">
        <v>0.09</v>
      </c>
      <c r="AP103" t="s">
        <v>479</v>
      </c>
      <c r="AQ103" t="s">
        <v>367</v>
      </c>
      <c r="AR103">
        <v>0.09</v>
      </c>
      <c r="AS103" t="s">
        <v>479</v>
      </c>
      <c r="AT103" t="s">
        <v>367</v>
      </c>
      <c r="AU103">
        <v>0.09</v>
      </c>
      <c r="AV103" t="s">
        <v>479</v>
      </c>
      <c r="AW103" t="s">
        <v>367</v>
      </c>
      <c r="AX103">
        <v>0.09</v>
      </c>
      <c r="AY103" t="s">
        <v>479</v>
      </c>
      <c r="AZ103" t="s">
        <v>367</v>
      </c>
      <c r="BA103">
        <v>0.08</v>
      </c>
      <c r="BB103" t="s">
        <v>479</v>
      </c>
      <c r="BC103" t="s">
        <v>367</v>
      </c>
      <c r="BD103">
        <v>0.09</v>
      </c>
      <c r="BE103" t="s">
        <v>479</v>
      </c>
      <c r="BF103" t="s">
        <v>367</v>
      </c>
      <c r="BG103">
        <v>0.09</v>
      </c>
      <c r="BH103" t="s">
        <v>479</v>
      </c>
      <c r="BI103" t="s">
        <v>367</v>
      </c>
      <c r="BJ103">
        <v>0.09</v>
      </c>
      <c r="BK103" t="s">
        <v>479</v>
      </c>
      <c r="BL103" t="s">
        <v>367</v>
      </c>
      <c r="BM103">
        <v>0.09</v>
      </c>
      <c r="BN103" t="s">
        <v>479</v>
      </c>
      <c r="BO103" t="s">
        <v>367</v>
      </c>
      <c r="BP103">
        <v>0.08</v>
      </c>
      <c r="BQ103" t="s">
        <v>479</v>
      </c>
      <c r="BR103" t="s">
        <v>367</v>
      </c>
      <c r="BS103">
        <v>0.08</v>
      </c>
      <c r="BT103" t="s">
        <v>479</v>
      </c>
      <c r="BU103" t="s">
        <v>367</v>
      </c>
      <c r="BV103">
        <v>0.09</v>
      </c>
      <c r="BW103" t="s">
        <v>479</v>
      </c>
      <c r="BX103" t="s">
        <v>367</v>
      </c>
      <c r="BY103">
        <v>0.09</v>
      </c>
      <c r="BZ103" t="s">
        <v>479</v>
      </c>
      <c r="CA103" t="s">
        <v>366</v>
      </c>
      <c r="CB103">
        <v>9.0399999999999991</v>
      </c>
      <c r="CC103" t="s">
        <v>478</v>
      </c>
      <c r="CD103" t="s">
        <v>367</v>
      </c>
      <c r="CE103">
        <v>0.08</v>
      </c>
      <c r="CF103" t="s">
        <v>479</v>
      </c>
      <c r="CG103" t="s">
        <v>367</v>
      </c>
      <c r="CH103">
        <v>0.08</v>
      </c>
      <c r="CI103" t="s">
        <v>479</v>
      </c>
      <c r="CJ103" t="s">
        <v>367</v>
      </c>
      <c r="CK103">
        <v>0.1</v>
      </c>
      <c r="CL103" t="s">
        <v>479</v>
      </c>
      <c r="CM103" t="s">
        <v>367</v>
      </c>
      <c r="CN103">
        <v>0.1</v>
      </c>
      <c r="CO103" t="s">
        <v>479</v>
      </c>
      <c r="CP103" t="s">
        <v>367</v>
      </c>
      <c r="CQ103">
        <v>0.1</v>
      </c>
      <c r="CR103" t="s">
        <v>479</v>
      </c>
      <c r="CS103" t="s">
        <v>367</v>
      </c>
      <c r="CT103">
        <v>0.09</v>
      </c>
      <c r="CU103" t="s">
        <v>479</v>
      </c>
      <c r="CV103" t="s">
        <v>367</v>
      </c>
      <c r="CW103">
        <v>0.08</v>
      </c>
      <c r="CX103" t="s">
        <v>479</v>
      </c>
      <c r="CY103" t="s">
        <v>367</v>
      </c>
      <c r="CZ103">
        <v>0.08</v>
      </c>
      <c r="DA103" t="s">
        <v>479</v>
      </c>
      <c r="DB103" t="s">
        <v>367</v>
      </c>
      <c r="DC103">
        <v>0.1</v>
      </c>
      <c r="DD103" t="s">
        <v>479</v>
      </c>
      <c r="DE103" t="s">
        <v>367</v>
      </c>
      <c r="DF103">
        <v>0.1</v>
      </c>
      <c r="DG103" t="s">
        <v>479</v>
      </c>
      <c r="DH103" t="s">
        <v>367</v>
      </c>
      <c r="DI103">
        <v>0.09</v>
      </c>
      <c r="DJ103" t="s">
        <v>479</v>
      </c>
      <c r="DK103" t="s">
        <v>671</v>
      </c>
      <c r="DL103">
        <v>3.22</v>
      </c>
      <c r="DM103" t="s">
        <v>699</v>
      </c>
      <c r="DN103" t="s">
        <v>671</v>
      </c>
      <c r="DO103">
        <v>3.22</v>
      </c>
      <c r="DP103" t="s">
        <v>699</v>
      </c>
      <c r="DQ103" t="s">
        <v>671</v>
      </c>
      <c r="DR103">
        <v>3.22</v>
      </c>
      <c r="DS103" t="s">
        <v>699</v>
      </c>
      <c r="DT103" t="s">
        <v>407</v>
      </c>
      <c r="DU103">
        <v>6.41</v>
      </c>
      <c r="DV103" t="s">
        <v>73</v>
      </c>
      <c r="DW103" t="s">
        <v>407</v>
      </c>
      <c r="DX103">
        <v>6.03</v>
      </c>
      <c r="DY103" t="s">
        <v>73</v>
      </c>
      <c r="DZ103" t="s">
        <v>407</v>
      </c>
      <c r="EA103">
        <v>5.88</v>
      </c>
      <c r="EB103" t="s">
        <v>73</v>
      </c>
      <c r="EC103" t="s">
        <v>407</v>
      </c>
      <c r="ED103">
        <v>6.06</v>
      </c>
      <c r="EE103" t="s">
        <v>73</v>
      </c>
      <c r="EF103" t="s">
        <v>407</v>
      </c>
      <c r="EG103">
        <v>6.4</v>
      </c>
      <c r="EH103" t="s">
        <v>73</v>
      </c>
      <c r="EI103" t="s">
        <v>407</v>
      </c>
      <c r="EJ103">
        <v>7</v>
      </c>
      <c r="EK103" t="s">
        <v>73</v>
      </c>
    </row>
    <row r="104" spans="1:141">
      <c r="A104" t="s">
        <v>367</v>
      </c>
      <c r="B104">
        <v>0.09</v>
      </c>
      <c r="C104" t="s">
        <v>479</v>
      </c>
      <c r="D104" t="s">
        <v>367</v>
      </c>
      <c r="E104">
        <v>0.09</v>
      </c>
      <c r="F104" t="s">
        <v>479</v>
      </c>
      <c r="G104" t="s">
        <v>671</v>
      </c>
      <c r="H104">
        <v>3.22</v>
      </c>
      <c r="I104" t="s">
        <v>699</v>
      </c>
      <c r="J104" t="s">
        <v>671</v>
      </c>
      <c r="K104">
        <v>3.22</v>
      </c>
      <c r="L104" t="s">
        <v>699</v>
      </c>
      <c r="M104" t="s">
        <v>671</v>
      </c>
      <c r="N104">
        <v>3.22</v>
      </c>
      <c r="O104" t="s">
        <v>699</v>
      </c>
      <c r="P104" t="s">
        <v>367</v>
      </c>
      <c r="Q104">
        <v>0.09</v>
      </c>
      <c r="R104" t="s">
        <v>479</v>
      </c>
      <c r="S104" t="s">
        <v>671</v>
      </c>
      <c r="T104">
        <v>3.22</v>
      </c>
      <c r="U104" t="s">
        <v>699</v>
      </c>
      <c r="V104" t="s">
        <v>671</v>
      </c>
      <c r="W104">
        <v>3.22</v>
      </c>
      <c r="X104" t="s">
        <v>699</v>
      </c>
      <c r="Y104" t="s">
        <v>671</v>
      </c>
      <c r="Z104">
        <v>3.22</v>
      </c>
      <c r="AA104" t="s">
        <v>699</v>
      </c>
      <c r="AB104" t="s">
        <v>671</v>
      </c>
      <c r="AC104">
        <v>3.22</v>
      </c>
      <c r="AD104" t="s">
        <v>699</v>
      </c>
      <c r="AE104" t="s">
        <v>671</v>
      </c>
      <c r="AF104">
        <v>3.22</v>
      </c>
      <c r="AG104" t="s">
        <v>699</v>
      </c>
      <c r="AH104" t="s">
        <v>671</v>
      </c>
      <c r="AI104">
        <v>3.22</v>
      </c>
      <c r="AJ104" t="s">
        <v>699</v>
      </c>
      <c r="AK104" t="s">
        <v>671</v>
      </c>
      <c r="AL104">
        <v>3.22</v>
      </c>
      <c r="AM104" t="s">
        <v>699</v>
      </c>
      <c r="AN104" t="s">
        <v>671</v>
      </c>
      <c r="AO104">
        <v>3.22</v>
      </c>
      <c r="AP104" t="s">
        <v>699</v>
      </c>
      <c r="AQ104" t="s">
        <v>671</v>
      </c>
      <c r="AR104">
        <v>3.22</v>
      </c>
      <c r="AS104" t="s">
        <v>699</v>
      </c>
      <c r="AT104" t="s">
        <v>671</v>
      </c>
      <c r="AU104">
        <v>3.22</v>
      </c>
      <c r="AV104" t="s">
        <v>699</v>
      </c>
      <c r="AW104" t="s">
        <v>671</v>
      </c>
      <c r="AX104">
        <v>3.22</v>
      </c>
      <c r="AY104" t="s">
        <v>699</v>
      </c>
      <c r="AZ104" t="s">
        <v>671</v>
      </c>
      <c r="BA104">
        <v>3.22</v>
      </c>
      <c r="BB104" t="s">
        <v>699</v>
      </c>
      <c r="BC104" t="s">
        <v>671</v>
      </c>
      <c r="BD104">
        <v>3.22</v>
      </c>
      <c r="BE104" t="s">
        <v>699</v>
      </c>
      <c r="BF104" t="s">
        <v>671</v>
      </c>
      <c r="BG104">
        <v>3.22</v>
      </c>
      <c r="BH104" t="s">
        <v>699</v>
      </c>
      <c r="BI104" t="s">
        <v>671</v>
      </c>
      <c r="BJ104">
        <v>3.22</v>
      </c>
      <c r="BK104" t="s">
        <v>699</v>
      </c>
      <c r="BL104" t="s">
        <v>671</v>
      </c>
      <c r="BM104">
        <v>3.22</v>
      </c>
      <c r="BN104" t="s">
        <v>699</v>
      </c>
      <c r="BO104" t="s">
        <v>671</v>
      </c>
      <c r="BP104">
        <v>3.22</v>
      </c>
      <c r="BQ104" t="s">
        <v>699</v>
      </c>
      <c r="BR104" t="s">
        <v>671</v>
      </c>
      <c r="BS104">
        <v>3.22</v>
      </c>
      <c r="BT104" t="s">
        <v>699</v>
      </c>
      <c r="BU104" t="s">
        <v>671</v>
      </c>
      <c r="BV104">
        <v>3.22</v>
      </c>
      <c r="BW104" t="s">
        <v>699</v>
      </c>
      <c r="BX104" t="s">
        <v>671</v>
      </c>
      <c r="BY104">
        <v>3.22</v>
      </c>
      <c r="BZ104" t="s">
        <v>699</v>
      </c>
      <c r="CA104" t="s">
        <v>367</v>
      </c>
      <c r="CB104">
        <v>0.08</v>
      </c>
      <c r="CC104" t="s">
        <v>479</v>
      </c>
      <c r="CD104" t="s">
        <v>671</v>
      </c>
      <c r="CE104">
        <v>3.22</v>
      </c>
      <c r="CF104" t="s">
        <v>699</v>
      </c>
      <c r="CG104" t="s">
        <v>671</v>
      </c>
      <c r="CH104">
        <v>3.22</v>
      </c>
      <c r="CI104" t="s">
        <v>699</v>
      </c>
      <c r="CJ104" t="s">
        <v>671</v>
      </c>
      <c r="CK104">
        <v>3.22</v>
      </c>
      <c r="CL104" t="s">
        <v>699</v>
      </c>
      <c r="CM104" t="s">
        <v>671</v>
      </c>
      <c r="CN104">
        <v>3.22</v>
      </c>
      <c r="CO104" t="s">
        <v>699</v>
      </c>
      <c r="CP104" t="s">
        <v>671</v>
      </c>
      <c r="CQ104">
        <v>3.22</v>
      </c>
      <c r="CR104" t="s">
        <v>699</v>
      </c>
      <c r="CS104" t="s">
        <v>671</v>
      </c>
      <c r="CT104">
        <v>3.22</v>
      </c>
      <c r="CU104" t="s">
        <v>699</v>
      </c>
      <c r="CV104" t="s">
        <v>671</v>
      </c>
      <c r="CW104">
        <v>3.22</v>
      </c>
      <c r="CX104" t="s">
        <v>699</v>
      </c>
      <c r="CY104" t="s">
        <v>671</v>
      </c>
      <c r="CZ104">
        <v>3.22</v>
      </c>
      <c r="DA104" t="s">
        <v>699</v>
      </c>
      <c r="DB104" t="s">
        <v>671</v>
      </c>
      <c r="DC104">
        <v>3.22</v>
      </c>
      <c r="DD104" t="s">
        <v>699</v>
      </c>
      <c r="DE104" t="s">
        <v>671</v>
      </c>
      <c r="DF104">
        <v>3.22</v>
      </c>
      <c r="DG104" t="s">
        <v>699</v>
      </c>
      <c r="DH104" t="s">
        <v>671</v>
      </c>
      <c r="DI104">
        <v>3.22</v>
      </c>
      <c r="DJ104" t="s">
        <v>699</v>
      </c>
      <c r="DK104" t="s">
        <v>211</v>
      </c>
      <c r="DL104">
        <v>138.15</v>
      </c>
      <c r="DM104" t="s">
        <v>212</v>
      </c>
      <c r="DN104" t="s">
        <v>211</v>
      </c>
      <c r="DO104">
        <v>138.15</v>
      </c>
      <c r="DP104" t="s">
        <v>212</v>
      </c>
      <c r="DQ104" t="s">
        <v>211</v>
      </c>
      <c r="DR104">
        <v>138.15</v>
      </c>
      <c r="DS104" t="s">
        <v>212</v>
      </c>
      <c r="DT104" t="s">
        <v>383</v>
      </c>
      <c r="DU104">
        <v>18.489999999999998</v>
      </c>
      <c r="DV104" t="s">
        <v>32</v>
      </c>
      <c r="DW104" t="s">
        <v>383</v>
      </c>
      <c r="DX104">
        <v>18.329999999999998</v>
      </c>
      <c r="DY104" t="s">
        <v>32</v>
      </c>
      <c r="DZ104" t="s">
        <v>383</v>
      </c>
      <c r="EA104">
        <v>18.940000000000001</v>
      </c>
      <c r="EB104" t="s">
        <v>32</v>
      </c>
      <c r="EC104" t="s">
        <v>383</v>
      </c>
      <c r="ED104">
        <v>18.559999999999999</v>
      </c>
      <c r="EE104" t="s">
        <v>32</v>
      </c>
      <c r="EF104" t="s">
        <v>383</v>
      </c>
      <c r="EG104">
        <v>19</v>
      </c>
      <c r="EH104" t="s">
        <v>32</v>
      </c>
      <c r="EI104" t="s">
        <v>383</v>
      </c>
      <c r="EJ104">
        <v>18.63</v>
      </c>
      <c r="EK104" t="s">
        <v>32</v>
      </c>
    </row>
    <row r="105" spans="1:141">
      <c r="A105" t="s">
        <v>671</v>
      </c>
      <c r="B105">
        <v>3.22</v>
      </c>
      <c r="C105" t="s">
        <v>699</v>
      </c>
      <c r="D105" t="s">
        <v>671</v>
      </c>
      <c r="E105">
        <v>3.22</v>
      </c>
      <c r="F105" t="s">
        <v>699</v>
      </c>
      <c r="G105" t="s">
        <v>211</v>
      </c>
      <c r="H105">
        <v>105</v>
      </c>
      <c r="I105" t="s">
        <v>212</v>
      </c>
      <c r="J105" t="s">
        <v>211</v>
      </c>
      <c r="K105">
        <v>108</v>
      </c>
      <c r="L105" t="s">
        <v>212</v>
      </c>
      <c r="M105" t="s">
        <v>211</v>
      </c>
      <c r="N105">
        <v>109.99</v>
      </c>
      <c r="O105" t="s">
        <v>212</v>
      </c>
      <c r="P105" t="s">
        <v>671</v>
      </c>
      <c r="Q105">
        <v>3.22</v>
      </c>
      <c r="R105" t="s">
        <v>699</v>
      </c>
      <c r="S105" t="s">
        <v>211</v>
      </c>
      <c r="T105">
        <v>108.22</v>
      </c>
      <c r="U105" t="s">
        <v>212</v>
      </c>
      <c r="V105" t="s">
        <v>211</v>
      </c>
      <c r="W105">
        <v>114.9</v>
      </c>
      <c r="X105" t="s">
        <v>212</v>
      </c>
      <c r="Y105" t="s">
        <v>211</v>
      </c>
      <c r="Z105">
        <v>114.52</v>
      </c>
      <c r="AA105" t="s">
        <v>212</v>
      </c>
      <c r="AB105" t="s">
        <v>211</v>
      </c>
      <c r="AC105">
        <v>115</v>
      </c>
      <c r="AD105" t="s">
        <v>212</v>
      </c>
      <c r="AE105" t="s">
        <v>211</v>
      </c>
      <c r="AF105">
        <v>117</v>
      </c>
      <c r="AG105" t="s">
        <v>212</v>
      </c>
      <c r="AH105" t="s">
        <v>211</v>
      </c>
      <c r="AI105">
        <v>117.81</v>
      </c>
      <c r="AJ105" t="s">
        <v>212</v>
      </c>
      <c r="AK105" t="s">
        <v>211</v>
      </c>
      <c r="AL105">
        <v>117.98</v>
      </c>
      <c r="AM105" t="s">
        <v>212</v>
      </c>
      <c r="AN105" t="s">
        <v>211</v>
      </c>
      <c r="AO105">
        <v>127.99</v>
      </c>
      <c r="AP105" t="s">
        <v>212</v>
      </c>
      <c r="AQ105" t="s">
        <v>211</v>
      </c>
      <c r="AR105">
        <v>130</v>
      </c>
      <c r="AS105" t="s">
        <v>212</v>
      </c>
      <c r="AT105" t="s">
        <v>211</v>
      </c>
      <c r="AU105">
        <v>129.16999999999999</v>
      </c>
      <c r="AV105" t="s">
        <v>212</v>
      </c>
      <c r="AW105" t="s">
        <v>211</v>
      </c>
      <c r="AX105">
        <v>128.81</v>
      </c>
      <c r="AY105" t="s">
        <v>212</v>
      </c>
      <c r="AZ105" t="s">
        <v>211</v>
      </c>
      <c r="BA105">
        <v>129.99</v>
      </c>
      <c r="BB105" t="s">
        <v>212</v>
      </c>
      <c r="BC105" t="s">
        <v>211</v>
      </c>
      <c r="BD105">
        <v>133</v>
      </c>
      <c r="BE105" t="s">
        <v>212</v>
      </c>
      <c r="BF105" t="s">
        <v>211</v>
      </c>
      <c r="BG105">
        <v>132.97999999999999</v>
      </c>
      <c r="BH105" t="s">
        <v>212</v>
      </c>
      <c r="BI105" t="s">
        <v>211</v>
      </c>
      <c r="BJ105">
        <v>131.53</v>
      </c>
      <c r="BK105" t="s">
        <v>212</v>
      </c>
      <c r="BL105" t="s">
        <v>211</v>
      </c>
      <c r="BM105">
        <v>132.01</v>
      </c>
      <c r="BN105" t="s">
        <v>212</v>
      </c>
      <c r="BO105" t="s">
        <v>211</v>
      </c>
      <c r="BP105">
        <v>134</v>
      </c>
      <c r="BQ105" t="s">
        <v>212</v>
      </c>
      <c r="BR105" t="s">
        <v>211</v>
      </c>
      <c r="BS105">
        <v>133.9</v>
      </c>
      <c r="BT105" t="s">
        <v>212</v>
      </c>
      <c r="BU105" t="s">
        <v>211</v>
      </c>
      <c r="BV105">
        <v>134.49</v>
      </c>
      <c r="BW105" t="s">
        <v>212</v>
      </c>
      <c r="BX105" t="s">
        <v>211</v>
      </c>
      <c r="BY105">
        <v>135.25</v>
      </c>
      <c r="BZ105" t="s">
        <v>212</v>
      </c>
      <c r="CA105" t="s">
        <v>671</v>
      </c>
      <c r="CB105">
        <v>3.22</v>
      </c>
      <c r="CC105" t="s">
        <v>699</v>
      </c>
      <c r="CD105" t="s">
        <v>211</v>
      </c>
      <c r="CE105">
        <v>136</v>
      </c>
      <c r="CF105" t="s">
        <v>212</v>
      </c>
      <c r="CG105" t="s">
        <v>211</v>
      </c>
      <c r="CH105">
        <v>136.5</v>
      </c>
      <c r="CI105" t="s">
        <v>212</v>
      </c>
      <c r="CJ105" t="s">
        <v>211</v>
      </c>
      <c r="CK105">
        <v>136.5</v>
      </c>
      <c r="CL105" t="s">
        <v>212</v>
      </c>
      <c r="CM105" t="s">
        <v>211</v>
      </c>
      <c r="CN105">
        <v>136.9</v>
      </c>
      <c r="CO105" t="s">
        <v>212</v>
      </c>
      <c r="CP105" t="s">
        <v>211</v>
      </c>
      <c r="CQ105">
        <v>137.08000000000001</v>
      </c>
      <c r="CR105" t="s">
        <v>212</v>
      </c>
      <c r="CS105" t="s">
        <v>211</v>
      </c>
      <c r="CT105">
        <v>137.44999999999999</v>
      </c>
      <c r="CU105" t="s">
        <v>212</v>
      </c>
      <c r="CV105" t="s">
        <v>211</v>
      </c>
      <c r="CW105">
        <v>133.30000000000001</v>
      </c>
      <c r="CX105" t="s">
        <v>212</v>
      </c>
      <c r="CY105" t="s">
        <v>211</v>
      </c>
      <c r="CZ105">
        <v>134.85</v>
      </c>
      <c r="DA105" t="s">
        <v>212</v>
      </c>
      <c r="DB105" t="s">
        <v>211</v>
      </c>
      <c r="DC105">
        <v>134.15</v>
      </c>
      <c r="DD105" t="s">
        <v>212</v>
      </c>
      <c r="DE105" t="s">
        <v>211</v>
      </c>
      <c r="DF105">
        <v>134.15</v>
      </c>
      <c r="DG105" t="s">
        <v>212</v>
      </c>
      <c r="DH105" t="s">
        <v>211</v>
      </c>
      <c r="DI105">
        <v>138.15</v>
      </c>
      <c r="DJ105" t="s">
        <v>212</v>
      </c>
      <c r="DK105" t="s">
        <v>213</v>
      </c>
      <c r="DL105">
        <v>33.950000000000003</v>
      </c>
      <c r="DM105" t="s">
        <v>37</v>
      </c>
      <c r="DN105" t="s">
        <v>213</v>
      </c>
      <c r="DO105">
        <v>33.6</v>
      </c>
      <c r="DP105" t="s">
        <v>37</v>
      </c>
      <c r="DQ105" t="s">
        <v>213</v>
      </c>
      <c r="DR105">
        <v>34.6</v>
      </c>
      <c r="DS105" t="s">
        <v>37</v>
      </c>
      <c r="DT105" t="s">
        <v>381</v>
      </c>
      <c r="DU105">
        <v>33.15</v>
      </c>
      <c r="DV105" t="s">
        <v>7</v>
      </c>
      <c r="DW105" t="s">
        <v>381</v>
      </c>
      <c r="DX105">
        <v>31.27</v>
      </c>
      <c r="DY105" t="s">
        <v>7</v>
      </c>
      <c r="DZ105" t="s">
        <v>381</v>
      </c>
      <c r="EA105">
        <v>31.3</v>
      </c>
      <c r="EB105" t="s">
        <v>7</v>
      </c>
      <c r="EC105" t="s">
        <v>381</v>
      </c>
      <c r="ED105">
        <v>31.26</v>
      </c>
      <c r="EE105" t="s">
        <v>7</v>
      </c>
      <c r="EF105" t="s">
        <v>381</v>
      </c>
      <c r="EG105">
        <v>31.51</v>
      </c>
      <c r="EH105" t="s">
        <v>7</v>
      </c>
      <c r="EI105" t="s">
        <v>381</v>
      </c>
      <c r="EJ105">
        <v>31.9</v>
      </c>
      <c r="EK105" t="s">
        <v>7</v>
      </c>
    </row>
    <row r="106" spans="1:141">
      <c r="A106" t="s">
        <v>211</v>
      </c>
      <c r="B106">
        <v>105.06</v>
      </c>
      <c r="C106" t="s">
        <v>212</v>
      </c>
      <c r="D106" t="s">
        <v>211</v>
      </c>
      <c r="E106">
        <v>103.98</v>
      </c>
      <c r="F106" t="s">
        <v>212</v>
      </c>
      <c r="G106" t="s">
        <v>213</v>
      </c>
      <c r="H106">
        <v>33.4</v>
      </c>
      <c r="I106" t="s">
        <v>37</v>
      </c>
      <c r="J106" t="s">
        <v>213</v>
      </c>
      <c r="K106">
        <v>33.46</v>
      </c>
      <c r="L106" t="s">
        <v>37</v>
      </c>
      <c r="M106" t="s">
        <v>213</v>
      </c>
      <c r="N106">
        <v>33</v>
      </c>
      <c r="O106" t="s">
        <v>37</v>
      </c>
      <c r="P106" t="s">
        <v>211</v>
      </c>
      <c r="Q106">
        <v>108.42</v>
      </c>
      <c r="R106" t="s">
        <v>212</v>
      </c>
      <c r="S106" t="s">
        <v>213</v>
      </c>
      <c r="T106">
        <v>32.5</v>
      </c>
      <c r="U106" t="s">
        <v>37</v>
      </c>
      <c r="V106" t="s">
        <v>213</v>
      </c>
      <c r="W106">
        <v>33.1</v>
      </c>
      <c r="X106" t="s">
        <v>37</v>
      </c>
      <c r="Y106" t="s">
        <v>213</v>
      </c>
      <c r="Z106">
        <v>34.590000000000003</v>
      </c>
      <c r="AA106" t="s">
        <v>37</v>
      </c>
      <c r="AB106" t="s">
        <v>213</v>
      </c>
      <c r="AC106">
        <v>35.18</v>
      </c>
      <c r="AD106" t="s">
        <v>37</v>
      </c>
      <c r="AE106" t="s">
        <v>213</v>
      </c>
      <c r="AF106">
        <v>35.200000000000003</v>
      </c>
      <c r="AG106" t="s">
        <v>37</v>
      </c>
      <c r="AH106" t="s">
        <v>213</v>
      </c>
      <c r="AI106">
        <v>35.14</v>
      </c>
      <c r="AJ106" t="s">
        <v>37</v>
      </c>
      <c r="AK106" t="s">
        <v>213</v>
      </c>
      <c r="AL106">
        <v>34.729999999999997</v>
      </c>
      <c r="AM106" t="s">
        <v>37</v>
      </c>
      <c r="AN106" t="s">
        <v>213</v>
      </c>
      <c r="AO106">
        <v>34</v>
      </c>
      <c r="AP106" t="s">
        <v>37</v>
      </c>
      <c r="AQ106" t="s">
        <v>213</v>
      </c>
      <c r="AR106">
        <v>33.909999999999997</v>
      </c>
      <c r="AS106" t="s">
        <v>37</v>
      </c>
      <c r="AT106" t="s">
        <v>213</v>
      </c>
      <c r="AU106">
        <v>34.200000000000003</v>
      </c>
      <c r="AV106" t="s">
        <v>37</v>
      </c>
      <c r="AW106" t="s">
        <v>213</v>
      </c>
      <c r="AX106">
        <v>33.450000000000003</v>
      </c>
      <c r="AY106" t="s">
        <v>37</v>
      </c>
      <c r="AZ106" t="s">
        <v>213</v>
      </c>
      <c r="BA106">
        <v>33.61</v>
      </c>
      <c r="BB106" t="s">
        <v>37</v>
      </c>
      <c r="BC106" t="s">
        <v>213</v>
      </c>
      <c r="BD106">
        <v>33.74</v>
      </c>
      <c r="BE106" t="s">
        <v>37</v>
      </c>
      <c r="BF106" t="s">
        <v>213</v>
      </c>
      <c r="BG106">
        <v>34.04</v>
      </c>
      <c r="BH106" t="s">
        <v>37</v>
      </c>
      <c r="BI106" t="s">
        <v>213</v>
      </c>
      <c r="BJ106">
        <v>33.71</v>
      </c>
      <c r="BK106" t="s">
        <v>37</v>
      </c>
      <c r="BL106" t="s">
        <v>213</v>
      </c>
      <c r="BM106">
        <v>34.26</v>
      </c>
      <c r="BN106" t="s">
        <v>37</v>
      </c>
      <c r="BO106" t="s">
        <v>213</v>
      </c>
      <c r="BP106">
        <v>35.119999999999997</v>
      </c>
      <c r="BQ106" t="s">
        <v>37</v>
      </c>
      <c r="BR106" t="s">
        <v>213</v>
      </c>
      <c r="BS106">
        <v>34.99</v>
      </c>
      <c r="BT106" t="s">
        <v>37</v>
      </c>
      <c r="BU106" t="s">
        <v>213</v>
      </c>
      <c r="BV106">
        <v>35.06</v>
      </c>
      <c r="BW106" t="s">
        <v>37</v>
      </c>
      <c r="BX106" t="s">
        <v>213</v>
      </c>
      <c r="BY106">
        <v>36.5</v>
      </c>
      <c r="BZ106" t="s">
        <v>37</v>
      </c>
      <c r="CA106" t="s">
        <v>211</v>
      </c>
      <c r="CB106">
        <v>135</v>
      </c>
      <c r="CC106" t="s">
        <v>212</v>
      </c>
      <c r="CD106" t="s">
        <v>213</v>
      </c>
      <c r="CE106">
        <v>37.32</v>
      </c>
      <c r="CF106" t="s">
        <v>37</v>
      </c>
      <c r="CG106" t="s">
        <v>213</v>
      </c>
      <c r="CH106">
        <v>37.72</v>
      </c>
      <c r="CI106" t="s">
        <v>37</v>
      </c>
      <c r="CJ106" t="s">
        <v>213</v>
      </c>
      <c r="CK106">
        <v>38</v>
      </c>
      <c r="CL106" t="s">
        <v>37</v>
      </c>
      <c r="CM106" t="s">
        <v>213</v>
      </c>
      <c r="CN106">
        <v>38</v>
      </c>
      <c r="CO106" t="s">
        <v>37</v>
      </c>
      <c r="CP106" t="s">
        <v>213</v>
      </c>
      <c r="CQ106">
        <v>38</v>
      </c>
      <c r="CR106" t="s">
        <v>37</v>
      </c>
      <c r="CS106" t="s">
        <v>213</v>
      </c>
      <c r="CT106">
        <v>37.799999999999997</v>
      </c>
      <c r="CU106" t="s">
        <v>37</v>
      </c>
      <c r="CV106" t="s">
        <v>213</v>
      </c>
      <c r="CW106">
        <v>38.020000000000003</v>
      </c>
      <c r="CX106" t="s">
        <v>37</v>
      </c>
      <c r="CY106" t="s">
        <v>213</v>
      </c>
      <c r="CZ106">
        <v>37.97</v>
      </c>
      <c r="DA106" t="s">
        <v>37</v>
      </c>
      <c r="DB106" t="s">
        <v>213</v>
      </c>
      <c r="DC106">
        <v>36.700000000000003</v>
      </c>
      <c r="DD106" t="s">
        <v>37</v>
      </c>
      <c r="DE106" t="s">
        <v>213</v>
      </c>
      <c r="DF106">
        <v>36.630000000000003</v>
      </c>
      <c r="DG106" t="s">
        <v>37</v>
      </c>
      <c r="DH106" t="s">
        <v>213</v>
      </c>
      <c r="DI106">
        <v>36.299999999999997</v>
      </c>
      <c r="DJ106" t="s">
        <v>37</v>
      </c>
      <c r="DK106" t="s">
        <v>407</v>
      </c>
      <c r="DL106">
        <v>5.51</v>
      </c>
      <c r="DM106" t="s">
        <v>73</v>
      </c>
      <c r="DN106" t="s">
        <v>407</v>
      </c>
      <c r="DO106">
        <v>5.8</v>
      </c>
      <c r="DP106" t="s">
        <v>73</v>
      </c>
      <c r="DQ106" t="s">
        <v>407</v>
      </c>
      <c r="DR106">
        <v>6.3</v>
      </c>
      <c r="DS106" t="s">
        <v>73</v>
      </c>
      <c r="DT106" t="s">
        <v>580</v>
      </c>
      <c r="DU106">
        <v>10.14</v>
      </c>
      <c r="DV106" t="s">
        <v>9</v>
      </c>
      <c r="DW106" t="s">
        <v>580</v>
      </c>
      <c r="DX106">
        <v>10.14</v>
      </c>
      <c r="DY106" t="s">
        <v>9</v>
      </c>
      <c r="DZ106" t="s">
        <v>580</v>
      </c>
      <c r="EA106">
        <v>10.14</v>
      </c>
      <c r="EB106" t="s">
        <v>9</v>
      </c>
      <c r="EC106" t="s">
        <v>580</v>
      </c>
      <c r="ED106">
        <v>10.14</v>
      </c>
      <c r="EE106" t="s">
        <v>9</v>
      </c>
      <c r="EF106" t="s">
        <v>580</v>
      </c>
      <c r="EG106">
        <v>10.14</v>
      </c>
      <c r="EH106" t="s">
        <v>9</v>
      </c>
      <c r="EI106" t="s">
        <v>580</v>
      </c>
      <c r="EJ106">
        <v>10.14</v>
      </c>
      <c r="EK106" t="s">
        <v>9</v>
      </c>
    </row>
    <row r="107" spans="1:141">
      <c r="A107" t="s">
        <v>213</v>
      </c>
      <c r="B107">
        <v>34.06</v>
      </c>
      <c r="C107" t="s">
        <v>37</v>
      </c>
      <c r="D107" t="s">
        <v>213</v>
      </c>
      <c r="E107">
        <v>34.1</v>
      </c>
      <c r="F107" t="s">
        <v>37</v>
      </c>
      <c r="G107" t="s">
        <v>407</v>
      </c>
      <c r="H107">
        <v>5.75</v>
      </c>
      <c r="I107" t="s">
        <v>73</v>
      </c>
      <c r="J107" t="s">
        <v>407</v>
      </c>
      <c r="K107">
        <v>5.74</v>
      </c>
      <c r="L107" t="s">
        <v>73</v>
      </c>
      <c r="M107" t="s">
        <v>407</v>
      </c>
      <c r="N107">
        <v>5.53</v>
      </c>
      <c r="O107" t="s">
        <v>73</v>
      </c>
      <c r="P107" t="s">
        <v>213</v>
      </c>
      <c r="Q107">
        <v>32.99</v>
      </c>
      <c r="R107" t="s">
        <v>37</v>
      </c>
      <c r="S107" t="s">
        <v>407</v>
      </c>
      <c r="T107">
        <v>5.6</v>
      </c>
      <c r="U107" t="s">
        <v>73</v>
      </c>
      <c r="V107" t="s">
        <v>407</v>
      </c>
      <c r="W107">
        <v>5.28</v>
      </c>
      <c r="X107" t="s">
        <v>73</v>
      </c>
      <c r="Y107" t="s">
        <v>407</v>
      </c>
      <c r="Z107">
        <v>5.31</v>
      </c>
      <c r="AA107" t="s">
        <v>73</v>
      </c>
      <c r="AB107" t="s">
        <v>407</v>
      </c>
      <c r="AC107">
        <v>5.34</v>
      </c>
      <c r="AD107" t="s">
        <v>73</v>
      </c>
      <c r="AE107" t="s">
        <v>407</v>
      </c>
      <c r="AF107">
        <v>5.27</v>
      </c>
      <c r="AG107" t="s">
        <v>73</v>
      </c>
      <c r="AH107" t="s">
        <v>407</v>
      </c>
      <c r="AI107">
        <v>5.19</v>
      </c>
      <c r="AJ107" t="s">
        <v>73</v>
      </c>
      <c r="AK107" t="s">
        <v>407</v>
      </c>
      <c r="AL107">
        <v>5.05</v>
      </c>
      <c r="AM107" t="s">
        <v>73</v>
      </c>
      <c r="AN107" t="s">
        <v>407</v>
      </c>
      <c r="AO107">
        <v>5.0999999999999996</v>
      </c>
      <c r="AP107" t="s">
        <v>73</v>
      </c>
      <c r="AQ107" t="s">
        <v>407</v>
      </c>
      <c r="AR107">
        <v>5.2</v>
      </c>
      <c r="AS107" t="s">
        <v>73</v>
      </c>
      <c r="AT107" t="s">
        <v>407</v>
      </c>
      <c r="AU107">
        <v>5.2</v>
      </c>
      <c r="AV107" t="s">
        <v>73</v>
      </c>
      <c r="AW107" t="s">
        <v>407</v>
      </c>
      <c r="AX107">
        <v>5.27</v>
      </c>
      <c r="AY107" t="s">
        <v>73</v>
      </c>
      <c r="AZ107" t="s">
        <v>407</v>
      </c>
      <c r="BA107">
        <v>5.5</v>
      </c>
      <c r="BB107" t="s">
        <v>73</v>
      </c>
      <c r="BC107" t="s">
        <v>407</v>
      </c>
      <c r="BD107">
        <v>5.18</v>
      </c>
      <c r="BE107" t="s">
        <v>73</v>
      </c>
      <c r="BF107" t="s">
        <v>407</v>
      </c>
      <c r="BG107">
        <v>5.08</v>
      </c>
      <c r="BH107" t="s">
        <v>73</v>
      </c>
      <c r="BI107" t="s">
        <v>407</v>
      </c>
      <c r="BJ107">
        <v>5.04</v>
      </c>
      <c r="BK107" t="s">
        <v>73</v>
      </c>
      <c r="BL107" t="s">
        <v>407</v>
      </c>
      <c r="BM107">
        <v>4.78</v>
      </c>
      <c r="BN107" t="s">
        <v>73</v>
      </c>
      <c r="BO107" t="s">
        <v>407</v>
      </c>
      <c r="BP107">
        <v>4.74</v>
      </c>
      <c r="BQ107" t="s">
        <v>73</v>
      </c>
      <c r="BR107" t="s">
        <v>407</v>
      </c>
      <c r="BS107">
        <v>4.8499999999999996</v>
      </c>
      <c r="BT107" t="s">
        <v>73</v>
      </c>
      <c r="BU107" t="s">
        <v>407</v>
      </c>
      <c r="BV107">
        <v>4.82</v>
      </c>
      <c r="BW107" t="s">
        <v>73</v>
      </c>
      <c r="BX107" t="s">
        <v>407</v>
      </c>
      <c r="BY107">
        <v>4.82</v>
      </c>
      <c r="BZ107" t="s">
        <v>73</v>
      </c>
      <c r="CA107" t="s">
        <v>213</v>
      </c>
      <c r="CB107">
        <v>37.04</v>
      </c>
      <c r="CC107" t="s">
        <v>37</v>
      </c>
      <c r="CD107" t="s">
        <v>407</v>
      </c>
      <c r="CE107">
        <v>4.93</v>
      </c>
      <c r="CF107" t="s">
        <v>73</v>
      </c>
      <c r="CG107" t="s">
        <v>407</v>
      </c>
      <c r="CH107">
        <v>4.97</v>
      </c>
      <c r="CI107" t="s">
        <v>73</v>
      </c>
      <c r="CJ107" t="s">
        <v>407</v>
      </c>
      <c r="CK107">
        <v>4.88</v>
      </c>
      <c r="CL107" t="s">
        <v>73</v>
      </c>
      <c r="CM107" t="s">
        <v>407</v>
      </c>
      <c r="CN107">
        <v>4.84</v>
      </c>
      <c r="CO107" t="s">
        <v>73</v>
      </c>
      <c r="CP107" t="s">
        <v>407</v>
      </c>
      <c r="CQ107">
        <v>4.9000000000000004</v>
      </c>
      <c r="CR107" t="s">
        <v>73</v>
      </c>
      <c r="CS107" t="s">
        <v>407</v>
      </c>
      <c r="CT107">
        <v>4.91</v>
      </c>
      <c r="CU107" t="s">
        <v>73</v>
      </c>
      <c r="CV107" t="s">
        <v>407</v>
      </c>
      <c r="CW107">
        <v>4.82</v>
      </c>
      <c r="CX107" t="s">
        <v>73</v>
      </c>
      <c r="CY107" t="s">
        <v>407</v>
      </c>
      <c r="CZ107">
        <v>4.78</v>
      </c>
      <c r="DA107" t="s">
        <v>73</v>
      </c>
      <c r="DB107" t="s">
        <v>407</v>
      </c>
      <c r="DC107">
        <v>4.95</v>
      </c>
      <c r="DD107" t="s">
        <v>73</v>
      </c>
      <c r="DE107" t="s">
        <v>407</v>
      </c>
      <c r="DF107">
        <v>4.96</v>
      </c>
      <c r="DG107" t="s">
        <v>73</v>
      </c>
      <c r="DH107" t="s">
        <v>407</v>
      </c>
      <c r="DI107">
        <v>5.46</v>
      </c>
      <c r="DJ107" t="s">
        <v>73</v>
      </c>
      <c r="DK107" t="s">
        <v>383</v>
      </c>
      <c r="DL107">
        <v>18.57</v>
      </c>
      <c r="DM107" t="s">
        <v>32</v>
      </c>
      <c r="DN107" t="s">
        <v>383</v>
      </c>
      <c r="DO107">
        <v>18.260000000000002</v>
      </c>
      <c r="DP107" t="s">
        <v>32</v>
      </c>
      <c r="DQ107" t="s">
        <v>383</v>
      </c>
      <c r="DR107">
        <v>18.91</v>
      </c>
      <c r="DS107" t="s">
        <v>32</v>
      </c>
      <c r="DT107" t="s">
        <v>214</v>
      </c>
      <c r="DU107">
        <v>2.4900000000000002</v>
      </c>
      <c r="DV107" t="s">
        <v>215</v>
      </c>
      <c r="DW107" t="s">
        <v>214</v>
      </c>
      <c r="DX107">
        <v>2.2999999999999998</v>
      </c>
      <c r="DY107" t="s">
        <v>215</v>
      </c>
      <c r="DZ107" t="s">
        <v>214</v>
      </c>
      <c r="EA107">
        <v>2.2200000000000002</v>
      </c>
      <c r="EB107" t="s">
        <v>215</v>
      </c>
      <c r="EC107" t="s">
        <v>214</v>
      </c>
      <c r="ED107">
        <v>2.23</v>
      </c>
      <c r="EE107" t="s">
        <v>215</v>
      </c>
      <c r="EF107" t="s">
        <v>214</v>
      </c>
      <c r="EG107">
        <v>2.13</v>
      </c>
      <c r="EH107" t="s">
        <v>215</v>
      </c>
      <c r="EI107" t="s">
        <v>214</v>
      </c>
      <c r="EJ107">
        <v>2.13</v>
      </c>
      <c r="EK107" t="s">
        <v>215</v>
      </c>
    </row>
    <row r="108" spans="1:141">
      <c r="A108" t="s">
        <v>407</v>
      </c>
      <c r="B108">
        <v>5.75</v>
      </c>
      <c r="C108" t="s">
        <v>73</v>
      </c>
      <c r="D108" t="s">
        <v>407</v>
      </c>
      <c r="E108">
        <v>5.81</v>
      </c>
      <c r="F108" t="s">
        <v>73</v>
      </c>
      <c r="G108" t="s">
        <v>383</v>
      </c>
      <c r="H108">
        <v>18</v>
      </c>
      <c r="I108" t="s">
        <v>32</v>
      </c>
      <c r="J108" t="s">
        <v>383</v>
      </c>
      <c r="K108">
        <v>17.95</v>
      </c>
      <c r="L108" t="s">
        <v>32</v>
      </c>
      <c r="M108" t="s">
        <v>383</v>
      </c>
      <c r="N108">
        <v>17.62</v>
      </c>
      <c r="O108" t="s">
        <v>32</v>
      </c>
      <c r="P108" t="s">
        <v>407</v>
      </c>
      <c r="Q108">
        <v>5.75</v>
      </c>
      <c r="R108" t="s">
        <v>73</v>
      </c>
      <c r="S108" t="s">
        <v>383</v>
      </c>
      <c r="T108">
        <v>17.38</v>
      </c>
      <c r="U108" t="s">
        <v>32</v>
      </c>
      <c r="V108" t="s">
        <v>383</v>
      </c>
      <c r="W108">
        <v>18</v>
      </c>
      <c r="X108" t="s">
        <v>32</v>
      </c>
      <c r="Y108" t="s">
        <v>383</v>
      </c>
      <c r="Z108">
        <v>18</v>
      </c>
      <c r="AA108" t="s">
        <v>32</v>
      </c>
      <c r="AB108" t="s">
        <v>383</v>
      </c>
      <c r="AC108">
        <v>17.68</v>
      </c>
      <c r="AD108" t="s">
        <v>32</v>
      </c>
      <c r="AE108" t="s">
        <v>383</v>
      </c>
      <c r="AF108">
        <v>17.57</v>
      </c>
      <c r="AG108" t="s">
        <v>32</v>
      </c>
      <c r="AH108" t="s">
        <v>383</v>
      </c>
      <c r="AI108">
        <v>17.37</v>
      </c>
      <c r="AJ108" t="s">
        <v>32</v>
      </c>
      <c r="AK108" t="s">
        <v>383</v>
      </c>
      <c r="AL108">
        <v>17.32</v>
      </c>
      <c r="AM108" t="s">
        <v>32</v>
      </c>
      <c r="AN108" t="s">
        <v>383</v>
      </c>
      <c r="AO108">
        <v>16.940000000000001</v>
      </c>
      <c r="AP108" t="s">
        <v>32</v>
      </c>
      <c r="AQ108" t="s">
        <v>383</v>
      </c>
      <c r="AR108">
        <v>16.88</v>
      </c>
      <c r="AS108" t="s">
        <v>32</v>
      </c>
      <c r="AT108" t="s">
        <v>383</v>
      </c>
      <c r="AU108">
        <v>16.96</v>
      </c>
      <c r="AV108" t="s">
        <v>32</v>
      </c>
      <c r="AW108" t="s">
        <v>383</v>
      </c>
      <c r="AX108">
        <v>17.25</v>
      </c>
      <c r="AY108" t="s">
        <v>32</v>
      </c>
      <c r="AZ108" t="s">
        <v>383</v>
      </c>
      <c r="BA108">
        <v>16.850000000000001</v>
      </c>
      <c r="BB108" t="s">
        <v>32</v>
      </c>
      <c r="BC108" t="s">
        <v>383</v>
      </c>
      <c r="BD108">
        <v>17.11</v>
      </c>
      <c r="BE108" t="s">
        <v>32</v>
      </c>
      <c r="BF108" t="s">
        <v>383</v>
      </c>
      <c r="BG108">
        <v>17.899999999999999</v>
      </c>
      <c r="BH108" t="s">
        <v>32</v>
      </c>
      <c r="BI108" t="s">
        <v>383</v>
      </c>
      <c r="BJ108">
        <v>18.7</v>
      </c>
      <c r="BK108" t="s">
        <v>32</v>
      </c>
      <c r="BL108" t="s">
        <v>383</v>
      </c>
      <c r="BM108">
        <v>17.78</v>
      </c>
      <c r="BN108" t="s">
        <v>32</v>
      </c>
      <c r="BO108" t="s">
        <v>383</v>
      </c>
      <c r="BP108">
        <v>18.02</v>
      </c>
      <c r="BQ108" t="s">
        <v>32</v>
      </c>
      <c r="BR108" t="s">
        <v>383</v>
      </c>
      <c r="BS108">
        <v>18.100000000000001</v>
      </c>
      <c r="BT108" t="s">
        <v>32</v>
      </c>
      <c r="BU108" t="s">
        <v>383</v>
      </c>
      <c r="BV108">
        <v>18.5</v>
      </c>
      <c r="BW108" t="s">
        <v>32</v>
      </c>
      <c r="BX108" t="s">
        <v>383</v>
      </c>
      <c r="BY108">
        <v>18.45</v>
      </c>
      <c r="BZ108" t="s">
        <v>32</v>
      </c>
      <c r="CA108" t="s">
        <v>407</v>
      </c>
      <c r="CB108">
        <v>4.9000000000000004</v>
      </c>
      <c r="CC108" t="s">
        <v>73</v>
      </c>
      <c r="CD108" t="s">
        <v>383</v>
      </c>
      <c r="CE108">
        <v>18.059999999999999</v>
      </c>
      <c r="CF108" t="s">
        <v>32</v>
      </c>
      <c r="CG108" t="s">
        <v>383</v>
      </c>
      <c r="CH108">
        <v>19.07</v>
      </c>
      <c r="CI108" t="s">
        <v>32</v>
      </c>
      <c r="CJ108" t="s">
        <v>383</v>
      </c>
      <c r="CK108">
        <v>18.8</v>
      </c>
      <c r="CL108" t="s">
        <v>32</v>
      </c>
      <c r="CM108" t="s">
        <v>383</v>
      </c>
      <c r="CN108">
        <v>18.64</v>
      </c>
      <c r="CO108" t="s">
        <v>32</v>
      </c>
      <c r="CP108" t="s">
        <v>383</v>
      </c>
      <c r="CQ108">
        <v>18.48</v>
      </c>
      <c r="CR108" t="s">
        <v>32</v>
      </c>
      <c r="CS108" t="s">
        <v>383</v>
      </c>
      <c r="CT108">
        <v>17.91</v>
      </c>
      <c r="CU108" t="s">
        <v>32</v>
      </c>
      <c r="CV108" t="s">
        <v>383</v>
      </c>
      <c r="CW108">
        <v>17.73</v>
      </c>
      <c r="CX108" t="s">
        <v>32</v>
      </c>
      <c r="CY108" t="s">
        <v>383</v>
      </c>
      <c r="CZ108">
        <v>18.59</v>
      </c>
      <c r="DA108" t="s">
        <v>32</v>
      </c>
      <c r="DB108" t="s">
        <v>383</v>
      </c>
      <c r="DC108">
        <v>18.2</v>
      </c>
      <c r="DD108" t="s">
        <v>32</v>
      </c>
      <c r="DE108" t="s">
        <v>383</v>
      </c>
      <c r="DF108">
        <v>18.5</v>
      </c>
      <c r="DG108" t="s">
        <v>32</v>
      </c>
      <c r="DH108" t="s">
        <v>383</v>
      </c>
      <c r="DI108">
        <v>19.010000000000002</v>
      </c>
      <c r="DJ108" t="s">
        <v>32</v>
      </c>
      <c r="DK108" t="s">
        <v>381</v>
      </c>
      <c r="DL108">
        <v>33.880000000000003</v>
      </c>
      <c r="DM108" t="s">
        <v>7</v>
      </c>
      <c r="DN108" t="s">
        <v>381</v>
      </c>
      <c r="DO108">
        <v>33.5</v>
      </c>
      <c r="DP108" t="s">
        <v>7</v>
      </c>
      <c r="DQ108" t="s">
        <v>381</v>
      </c>
      <c r="DR108">
        <v>33.5</v>
      </c>
      <c r="DS108" t="s">
        <v>7</v>
      </c>
      <c r="DT108" t="s">
        <v>454</v>
      </c>
      <c r="DU108">
        <v>2.78</v>
      </c>
      <c r="DV108" t="s">
        <v>16</v>
      </c>
      <c r="DW108" t="s">
        <v>454</v>
      </c>
      <c r="DX108">
        <v>2.74</v>
      </c>
      <c r="DY108" t="s">
        <v>16</v>
      </c>
      <c r="DZ108" t="s">
        <v>454</v>
      </c>
      <c r="EA108">
        <v>2.74</v>
      </c>
      <c r="EB108" t="s">
        <v>16</v>
      </c>
      <c r="EC108" t="s">
        <v>454</v>
      </c>
      <c r="ED108">
        <v>2.78</v>
      </c>
      <c r="EE108" t="s">
        <v>16</v>
      </c>
      <c r="EF108" t="s">
        <v>454</v>
      </c>
      <c r="EG108">
        <v>2.56</v>
      </c>
      <c r="EH108" t="s">
        <v>16</v>
      </c>
      <c r="EI108" t="s">
        <v>454</v>
      </c>
      <c r="EJ108">
        <v>2.64</v>
      </c>
      <c r="EK108" t="s">
        <v>16</v>
      </c>
    </row>
    <row r="109" spans="1:141">
      <c r="A109" t="s">
        <v>383</v>
      </c>
      <c r="B109">
        <v>18.399999999999999</v>
      </c>
      <c r="C109" t="s">
        <v>32</v>
      </c>
      <c r="D109" t="s">
        <v>383</v>
      </c>
      <c r="E109">
        <v>18.13</v>
      </c>
      <c r="F109" t="s">
        <v>32</v>
      </c>
      <c r="G109" t="s">
        <v>381</v>
      </c>
      <c r="H109">
        <v>39.47</v>
      </c>
      <c r="I109" t="s">
        <v>7</v>
      </c>
      <c r="J109" t="s">
        <v>381</v>
      </c>
      <c r="K109">
        <v>39.25</v>
      </c>
      <c r="L109" t="s">
        <v>7</v>
      </c>
      <c r="M109" t="s">
        <v>381</v>
      </c>
      <c r="N109">
        <v>38.01</v>
      </c>
      <c r="O109" t="s">
        <v>7</v>
      </c>
      <c r="P109" t="s">
        <v>383</v>
      </c>
      <c r="Q109">
        <v>17.28</v>
      </c>
      <c r="R109" t="s">
        <v>32</v>
      </c>
      <c r="S109" t="s">
        <v>381</v>
      </c>
      <c r="T109">
        <v>38.03</v>
      </c>
      <c r="U109" t="s">
        <v>7</v>
      </c>
      <c r="V109" t="s">
        <v>381</v>
      </c>
      <c r="W109">
        <v>37.94</v>
      </c>
      <c r="X109" t="s">
        <v>7</v>
      </c>
      <c r="Y109" t="s">
        <v>381</v>
      </c>
      <c r="Z109">
        <v>38.25</v>
      </c>
      <c r="AA109" t="s">
        <v>7</v>
      </c>
      <c r="AB109" t="s">
        <v>381</v>
      </c>
      <c r="AC109">
        <v>38</v>
      </c>
      <c r="AD109" t="s">
        <v>7</v>
      </c>
      <c r="AE109" t="s">
        <v>381</v>
      </c>
      <c r="AF109">
        <v>38.229999999999997</v>
      </c>
      <c r="AG109" t="s">
        <v>7</v>
      </c>
      <c r="AH109" t="s">
        <v>381</v>
      </c>
      <c r="AI109">
        <v>38.090000000000003</v>
      </c>
      <c r="AJ109" t="s">
        <v>7</v>
      </c>
      <c r="AK109" t="s">
        <v>381</v>
      </c>
      <c r="AL109">
        <v>38.020000000000003</v>
      </c>
      <c r="AM109" t="s">
        <v>7</v>
      </c>
      <c r="AN109" t="s">
        <v>381</v>
      </c>
      <c r="AO109">
        <v>38.270000000000003</v>
      </c>
      <c r="AP109" t="s">
        <v>7</v>
      </c>
      <c r="AQ109" t="s">
        <v>381</v>
      </c>
      <c r="AR109">
        <v>38</v>
      </c>
      <c r="AS109" t="s">
        <v>7</v>
      </c>
      <c r="AT109" t="s">
        <v>381</v>
      </c>
      <c r="AU109">
        <v>38</v>
      </c>
      <c r="AV109" t="s">
        <v>7</v>
      </c>
      <c r="AW109" t="s">
        <v>381</v>
      </c>
      <c r="AX109">
        <v>37.99</v>
      </c>
      <c r="AY109" t="s">
        <v>7</v>
      </c>
      <c r="AZ109" t="s">
        <v>381</v>
      </c>
      <c r="BA109">
        <v>37.5</v>
      </c>
      <c r="BB109" t="s">
        <v>7</v>
      </c>
      <c r="BC109" t="s">
        <v>381</v>
      </c>
      <c r="BD109">
        <v>37.5</v>
      </c>
      <c r="BE109" t="s">
        <v>7</v>
      </c>
      <c r="BF109" t="s">
        <v>381</v>
      </c>
      <c r="BG109">
        <v>37.18</v>
      </c>
      <c r="BH109" t="s">
        <v>7</v>
      </c>
      <c r="BI109" t="s">
        <v>381</v>
      </c>
      <c r="BJ109">
        <v>37.18</v>
      </c>
      <c r="BK109" t="s">
        <v>7</v>
      </c>
      <c r="BL109" t="s">
        <v>381</v>
      </c>
      <c r="BM109">
        <v>36.79</v>
      </c>
      <c r="BN109" t="s">
        <v>7</v>
      </c>
      <c r="BO109" t="s">
        <v>381</v>
      </c>
      <c r="BP109">
        <v>36.54</v>
      </c>
      <c r="BQ109" t="s">
        <v>7</v>
      </c>
      <c r="BR109" t="s">
        <v>381</v>
      </c>
      <c r="BS109">
        <v>37</v>
      </c>
      <c r="BT109" t="s">
        <v>7</v>
      </c>
      <c r="BU109" t="s">
        <v>381</v>
      </c>
      <c r="BV109">
        <v>36.840000000000003</v>
      </c>
      <c r="BW109" t="s">
        <v>7</v>
      </c>
      <c r="BX109" t="s">
        <v>381</v>
      </c>
      <c r="BY109">
        <v>37</v>
      </c>
      <c r="BZ109" t="s">
        <v>7</v>
      </c>
      <c r="CA109" t="s">
        <v>383</v>
      </c>
      <c r="CB109">
        <v>18.23</v>
      </c>
      <c r="CC109" t="s">
        <v>32</v>
      </c>
      <c r="CD109" t="s">
        <v>381</v>
      </c>
      <c r="CE109">
        <v>37.049999999999997</v>
      </c>
      <c r="CF109" t="s">
        <v>7</v>
      </c>
      <c r="CG109" t="s">
        <v>381</v>
      </c>
      <c r="CH109">
        <v>37.19</v>
      </c>
      <c r="CI109" t="s">
        <v>7</v>
      </c>
      <c r="CJ109" t="s">
        <v>381</v>
      </c>
      <c r="CK109">
        <v>37.33</v>
      </c>
      <c r="CL109" t="s">
        <v>7</v>
      </c>
      <c r="CM109" t="s">
        <v>381</v>
      </c>
      <c r="CN109">
        <v>37.659999999999997</v>
      </c>
      <c r="CO109" t="s">
        <v>7</v>
      </c>
      <c r="CP109" t="s">
        <v>381</v>
      </c>
      <c r="CQ109">
        <v>39.1</v>
      </c>
      <c r="CR109" t="s">
        <v>7</v>
      </c>
      <c r="CS109" t="s">
        <v>381</v>
      </c>
      <c r="CT109">
        <v>37.950000000000003</v>
      </c>
      <c r="CU109" t="s">
        <v>7</v>
      </c>
      <c r="CV109" t="s">
        <v>381</v>
      </c>
      <c r="CW109">
        <v>37.79</v>
      </c>
      <c r="CX109" t="s">
        <v>7</v>
      </c>
      <c r="CY109" t="s">
        <v>381</v>
      </c>
      <c r="CZ109">
        <v>37.950000000000003</v>
      </c>
      <c r="DA109" t="s">
        <v>7</v>
      </c>
      <c r="DB109" t="s">
        <v>381</v>
      </c>
      <c r="DC109">
        <v>37.96</v>
      </c>
      <c r="DD109" t="s">
        <v>7</v>
      </c>
      <c r="DE109" t="s">
        <v>381</v>
      </c>
      <c r="DF109">
        <v>35.369999999999997</v>
      </c>
      <c r="DG109" t="s">
        <v>7</v>
      </c>
      <c r="DH109" t="s">
        <v>381</v>
      </c>
      <c r="DI109">
        <v>34.840000000000003</v>
      </c>
      <c r="DJ109" t="s">
        <v>7</v>
      </c>
      <c r="DK109" t="s">
        <v>580</v>
      </c>
      <c r="DL109">
        <v>10.14</v>
      </c>
      <c r="DM109" t="s">
        <v>9</v>
      </c>
      <c r="DN109" t="s">
        <v>580</v>
      </c>
      <c r="DO109">
        <v>10.14</v>
      </c>
      <c r="DP109" t="s">
        <v>9</v>
      </c>
      <c r="DQ109" t="s">
        <v>580</v>
      </c>
      <c r="DR109">
        <v>10.14</v>
      </c>
      <c r="DS109" t="s">
        <v>9</v>
      </c>
      <c r="DT109" t="s">
        <v>333</v>
      </c>
      <c r="DU109">
        <v>1.58</v>
      </c>
      <c r="DV109" t="s">
        <v>111</v>
      </c>
      <c r="DW109" t="s">
        <v>333</v>
      </c>
      <c r="DX109">
        <v>1.57</v>
      </c>
      <c r="DY109" t="s">
        <v>111</v>
      </c>
      <c r="DZ109" t="s">
        <v>333</v>
      </c>
      <c r="EA109">
        <v>1.66</v>
      </c>
      <c r="EB109" t="s">
        <v>111</v>
      </c>
      <c r="EC109" t="s">
        <v>333</v>
      </c>
      <c r="ED109">
        <v>1.59</v>
      </c>
      <c r="EE109" t="s">
        <v>111</v>
      </c>
      <c r="EF109" t="s">
        <v>333</v>
      </c>
      <c r="EG109">
        <v>1.48</v>
      </c>
      <c r="EH109" t="s">
        <v>111</v>
      </c>
      <c r="EI109" t="s">
        <v>333</v>
      </c>
      <c r="EJ109">
        <v>1.51</v>
      </c>
      <c r="EK109" t="s">
        <v>111</v>
      </c>
    </row>
    <row r="110" spans="1:141">
      <c r="A110" t="s">
        <v>381</v>
      </c>
      <c r="B110">
        <v>39.229999999999997</v>
      </c>
      <c r="C110" t="s">
        <v>7</v>
      </c>
      <c r="D110" t="s">
        <v>381</v>
      </c>
      <c r="E110">
        <v>39.200000000000003</v>
      </c>
      <c r="F110" t="s">
        <v>7</v>
      </c>
      <c r="G110" t="s">
        <v>580</v>
      </c>
      <c r="H110">
        <v>10.14</v>
      </c>
      <c r="I110" t="s">
        <v>9</v>
      </c>
      <c r="J110" t="s">
        <v>580</v>
      </c>
      <c r="K110">
        <v>10.14</v>
      </c>
      <c r="L110" t="s">
        <v>9</v>
      </c>
      <c r="M110" t="s">
        <v>580</v>
      </c>
      <c r="N110">
        <v>10.14</v>
      </c>
      <c r="O110" t="s">
        <v>9</v>
      </c>
      <c r="P110" t="s">
        <v>381</v>
      </c>
      <c r="Q110">
        <v>38.130000000000003</v>
      </c>
      <c r="R110" t="s">
        <v>7</v>
      </c>
      <c r="S110" t="s">
        <v>580</v>
      </c>
      <c r="T110">
        <v>10.14</v>
      </c>
      <c r="U110" t="s">
        <v>9</v>
      </c>
      <c r="V110" t="s">
        <v>580</v>
      </c>
      <c r="W110">
        <v>10.14</v>
      </c>
      <c r="X110" t="s">
        <v>9</v>
      </c>
      <c r="Y110" t="s">
        <v>580</v>
      </c>
      <c r="Z110">
        <v>10.14</v>
      </c>
      <c r="AA110" t="s">
        <v>9</v>
      </c>
      <c r="AB110" t="s">
        <v>580</v>
      </c>
      <c r="AC110">
        <v>10.14</v>
      </c>
      <c r="AD110" t="s">
        <v>9</v>
      </c>
      <c r="AE110" t="s">
        <v>580</v>
      </c>
      <c r="AF110">
        <v>10.14</v>
      </c>
      <c r="AG110" t="s">
        <v>9</v>
      </c>
      <c r="AH110" t="s">
        <v>580</v>
      </c>
      <c r="AI110">
        <v>10.14</v>
      </c>
      <c r="AJ110" t="s">
        <v>9</v>
      </c>
      <c r="AK110" t="s">
        <v>580</v>
      </c>
      <c r="AL110">
        <v>10.14</v>
      </c>
      <c r="AM110" t="s">
        <v>9</v>
      </c>
      <c r="AN110" t="s">
        <v>580</v>
      </c>
      <c r="AO110">
        <v>10.14</v>
      </c>
      <c r="AP110" t="s">
        <v>9</v>
      </c>
      <c r="AQ110" t="s">
        <v>580</v>
      </c>
      <c r="AR110">
        <v>10.14</v>
      </c>
      <c r="AS110" t="s">
        <v>9</v>
      </c>
      <c r="AT110" t="s">
        <v>580</v>
      </c>
      <c r="AU110">
        <v>10.14</v>
      </c>
      <c r="AV110" t="s">
        <v>9</v>
      </c>
      <c r="AW110" t="s">
        <v>580</v>
      </c>
      <c r="AX110">
        <v>10.14</v>
      </c>
      <c r="AY110" t="s">
        <v>9</v>
      </c>
      <c r="AZ110" t="s">
        <v>580</v>
      </c>
      <c r="BA110">
        <v>10.14</v>
      </c>
      <c r="BB110" t="s">
        <v>9</v>
      </c>
      <c r="BC110" t="s">
        <v>580</v>
      </c>
      <c r="BD110">
        <v>10.14</v>
      </c>
      <c r="BE110" t="s">
        <v>9</v>
      </c>
      <c r="BF110" t="s">
        <v>580</v>
      </c>
      <c r="BG110">
        <v>10.14</v>
      </c>
      <c r="BH110" t="s">
        <v>9</v>
      </c>
      <c r="BI110" t="s">
        <v>580</v>
      </c>
      <c r="BJ110">
        <v>10.14</v>
      </c>
      <c r="BK110" t="s">
        <v>9</v>
      </c>
      <c r="BL110" t="s">
        <v>580</v>
      </c>
      <c r="BM110">
        <v>10.14</v>
      </c>
      <c r="BN110" t="s">
        <v>9</v>
      </c>
      <c r="BO110" t="s">
        <v>580</v>
      </c>
      <c r="BP110">
        <v>10.14</v>
      </c>
      <c r="BQ110" t="s">
        <v>9</v>
      </c>
      <c r="BR110" t="s">
        <v>580</v>
      </c>
      <c r="BS110">
        <v>10.14</v>
      </c>
      <c r="BT110" t="s">
        <v>9</v>
      </c>
      <c r="BU110" t="s">
        <v>580</v>
      </c>
      <c r="BV110">
        <v>10.14</v>
      </c>
      <c r="BW110" t="s">
        <v>9</v>
      </c>
      <c r="BX110" t="s">
        <v>580</v>
      </c>
      <c r="BY110">
        <v>10.14</v>
      </c>
      <c r="BZ110" t="s">
        <v>9</v>
      </c>
      <c r="CA110" t="s">
        <v>381</v>
      </c>
      <c r="CB110">
        <v>37</v>
      </c>
      <c r="CC110" t="s">
        <v>7</v>
      </c>
      <c r="CD110" t="s">
        <v>580</v>
      </c>
      <c r="CE110">
        <v>10.14</v>
      </c>
      <c r="CF110" t="s">
        <v>9</v>
      </c>
      <c r="CG110" t="s">
        <v>580</v>
      </c>
      <c r="CH110">
        <v>10.14</v>
      </c>
      <c r="CI110" t="s">
        <v>9</v>
      </c>
      <c r="CJ110" t="s">
        <v>580</v>
      </c>
      <c r="CK110">
        <v>10.14</v>
      </c>
      <c r="CL110" t="s">
        <v>9</v>
      </c>
      <c r="CM110" t="s">
        <v>580</v>
      </c>
      <c r="CN110">
        <v>10.14</v>
      </c>
      <c r="CO110" t="s">
        <v>9</v>
      </c>
      <c r="CP110" t="s">
        <v>580</v>
      </c>
      <c r="CQ110">
        <v>10.14</v>
      </c>
      <c r="CR110" t="s">
        <v>9</v>
      </c>
      <c r="CS110" t="s">
        <v>580</v>
      </c>
      <c r="CT110">
        <v>10.14</v>
      </c>
      <c r="CU110" t="s">
        <v>9</v>
      </c>
      <c r="CV110" t="s">
        <v>580</v>
      </c>
      <c r="CW110">
        <v>10.14</v>
      </c>
      <c r="CX110" t="s">
        <v>9</v>
      </c>
      <c r="CY110" t="s">
        <v>580</v>
      </c>
      <c r="CZ110">
        <v>10.14</v>
      </c>
      <c r="DA110" t="s">
        <v>9</v>
      </c>
      <c r="DB110" t="s">
        <v>580</v>
      </c>
      <c r="DC110">
        <v>10.14</v>
      </c>
      <c r="DD110" t="s">
        <v>9</v>
      </c>
      <c r="DE110" t="s">
        <v>580</v>
      </c>
      <c r="DF110">
        <v>10.14</v>
      </c>
      <c r="DG110" t="s">
        <v>9</v>
      </c>
      <c r="DH110" t="s">
        <v>580</v>
      </c>
      <c r="DI110">
        <v>10.14</v>
      </c>
      <c r="DJ110" t="s">
        <v>9</v>
      </c>
      <c r="DK110" t="s">
        <v>214</v>
      </c>
      <c r="DL110">
        <v>1.94</v>
      </c>
      <c r="DM110" t="s">
        <v>215</v>
      </c>
      <c r="DN110" t="s">
        <v>214</v>
      </c>
      <c r="DO110">
        <v>1.9</v>
      </c>
      <c r="DP110" t="s">
        <v>215</v>
      </c>
      <c r="DQ110" t="s">
        <v>214</v>
      </c>
      <c r="DR110">
        <v>2.14</v>
      </c>
      <c r="DS110" t="s">
        <v>215</v>
      </c>
      <c r="DT110" t="s">
        <v>216</v>
      </c>
      <c r="DU110">
        <v>10.14</v>
      </c>
      <c r="DV110" t="s">
        <v>101</v>
      </c>
      <c r="DW110" t="s">
        <v>216</v>
      </c>
      <c r="DX110">
        <v>11.2</v>
      </c>
      <c r="DY110" t="s">
        <v>101</v>
      </c>
      <c r="DZ110" t="s">
        <v>216</v>
      </c>
      <c r="EA110">
        <v>11.21</v>
      </c>
      <c r="EB110" t="s">
        <v>101</v>
      </c>
      <c r="EC110" t="s">
        <v>216</v>
      </c>
      <c r="ED110">
        <v>11.41</v>
      </c>
      <c r="EE110" t="s">
        <v>101</v>
      </c>
      <c r="EF110" t="s">
        <v>216</v>
      </c>
      <c r="EG110">
        <v>12.05</v>
      </c>
      <c r="EH110" t="s">
        <v>101</v>
      </c>
      <c r="EI110" t="s">
        <v>216</v>
      </c>
      <c r="EJ110">
        <v>13.02</v>
      </c>
      <c r="EK110" t="s">
        <v>101</v>
      </c>
    </row>
    <row r="111" spans="1:141">
      <c r="A111" t="s">
        <v>580</v>
      </c>
      <c r="B111">
        <v>10.14</v>
      </c>
      <c r="C111" t="s">
        <v>9</v>
      </c>
      <c r="D111" t="s">
        <v>580</v>
      </c>
      <c r="E111">
        <v>10.14</v>
      </c>
      <c r="F111" t="s">
        <v>9</v>
      </c>
      <c r="G111" t="s">
        <v>214</v>
      </c>
      <c r="H111">
        <v>2.57</v>
      </c>
      <c r="I111" t="s">
        <v>215</v>
      </c>
      <c r="J111" t="s">
        <v>214</v>
      </c>
      <c r="K111">
        <v>2.6</v>
      </c>
      <c r="L111" t="s">
        <v>215</v>
      </c>
      <c r="M111" t="s">
        <v>214</v>
      </c>
      <c r="N111">
        <v>2.34</v>
      </c>
      <c r="O111" t="s">
        <v>215</v>
      </c>
      <c r="P111" t="s">
        <v>381</v>
      </c>
      <c r="Q111">
        <v>1.06</v>
      </c>
      <c r="R111" t="s">
        <v>7</v>
      </c>
      <c r="S111" t="s">
        <v>214</v>
      </c>
      <c r="T111">
        <v>2.4</v>
      </c>
      <c r="U111" t="s">
        <v>215</v>
      </c>
      <c r="V111" t="s">
        <v>214</v>
      </c>
      <c r="W111">
        <v>2.2000000000000002</v>
      </c>
      <c r="X111" t="s">
        <v>215</v>
      </c>
      <c r="Y111" t="s">
        <v>214</v>
      </c>
      <c r="Z111">
        <v>2.25</v>
      </c>
      <c r="AA111" t="s">
        <v>215</v>
      </c>
      <c r="AB111" t="s">
        <v>214</v>
      </c>
      <c r="AC111">
        <v>2.2200000000000002</v>
      </c>
      <c r="AD111" t="s">
        <v>215</v>
      </c>
      <c r="AE111" t="s">
        <v>214</v>
      </c>
      <c r="AF111">
        <v>2.21</v>
      </c>
      <c r="AG111" t="s">
        <v>215</v>
      </c>
      <c r="AH111" t="s">
        <v>214</v>
      </c>
      <c r="AI111">
        <v>2.29</v>
      </c>
      <c r="AJ111" t="s">
        <v>215</v>
      </c>
      <c r="AK111" t="s">
        <v>214</v>
      </c>
      <c r="AL111">
        <v>2.42</v>
      </c>
      <c r="AM111" t="s">
        <v>215</v>
      </c>
      <c r="AN111" t="s">
        <v>214</v>
      </c>
      <c r="AO111">
        <v>2.25</v>
      </c>
      <c r="AP111" t="s">
        <v>215</v>
      </c>
      <c r="AQ111" t="s">
        <v>214</v>
      </c>
      <c r="AR111">
        <v>2.2599999999999998</v>
      </c>
      <c r="AS111" t="s">
        <v>215</v>
      </c>
      <c r="AT111" t="s">
        <v>214</v>
      </c>
      <c r="AU111">
        <v>2.23</v>
      </c>
      <c r="AV111" t="s">
        <v>215</v>
      </c>
      <c r="AW111" t="s">
        <v>214</v>
      </c>
      <c r="AX111">
        <v>2.19</v>
      </c>
      <c r="AY111" t="s">
        <v>215</v>
      </c>
      <c r="AZ111" t="s">
        <v>214</v>
      </c>
      <c r="BA111">
        <v>2.08</v>
      </c>
      <c r="BB111" t="s">
        <v>215</v>
      </c>
      <c r="BC111" t="s">
        <v>214</v>
      </c>
      <c r="BD111">
        <v>2.06</v>
      </c>
      <c r="BE111" t="s">
        <v>215</v>
      </c>
      <c r="BF111" t="s">
        <v>214</v>
      </c>
      <c r="BG111">
        <v>2.04</v>
      </c>
      <c r="BH111" t="s">
        <v>215</v>
      </c>
      <c r="BI111" t="s">
        <v>214</v>
      </c>
      <c r="BJ111">
        <v>2.0499999999999998</v>
      </c>
      <c r="BK111" t="s">
        <v>215</v>
      </c>
      <c r="BL111" t="s">
        <v>214</v>
      </c>
      <c r="BM111">
        <v>2.08</v>
      </c>
      <c r="BN111" t="s">
        <v>215</v>
      </c>
      <c r="BO111" t="s">
        <v>214</v>
      </c>
      <c r="BP111">
        <v>2.06</v>
      </c>
      <c r="BQ111" t="s">
        <v>215</v>
      </c>
      <c r="BR111" t="s">
        <v>214</v>
      </c>
      <c r="BS111">
        <v>2.04</v>
      </c>
      <c r="BT111" t="s">
        <v>215</v>
      </c>
      <c r="BU111" t="s">
        <v>214</v>
      </c>
      <c r="BV111">
        <v>2.04</v>
      </c>
      <c r="BW111" t="s">
        <v>215</v>
      </c>
      <c r="BX111" t="s">
        <v>214</v>
      </c>
      <c r="BY111">
        <v>1.99</v>
      </c>
      <c r="BZ111" t="s">
        <v>215</v>
      </c>
      <c r="CA111" t="s">
        <v>381</v>
      </c>
      <c r="CB111">
        <v>1.1000000000000001</v>
      </c>
      <c r="CC111" t="s">
        <v>7</v>
      </c>
      <c r="CD111" t="s">
        <v>214</v>
      </c>
      <c r="CE111">
        <v>1.97</v>
      </c>
      <c r="CF111" t="s">
        <v>215</v>
      </c>
      <c r="CG111" t="s">
        <v>214</v>
      </c>
      <c r="CH111">
        <v>2.0299999999999998</v>
      </c>
      <c r="CI111" t="s">
        <v>215</v>
      </c>
      <c r="CJ111" t="s">
        <v>214</v>
      </c>
      <c r="CK111">
        <v>2.06</v>
      </c>
      <c r="CL111" t="s">
        <v>215</v>
      </c>
      <c r="CM111" t="s">
        <v>214</v>
      </c>
      <c r="CN111">
        <v>2.04</v>
      </c>
      <c r="CO111" t="s">
        <v>215</v>
      </c>
      <c r="CP111" t="s">
        <v>214</v>
      </c>
      <c r="CQ111">
        <v>2.0299999999999998</v>
      </c>
      <c r="CR111" t="s">
        <v>215</v>
      </c>
      <c r="CS111" t="s">
        <v>214</v>
      </c>
      <c r="CT111">
        <v>1.95</v>
      </c>
      <c r="CU111" t="s">
        <v>215</v>
      </c>
      <c r="CV111" t="s">
        <v>214</v>
      </c>
      <c r="CW111">
        <v>1.96</v>
      </c>
      <c r="CX111" t="s">
        <v>215</v>
      </c>
      <c r="CY111" t="s">
        <v>214</v>
      </c>
      <c r="CZ111">
        <v>1.9</v>
      </c>
      <c r="DA111" t="s">
        <v>215</v>
      </c>
      <c r="DB111" t="s">
        <v>214</v>
      </c>
      <c r="DC111">
        <v>1.96</v>
      </c>
      <c r="DD111" t="s">
        <v>215</v>
      </c>
      <c r="DE111" t="s">
        <v>214</v>
      </c>
      <c r="DF111">
        <v>1.97</v>
      </c>
      <c r="DG111" t="s">
        <v>215</v>
      </c>
      <c r="DH111" t="s">
        <v>214</v>
      </c>
      <c r="DI111">
        <v>2.15</v>
      </c>
      <c r="DJ111" t="s">
        <v>215</v>
      </c>
      <c r="DK111" t="s">
        <v>454</v>
      </c>
      <c r="DL111">
        <v>2.84</v>
      </c>
      <c r="DM111" t="s">
        <v>16</v>
      </c>
      <c r="DN111" t="s">
        <v>454</v>
      </c>
      <c r="DO111">
        <v>2.71</v>
      </c>
      <c r="DP111" t="s">
        <v>16</v>
      </c>
      <c r="DQ111" t="s">
        <v>454</v>
      </c>
      <c r="DR111">
        <v>2.77</v>
      </c>
      <c r="DS111" t="s">
        <v>16</v>
      </c>
      <c r="DT111" t="s">
        <v>326</v>
      </c>
      <c r="DU111">
        <v>20.99</v>
      </c>
      <c r="DV111" t="s">
        <v>44</v>
      </c>
      <c r="DW111" t="s">
        <v>326</v>
      </c>
      <c r="DX111">
        <v>21.85</v>
      </c>
      <c r="DY111" t="s">
        <v>44</v>
      </c>
      <c r="DZ111" t="s">
        <v>326</v>
      </c>
      <c r="EA111">
        <v>21.6</v>
      </c>
      <c r="EB111" t="s">
        <v>44</v>
      </c>
      <c r="EC111" t="s">
        <v>326</v>
      </c>
      <c r="ED111">
        <v>22.45</v>
      </c>
      <c r="EE111" t="s">
        <v>44</v>
      </c>
      <c r="EF111" t="s">
        <v>326</v>
      </c>
      <c r="EG111">
        <v>21.55</v>
      </c>
      <c r="EH111" t="s">
        <v>44</v>
      </c>
      <c r="EI111" t="s">
        <v>326</v>
      </c>
      <c r="EJ111">
        <v>23.56</v>
      </c>
      <c r="EK111" t="s">
        <v>44</v>
      </c>
    </row>
    <row r="112" spans="1:141">
      <c r="A112" t="s">
        <v>214</v>
      </c>
      <c r="B112">
        <v>2.1800000000000002</v>
      </c>
      <c r="C112" t="s">
        <v>215</v>
      </c>
      <c r="D112" t="s">
        <v>214</v>
      </c>
      <c r="E112">
        <v>2.39</v>
      </c>
      <c r="F112" t="s">
        <v>215</v>
      </c>
      <c r="G112" t="s">
        <v>454</v>
      </c>
      <c r="H112">
        <v>3.54</v>
      </c>
      <c r="I112" t="s">
        <v>16</v>
      </c>
      <c r="J112" t="s">
        <v>454</v>
      </c>
      <c r="K112">
        <v>3.34</v>
      </c>
      <c r="L112" t="s">
        <v>16</v>
      </c>
      <c r="M112" t="s">
        <v>454</v>
      </c>
      <c r="N112">
        <v>3.25</v>
      </c>
      <c r="O112" t="s">
        <v>16</v>
      </c>
      <c r="P112" t="s">
        <v>580</v>
      </c>
      <c r="Q112">
        <v>10.14</v>
      </c>
      <c r="R112" t="s">
        <v>9</v>
      </c>
      <c r="S112" t="s">
        <v>454</v>
      </c>
      <c r="T112">
        <v>3.31</v>
      </c>
      <c r="U112" t="s">
        <v>16</v>
      </c>
      <c r="V112" t="s">
        <v>454</v>
      </c>
      <c r="W112">
        <v>3.32</v>
      </c>
      <c r="X112" t="s">
        <v>16</v>
      </c>
      <c r="Y112" t="s">
        <v>454</v>
      </c>
      <c r="Z112">
        <v>3.32</v>
      </c>
      <c r="AA112" t="s">
        <v>16</v>
      </c>
      <c r="AB112" t="s">
        <v>454</v>
      </c>
      <c r="AC112">
        <v>3.17</v>
      </c>
      <c r="AD112" t="s">
        <v>16</v>
      </c>
      <c r="AE112" t="s">
        <v>454</v>
      </c>
      <c r="AF112">
        <v>3.06</v>
      </c>
      <c r="AG112" t="s">
        <v>16</v>
      </c>
      <c r="AH112" t="s">
        <v>454</v>
      </c>
      <c r="AI112">
        <v>3.07</v>
      </c>
      <c r="AJ112" t="s">
        <v>16</v>
      </c>
      <c r="AK112" t="s">
        <v>454</v>
      </c>
      <c r="AL112">
        <v>2.96</v>
      </c>
      <c r="AM112" t="s">
        <v>16</v>
      </c>
      <c r="AN112" t="s">
        <v>454</v>
      </c>
      <c r="AO112">
        <v>2.78</v>
      </c>
      <c r="AP112" t="s">
        <v>16</v>
      </c>
      <c r="AQ112" t="s">
        <v>454</v>
      </c>
      <c r="AR112">
        <v>2.93</v>
      </c>
      <c r="AS112" t="s">
        <v>16</v>
      </c>
      <c r="AT112" t="s">
        <v>454</v>
      </c>
      <c r="AU112">
        <v>2.9</v>
      </c>
      <c r="AV112" t="s">
        <v>16</v>
      </c>
      <c r="AW112" t="s">
        <v>454</v>
      </c>
      <c r="AX112">
        <v>3.1</v>
      </c>
      <c r="AY112" t="s">
        <v>16</v>
      </c>
      <c r="AZ112" t="s">
        <v>454</v>
      </c>
      <c r="BA112">
        <v>2.93</v>
      </c>
      <c r="BB112" t="s">
        <v>16</v>
      </c>
      <c r="BC112" t="s">
        <v>454</v>
      </c>
      <c r="BD112">
        <v>2.79</v>
      </c>
      <c r="BE112" t="s">
        <v>16</v>
      </c>
      <c r="BF112" t="s">
        <v>454</v>
      </c>
      <c r="BG112">
        <v>2.66</v>
      </c>
      <c r="BH112" t="s">
        <v>16</v>
      </c>
      <c r="BI112" t="s">
        <v>454</v>
      </c>
      <c r="BJ112">
        <v>2.52</v>
      </c>
      <c r="BK112" t="s">
        <v>16</v>
      </c>
      <c r="BL112" t="s">
        <v>454</v>
      </c>
      <c r="BM112">
        <v>2.31</v>
      </c>
      <c r="BN112" t="s">
        <v>16</v>
      </c>
      <c r="BO112" t="s">
        <v>454</v>
      </c>
      <c r="BP112">
        <v>2.4</v>
      </c>
      <c r="BQ112" t="s">
        <v>16</v>
      </c>
      <c r="BR112" t="s">
        <v>454</v>
      </c>
      <c r="BS112">
        <v>2.4</v>
      </c>
      <c r="BT112" t="s">
        <v>16</v>
      </c>
      <c r="BU112" t="s">
        <v>454</v>
      </c>
      <c r="BV112">
        <v>2.4</v>
      </c>
      <c r="BW112" t="s">
        <v>16</v>
      </c>
      <c r="BX112" t="s">
        <v>454</v>
      </c>
      <c r="BY112">
        <v>2.36</v>
      </c>
      <c r="BZ112" t="s">
        <v>16</v>
      </c>
      <c r="CA112" t="s">
        <v>580</v>
      </c>
      <c r="CB112">
        <v>10.14</v>
      </c>
      <c r="CC112" t="s">
        <v>9</v>
      </c>
      <c r="CD112" t="s">
        <v>454</v>
      </c>
      <c r="CE112">
        <v>2.4900000000000002</v>
      </c>
      <c r="CF112" t="s">
        <v>16</v>
      </c>
      <c r="CG112" t="s">
        <v>454</v>
      </c>
      <c r="CH112">
        <v>2.5099999999999998</v>
      </c>
      <c r="CI112" t="s">
        <v>16</v>
      </c>
      <c r="CJ112" t="s">
        <v>454</v>
      </c>
      <c r="CK112">
        <v>2.81</v>
      </c>
      <c r="CL112" t="s">
        <v>16</v>
      </c>
      <c r="CM112" t="s">
        <v>454</v>
      </c>
      <c r="CN112">
        <v>2.94</v>
      </c>
      <c r="CO112" t="s">
        <v>16</v>
      </c>
      <c r="CP112" t="s">
        <v>454</v>
      </c>
      <c r="CQ112">
        <v>2.92</v>
      </c>
      <c r="CR112" t="s">
        <v>16</v>
      </c>
      <c r="CS112" t="s">
        <v>454</v>
      </c>
      <c r="CT112">
        <v>2.46</v>
      </c>
      <c r="CU112" t="s">
        <v>16</v>
      </c>
      <c r="CV112" t="s">
        <v>454</v>
      </c>
      <c r="CW112">
        <v>2.6</v>
      </c>
      <c r="CX112" t="s">
        <v>16</v>
      </c>
      <c r="CY112" t="s">
        <v>454</v>
      </c>
      <c r="CZ112">
        <v>2.62</v>
      </c>
      <c r="DA112" t="s">
        <v>16</v>
      </c>
      <c r="DB112" t="s">
        <v>454</v>
      </c>
      <c r="DC112">
        <v>2.8</v>
      </c>
      <c r="DD112" t="s">
        <v>16</v>
      </c>
      <c r="DE112" t="s">
        <v>454</v>
      </c>
      <c r="DF112">
        <v>2.71</v>
      </c>
      <c r="DG112" t="s">
        <v>16</v>
      </c>
      <c r="DH112" t="s">
        <v>454</v>
      </c>
      <c r="DI112">
        <v>2.85</v>
      </c>
      <c r="DJ112" t="s">
        <v>16</v>
      </c>
      <c r="DK112" t="s">
        <v>333</v>
      </c>
      <c r="DL112">
        <v>1.55</v>
      </c>
      <c r="DM112" t="s">
        <v>111</v>
      </c>
      <c r="DN112" t="s">
        <v>333</v>
      </c>
      <c r="DO112">
        <v>1.56</v>
      </c>
      <c r="DP112" t="s">
        <v>111</v>
      </c>
      <c r="DQ112" t="s">
        <v>333</v>
      </c>
      <c r="DR112">
        <v>1.67</v>
      </c>
      <c r="DS112" t="s">
        <v>111</v>
      </c>
      <c r="DT112" t="s">
        <v>373</v>
      </c>
      <c r="DU112">
        <v>7</v>
      </c>
      <c r="DV112" t="s">
        <v>12</v>
      </c>
      <c r="DW112" t="s">
        <v>373</v>
      </c>
      <c r="DX112">
        <v>7.05</v>
      </c>
      <c r="DY112" t="s">
        <v>12</v>
      </c>
      <c r="DZ112" t="s">
        <v>373</v>
      </c>
      <c r="EA112">
        <v>7.08</v>
      </c>
      <c r="EB112" t="s">
        <v>12</v>
      </c>
      <c r="EC112" t="s">
        <v>373</v>
      </c>
      <c r="ED112">
        <v>7</v>
      </c>
      <c r="EE112" t="s">
        <v>12</v>
      </c>
      <c r="EF112" t="s">
        <v>373</v>
      </c>
      <c r="EG112">
        <v>7.24</v>
      </c>
      <c r="EH112" t="s">
        <v>12</v>
      </c>
      <c r="EI112" t="s">
        <v>373</v>
      </c>
      <c r="EJ112">
        <v>7.44</v>
      </c>
      <c r="EK112" t="s">
        <v>12</v>
      </c>
    </row>
    <row r="113" spans="1:141">
      <c r="A113" t="s">
        <v>454</v>
      </c>
      <c r="B113">
        <v>3.41</v>
      </c>
      <c r="C113" t="s">
        <v>16</v>
      </c>
      <c r="D113" t="s">
        <v>454</v>
      </c>
      <c r="E113">
        <v>3.22</v>
      </c>
      <c r="F113" t="s">
        <v>16</v>
      </c>
      <c r="G113" t="s">
        <v>333</v>
      </c>
      <c r="H113">
        <v>1.75</v>
      </c>
      <c r="I113" t="s">
        <v>111</v>
      </c>
      <c r="J113" t="s">
        <v>333</v>
      </c>
      <c r="K113">
        <v>1.8</v>
      </c>
      <c r="L113" t="s">
        <v>111</v>
      </c>
      <c r="M113" t="s">
        <v>333</v>
      </c>
      <c r="N113">
        <v>1.71</v>
      </c>
      <c r="O113" t="s">
        <v>111</v>
      </c>
      <c r="P113" t="s">
        <v>214</v>
      </c>
      <c r="Q113">
        <v>2.48</v>
      </c>
      <c r="R113" t="s">
        <v>215</v>
      </c>
      <c r="S113" t="s">
        <v>333</v>
      </c>
      <c r="T113">
        <v>1.78</v>
      </c>
      <c r="U113" t="s">
        <v>111</v>
      </c>
      <c r="V113" t="s">
        <v>333</v>
      </c>
      <c r="W113">
        <v>1.64</v>
      </c>
      <c r="X113" t="s">
        <v>111</v>
      </c>
      <c r="Y113" t="s">
        <v>333</v>
      </c>
      <c r="Z113">
        <v>1.61</v>
      </c>
      <c r="AA113" t="s">
        <v>111</v>
      </c>
      <c r="AB113" t="s">
        <v>333</v>
      </c>
      <c r="AC113">
        <v>1.69</v>
      </c>
      <c r="AD113" t="s">
        <v>111</v>
      </c>
      <c r="AE113" t="s">
        <v>333</v>
      </c>
      <c r="AF113">
        <v>1.74</v>
      </c>
      <c r="AG113" t="s">
        <v>111</v>
      </c>
      <c r="AH113" t="s">
        <v>333</v>
      </c>
      <c r="AI113">
        <v>1.8</v>
      </c>
      <c r="AJ113" t="s">
        <v>111</v>
      </c>
      <c r="AK113" t="s">
        <v>333</v>
      </c>
      <c r="AL113">
        <v>1.79</v>
      </c>
      <c r="AM113" t="s">
        <v>111</v>
      </c>
      <c r="AN113" t="s">
        <v>333</v>
      </c>
      <c r="AO113">
        <v>1.68</v>
      </c>
      <c r="AP113" t="s">
        <v>111</v>
      </c>
      <c r="AQ113" t="s">
        <v>333</v>
      </c>
      <c r="AR113">
        <v>1.68</v>
      </c>
      <c r="AS113" t="s">
        <v>111</v>
      </c>
      <c r="AT113" t="s">
        <v>333</v>
      </c>
      <c r="AU113">
        <v>1.77</v>
      </c>
      <c r="AV113" t="s">
        <v>111</v>
      </c>
      <c r="AW113" t="s">
        <v>333</v>
      </c>
      <c r="AX113">
        <v>1.69</v>
      </c>
      <c r="AY113" t="s">
        <v>111</v>
      </c>
      <c r="AZ113" t="s">
        <v>333</v>
      </c>
      <c r="BA113">
        <v>1.66</v>
      </c>
      <c r="BB113" t="s">
        <v>111</v>
      </c>
      <c r="BC113" t="s">
        <v>333</v>
      </c>
      <c r="BD113">
        <v>1.61</v>
      </c>
      <c r="BE113" t="s">
        <v>111</v>
      </c>
      <c r="BF113" t="s">
        <v>333</v>
      </c>
      <c r="BG113">
        <v>1.6</v>
      </c>
      <c r="BH113" t="s">
        <v>111</v>
      </c>
      <c r="BI113" t="s">
        <v>333</v>
      </c>
      <c r="BJ113">
        <v>1.59</v>
      </c>
      <c r="BK113" t="s">
        <v>111</v>
      </c>
      <c r="BL113" t="s">
        <v>333</v>
      </c>
      <c r="BM113">
        <v>1.67</v>
      </c>
      <c r="BN113" t="s">
        <v>111</v>
      </c>
      <c r="BO113" t="s">
        <v>333</v>
      </c>
      <c r="BP113">
        <v>1.63</v>
      </c>
      <c r="BQ113" t="s">
        <v>111</v>
      </c>
      <c r="BR113" t="s">
        <v>333</v>
      </c>
      <c r="BS113">
        <v>1.64</v>
      </c>
      <c r="BT113" t="s">
        <v>111</v>
      </c>
      <c r="BU113" t="s">
        <v>333</v>
      </c>
      <c r="BV113">
        <v>1.62</v>
      </c>
      <c r="BW113" t="s">
        <v>111</v>
      </c>
      <c r="BX113" t="s">
        <v>333</v>
      </c>
      <c r="BY113">
        <v>1.61</v>
      </c>
      <c r="BZ113" t="s">
        <v>111</v>
      </c>
      <c r="CA113" t="s">
        <v>214</v>
      </c>
      <c r="CB113">
        <v>2.0099999999999998</v>
      </c>
      <c r="CC113" t="s">
        <v>215</v>
      </c>
      <c r="CD113" t="s">
        <v>333</v>
      </c>
      <c r="CE113">
        <v>1.57</v>
      </c>
      <c r="CF113" t="s">
        <v>111</v>
      </c>
      <c r="CG113" t="s">
        <v>333</v>
      </c>
      <c r="CH113">
        <v>1.58</v>
      </c>
      <c r="CI113" t="s">
        <v>111</v>
      </c>
      <c r="CJ113" t="s">
        <v>333</v>
      </c>
      <c r="CK113">
        <v>1.6</v>
      </c>
      <c r="CL113" t="s">
        <v>111</v>
      </c>
      <c r="CM113" t="s">
        <v>333</v>
      </c>
      <c r="CN113">
        <v>1.57</v>
      </c>
      <c r="CO113" t="s">
        <v>111</v>
      </c>
      <c r="CP113" t="s">
        <v>333</v>
      </c>
      <c r="CQ113">
        <v>1.52</v>
      </c>
      <c r="CR113" t="s">
        <v>111</v>
      </c>
      <c r="CS113" t="s">
        <v>333</v>
      </c>
      <c r="CT113">
        <v>1.58</v>
      </c>
      <c r="CU113" t="s">
        <v>111</v>
      </c>
      <c r="CV113" t="s">
        <v>333</v>
      </c>
      <c r="CW113">
        <v>1.56</v>
      </c>
      <c r="CX113" t="s">
        <v>111</v>
      </c>
      <c r="CY113" t="s">
        <v>333</v>
      </c>
      <c r="CZ113">
        <v>1.55</v>
      </c>
      <c r="DA113" t="s">
        <v>111</v>
      </c>
      <c r="DB113" t="s">
        <v>333</v>
      </c>
      <c r="DC113">
        <v>1.6</v>
      </c>
      <c r="DD113" t="s">
        <v>111</v>
      </c>
      <c r="DE113" t="s">
        <v>333</v>
      </c>
      <c r="DF113">
        <v>1.57</v>
      </c>
      <c r="DG113" t="s">
        <v>111</v>
      </c>
      <c r="DH113" t="s">
        <v>333</v>
      </c>
      <c r="DI113">
        <v>1.55</v>
      </c>
      <c r="DJ113" t="s">
        <v>111</v>
      </c>
      <c r="DK113" t="s">
        <v>216</v>
      </c>
      <c r="DL113">
        <v>9.07</v>
      </c>
      <c r="DM113" t="s">
        <v>101</v>
      </c>
      <c r="DN113" t="s">
        <v>216</v>
      </c>
      <c r="DO113">
        <v>8.9</v>
      </c>
      <c r="DP113" t="s">
        <v>101</v>
      </c>
      <c r="DQ113" t="s">
        <v>216</v>
      </c>
      <c r="DR113">
        <v>10.66</v>
      </c>
      <c r="DS113" t="s">
        <v>101</v>
      </c>
      <c r="DT113" t="s">
        <v>663</v>
      </c>
      <c r="DU113">
        <v>15</v>
      </c>
      <c r="DV113" t="s">
        <v>693</v>
      </c>
      <c r="DW113" t="s">
        <v>663</v>
      </c>
      <c r="DX113">
        <v>15</v>
      </c>
      <c r="DY113" t="s">
        <v>693</v>
      </c>
      <c r="DZ113" t="s">
        <v>663</v>
      </c>
      <c r="EA113">
        <v>15</v>
      </c>
      <c r="EB113" t="s">
        <v>693</v>
      </c>
      <c r="EC113" t="s">
        <v>663</v>
      </c>
      <c r="ED113">
        <v>15</v>
      </c>
      <c r="EE113" t="s">
        <v>693</v>
      </c>
      <c r="EF113" t="s">
        <v>663</v>
      </c>
      <c r="EG113">
        <v>15</v>
      </c>
      <c r="EH113" t="s">
        <v>693</v>
      </c>
      <c r="EI113" t="s">
        <v>663</v>
      </c>
      <c r="EJ113">
        <v>15</v>
      </c>
      <c r="EK113" t="s">
        <v>693</v>
      </c>
    </row>
    <row r="114" spans="1:141">
      <c r="A114" t="s">
        <v>333</v>
      </c>
      <c r="B114">
        <v>1.62</v>
      </c>
      <c r="C114" t="s">
        <v>111</v>
      </c>
      <c r="D114" t="s">
        <v>333</v>
      </c>
      <c r="E114">
        <v>1.78</v>
      </c>
      <c r="F114" t="s">
        <v>111</v>
      </c>
      <c r="G114" t="s">
        <v>216</v>
      </c>
      <c r="H114">
        <v>8.5</v>
      </c>
      <c r="I114" t="s">
        <v>101</v>
      </c>
      <c r="J114" t="s">
        <v>216</v>
      </c>
      <c r="K114">
        <v>8.33</v>
      </c>
      <c r="L114" t="s">
        <v>101</v>
      </c>
      <c r="M114" t="s">
        <v>216</v>
      </c>
      <c r="N114">
        <v>8.23</v>
      </c>
      <c r="O114" t="s">
        <v>101</v>
      </c>
      <c r="P114" t="s">
        <v>454</v>
      </c>
      <c r="Q114">
        <v>3.5</v>
      </c>
      <c r="R114" t="s">
        <v>16</v>
      </c>
      <c r="S114" t="s">
        <v>216</v>
      </c>
      <c r="T114">
        <v>8.3000000000000007</v>
      </c>
      <c r="U114" t="s">
        <v>101</v>
      </c>
      <c r="V114" t="s">
        <v>216</v>
      </c>
      <c r="W114">
        <v>8.5500000000000007</v>
      </c>
      <c r="X114" t="s">
        <v>101</v>
      </c>
      <c r="Y114" t="s">
        <v>216</v>
      </c>
      <c r="Z114">
        <v>8.64</v>
      </c>
      <c r="AA114" t="s">
        <v>101</v>
      </c>
      <c r="AB114" t="s">
        <v>216</v>
      </c>
      <c r="AC114">
        <v>9.0500000000000007</v>
      </c>
      <c r="AD114" t="s">
        <v>101</v>
      </c>
      <c r="AE114" t="s">
        <v>216</v>
      </c>
      <c r="AF114">
        <v>8.93</v>
      </c>
      <c r="AG114" t="s">
        <v>101</v>
      </c>
      <c r="AH114" t="s">
        <v>216</v>
      </c>
      <c r="AI114">
        <v>8.76</v>
      </c>
      <c r="AJ114" t="s">
        <v>101</v>
      </c>
      <c r="AK114" t="s">
        <v>216</v>
      </c>
      <c r="AL114">
        <v>8.68</v>
      </c>
      <c r="AM114" t="s">
        <v>101</v>
      </c>
      <c r="AN114" t="s">
        <v>216</v>
      </c>
      <c r="AO114">
        <v>8.1999999999999993</v>
      </c>
      <c r="AP114" t="s">
        <v>101</v>
      </c>
      <c r="AQ114" t="s">
        <v>216</v>
      </c>
      <c r="AR114">
        <v>8.43</v>
      </c>
      <c r="AS114" t="s">
        <v>101</v>
      </c>
      <c r="AT114" t="s">
        <v>216</v>
      </c>
      <c r="AU114">
        <v>8.41</v>
      </c>
      <c r="AV114" t="s">
        <v>101</v>
      </c>
      <c r="AW114" t="s">
        <v>216</v>
      </c>
      <c r="AX114">
        <v>8.44</v>
      </c>
      <c r="AY114" t="s">
        <v>101</v>
      </c>
      <c r="AZ114" t="s">
        <v>216</v>
      </c>
      <c r="BA114">
        <v>8.5</v>
      </c>
      <c r="BB114" t="s">
        <v>101</v>
      </c>
      <c r="BC114" t="s">
        <v>216</v>
      </c>
      <c r="BD114">
        <v>8.4700000000000006</v>
      </c>
      <c r="BE114" t="s">
        <v>101</v>
      </c>
      <c r="BF114" t="s">
        <v>216</v>
      </c>
      <c r="BG114">
        <v>8.31</v>
      </c>
      <c r="BH114" t="s">
        <v>101</v>
      </c>
      <c r="BI114" t="s">
        <v>216</v>
      </c>
      <c r="BJ114">
        <v>8.3800000000000008</v>
      </c>
      <c r="BK114" t="s">
        <v>101</v>
      </c>
      <c r="BL114" t="s">
        <v>216</v>
      </c>
      <c r="BM114">
        <v>8.16</v>
      </c>
      <c r="BN114" t="s">
        <v>101</v>
      </c>
      <c r="BO114" t="s">
        <v>216</v>
      </c>
      <c r="BP114">
        <v>8.1999999999999993</v>
      </c>
      <c r="BQ114" t="s">
        <v>101</v>
      </c>
      <c r="BR114" t="s">
        <v>216</v>
      </c>
      <c r="BS114">
        <v>8.3000000000000007</v>
      </c>
      <c r="BT114" t="s">
        <v>101</v>
      </c>
      <c r="BU114" t="s">
        <v>216</v>
      </c>
      <c r="BV114">
        <v>8.08</v>
      </c>
      <c r="BW114" t="s">
        <v>101</v>
      </c>
      <c r="BX114" t="s">
        <v>216</v>
      </c>
      <c r="BY114">
        <v>8.0500000000000007</v>
      </c>
      <c r="BZ114" t="s">
        <v>101</v>
      </c>
      <c r="CA114" t="s">
        <v>454</v>
      </c>
      <c r="CB114">
        <v>2.4</v>
      </c>
      <c r="CC114" t="s">
        <v>16</v>
      </c>
      <c r="CD114" t="s">
        <v>216</v>
      </c>
      <c r="CE114">
        <v>8.31</v>
      </c>
      <c r="CF114" t="s">
        <v>101</v>
      </c>
      <c r="CG114" t="s">
        <v>216</v>
      </c>
      <c r="CH114">
        <v>8.3000000000000007</v>
      </c>
      <c r="CI114" t="s">
        <v>101</v>
      </c>
      <c r="CJ114" t="s">
        <v>216</v>
      </c>
      <c r="CK114">
        <v>8.25</v>
      </c>
      <c r="CL114" t="s">
        <v>101</v>
      </c>
      <c r="CM114" t="s">
        <v>216</v>
      </c>
      <c r="CN114">
        <v>8.15</v>
      </c>
      <c r="CO114" t="s">
        <v>101</v>
      </c>
      <c r="CP114" t="s">
        <v>216</v>
      </c>
      <c r="CQ114">
        <v>8</v>
      </c>
      <c r="CR114" t="s">
        <v>101</v>
      </c>
      <c r="CS114" t="s">
        <v>216</v>
      </c>
      <c r="CT114">
        <v>8.5</v>
      </c>
      <c r="CU114" t="s">
        <v>101</v>
      </c>
      <c r="CV114" t="s">
        <v>216</v>
      </c>
      <c r="CW114">
        <v>8.24</v>
      </c>
      <c r="CX114" t="s">
        <v>101</v>
      </c>
      <c r="CY114" t="s">
        <v>216</v>
      </c>
      <c r="CZ114">
        <v>8.3000000000000007</v>
      </c>
      <c r="DA114" t="s">
        <v>101</v>
      </c>
      <c r="DB114" t="s">
        <v>216</v>
      </c>
      <c r="DC114">
        <v>8.9</v>
      </c>
      <c r="DD114" t="s">
        <v>101</v>
      </c>
      <c r="DE114" t="s">
        <v>216</v>
      </c>
      <c r="DF114">
        <v>9.14</v>
      </c>
      <c r="DG114" t="s">
        <v>101</v>
      </c>
      <c r="DH114" t="s">
        <v>216</v>
      </c>
      <c r="DI114">
        <v>9.1999999999999993</v>
      </c>
      <c r="DJ114" t="s">
        <v>101</v>
      </c>
      <c r="DK114" t="s">
        <v>326</v>
      </c>
      <c r="DL114">
        <v>20.9</v>
      </c>
      <c r="DM114" t="s">
        <v>44</v>
      </c>
      <c r="DN114" t="s">
        <v>326</v>
      </c>
      <c r="DO114">
        <v>20.63</v>
      </c>
      <c r="DP114" t="s">
        <v>44</v>
      </c>
      <c r="DQ114" t="s">
        <v>326</v>
      </c>
      <c r="DR114">
        <v>22.47</v>
      </c>
      <c r="DS114" t="s">
        <v>44</v>
      </c>
      <c r="DT114" t="s">
        <v>368</v>
      </c>
      <c r="DU114">
        <v>0.54</v>
      </c>
      <c r="DV114" t="s">
        <v>83</v>
      </c>
      <c r="DW114" t="s">
        <v>368</v>
      </c>
      <c r="DX114">
        <v>0.51</v>
      </c>
      <c r="DY114" t="s">
        <v>83</v>
      </c>
      <c r="DZ114" t="s">
        <v>368</v>
      </c>
      <c r="EA114">
        <v>0.52</v>
      </c>
      <c r="EB114" t="s">
        <v>83</v>
      </c>
      <c r="EC114" t="s">
        <v>368</v>
      </c>
      <c r="ED114">
        <v>0.56000000000000005</v>
      </c>
      <c r="EE114" t="s">
        <v>83</v>
      </c>
      <c r="EF114" t="s">
        <v>368</v>
      </c>
      <c r="EG114">
        <v>0.52</v>
      </c>
      <c r="EH114" t="s">
        <v>83</v>
      </c>
      <c r="EI114" t="s">
        <v>368</v>
      </c>
      <c r="EJ114">
        <v>0.56000000000000005</v>
      </c>
      <c r="EK114" t="s">
        <v>83</v>
      </c>
    </row>
    <row r="115" spans="1:141">
      <c r="A115" t="s">
        <v>216</v>
      </c>
      <c r="B115">
        <v>8.66</v>
      </c>
      <c r="C115" t="s">
        <v>101</v>
      </c>
      <c r="D115" t="s">
        <v>216</v>
      </c>
      <c r="E115">
        <v>8.65</v>
      </c>
      <c r="F115" t="s">
        <v>101</v>
      </c>
      <c r="G115" t="s">
        <v>326</v>
      </c>
      <c r="H115">
        <v>16.7</v>
      </c>
      <c r="I115" t="s">
        <v>44</v>
      </c>
      <c r="J115" t="s">
        <v>326</v>
      </c>
      <c r="K115">
        <v>16.32</v>
      </c>
      <c r="L115" t="s">
        <v>44</v>
      </c>
      <c r="M115" t="s">
        <v>326</v>
      </c>
      <c r="N115">
        <v>16.3</v>
      </c>
      <c r="O115" t="s">
        <v>44</v>
      </c>
      <c r="P115" t="s">
        <v>333</v>
      </c>
      <c r="Q115">
        <v>1.62</v>
      </c>
      <c r="R115" t="s">
        <v>111</v>
      </c>
      <c r="S115" t="s">
        <v>326</v>
      </c>
      <c r="T115">
        <v>15.75</v>
      </c>
      <c r="U115" t="s">
        <v>44</v>
      </c>
      <c r="V115" t="s">
        <v>326</v>
      </c>
      <c r="W115">
        <v>17.13</v>
      </c>
      <c r="X115" t="s">
        <v>44</v>
      </c>
      <c r="Y115" t="s">
        <v>326</v>
      </c>
      <c r="Z115">
        <v>17.8</v>
      </c>
      <c r="AA115" t="s">
        <v>44</v>
      </c>
      <c r="AB115" t="s">
        <v>326</v>
      </c>
      <c r="AC115">
        <v>17.41</v>
      </c>
      <c r="AD115" t="s">
        <v>44</v>
      </c>
      <c r="AE115" t="s">
        <v>326</v>
      </c>
      <c r="AF115">
        <v>17.3</v>
      </c>
      <c r="AG115" t="s">
        <v>44</v>
      </c>
      <c r="AH115" t="s">
        <v>326</v>
      </c>
      <c r="AI115">
        <v>16.86</v>
      </c>
      <c r="AJ115" t="s">
        <v>44</v>
      </c>
      <c r="AK115" t="s">
        <v>326</v>
      </c>
      <c r="AL115">
        <v>17.05</v>
      </c>
      <c r="AM115" t="s">
        <v>44</v>
      </c>
      <c r="AN115" t="s">
        <v>326</v>
      </c>
      <c r="AO115">
        <v>16.3</v>
      </c>
      <c r="AP115" t="s">
        <v>44</v>
      </c>
      <c r="AQ115" t="s">
        <v>326</v>
      </c>
      <c r="AR115">
        <v>16.489999999999998</v>
      </c>
      <c r="AS115" t="s">
        <v>44</v>
      </c>
      <c r="AT115" t="s">
        <v>326</v>
      </c>
      <c r="AU115">
        <v>16.71</v>
      </c>
      <c r="AV115" t="s">
        <v>44</v>
      </c>
      <c r="AW115" t="s">
        <v>326</v>
      </c>
      <c r="AX115">
        <v>16.52</v>
      </c>
      <c r="AY115" t="s">
        <v>44</v>
      </c>
      <c r="AZ115" t="s">
        <v>326</v>
      </c>
      <c r="BA115">
        <v>16.79</v>
      </c>
      <c r="BB115" t="s">
        <v>44</v>
      </c>
      <c r="BC115" t="s">
        <v>326</v>
      </c>
      <c r="BD115">
        <v>16.61</v>
      </c>
      <c r="BE115" t="s">
        <v>44</v>
      </c>
      <c r="BF115" t="s">
        <v>326</v>
      </c>
      <c r="BG115">
        <v>16.25</v>
      </c>
      <c r="BH115" t="s">
        <v>44</v>
      </c>
      <c r="BI115" t="s">
        <v>326</v>
      </c>
      <c r="BJ115">
        <v>16.2</v>
      </c>
      <c r="BK115" t="s">
        <v>44</v>
      </c>
      <c r="BL115" t="s">
        <v>326</v>
      </c>
      <c r="BM115">
        <v>15.62</v>
      </c>
      <c r="BN115" t="s">
        <v>44</v>
      </c>
      <c r="BO115" t="s">
        <v>326</v>
      </c>
      <c r="BP115">
        <v>15.9</v>
      </c>
      <c r="BQ115" t="s">
        <v>44</v>
      </c>
      <c r="BR115" t="s">
        <v>326</v>
      </c>
      <c r="BS115">
        <v>16</v>
      </c>
      <c r="BT115" t="s">
        <v>44</v>
      </c>
      <c r="BU115" t="s">
        <v>326</v>
      </c>
      <c r="BV115">
        <v>16.82</v>
      </c>
      <c r="BW115" t="s">
        <v>44</v>
      </c>
      <c r="BX115" t="s">
        <v>326</v>
      </c>
      <c r="BY115">
        <v>16.600000000000001</v>
      </c>
      <c r="BZ115" t="s">
        <v>44</v>
      </c>
      <c r="CA115" t="s">
        <v>333</v>
      </c>
      <c r="CB115">
        <v>1.6</v>
      </c>
      <c r="CC115" t="s">
        <v>111</v>
      </c>
      <c r="CD115" t="s">
        <v>326</v>
      </c>
      <c r="CE115">
        <v>16.71</v>
      </c>
      <c r="CF115" t="s">
        <v>44</v>
      </c>
      <c r="CG115" t="s">
        <v>326</v>
      </c>
      <c r="CH115">
        <v>17.37</v>
      </c>
      <c r="CI115" t="s">
        <v>44</v>
      </c>
      <c r="CJ115" t="s">
        <v>326</v>
      </c>
      <c r="CK115">
        <v>17.29</v>
      </c>
      <c r="CL115" t="s">
        <v>44</v>
      </c>
      <c r="CM115" t="s">
        <v>326</v>
      </c>
      <c r="CN115">
        <v>17.2</v>
      </c>
      <c r="CO115" t="s">
        <v>44</v>
      </c>
      <c r="CP115" t="s">
        <v>326</v>
      </c>
      <c r="CQ115">
        <v>16.95</v>
      </c>
      <c r="CR115" t="s">
        <v>44</v>
      </c>
      <c r="CS115" t="s">
        <v>326</v>
      </c>
      <c r="CT115">
        <v>17.510000000000002</v>
      </c>
      <c r="CU115" t="s">
        <v>44</v>
      </c>
      <c r="CV115" t="s">
        <v>326</v>
      </c>
      <c r="CW115">
        <v>17</v>
      </c>
      <c r="CX115" t="s">
        <v>44</v>
      </c>
      <c r="CY115" t="s">
        <v>326</v>
      </c>
      <c r="CZ115">
        <v>17.149999999999999</v>
      </c>
      <c r="DA115" t="s">
        <v>44</v>
      </c>
      <c r="DB115" t="s">
        <v>326</v>
      </c>
      <c r="DC115">
        <v>18.5</v>
      </c>
      <c r="DD115" t="s">
        <v>44</v>
      </c>
      <c r="DE115" t="s">
        <v>326</v>
      </c>
      <c r="DF115">
        <v>18.420000000000002</v>
      </c>
      <c r="DG115" t="s">
        <v>44</v>
      </c>
      <c r="DH115" t="s">
        <v>326</v>
      </c>
      <c r="DI115">
        <v>18.78</v>
      </c>
      <c r="DJ115" t="s">
        <v>44</v>
      </c>
      <c r="DK115" t="s">
        <v>373</v>
      </c>
      <c r="DL115">
        <v>5.53</v>
      </c>
      <c r="DM115" t="s">
        <v>12</v>
      </c>
      <c r="DN115" t="s">
        <v>373</v>
      </c>
      <c r="DO115">
        <v>5.0599999999999996</v>
      </c>
      <c r="DP115" t="s">
        <v>12</v>
      </c>
      <c r="DQ115" t="s">
        <v>373</v>
      </c>
      <c r="DR115">
        <v>7.1</v>
      </c>
      <c r="DS115" t="s">
        <v>12</v>
      </c>
      <c r="DT115" t="s">
        <v>973</v>
      </c>
      <c r="DU115">
        <v>1.25</v>
      </c>
      <c r="DV115" t="s">
        <v>974</v>
      </c>
      <c r="DW115" t="s">
        <v>973</v>
      </c>
      <c r="DX115">
        <v>1.25</v>
      </c>
      <c r="DY115" t="s">
        <v>974</v>
      </c>
      <c r="DZ115" t="s">
        <v>973</v>
      </c>
      <c r="EA115">
        <v>1.0900000000000001</v>
      </c>
      <c r="EB115" t="s">
        <v>974</v>
      </c>
      <c r="EC115" t="s">
        <v>973</v>
      </c>
      <c r="ED115">
        <v>1.01</v>
      </c>
      <c r="EE115" t="s">
        <v>974</v>
      </c>
      <c r="EF115" t="s">
        <v>973</v>
      </c>
      <c r="EG115">
        <v>0.89</v>
      </c>
      <c r="EH115" t="s">
        <v>974</v>
      </c>
      <c r="EI115" t="s">
        <v>973</v>
      </c>
      <c r="EJ115">
        <v>0.88</v>
      </c>
      <c r="EK115" t="s">
        <v>974</v>
      </c>
    </row>
    <row r="116" spans="1:141">
      <c r="A116" t="s">
        <v>326</v>
      </c>
      <c r="B116">
        <v>17.489999999999998</v>
      </c>
      <c r="C116" t="s">
        <v>44</v>
      </c>
      <c r="D116" t="s">
        <v>326</v>
      </c>
      <c r="E116">
        <v>16.66</v>
      </c>
      <c r="F116" t="s">
        <v>44</v>
      </c>
      <c r="G116" t="s">
        <v>373</v>
      </c>
      <c r="H116">
        <v>4.3600000000000003</v>
      </c>
      <c r="I116" t="s">
        <v>12</v>
      </c>
      <c r="J116" t="s">
        <v>373</v>
      </c>
      <c r="K116">
        <v>4.3899999999999997</v>
      </c>
      <c r="L116" t="s">
        <v>12</v>
      </c>
      <c r="M116" t="s">
        <v>373</v>
      </c>
      <c r="N116">
        <v>4.21</v>
      </c>
      <c r="O116" t="s">
        <v>12</v>
      </c>
      <c r="P116" t="s">
        <v>216</v>
      </c>
      <c r="Q116">
        <v>8.24</v>
      </c>
      <c r="R116" t="s">
        <v>101</v>
      </c>
      <c r="S116" t="s">
        <v>373</v>
      </c>
      <c r="T116">
        <v>4.2</v>
      </c>
      <c r="U116" t="s">
        <v>12</v>
      </c>
      <c r="V116" t="s">
        <v>373</v>
      </c>
      <c r="W116">
        <v>4.2</v>
      </c>
      <c r="X116" t="s">
        <v>12</v>
      </c>
      <c r="Y116" t="s">
        <v>373</v>
      </c>
      <c r="Z116">
        <v>4.3499999999999996</v>
      </c>
      <c r="AA116" t="s">
        <v>12</v>
      </c>
      <c r="AB116" t="s">
        <v>373</v>
      </c>
      <c r="AC116">
        <v>4.2</v>
      </c>
      <c r="AD116" t="s">
        <v>12</v>
      </c>
      <c r="AE116" t="s">
        <v>373</v>
      </c>
      <c r="AF116">
        <v>4.17</v>
      </c>
      <c r="AG116" t="s">
        <v>12</v>
      </c>
      <c r="AH116" t="s">
        <v>373</v>
      </c>
      <c r="AI116">
        <v>4.21</v>
      </c>
      <c r="AJ116" t="s">
        <v>12</v>
      </c>
      <c r="AK116" t="s">
        <v>373</v>
      </c>
      <c r="AL116">
        <v>4.2</v>
      </c>
      <c r="AM116" t="s">
        <v>12</v>
      </c>
      <c r="AN116" t="s">
        <v>373</v>
      </c>
      <c r="AO116">
        <v>4.1100000000000003</v>
      </c>
      <c r="AP116" t="s">
        <v>12</v>
      </c>
      <c r="AQ116" t="s">
        <v>373</v>
      </c>
      <c r="AR116">
        <v>4.62</v>
      </c>
      <c r="AS116" t="s">
        <v>12</v>
      </c>
      <c r="AT116" t="s">
        <v>373</v>
      </c>
      <c r="AU116">
        <v>4.71</v>
      </c>
      <c r="AV116" t="s">
        <v>12</v>
      </c>
      <c r="AW116" t="s">
        <v>373</v>
      </c>
      <c r="AX116">
        <v>4.6900000000000004</v>
      </c>
      <c r="AY116" t="s">
        <v>12</v>
      </c>
      <c r="AZ116" t="s">
        <v>373</v>
      </c>
      <c r="BA116">
        <v>4.62</v>
      </c>
      <c r="BB116" t="s">
        <v>12</v>
      </c>
      <c r="BC116" t="s">
        <v>373</v>
      </c>
      <c r="BD116">
        <v>4.38</v>
      </c>
      <c r="BE116" t="s">
        <v>12</v>
      </c>
      <c r="BF116" t="s">
        <v>373</v>
      </c>
      <c r="BG116">
        <v>4.8099999999999996</v>
      </c>
      <c r="BH116" t="s">
        <v>12</v>
      </c>
      <c r="BI116" t="s">
        <v>373</v>
      </c>
      <c r="BJ116">
        <v>5.19</v>
      </c>
      <c r="BK116" t="s">
        <v>12</v>
      </c>
      <c r="BL116" t="s">
        <v>373</v>
      </c>
      <c r="BM116">
        <v>5.15</v>
      </c>
      <c r="BN116" t="s">
        <v>12</v>
      </c>
      <c r="BO116" t="s">
        <v>373</v>
      </c>
      <c r="BP116">
        <v>5.18</v>
      </c>
      <c r="BQ116" t="s">
        <v>12</v>
      </c>
      <c r="BR116" t="s">
        <v>373</v>
      </c>
      <c r="BS116">
        <v>5.28</v>
      </c>
      <c r="BT116" t="s">
        <v>12</v>
      </c>
      <c r="BU116" t="s">
        <v>373</v>
      </c>
      <c r="BV116">
        <v>5.56</v>
      </c>
      <c r="BW116" t="s">
        <v>12</v>
      </c>
      <c r="BX116" t="s">
        <v>373</v>
      </c>
      <c r="BY116">
        <v>5.74</v>
      </c>
      <c r="BZ116" t="s">
        <v>12</v>
      </c>
      <c r="CA116" t="s">
        <v>216</v>
      </c>
      <c r="CB116">
        <v>8.27</v>
      </c>
      <c r="CC116" t="s">
        <v>101</v>
      </c>
      <c r="CD116" t="s">
        <v>373</v>
      </c>
      <c r="CE116">
        <v>5.71</v>
      </c>
      <c r="CF116" t="s">
        <v>12</v>
      </c>
      <c r="CG116" t="s">
        <v>373</v>
      </c>
      <c r="CH116">
        <v>5.85</v>
      </c>
      <c r="CI116" t="s">
        <v>12</v>
      </c>
      <c r="CJ116" t="s">
        <v>373</v>
      </c>
      <c r="CK116">
        <v>5.86</v>
      </c>
      <c r="CL116" t="s">
        <v>12</v>
      </c>
      <c r="CM116" t="s">
        <v>373</v>
      </c>
      <c r="CN116">
        <v>5.85</v>
      </c>
      <c r="CO116" t="s">
        <v>12</v>
      </c>
      <c r="CP116" t="s">
        <v>373</v>
      </c>
      <c r="CQ116">
        <v>5.88</v>
      </c>
      <c r="CR116" t="s">
        <v>12</v>
      </c>
      <c r="CS116" t="s">
        <v>373</v>
      </c>
      <c r="CT116">
        <v>6.44</v>
      </c>
      <c r="CU116" t="s">
        <v>12</v>
      </c>
      <c r="CV116" t="s">
        <v>373</v>
      </c>
      <c r="CW116">
        <v>6.02</v>
      </c>
      <c r="CX116" t="s">
        <v>12</v>
      </c>
      <c r="CY116" t="s">
        <v>373</v>
      </c>
      <c r="CZ116">
        <v>5.77</v>
      </c>
      <c r="DA116" t="s">
        <v>12</v>
      </c>
      <c r="DB116" t="s">
        <v>373</v>
      </c>
      <c r="DC116">
        <v>6.02</v>
      </c>
      <c r="DD116" t="s">
        <v>12</v>
      </c>
      <c r="DE116" t="s">
        <v>373</v>
      </c>
      <c r="DF116">
        <v>6.08</v>
      </c>
      <c r="DG116" t="s">
        <v>12</v>
      </c>
      <c r="DH116" t="s">
        <v>373</v>
      </c>
      <c r="DI116">
        <v>5.77</v>
      </c>
      <c r="DJ116" t="s">
        <v>12</v>
      </c>
      <c r="DK116" t="s">
        <v>663</v>
      </c>
      <c r="DL116">
        <v>15</v>
      </c>
      <c r="DM116" t="s">
        <v>693</v>
      </c>
      <c r="DN116" t="s">
        <v>663</v>
      </c>
      <c r="DO116">
        <v>15</v>
      </c>
      <c r="DP116" t="s">
        <v>693</v>
      </c>
      <c r="DQ116" t="s">
        <v>663</v>
      </c>
      <c r="DR116">
        <v>15</v>
      </c>
      <c r="DS116" t="s">
        <v>693</v>
      </c>
      <c r="DT116" t="s">
        <v>428</v>
      </c>
      <c r="DU116">
        <v>26.75</v>
      </c>
      <c r="DV116" t="s">
        <v>105</v>
      </c>
      <c r="DW116" t="s">
        <v>428</v>
      </c>
      <c r="DX116">
        <v>27.1</v>
      </c>
      <c r="DY116" t="s">
        <v>105</v>
      </c>
      <c r="DZ116" t="s">
        <v>428</v>
      </c>
      <c r="EA116">
        <v>26.65</v>
      </c>
      <c r="EB116" t="s">
        <v>105</v>
      </c>
      <c r="EC116" t="s">
        <v>428</v>
      </c>
      <c r="ED116">
        <v>26.92</v>
      </c>
      <c r="EE116" t="s">
        <v>105</v>
      </c>
      <c r="EF116" t="s">
        <v>428</v>
      </c>
      <c r="EG116">
        <v>27.1</v>
      </c>
      <c r="EH116" t="s">
        <v>105</v>
      </c>
      <c r="EI116" t="s">
        <v>428</v>
      </c>
      <c r="EJ116">
        <v>27.74</v>
      </c>
      <c r="EK116" t="s">
        <v>105</v>
      </c>
    </row>
    <row r="117" spans="1:141">
      <c r="A117" t="s">
        <v>373</v>
      </c>
      <c r="B117">
        <v>4.4000000000000004</v>
      </c>
      <c r="C117" t="s">
        <v>12</v>
      </c>
      <c r="D117" t="s">
        <v>373</v>
      </c>
      <c r="E117">
        <v>4.32</v>
      </c>
      <c r="F117" t="s">
        <v>12</v>
      </c>
      <c r="G117" t="s">
        <v>663</v>
      </c>
      <c r="H117">
        <v>15</v>
      </c>
      <c r="I117" t="s">
        <v>693</v>
      </c>
      <c r="J117" t="s">
        <v>663</v>
      </c>
      <c r="K117">
        <v>15</v>
      </c>
      <c r="L117" t="s">
        <v>693</v>
      </c>
      <c r="M117" t="s">
        <v>663</v>
      </c>
      <c r="N117">
        <v>15</v>
      </c>
      <c r="O117" t="s">
        <v>693</v>
      </c>
      <c r="P117" t="s">
        <v>326</v>
      </c>
      <c r="Q117">
        <v>16.34</v>
      </c>
      <c r="R117" t="s">
        <v>44</v>
      </c>
      <c r="S117" t="s">
        <v>663</v>
      </c>
      <c r="T117">
        <v>15</v>
      </c>
      <c r="U117" t="s">
        <v>693</v>
      </c>
      <c r="V117" t="s">
        <v>663</v>
      </c>
      <c r="W117">
        <v>15</v>
      </c>
      <c r="X117" t="s">
        <v>693</v>
      </c>
      <c r="Y117" t="s">
        <v>663</v>
      </c>
      <c r="Z117">
        <v>15</v>
      </c>
      <c r="AA117" t="s">
        <v>693</v>
      </c>
      <c r="AB117" t="s">
        <v>663</v>
      </c>
      <c r="AC117">
        <v>15</v>
      </c>
      <c r="AD117" t="s">
        <v>693</v>
      </c>
      <c r="AE117" t="s">
        <v>663</v>
      </c>
      <c r="AF117">
        <v>15</v>
      </c>
      <c r="AG117" t="s">
        <v>693</v>
      </c>
      <c r="AH117" t="s">
        <v>663</v>
      </c>
      <c r="AI117">
        <v>15</v>
      </c>
      <c r="AJ117" t="s">
        <v>693</v>
      </c>
      <c r="AK117" t="s">
        <v>663</v>
      </c>
      <c r="AL117">
        <v>15</v>
      </c>
      <c r="AM117" t="s">
        <v>693</v>
      </c>
      <c r="AN117" t="s">
        <v>663</v>
      </c>
      <c r="AO117">
        <v>15</v>
      </c>
      <c r="AP117" t="s">
        <v>693</v>
      </c>
      <c r="AQ117" t="s">
        <v>663</v>
      </c>
      <c r="AR117">
        <v>15</v>
      </c>
      <c r="AS117" t="s">
        <v>693</v>
      </c>
      <c r="AT117" t="s">
        <v>663</v>
      </c>
      <c r="AU117">
        <v>15</v>
      </c>
      <c r="AV117" t="s">
        <v>693</v>
      </c>
      <c r="AW117" t="s">
        <v>663</v>
      </c>
      <c r="AX117">
        <v>15</v>
      </c>
      <c r="AY117" t="s">
        <v>693</v>
      </c>
      <c r="AZ117" t="s">
        <v>663</v>
      </c>
      <c r="BA117">
        <v>15</v>
      </c>
      <c r="BB117" t="s">
        <v>693</v>
      </c>
      <c r="BC117" t="s">
        <v>663</v>
      </c>
      <c r="BD117">
        <v>15</v>
      </c>
      <c r="BE117" t="s">
        <v>693</v>
      </c>
      <c r="BF117" t="s">
        <v>663</v>
      </c>
      <c r="BG117">
        <v>15</v>
      </c>
      <c r="BH117" t="s">
        <v>693</v>
      </c>
      <c r="BI117" t="s">
        <v>663</v>
      </c>
      <c r="BJ117">
        <v>15</v>
      </c>
      <c r="BK117" t="s">
        <v>693</v>
      </c>
      <c r="BL117" t="s">
        <v>663</v>
      </c>
      <c r="BM117">
        <v>15</v>
      </c>
      <c r="BN117" t="s">
        <v>693</v>
      </c>
      <c r="BO117" t="s">
        <v>663</v>
      </c>
      <c r="BP117">
        <v>15</v>
      </c>
      <c r="BQ117" t="s">
        <v>693</v>
      </c>
      <c r="BR117" t="s">
        <v>663</v>
      </c>
      <c r="BS117">
        <v>15</v>
      </c>
      <c r="BT117" t="s">
        <v>693</v>
      </c>
      <c r="BU117" t="s">
        <v>663</v>
      </c>
      <c r="BV117">
        <v>15</v>
      </c>
      <c r="BW117" t="s">
        <v>693</v>
      </c>
      <c r="BX117" t="s">
        <v>663</v>
      </c>
      <c r="BY117">
        <v>15</v>
      </c>
      <c r="BZ117" t="s">
        <v>693</v>
      </c>
      <c r="CA117" t="s">
        <v>326</v>
      </c>
      <c r="CB117">
        <v>16.7</v>
      </c>
      <c r="CC117" t="s">
        <v>44</v>
      </c>
      <c r="CD117" t="s">
        <v>663</v>
      </c>
      <c r="CE117">
        <v>15</v>
      </c>
      <c r="CF117" t="s">
        <v>693</v>
      </c>
      <c r="CG117" t="s">
        <v>663</v>
      </c>
      <c r="CH117">
        <v>15</v>
      </c>
      <c r="CI117" t="s">
        <v>693</v>
      </c>
      <c r="CJ117" t="s">
        <v>663</v>
      </c>
      <c r="CK117">
        <v>15</v>
      </c>
      <c r="CL117" t="s">
        <v>693</v>
      </c>
      <c r="CM117" t="s">
        <v>663</v>
      </c>
      <c r="CN117">
        <v>15</v>
      </c>
      <c r="CO117" t="s">
        <v>693</v>
      </c>
      <c r="CP117" t="s">
        <v>663</v>
      </c>
      <c r="CQ117">
        <v>15</v>
      </c>
      <c r="CR117" t="s">
        <v>693</v>
      </c>
      <c r="CS117" t="s">
        <v>663</v>
      </c>
      <c r="CT117">
        <v>15</v>
      </c>
      <c r="CU117" t="s">
        <v>693</v>
      </c>
      <c r="CV117" t="s">
        <v>663</v>
      </c>
      <c r="CW117">
        <v>15</v>
      </c>
      <c r="CX117" t="s">
        <v>693</v>
      </c>
      <c r="CY117" t="s">
        <v>663</v>
      </c>
      <c r="CZ117">
        <v>15</v>
      </c>
      <c r="DA117" t="s">
        <v>693</v>
      </c>
      <c r="DB117" t="s">
        <v>663</v>
      </c>
      <c r="DC117">
        <v>15</v>
      </c>
      <c r="DD117" t="s">
        <v>693</v>
      </c>
      <c r="DE117" t="s">
        <v>663</v>
      </c>
      <c r="DF117">
        <v>15</v>
      </c>
      <c r="DG117" t="s">
        <v>693</v>
      </c>
      <c r="DH117" t="s">
        <v>663</v>
      </c>
      <c r="DI117">
        <v>15</v>
      </c>
      <c r="DJ117" t="s">
        <v>693</v>
      </c>
      <c r="DK117" t="s">
        <v>368</v>
      </c>
      <c r="DL117">
        <v>0.42</v>
      </c>
      <c r="DM117" t="s">
        <v>83</v>
      </c>
      <c r="DN117" t="s">
        <v>368</v>
      </c>
      <c r="DO117">
        <v>0.41</v>
      </c>
      <c r="DP117" t="s">
        <v>83</v>
      </c>
      <c r="DQ117" t="s">
        <v>368</v>
      </c>
      <c r="DR117">
        <v>0.48</v>
      </c>
      <c r="DS117" t="s">
        <v>83</v>
      </c>
      <c r="DT117" t="s">
        <v>440</v>
      </c>
      <c r="DU117">
        <v>1.41</v>
      </c>
      <c r="DV117" t="s">
        <v>129</v>
      </c>
      <c r="DW117" t="s">
        <v>440</v>
      </c>
      <c r="DX117">
        <v>1.34</v>
      </c>
      <c r="DY117" t="s">
        <v>129</v>
      </c>
      <c r="DZ117" t="s">
        <v>440</v>
      </c>
      <c r="EA117">
        <v>1.44</v>
      </c>
      <c r="EB117" t="s">
        <v>129</v>
      </c>
      <c r="EC117" t="s">
        <v>440</v>
      </c>
      <c r="ED117">
        <v>1.44</v>
      </c>
      <c r="EE117" t="s">
        <v>129</v>
      </c>
      <c r="EF117" t="s">
        <v>440</v>
      </c>
      <c r="EG117">
        <v>1.35</v>
      </c>
      <c r="EH117" t="s">
        <v>129</v>
      </c>
      <c r="EI117" t="s">
        <v>440</v>
      </c>
      <c r="EJ117">
        <v>1.34</v>
      </c>
      <c r="EK117" t="s">
        <v>129</v>
      </c>
    </row>
    <row r="118" spans="1:141">
      <c r="A118" t="s">
        <v>663</v>
      </c>
      <c r="B118">
        <v>15</v>
      </c>
      <c r="C118" t="s">
        <v>693</v>
      </c>
      <c r="D118" t="s">
        <v>663</v>
      </c>
      <c r="E118">
        <v>15</v>
      </c>
      <c r="F118" t="s">
        <v>693</v>
      </c>
      <c r="G118" t="s">
        <v>368</v>
      </c>
      <c r="H118">
        <v>0.43</v>
      </c>
      <c r="I118" t="s">
        <v>83</v>
      </c>
      <c r="J118" t="s">
        <v>368</v>
      </c>
      <c r="K118">
        <v>0.43</v>
      </c>
      <c r="L118" t="s">
        <v>83</v>
      </c>
      <c r="M118" t="s">
        <v>368</v>
      </c>
      <c r="N118">
        <v>0.42</v>
      </c>
      <c r="O118" t="s">
        <v>83</v>
      </c>
      <c r="P118" t="s">
        <v>373</v>
      </c>
      <c r="Q118">
        <v>4.2</v>
      </c>
      <c r="R118" t="s">
        <v>12</v>
      </c>
      <c r="S118" t="s">
        <v>368</v>
      </c>
      <c r="T118">
        <v>0.41</v>
      </c>
      <c r="U118" t="s">
        <v>83</v>
      </c>
      <c r="V118" t="s">
        <v>368</v>
      </c>
      <c r="W118">
        <v>0.4</v>
      </c>
      <c r="X118" t="s">
        <v>83</v>
      </c>
      <c r="Y118" t="s">
        <v>368</v>
      </c>
      <c r="Z118">
        <v>0.42</v>
      </c>
      <c r="AA118" t="s">
        <v>83</v>
      </c>
      <c r="AB118" t="s">
        <v>368</v>
      </c>
      <c r="AC118">
        <v>0.43</v>
      </c>
      <c r="AD118" t="s">
        <v>83</v>
      </c>
      <c r="AE118" t="s">
        <v>368</v>
      </c>
      <c r="AF118">
        <v>0.42</v>
      </c>
      <c r="AG118" t="s">
        <v>83</v>
      </c>
      <c r="AH118" t="s">
        <v>368</v>
      </c>
      <c r="AI118">
        <v>0.42</v>
      </c>
      <c r="AJ118" t="s">
        <v>83</v>
      </c>
      <c r="AK118" t="s">
        <v>368</v>
      </c>
      <c r="AL118">
        <v>0.41</v>
      </c>
      <c r="AM118" t="s">
        <v>83</v>
      </c>
      <c r="AN118" t="s">
        <v>368</v>
      </c>
      <c r="AO118">
        <v>0.4</v>
      </c>
      <c r="AP118" t="s">
        <v>83</v>
      </c>
      <c r="AQ118" t="s">
        <v>368</v>
      </c>
      <c r="AR118">
        <v>0.41</v>
      </c>
      <c r="AS118" t="s">
        <v>83</v>
      </c>
      <c r="AT118" t="s">
        <v>368</v>
      </c>
      <c r="AU118">
        <v>0.42</v>
      </c>
      <c r="AV118" t="s">
        <v>83</v>
      </c>
      <c r="AW118" t="s">
        <v>368</v>
      </c>
      <c r="AX118">
        <v>0.44</v>
      </c>
      <c r="AY118" t="s">
        <v>83</v>
      </c>
      <c r="AZ118" t="s">
        <v>368</v>
      </c>
      <c r="BA118">
        <v>0.44</v>
      </c>
      <c r="BB118" t="s">
        <v>83</v>
      </c>
      <c r="BC118" t="s">
        <v>368</v>
      </c>
      <c r="BD118">
        <v>0.42</v>
      </c>
      <c r="BE118" t="s">
        <v>83</v>
      </c>
      <c r="BF118" t="s">
        <v>368</v>
      </c>
      <c r="BG118">
        <v>0.46</v>
      </c>
      <c r="BH118" t="s">
        <v>83</v>
      </c>
      <c r="BI118" t="s">
        <v>368</v>
      </c>
      <c r="BJ118">
        <v>0.45</v>
      </c>
      <c r="BK118" t="s">
        <v>83</v>
      </c>
      <c r="BL118" t="s">
        <v>368</v>
      </c>
      <c r="BM118">
        <v>0.44</v>
      </c>
      <c r="BN118" t="s">
        <v>83</v>
      </c>
      <c r="BO118" t="s">
        <v>368</v>
      </c>
      <c r="BP118">
        <v>0.43</v>
      </c>
      <c r="BQ118" t="s">
        <v>83</v>
      </c>
      <c r="BR118" t="s">
        <v>368</v>
      </c>
      <c r="BS118">
        <v>0.44</v>
      </c>
      <c r="BT118" t="s">
        <v>83</v>
      </c>
      <c r="BU118" t="s">
        <v>368</v>
      </c>
      <c r="BV118">
        <v>0.43</v>
      </c>
      <c r="BW118" t="s">
        <v>83</v>
      </c>
      <c r="BX118" t="s">
        <v>368</v>
      </c>
      <c r="BY118">
        <v>0.43</v>
      </c>
      <c r="BZ118" t="s">
        <v>83</v>
      </c>
      <c r="CA118" t="s">
        <v>373</v>
      </c>
      <c r="CB118">
        <v>5.65</v>
      </c>
      <c r="CC118" t="s">
        <v>12</v>
      </c>
      <c r="CD118" t="s">
        <v>368</v>
      </c>
      <c r="CE118">
        <v>0.43</v>
      </c>
      <c r="CF118" t="s">
        <v>83</v>
      </c>
      <c r="CG118" t="s">
        <v>368</v>
      </c>
      <c r="CH118">
        <v>0.45</v>
      </c>
      <c r="CI118" t="s">
        <v>83</v>
      </c>
      <c r="CJ118" t="s">
        <v>368</v>
      </c>
      <c r="CK118">
        <v>0.45</v>
      </c>
      <c r="CL118" t="s">
        <v>83</v>
      </c>
      <c r="CM118" t="s">
        <v>368</v>
      </c>
      <c r="CN118">
        <v>0.44</v>
      </c>
      <c r="CO118" t="s">
        <v>83</v>
      </c>
      <c r="CP118" t="s">
        <v>368</v>
      </c>
      <c r="CQ118">
        <v>0.43</v>
      </c>
      <c r="CR118" t="s">
        <v>83</v>
      </c>
      <c r="CS118" t="s">
        <v>368</v>
      </c>
      <c r="CT118">
        <v>0.44</v>
      </c>
      <c r="CU118" t="s">
        <v>83</v>
      </c>
      <c r="CV118" t="s">
        <v>368</v>
      </c>
      <c r="CW118">
        <v>0.42</v>
      </c>
      <c r="CX118" t="s">
        <v>83</v>
      </c>
      <c r="CY118" t="s">
        <v>368</v>
      </c>
      <c r="CZ118">
        <v>0.43</v>
      </c>
      <c r="DA118" t="s">
        <v>83</v>
      </c>
      <c r="DB118" t="s">
        <v>368</v>
      </c>
      <c r="DC118">
        <v>0.43</v>
      </c>
      <c r="DD118" t="s">
        <v>83</v>
      </c>
      <c r="DE118" t="s">
        <v>368</v>
      </c>
      <c r="DF118">
        <v>0.43</v>
      </c>
      <c r="DG118" t="s">
        <v>83</v>
      </c>
      <c r="DH118" t="s">
        <v>368</v>
      </c>
      <c r="DI118">
        <v>0.43</v>
      </c>
      <c r="DJ118" t="s">
        <v>83</v>
      </c>
      <c r="DK118" t="s">
        <v>973</v>
      </c>
      <c r="DL118">
        <v>1.0900000000000001</v>
      </c>
      <c r="DM118" t="s">
        <v>974</v>
      </c>
      <c r="DN118" t="s">
        <v>973</v>
      </c>
      <c r="DO118">
        <v>1.1299999999999999</v>
      </c>
      <c r="DP118" t="s">
        <v>974</v>
      </c>
      <c r="DQ118" t="s">
        <v>973</v>
      </c>
      <c r="DR118">
        <v>1.27</v>
      </c>
      <c r="DS118" t="s">
        <v>974</v>
      </c>
      <c r="DT118" t="s">
        <v>438</v>
      </c>
      <c r="DU118">
        <v>3.54</v>
      </c>
      <c r="DV118" t="s">
        <v>137</v>
      </c>
      <c r="DW118" t="s">
        <v>438</v>
      </c>
      <c r="DX118">
        <v>3.54</v>
      </c>
      <c r="DY118" t="s">
        <v>137</v>
      </c>
      <c r="DZ118" t="s">
        <v>438</v>
      </c>
      <c r="EA118">
        <v>3.54</v>
      </c>
      <c r="EB118" t="s">
        <v>137</v>
      </c>
      <c r="EC118" t="s">
        <v>438</v>
      </c>
      <c r="ED118">
        <v>3.54</v>
      </c>
      <c r="EE118" t="s">
        <v>137</v>
      </c>
      <c r="EF118" t="s">
        <v>438</v>
      </c>
      <c r="EG118">
        <v>3.37</v>
      </c>
      <c r="EH118" t="s">
        <v>137</v>
      </c>
      <c r="EI118" t="s">
        <v>438</v>
      </c>
      <c r="EJ118">
        <v>3.37</v>
      </c>
      <c r="EK118" t="s">
        <v>137</v>
      </c>
    </row>
    <row r="119" spans="1:141">
      <c r="A119" t="s">
        <v>368</v>
      </c>
      <c r="B119">
        <v>0.45</v>
      </c>
      <c r="C119" t="s">
        <v>83</v>
      </c>
      <c r="D119" t="s">
        <v>368</v>
      </c>
      <c r="E119">
        <v>0.44</v>
      </c>
      <c r="F119" t="s">
        <v>83</v>
      </c>
      <c r="G119" t="s">
        <v>428</v>
      </c>
      <c r="H119">
        <v>25.08</v>
      </c>
      <c r="I119" t="s">
        <v>105</v>
      </c>
      <c r="J119" t="s">
        <v>428</v>
      </c>
      <c r="K119">
        <v>25.24</v>
      </c>
      <c r="L119" t="s">
        <v>105</v>
      </c>
      <c r="M119" t="s">
        <v>428</v>
      </c>
      <c r="N119">
        <v>24.69</v>
      </c>
      <c r="O119" t="s">
        <v>105</v>
      </c>
      <c r="P119" t="s">
        <v>663</v>
      </c>
      <c r="Q119">
        <v>15</v>
      </c>
      <c r="R119" t="s">
        <v>693</v>
      </c>
      <c r="S119" t="s">
        <v>428</v>
      </c>
      <c r="T119">
        <v>24.99</v>
      </c>
      <c r="U119" t="s">
        <v>105</v>
      </c>
      <c r="V119" t="s">
        <v>428</v>
      </c>
      <c r="W119">
        <v>24.09</v>
      </c>
      <c r="X119" t="s">
        <v>105</v>
      </c>
      <c r="Y119" t="s">
        <v>428</v>
      </c>
      <c r="Z119">
        <v>26</v>
      </c>
      <c r="AA119" t="s">
        <v>105</v>
      </c>
      <c r="AB119" t="s">
        <v>428</v>
      </c>
      <c r="AC119">
        <v>32</v>
      </c>
      <c r="AD119" t="s">
        <v>105</v>
      </c>
      <c r="AE119" t="s">
        <v>428</v>
      </c>
      <c r="AF119">
        <v>31.44</v>
      </c>
      <c r="AG119" t="s">
        <v>105</v>
      </c>
      <c r="AH119" t="s">
        <v>428</v>
      </c>
      <c r="AI119">
        <v>33.31</v>
      </c>
      <c r="AJ119" t="s">
        <v>105</v>
      </c>
      <c r="AK119" t="s">
        <v>428</v>
      </c>
      <c r="AL119">
        <v>33.82</v>
      </c>
      <c r="AM119" t="s">
        <v>105</v>
      </c>
      <c r="AN119" t="s">
        <v>428</v>
      </c>
      <c r="AO119">
        <v>30.83</v>
      </c>
      <c r="AP119" t="s">
        <v>105</v>
      </c>
      <c r="AQ119" t="s">
        <v>428</v>
      </c>
      <c r="AR119">
        <v>31.99</v>
      </c>
      <c r="AS119" t="s">
        <v>105</v>
      </c>
      <c r="AT119" t="s">
        <v>428</v>
      </c>
      <c r="AU119">
        <v>33.31</v>
      </c>
      <c r="AV119" t="s">
        <v>105</v>
      </c>
      <c r="AW119" t="s">
        <v>428</v>
      </c>
      <c r="AX119">
        <v>30.83</v>
      </c>
      <c r="AY119" t="s">
        <v>105</v>
      </c>
      <c r="AZ119" t="s">
        <v>428</v>
      </c>
      <c r="BA119">
        <v>29.98</v>
      </c>
      <c r="BB119" t="s">
        <v>105</v>
      </c>
      <c r="BC119" t="s">
        <v>428</v>
      </c>
      <c r="BD119">
        <v>27.83</v>
      </c>
      <c r="BE119" t="s">
        <v>105</v>
      </c>
      <c r="BF119" t="s">
        <v>428</v>
      </c>
      <c r="BG119">
        <v>27.11</v>
      </c>
      <c r="BH119" t="s">
        <v>105</v>
      </c>
      <c r="BI119" t="s">
        <v>428</v>
      </c>
      <c r="BJ119">
        <v>27.12</v>
      </c>
      <c r="BK119" t="s">
        <v>105</v>
      </c>
      <c r="BL119" t="s">
        <v>973</v>
      </c>
      <c r="BM119">
        <v>1.41</v>
      </c>
      <c r="BN119" t="s">
        <v>974</v>
      </c>
      <c r="BO119" t="s">
        <v>973</v>
      </c>
      <c r="BP119">
        <v>1.54</v>
      </c>
      <c r="BQ119" t="s">
        <v>974</v>
      </c>
      <c r="BR119" t="s">
        <v>973</v>
      </c>
      <c r="BS119">
        <v>1.42</v>
      </c>
      <c r="BT119" t="s">
        <v>974</v>
      </c>
      <c r="BU119" t="s">
        <v>973</v>
      </c>
      <c r="BV119">
        <v>1.41</v>
      </c>
      <c r="BW119" t="s">
        <v>974</v>
      </c>
      <c r="BX119" t="s">
        <v>973</v>
      </c>
      <c r="BY119">
        <v>1.36</v>
      </c>
      <c r="BZ119" t="s">
        <v>974</v>
      </c>
      <c r="CA119" t="s">
        <v>663</v>
      </c>
      <c r="CB119">
        <v>15</v>
      </c>
      <c r="CC119" t="s">
        <v>693</v>
      </c>
      <c r="CD119" t="s">
        <v>973</v>
      </c>
      <c r="CE119">
        <v>1.32</v>
      </c>
      <c r="CF119" t="s">
        <v>974</v>
      </c>
      <c r="CG119" t="s">
        <v>973</v>
      </c>
      <c r="CH119">
        <v>1.33</v>
      </c>
      <c r="CI119" t="s">
        <v>974</v>
      </c>
      <c r="CJ119" t="s">
        <v>973</v>
      </c>
      <c r="CK119">
        <v>1.28</v>
      </c>
      <c r="CL119" t="s">
        <v>974</v>
      </c>
      <c r="CM119" t="s">
        <v>973</v>
      </c>
      <c r="CN119">
        <v>1.25</v>
      </c>
      <c r="CO119" t="s">
        <v>974</v>
      </c>
      <c r="CP119" t="s">
        <v>973</v>
      </c>
      <c r="CQ119">
        <v>1.18</v>
      </c>
      <c r="CR119" t="s">
        <v>974</v>
      </c>
      <c r="CS119" t="s">
        <v>973</v>
      </c>
      <c r="CT119">
        <v>1.17</v>
      </c>
      <c r="CU119" t="s">
        <v>974</v>
      </c>
      <c r="CV119" t="s">
        <v>973</v>
      </c>
      <c r="CW119">
        <v>1.1299999999999999</v>
      </c>
      <c r="CX119" t="s">
        <v>974</v>
      </c>
      <c r="CY119" t="s">
        <v>973</v>
      </c>
      <c r="CZ119">
        <v>1.1200000000000001</v>
      </c>
      <c r="DA119" t="s">
        <v>974</v>
      </c>
      <c r="DB119" t="s">
        <v>973</v>
      </c>
      <c r="DC119">
        <v>1.1000000000000001</v>
      </c>
      <c r="DD119" t="s">
        <v>974</v>
      </c>
      <c r="DE119" t="s">
        <v>973</v>
      </c>
      <c r="DF119">
        <v>1.1200000000000001</v>
      </c>
      <c r="DG119" t="s">
        <v>974</v>
      </c>
      <c r="DH119" t="s">
        <v>973</v>
      </c>
      <c r="DI119">
        <v>1.1399999999999999</v>
      </c>
      <c r="DJ119" t="s">
        <v>974</v>
      </c>
      <c r="DK119" t="s">
        <v>428</v>
      </c>
      <c r="DL119">
        <v>26.35</v>
      </c>
      <c r="DM119" t="s">
        <v>105</v>
      </c>
      <c r="DN119" t="s">
        <v>428</v>
      </c>
      <c r="DO119">
        <v>26</v>
      </c>
      <c r="DP119" t="s">
        <v>105</v>
      </c>
      <c r="DQ119" t="s">
        <v>428</v>
      </c>
      <c r="DR119">
        <v>27.7</v>
      </c>
      <c r="DS119" t="s">
        <v>105</v>
      </c>
      <c r="DT119" t="s">
        <v>614</v>
      </c>
      <c r="DU119">
        <v>44</v>
      </c>
      <c r="DV119" t="s">
        <v>635</v>
      </c>
      <c r="DW119" t="s">
        <v>614</v>
      </c>
      <c r="DX119">
        <v>44</v>
      </c>
      <c r="DY119" t="s">
        <v>635</v>
      </c>
      <c r="DZ119" t="s">
        <v>614</v>
      </c>
      <c r="EA119">
        <v>44</v>
      </c>
      <c r="EB119" t="s">
        <v>635</v>
      </c>
      <c r="EC119" t="s">
        <v>614</v>
      </c>
      <c r="ED119">
        <v>44</v>
      </c>
      <c r="EE119" t="s">
        <v>635</v>
      </c>
      <c r="EF119" t="s">
        <v>614</v>
      </c>
      <c r="EG119">
        <v>44</v>
      </c>
      <c r="EH119" t="s">
        <v>635</v>
      </c>
      <c r="EI119" t="s">
        <v>614</v>
      </c>
      <c r="EJ119">
        <v>44</v>
      </c>
      <c r="EK119" t="s">
        <v>635</v>
      </c>
    </row>
    <row r="120" spans="1:141">
      <c r="A120" t="s">
        <v>428</v>
      </c>
      <c r="B120">
        <v>25.67</v>
      </c>
      <c r="C120" t="s">
        <v>105</v>
      </c>
      <c r="D120" t="s">
        <v>428</v>
      </c>
      <c r="E120">
        <v>24.98</v>
      </c>
      <c r="F120" t="s">
        <v>105</v>
      </c>
      <c r="G120" t="s">
        <v>440</v>
      </c>
      <c r="H120">
        <v>1.01</v>
      </c>
      <c r="I120" t="s">
        <v>129</v>
      </c>
      <c r="J120" t="s">
        <v>440</v>
      </c>
      <c r="K120">
        <v>1.04</v>
      </c>
      <c r="L120" t="s">
        <v>129</v>
      </c>
      <c r="M120" t="s">
        <v>440</v>
      </c>
      <c r="N120">
        <v>1.02</v>
      </c>
      <c r="O120" t="s">
        <v>129</v>
      </c>
      <c r="P120" t="s">
        <v>368</v>
      </c>
      <c r="Q120">
        <v>0.42</v>
      </c>
      <c r="R120" t="s">
        <v>83</v>
      </c>
      <c r="S120" t="s">
        <v>440</v>
      </c>
      <c r="T120">
        <v>1.04</v>
      </c>
      <c r="U120" t="s">
        <v>129</v>
      </c>
      <c r="V120" t="s">
        <v>440</v>
      </c>
      <c r="W120">
        <v>1.02</v>
      </c>
      <c r="X120" t="s">
        <v>129</v>
      </c>
      <c r="Y120" t="s">
        <v>440</v>
      </c>
      <c r="Z120">
        <v>1.03</v>
      </c>
      <c r="AA120" t="s">
        <v>129</v>
      </c>
      <c r="AB120" t="s">
        <v>440</v>
      </c>
      <c r="AC120">
        <v>1.02</v>
      </c>
      <c r="AD120" t="s">
        <v>129</v>
      </c>
      <c r="AE120" t="s">
        <v>440</v>
      </c>
      <c r="AF120">
        <v>1.02</v>
      </c>
      <c r="AG120" t="s">
        <v>129</v>
      </c>
      <c r="AH120" t="s">
        <v>440</v>
      </c>
      <c r="AI120">
        <v>1.02</v>
      </c>
      <c r="AJ120" t="s">
        <v>129</v>
      </c>
      <c r="AK120" t="s">
        <v>440</v>
      </c>
      <c r="AL120">
        <v>1.03</v>
      </c>
      <c r="AM120" t="s">
        <v>129</v>
      </c>
      <c r="AN120" t="s">
        <v>440</v>
      </c>
      <c r="AO120">
        <v>1.07</v>
      </c>
      <c r="AP120" t="s">
        <v>129</v>
      </c>
      <c r="AQ120" t="s">
        <v>440</v>
      </c>
      <c r="AR120">
        <v>1.0900000000000001</v>
      </c>
      <c r="AS120" t="s">
        <v>129</v>
      </c>
      <c r="AT120" t="s">
        <v>440</v>
      </c>
      <c r="AU120">
        <v>1.07</v>
      </c>
      <c r="AV120" t="s">
        <v>129</v>
      </c>
      <c r="AW120" t="s">
        <v>440</v>
      </c>
      <c r="AX120">
        <v>1.03</v>
      </c>
      <c r="AY120" t="s">
        <v>129</v>
      </c>
      <c r="AZ120" t="s">
        <v>440</v>
      </c>
      <c r="BA120">
        <v>1.08</v>
      </c>
      <c r="BB120" t="s">
        <v>129</v>
      </c>
      <c r="BC120" t="s">
        <v>440</v>
      </c>
      <c r="BD120">
        <v>1.04</v>
      </c>
      <c r="BE120" t="s">
        <v>129</v>
      </c>
      <c r="BF120" t="s">
        <v>440</v>
      </c>
      <c r="BG120">
        <v>1</v>
      </c>
      <c r="BH120" t="s">
        <v>129</v>
      </c>
      <c r="BI120" t="s">
        <v>440</v>
      </c>
      <c r="BJ120">
        <v>1</v>
      </c>
      <c r="BK120" t="s">
        <v>129</v>
      </c>
      <c r="BL120" t="s">
        <v>428</v>
      </c>
      <c r="BM120">
        <v>26.05</v>
      </c>
      <c r="BN120" t="s">
        <v>105</v>
      </c>
      <c r="BO120" t="s">
        <v>428</v>
      </c>
      <c r="BP120">
        <v>25.2</v>
      </c>
      <c r="BQ120" t="s">
        <v>105</v>
      </c>
      <c r="BR120" t="s">
        <v>428</v>
      </c>
      <c r="BS120">
        <v>25.42</v>
      </c>
      <c r="BT120" t="s">
        <v>105</v>
      </c>
      <c r="BU120" t="s">
        <v>428</v>
      </c>
      <c r="BV120">
        <v>25.61</v>
      </c>
      <c r="BW120" t="s">
        <v>105</v>
      </c>
      <c r="BX120" t="s">
        <v>428</v>
      </c>
      <c r="BY120">
        <v>26.4</v>
      </c>
      <c r="BZ120" t="s">
        <v>105</v>
      </c>
      <c r="CA120" t="s">
        <v>368</v>
      </c>
      <c r="CB120">
        <v>0.43</v>
      </c>
      <c r="CC120" t="s">
        <v>83</v>
      </c>
      <c r="CD120" t="s">
        <v>428</v>
      </c>
      <c r="CE120">
        <v>25.8</v>
      </c>
      <c r="CF120" t="s">
        <v>105</v>
      </c>
      <c r="CG120" t="s">
        <v>428</v>
      </c>
      <c r="CH120">
        <v>25.63</v>
      </c>
      <c r="CI120" t="s">
        <v>105</v>
      </c>
      <c r="CJ120" t="s">
        <v>428</v>
      </c>
      <c r="CK120">
        <v>25.4</v>
      </c>
      <c r="CL120" t="s">
        <v>105</v>
      </c>
      <c r="CM120" t="s">
        <v>428</v>
      </c>
      <c r="CN120">
        <v>25.37</v>
      </c>
      <c r="CO120" t="s">
        <v>105</v>
      </c>
      <c r="CP120" t="s">
        <v>428</v>
      </c>
      <c r="CQ120">
        <v>26.52</v>
      </c>
      <c r="CR120" t="s">
        <v>105</v>
      </c>
      <c r="CS120" t="s">
        <v>428</v>
      </c>
      <c r="CT120">
        <v>26.5</v>
      </c>
      <c r="CU120" t="s">
        <v>105</v>
      </c>
      <c r="CV120" t="s">
        <v>428</v>
      </c>
      <c r="CW120">
        <v>26.9</v>
      </c>
      <c r="CX120" t="s">
        <v>105</v>
      </c>
      <c r="CY120" t="s">
        <v>428</v>
      </c>
      <c r="CZ120">
        <v>26.53</v>
      </c>
      <c r="DA120" t="s">
        <v>105</v>
      </c>
      <c r="DB120" t="s">
        <v>428</v>
      </c>
      <c r="DC120">
        <v>26.59</v>
      </c>
      <c r="DD120" t="s">
        <v>105</v>
      </c>
      <c r="DE120" t="s">
        <v>428</v>
      </c>
      <c r="DF120">
        <v>26.34</v>
      </c>
      <c r="DG120" t="s">
        <v>105</v>
      </c>
      <c r="DH120" t="s">
        <v>428</v>
      </c>
      <c r="DI120">
        <v>27.26</v>
      </c>
      <c r="DJ120" t="s">
        <v>105</v>
      </c>
      <c r="DK120" t="s">
        <v>440</v>
      </c>
      <c r="DL120">
        <v>1.04</v>
      </c>
      <c r="DM120" t="s">
        <v>129</v>
      </c>
      <c r="DN120" t="s">
        <v>440</v>
      </c>
      <c r="DO120">
        <v>1.03</v>
      </c>
      <c r="DP120" t="s">
        <v>129</v>
      </c>
      <c r="DQ120" t="s">
        <v>440</v>
      </c>
      <c r="DR120">
        <v>1.32</v>
      </c>
      <c r="DS120" t="s">
        <v>129</v>
      </c>
      <c r="DT120" t="s">
        <v>352</v>
      </c>
      <c r="DU120">
        <v>13</v>
      </c>
      <c r="DV120" t="s">
        <v>140</v>
      </c>
      <c r="DW120" t="s">
        <v>352</v>
      </c>
      <c r="DX120">
        <v>13.24</v>
      </c>
      <c r="DY120" t="s">
        <v>140</v>
      </c>
      <c r="DZ120" t="s">
        <v>352</v>
      </c>
      <c r="EA120">
        <v>13.02</v>
      </c>
      <c r="EB120" t="s">
        <v>140</v>
      </c>
      <c r="EC120" t="s">
        <v>352</v>
      </c>
      <c r="ED120">
        <v>12.9</v>
      </c>
      <c r="EE120" t="s">
        <v>140</v>
      </c>
      <c r="EF120" t="s">
        <v>352</v>
      </c>
      <c r="EG120">
        <v>12.76</v>
      </c>
      <c r="EH120" t="s">
        <v>140</v>
      </c>
      <c r="EI120" t="s">
        <v>352</v>
      </c>
      <c r="EJ120">
        <v>13.11</v>
      </c>
      <c r="EK120" t="s">
        <v>140</v>
      </c>
    </row>
    <row r="121" spans="1:141">
      <c r="A121" t="s">
        <v>440</v>
      </c>
      <c r="B121">
        <v>1.03</v>
      </c>
      <c r="C121" t="s">
        <v>129</v>
      </c>
      <c r="D121" t="s">
        <v>440</v>
      </c>
      <c r="E121">
        <v>1</v>
      </c>
      <c r="F121" t="s">
        <v>129</v>
      </c>
      <c r="G121" t="s">
        <v>438</v>
      </c>
      <c r="H121">
        <v>1.1299999999999999</v>
      </c>
      <c r="I121" t="s">
        <v>137</v>
      </c>
      <c r="J121" t="s">
        <v>438</v>
      </c>
      <c r="K121">
        <v>1.1100000000000001</v>
      </c>
      <c r="L121" t="s">
        <v>137</v>
      </c>
      <c r="M121" t="s">
        <v>438</v>
      </c>
      <c r="N121">
        <v>1.1000000000000001</v>
      </c>
      <c r="O121" t="s">
        <v>137</v>
      </c>
      <c r="P121" t="s">
        <v>428</v>
      </c>
      <c r="Q121">
        <v>24.7</v>
      </c>
      <c r="R121" t="s">
        <v>105</v>
      </c>
      <c r="S121" t="s">
        <v>438</v>
      </c>
      <c r="T121">
        <v>1.1000000000000001</v>
      </c>
      <c r="U121" t="s">
        <v>137</v>
      </c>
      <c r="V121" t="s">
        <v>438</v>
      </c>
      <c r="W121">
        <v>1.1000000000000001</v>
      </c>
      <c r="X121" t="s">
        <v>137</v>
      </c>
      <c r="Y121" t="s">
        <v>438</v>
      </c>
      <c r="Z121">
        <v>1.1000000000000001</v>
      </c>
      <c r="AA121" t="s">
        <v>137</v>
      </c>
      <c r="AB121" t="s">
        <v>438</v>
      </c>
      <c r="AC121">
        <v>1.1000000000000001</v>
      </c>
      <c r="AD121" t="s">
        <v>137</v>
      </c>
      <c r="AE121" t="s">
        <v>438</v>
      </c>
      <c r="AF121">
        <v>1.1000000000000001</v>
      </c>
      <c r="AG121" t="s">
        <v>137</v>
      </c>
      <c r="AH121" t="s">
        <v>438</v>
      </c>
      <c r="AI121">
        <v>1.1000000000000001</v>
      </c>
      <c r="AJ121" t="s">
        <v>137</v>
      </c>
      <c r="AK121" t="s">
        <v>438</v>
      </c>
      <c r="AL121">
        <v>1.1000000000000001</v>
      </c>
      <c r="AM121" t="s">
        <v>137</v>
      </c>
      <c r="AN121" t="s">
        <v>438</v>
      </c>
      <c r="AO121">
        <v>1.1000000000000001</v>
      </c>
      <c r="AP121" t="s">
        <v>137</v>
      </c>
      <c r="AQ121" t="s">
        <v>438</v>
      </c>
      <c r="AR121">
        <v>1.1000000000000001</v>
      </c>
      <c r="AS121" t="s">
        <v>137</v>
      </c>
      <c r="AT121" t="s">
        <v>438</v>
      </c>
      <c r="AU121">
        <v>1.1000000000000001</v>
      </c>
      <c r="AV121" t="s">
        <v>137</v>
      </c>
      <c r="AW121" t="s">
        <v>438</v>
      </c>
      <c r="AX121">
        <v>1.08</v>
      </c>
      <c r="AY121" t="s">
        <v>137</v>
      </c>
      <c r="AZ121" t="s">
        <v>438</v>
      </c>
      <c r="BA121">
        <v>1.05</v>
      </c>
      <c r="BB121" t="s">
        <v>137</v>
      </c>
      <c r="BC121" t="s">
        <v>438</v>
      </c>
      <c r="BD121">
        <v>1.05</v>
      </c>
      <c r="BE121" t="s">
        <v>137</v>
      </c>
      <c r="BF121" t="s">
        <v>438</v>
      </c>
      <c r="BG121">
        <v>1</v>
      </c>
      <c r="BH121" t="s">
        <v>137</v>
      </c>
      <c r="BI121" t="s">
        <v>438</v>
      </c>
      <c r="BJ121">
        <v>1.05</v>
      </c>
      <c r="BK121" t="s">
        <v>137</v>
      </c>
      <c r="BL121" t="s">
        <v>440</v>
      </c>
      <c r="BM121">
        <v>0.96</v>
      </c>
      <c r="BN121" t="s">
        <v>129</v>
      </c>
      <c r="BO121" t="s">
        <v>440</v>
      </c>
      <c r="BP121">
        <v>0.97</v>
      </c>
      <c r="BQ121" t="s">
        <v>129</v>
      </c>
      <c r="BR121" t="s">
        <v>440</v>
      </c>
      <c r="BS121">
        <v>0.99</v>
      </c>
      <c r="BT121" t="s">
        <v>129</v>
      </c>
      <c r="BU121" t="s">
        <v>440</v>
      </c>
      <c r="BV121">
        <v>1.01</v>
      </c>
      <c r="BW121" t="s">
        <v>129</v>
      </c>
      <c r="BX121" t="s">
        <v>440</v>
      </c>
      <c r="BY121">
        <v>0.98</v>
      </c>
      <c r="BZ121" t="s">
        <v>129</v>
      </c>
      <c r="CA121" t="s">
        <v>973</v>
      </c>
      <c r="CB121">
        <v>1.32</v>
      </c>
      <c r="CC121" t="s">
        <v>974</v>
      </c>
      <c r="CD121" t="s">
        <v>440</v>
      </c>
      <c r="CE121">
        <v>1.02</v>
      </c>
      <c r="CF121" t="s">
        <v>129</v>
      </c>
      <c r="CG121" t="s">
        <v>440</v>
      </c>
      <c r="CH121">
        <v>1</v>
      </c>
      <c r="CI121" t="s">
        <v>129</v>
      </c>
      <c r="CJ121" t="s">
        <v>440</v>
      </c>
      <c r="CK121">
        <v>0.97</v>
      </c>
      <c r="CL121" t="s">
        <v>129</v>
      </c>
      <c r="CM121" t="s">
        <v>440</v>
      </c>
      <c r="CN121">
        <v>0.97</v>
      </c>
      <c r="CO121" t="s">
        <v>129</v>
      </c>
      <c r="CP121" t="s">
        <v>440</v>
      </c>
      <c r="CQ121">
        <v>1.01</v>
      </c>
      <c r="CR121" t="s">
        <v>129</v>
      </c>
      <c r="CS121" t="s">
        <v>440</v>
      </c>
      <c r="CT121">
        <v>1</v>
      </c>
      <c r="CU121" t="s">
        <v>129</v>
      </c>
      <c r="CV121" t="s">
        <v>440</v>
      </c>
      <c r="CW121">
        <v>1.03</v>
      </c>
      <c r="CX121" t="s">
        <v>129</v>
      </c>
      <c r="CY121" t="s">
        <v>440</v>
      </c>
      <c r="CZ121">
        <v>1.03</v>
      </c>
      <c r="DA121" t="s">
        <v>129</v>
      </c>
      <c r="DB121" t="s">
        <v>440</v>
      </c>
      <c r="DC121">
        <v>1.07</v>
      </c>
      <c r="DD121" t="s">
        <v>129</v>
      </c>
      <c r="DE121" t="s">
        <v>440</v>
      </c>
      <c r="DF121">
        <v>1.06</v>
      </c>
      <c r="DG121" t="s">
        <v>129</v>
      </c>
      <c r="DH121" t="s">
        <v>440</v>
      </c>
      <c r="DI121">
        <v>1.03</v>
      </c>
      <c r="DJ121" t="s">
        <v>129</v>
      </c>
      <c r="DK121" t="s">
        <v>438</v>
      </c>
      <c r="DL121">
        <v>2.12</v>
      </c>
      <c r="DM121" t="s">
        <v>137</v>
      </c>
      <c r="DN121" t="s">
        <v>438</v>
      </c>
      <c r="DO121">
        <v>2.2400000000000002</v>
      </c>
      <c r="DP121" t="s">
        <v>137</v>
      </c>
      <c r="DQ121" t="s">
        <v>438</v>
      </c>
      <c r="DR121">
        <v>3.11</v>
      </c>
      <c r="DS121" t="s">
        <v>137</v>
      </c>
      <c r="DT121" t="s">
        <v>347</v>
      </c>
      <c r="DU121">
        <v>210.74</v>
      </c>
      <c r="DV121" t="s">
        <v>217</v>
      </c>
      <c r="DW121" t="s">
        <v>347</v>
      </c>
      <c r="DX121">
        <v>230</v>
      </c>
      <c r="DY121" t="s">
        <v>217</v>
      </c>
      <c r="DZ121" t="s">
        <v>347</v>
      </c>
      <c r="EA121">
        <v>299.85000000000002</v>
      </c>
      <c r="EB121" t="s">
        <v>217</v>
      </c>
      <c r="EC121" t="s">
        <v>347</v>
      </c>
      <c r="ED121">
        <v>312.58999999999997</v>
      </c>
      <c r="EE121" t="s">
        <v>217</v>
      </c>
      <c r="EF121" t="s">
        <v>347</v>
      </c>
      <c r="EG121">
        <v>283.60000000000002</v>
      </c>
      <c r="EH121" t="s">
        <v>217</v>
      </c>
      <c r="EI121" t="s">
        <v>347</v>
      </c>
      <c r="EJ121">
        <v>239.2</v>
      </c>
      <c r="EK121" t="s">
        <v>217</v>
      </c>
    </row>
    <row r="122" spans="1:141">
      <c r="A122" t="s">
        <v>438</v>
      </c>
      <c r="B122">
        <v>1.1499999999999999</v>
      </c>
      <c r="C122" t="s">
        <v>137</v>
      </c>
      <c r="D122" t="s">
        <v>438</v>
      </c>
      <c r="E122">
        <v>1.1299999999999999</v>
      </c>
      <c r="F122" t="s">
        <v>137</v>
      </c>
      <c r="G122" t="s">
        <v>614</v>
      </c>
      <c r="H122">
        <v>44</v>
      </c>
      <c r="I122" t="s">
        <v>635</v>
      </c>
      <c r="J122" t="s">
        <v>614</v>
      </c>
      <c r="K122">
        <v>44</v>
      </c>
      <c r="L122" t="s">
        <v>635</v>
      </c>
      <c r="M122" t="s">
        <v>614</v>
      </c>
      <c r="N122">
        <v>44</v>
      </c>
      <c r="O122" t="s">
        <v>635</v>
      </c>
      <c r="P122" t="s">
        <v>440</v>
      </c>
      <c r="Q122">
        <v>1.06</v>
      </c>
      <c r="R122" t="s">
        <v>129</v>
      </c>
      <c r="S122" t="s">
        <v>614</v>
      </c>
      <c r="T122">
        <v>44</v>
      </c>
      <c r="U122" t="s">
        <v>635</v>
      </c>
      <c r="V122" t="s">
        <v>614</v>
      </c>
      <c r="W122">
        <v>44</v>
      </c>
      <c r="X122" t="s">
        <v>635</v>
      </c>
      <c r="Y122" t="s">
        <v>614</v>
      </c>
      <c r="Z122">
        <v>44</v>
      </c>
      <c r="AA122" t="s">
        <v>635</v>
      </c>
      <c r="AB122" t="s">
        <v>614</v>
      </c>
      <c r="AC122">
        <v>44</v>
      </c>
      <c r="AD122" t="s">
        <v>635</v>
      </c>
      <c r="AE122" t="s">
        <v>614</v>
      </c>
      <c r="AF122">
        <v>44</v>
      </c>
      <c r="AG122" t="s">
        <v>635</v>
      </c>
      <c r="AH122" t="s">
        <v>614</v>
      </c>
      <c r="AI122">
        <v>44</v>
      </c>
      <c r="AJ122" t="s">
        <v>635</v>
      </c>
      <c r="AK122" t="s">
        <v>614</v>
      </c>
      <c r="AL122">
        <v>44</v>
      </c>
      <c r="AM122" t="s">
        <v>635</v>
      </c>
      <c r="AN122" t="s">
        <v>614</v>
      </c>
      <c r="AO122">
        <v>44</v>
      </c>
      <c r="AP122" t="s">
        <v>635</v>
      </c>
      <c r="AQ122" t="s">
        <v>614</v>
      </c>
      <c r="AR122">
        <v>44</v>
      </c>
      <c r="AS122" t="s">
        <v>635</v>
      </c>
      <c r="AT122" t="s">
        <v>614</v>
      </c>
      <c r="AU122">
        <v>44</v>
      </c>
      <c r="AV122" t="s">
        <v>635</v>
      </c>
      <c r="AW122" t="s">
        <v>614</v>
      </c>
      <c r="AX122">
        <v>44</v>
      </c>
      <c r="AY122" t="s">
        <v>635</v>
      </c>
      <c r="AZ122" t="s">
        <v>614</v>
      </c>
      <c r="BA122">
        <v>44</v>
      </c>
      <c r="BB122" t="s">
        <v>635</v>
      </c>
      <c r="BC122" t="s">
        <v>614</v>
      </c>
      <c r="BD122">
        <v>44</v>
      </c>
      <c r="BE122" t="s">
        <v>635</v>
      </c>
      <c r="BF122" t="s">
        <v>614</v>
      </c>
      <c r="BG122">
        <v>44</v>
      </c>
      <c r="BH122" t="s">
        <v>635</v>
      </c>
      <c r="BI122" t="s">
        <v>614</v>
      </c>
      <c r="BJ122">
        <v>44</v>
      </c>
      <c r="BK122" t="s">
        <v>635</v>
      </c>
      <c r="BL122" t="s">
        <v>438</v>
      </c>
      <c r="BM122">
        <v>1</v>
      </c>
      <c r="BN122" t="s">
        <v>137</v>
      </c>
      <c r="BO122" t="s">
        <v>438</v>
      </c>
      <c r="BP122">
        <v>1.05</v>
      </c>
      <c r="BQ122" t="s">
        <v>137</v>
      </c>
      <c r="BR122" t="s">
        <v>438</v>
      </c>
      <c r="BS122">
        <v>1.01</v>
      </c>
      <c r="BT122" t="s">
        <v>137</v>
      </c>
      <c r="BU122" t="s">
        <v>438</v>
      </c>
      <c r="BV122">
        <v>1</v>
      </c>
      <c r="BW122" t="s">
        <v>137</v>
      </c>
      <c r="BX122" t="s">
        <v>438</v>
      </c>
      <c r="BY122">
        <v>1</v>
      </c>
      <c r="BZ122" t="s">
        <v>137</v>
      </c>
      <c r="CA122" t="s">
        <v>428</v>
      </c>
      <c r="CB122">
        <v>26.15</v>
      </c>
      <c r="CC122" t="s">
        <v>105</v>
      </c>
      <c r="CD122" t="s">
        <v>438</v>
      </c>
      <c r="CE122">
        <v>1.1100000000000001</v>
      </c>
      <c r="CF122" t="s">
        <v>137</v>
      </c>
      <c r="CG122" t="s">
        <v>438</v>
      </c>
      <c r="CH122">
        <v>1.1399999999999999</v>
      </c>
      <c r="CI122" t="s">
        <v>137</v>
      </c>
      <c r="CJ122" t="s">
        <v>438</v>
      </c>
      <c r="CK122">
        <v>1.1499999999999999</v>
      </c>
      <c r="CL122" t="s">
        <v>137</v>
      </c>
      <c r="CM122" t="s">
        <v>438</v>
      </c>
      <c r="CN122">
        <v>1.17</v>
      </c>
      <c r="CO122" t="s">
        <v>137</v>
      </c>
      <c r="CP122" t="s">
        <v>438</v>
      </c>
      <c r="CQ122">
        <v>1.22</v>
      </c>
      <c r="CR122" t="s">
        <v>137</v>
      </c>
      <c r="CS122" t="s">
        <v>438</v>
      </c>
      <c r="CT122">
        <v>1.34</v>
      </c>
      <c r="CU122" t="s">
        <v>137</v>
      </c>
      <c r="CV122" t="s">
        <v>438</v>
      </c>
      <c r="CW122">
        <v>1.33</v>
      </c>
      <c r="CX122" t="s">
        <v>137</v>
      </c>
      <c r="CY122" t="s">
        <v>438</v>
      </c>
      <c r="CZ122">
        <v>1.3</v>
      </c>
      <c r="DA122" t="s">
        <v>137</v>
      </c>
      <c r="DB122" t="s">
        <v>438</v>
      </c>
      <c r="DC122">
        <v>1.54</v>
      </c>
      <c r="DD122" t="s">
        <v>137</v>
      </c>
      <c r="DE122" t="s">
        <v>438</v>
      </c>
      <c r="DF122">
        <v>1.61</v>
      </c>
      <c r="DG122" t="s">
        <v>137</v>
      </c>
      <c r="DH122" t="s">
        <v>438</v>
      </c>
      <c r="DI122">
        <v>2.13</v>
      </c>
      <c r="DJ122" t="s">
        <v>137</v>
      </c>
      <c r="DK122" t="s">
        <v>614</v>
      </c>
      <c r="DL122">
        <v>44</v>
      </c>
      <c r="DM122" t="s">
        <v>635</v>
      </c>
      <c r="DN122" t="s">
        <v>614</v>
      </c>
      <c r="DO122">
        <v>44</v>
      </c>
      <c r="DP122" t="s">
        <v>635</v>
      </c>
      <c r="DQ122" t="s">
        <v>614</v>
      </c>
      <c r="DR122">
        <v>44</v>
      </c>
      <c r="DS122" t="s">
        <v>635</v>
      </c>
      <c r="DT122" t="s">
        <v>707</v>
      </c>
      <c r="DU122">
        <v>0.04</v>
      </c>
      <c r="DV122" t="s">
        <v>712</v>
      </c>
      <c r="DW122" t="s">
        <v>707</v>
      </c>
      <c r="DX122">
        <v>0.04</v>
      </c>
      <c r="DY122" t="s">
        <v>712</v>
      </c>
      <c r="DZ122" t="s">
        <v>707</v>
      </c>
      <c r="EA122">
        <v>0.04</v>
      </c>
      <c r="EB122" t="s">
        <v>712</v>
      </c>
      <c r="EC122" t="s">
        <v>707</v>
      </c>
      <c r="ED122">
        <v>0.04</v>
      </c>
      <c r="EE122" t="s">
        <v>712</v>
      </c>
      <c r="EF122" t="s">
        <v>707</v>
      </c>
      <c r="EG122">
        <v>0.04</v>
      </c>
      <c r="EH122" t="s">
        <v>712</v>
      </c>
      <c r="EI122" t="s">
        <v>707</v>
      </c>
      <c r="EJ122">
        <v>0.04</v>
      </c>
      <c r="EK122" t="s">
        <v>712</v>
      </c>
    </row>
    <row r="123" spans="1:141">
      <c r="A123" t="s">
        <v>614</v>
      </c>
      <c r="B123">
        <v>44</v>
      </c>
      <c r="C123" t="s">
        <v>635</v>
      </c>
      <c r="D123" t="s">
        <v>614</v>
      </c>
      <c r="E123">
        <v>44</v>
      </c>
      <c r="F123" t="s">
        <v>635</v>
      </c>
      <c r="G123" t="s">
        <v>352</v>
      </c>
      <c r="H123">
        <v>9.11</v>
      </c>
      <c r="I123" t="s">
        <v>140</v>
      </c>
      <c r="J123" t="s">
        <v>352</v>
      </c>
      <c r="K123">
        <v>9.25</v>
      </c>
      <c r="L123" t="s">
        <v>140</v>
      </c>
      <c r="M123" t="s">
        <v>352</v>
      </c>
      <c r="N123">
        <v>9.06</v>
      </c>
      <c r="O123" t="s">
        <v>140</v>
      </c>
      <c r="P123" t="s">
        <v>438</v>
      </c>
      <c r="Q123">
        <v>1.1000000000000001</v>
      </c>
      <c r="R123" t="s">
        <v>137</v>
      </c>
      <c r="S123" t="s">
        <v>352</v>
      </c>
      <c r="T123">
        <v>10.14</v>
      </c>
      <c r="U123" t="s">
        <v>140</v>
      </c>
      <c r="V123" t="s">
        <v>352</v>
      </c>
      <c r="W123">
        <v>10.37</v>
      </c>
      <c r="X123" t="s">
        <v>140</v>
      </c>
      <c r="Y123" t="s">
        <v>352</v>
      </c>
      <c r="Z123">
        <v>10.47</v>
      </c>
      <c r="AA123" t="s">
        <v>140</v>
      </c>
      <c r="AB123" t="s">
        <v>352</v>
      </c>
      <c r="AC123">
        <v>10.3</v>
      </c>
      <c r="AD123" t="s">
        <v>140</v>
      </c>
      <c r="AE123" t="s">
        <v>352</v>
      </c>
      <c r="AF123">
        <v>10.97</v>
      </c>
      <c r="AG123" t="s">
        <v>140</v>
      </c>
      <c r="AH123" t="s">
        <v>352</v>
      </c>
      <c r="AI123">
        <v>11.37</v>
      </c>
      <c r="AJ123" t="s">
        <v>140</v>
      </c>
      <c r="AK123" t="s">
        <v>352</v>
      </c>
      <c r="AL123">
        <v>12.03</v>
      </c>
      <c r="AM123" t="s">
        <v>140</v>
      </c>
      <c r="AN123" t="s">
        <v>352</v>
      </c>
      <c r="AO123">
        <v>10.95</v>
      </c>
      <c r="AP123" t="s">
        <v>140</v>
      </c>
      <c r="AQ123" t="s">
        <v>352</v>
      </c>
      <c r="AR123">
        <v>11.08</v>
      </c>
      <c r="AS123" t="s">
        <v>140</v>
      </c>
      <c r="AT123" t="s">
        <v>352</v>
      </c>
      <c r="AU123">
        <v>11.09</v>
      </c>
      <c r="AV123" t="s">
        <v>140</v>
      </c>
      <c r="AW123" t="s">
        <v>352</v>
      </c>
      <c r="AX123">
        <v>11.5</v>
      </c>
      <c r="AY123" t="s">
        <v>140</v>
      </c>
      <c r="AZ123" t="s">
        <v>352</v>
      </c>
      <c r="BA123">
        <v>10.99</v>
      </c>
      <c r="BB123" t="s">
        <v>140</v>
      </c>
      <c r="BC123" t="s">
        <v>352</v>
      </c>
      <c r="BD123">
        <v>10.4</v>
      </c>
      <c r="BE123" t="s">
        <v>140</v>
      </c>
      <c r="BF123" t="s">
        <v>352</v>
      </c>
      <c r="BG123">
        <v>11</v>
      </c>
      <c r="BH123" t="s">
        <v>140</v>
      </c>
      <c r="BI123" t="s">
        <v>352</v>
      </c>
      <c r="BJ123">
        <v>10.89</v>
      </c>
      <c r="BK123" t="s">
        <v>140</v>
      </c>
      <c r="BL123" t="s">
        <v>614</v>
      </c>
      <c r="BM123">
        <v>44</v>
      </c>
      <c r="BN123" t="s">
        <v>635</v>
      </c>
      <c r="BO123" t="s">
        <v>614</v>
      </c>
      <c r="BP123">
        <v>44</v>
      </c>
      <c r="BQ123" t="s">
        <v>635</v>
      </c>
      <c r="BR123" t="s">
        <v>614</v>
      </c>
      <c r="BS123">
        <v>44</v>
      </c>
      <c r="BT123" t="s">
        <v>635</v>
      </c>
      <c r="BU123" t="s">
        <v>614</v>
      </c>
      <c r="BV123">
        <v>44</v>
      </c>
      <c r="BW123" t="s">
        <v>635</v>
      </c>
      <c r="BX123" t="s">
        <v>614</v>
      </c>
      <c r="BY123">
        <v>44</v>
      </c>
      <c r="BZ123" t="s">
        <v>635</v>
      </c>
      <c r="CA123" t="s">
        <v>440</v>
      </c>
      <c r="CB123">
        <v>0.99</v>
      </c>
      <c r="CC123" t="s">
        <v>129</v>
      </c>
      <c r="CD123" t="s">
        <v>614</v>
      </c>
      <c r="CE123">
        <v>44</v>
      </c>
      <c r="CF123" t="s">
        <v>635</v>
      </c>
      <c r="CG123" t="s">
        <v>614</v>
      </c>
      <c r="CH123">
        <v>44</v>
      </c>
      <c r="CI123" t="s">
        <v>635</v>
      </c>
      <c r="CJ123" t="s">
        <v>614</v>
      </c>
      <c r="CK123">
        <v>44</v>
      </c>
      <c r="CL123" t="s">
        <v>635</v>
      </c>
      <c r="CM123" t="s">
        <v>614</v>
      </c>
      <c r="CN123">
        <v>44</v>
      </c>
      <c r="CO123" t="s">
        <v>635</v>
      </c>
      <c r="CP123" t="s">
        <v>614</v>
      </c>
      <c r="CQ123">
        <v>44</v>
      </c>
      <c r="CR123" t="s">
        <v>635</v>
      </c>
      <c r="CS123" t="s">
        <v>614</v>
      </c>
      <c r="CT123">
        <v>44</v>
      </c>
      <c r="CU123" t="s">
        <v>635</v>
      </c>
      <c r="CV123" t="s">
        <v>614</v>
      </c>
      <c r="CW123">
        <v>44</v>
      </c>
      <c r="CX123" t="s">
        <v>635</v>
      </c>
      <c r="CY123" t="s">
        <v>614</v>
      </c>
      <c r="CZ123">
        <v>44</v>
      </c>
      <c r="DA123" t="s">
        <v>635</v>
      </c>
      <c r="DB123" t="s">
        <v>614</v>
      </c>
      <c r="DC123">
        <v>44</v>
      </c>
      <c r="DD123" t="s">
        <v>635</v>
      </c>
      <c r="DE123" t="s">
        <v>614</v>
      </c>
      <c r="DF123">
        <v>44</v>
      </c>
      <c r="DG123" t="s">
        <v>635</v>
      </c>
      <c r="DH123" t="s">
        <v>614</v>
      </c>
      <c r="DI123">
        <v>44</v>
      </c>
      <c r="DJ123" t="s">
        <v>635</v>
      </c>
      <c r="DK123" t="s">
        <v>352</v>
      </c>
      <c r="DL123">
        <v>12.99</v>
      </c>
      <c r="DM123" t="s">
        <v>140</v>
      </c>
      <c r="DN123" t="s">
        <v>352</v>
      </c>
      <c r="DO123">
        <v>12.19</v>
      </c>
      <c r="DP123" t="s">
        <v>140</v>
      </c>
      <c r="DQ123" t="s">
        <v>352</v>
      </c>
      <c r="DR123">
        <v>12</v>
      </c>
      <c r="DS123" t="s">
        <v>140</v>
      </c>
      <c r="DT123" t="s">
        <v>375</v>
      </c>
      <c r="DU123">
        <v>2.08</v>
      </c>
      <c r="DV123" t="s">
        <v>480</v>
      </c>
      <c r="DW123" t="s">
        <v>375</v>
      </c>
      <c r="DX123">
        <v>1.95</v>
      </c>
      <c r="DY123" t="s">
        <v>480</v>
      </c>
      <c r="DZ123" t="s">
        <v>375</v>
      </c>
      <c r="EA123">
        <v>2.0499999999999998</v>
      </c>
      <c r="EB123" t="s">
        <v>480</v>
      </c>
      <c r="EC123" t="s">
        <v>375</v>
      </c>
      <c r="ED123">
        <v>2.0499999999999998</v>
      </c>
      <c r="EE123" t="s">
        <v>480</v>
      </c>
      <c r="EF123" t="s">
        <v>375</v>
      </c>
      <c r="EG123">
        <v>1.9</v>
      </c>
      <c r="EH123" t="s">
        <v>480</v>
      </c>
      <c r="EI123" t="s">
        <v>375</v>
      </c>
      <c r="EJ123">
        <v>1.85</v>
      </c>
      <c r="EK123" t="s">
        <v>480</v>
      </c>
    </row>
    <row r="124" spans="1:141">
      <c r="A124" t="s">
        <v>352</v>
      </c>
      <c r="B124">
        <v>9.1199999999999992</v>
      </c>
      <c r="C124" t="s">
        <v>140</v>
      </c>
      <c r="D124" t="s">
        <v>352</v>
      </c>
      <c r="E124">
        <v>9</v>
      </c>
      <c r="F124" t="s">
        <v>140</v>
      </c>
      <c r="G124" t="s">
        <v>347</v>
      </c>
      <c r="H124">
        <v>178.88</v>
      </c>
      <c r="I124" t="s">
        <v>217</v>
      </c>
      <c r="J124" t="s">
        <v>347</v>
      </c>
      <c r="K124">
        <v>177</v>
      </c>
      <c r="L124" t="s">
        <v>217</v>
      </c>
      <c r="M124" t="s">
        <v>347</v>
      </c>
      <c r="N124">
        <v>172.9</v>
      </c>
      <c r="O124" t="s">
        <v>217</v>
      </c>
      <c r="P124" t="s">
        <v>614</v>
      </c>
      <c r="Q124">
        <v>44</v>
      </c>
      <c r="R124" t="s">
        <v>635</v>
      </c>
      <c r="S124" t="s">
        <v>347</v>
      </c>
      <c r="T124">
        <v>171.11</v>
      </c>
      <c r="U124" t="s">
        <v>217</v>
      </c>
      <c r="V124" t="s">
        <v>347</v>
      </c>
      <c r="W124">
        <v>161.1</v>
      </c>
      <c r="X124" t="s">
        <v>217</v>
      </c>
      <c r="Y124" t="s">
        <v>347</v>
      </c>
      <c r="Z124">
        <v>167.6</v>
      </c>
      <c r="AA124" t="s">
        <v>217</v>
      </c>
      <c r="AB124" t="s">
        <v>347</v>
      </c>
      <c r="AC124">
        <v>161.11000000000001</v>
      </c>
      <c r="AD124" t="s">
        <v>217</v>
      </c>
      <c r="AE124" t="s">
        <v>347</v>
      </c>
      <c r="AF124">
        <v>159</v>
      </c>
      <c r="AG124" t="s">
        <v>217</v>
      </c>
      <c r="AH124" t="s">
        <v>347</v>
      </c>
      <c r="AI124">
        <v>161</v>
      </c>
      <c r="AJ124" t="s">
        <v>217</v>
      </c>
      <c r="AK124" t="s">
        <v>347</v>
      </c>
      <c r="AL124">
        <v>159</v>
      </c>
      <c r="AM124" t="s">
        <v>217</v>
      </c>
      <c r="AN124" t="s">
        <v>347</v>
      </c>
      <c r="AO124">
        <v>155.22</v>
      </c>
      <c r="AP124" t="s">
        <v>217</v>
      </c>
      <c r="AQ124" t="s">
        <v>347</v>
      </c>
      <c r="AR124">
        <v>157.4</v>
      </c>
      <c r="AS124" t="s">
        <v>217</v>
      </c>
      <c r="AT124" t="s">
        <v>347</v>
      </c>
      <c r="AU124">
        <v>161.80000000000001</v>
      </c>
      <c r="AV124" t="s">
        <v>217</v>
      </c>
      <c r="AW124" t="s">
        <v>347</v>
      </c>
      <c r="AX124">
        <v>168.08</v>
      </c>
      <c r="AY124" t="s">
        <v>217</v>
      </c>
      <c r="AZ124" t="s">
        <v>347</v>
      </c>
      <c r="BA124">
        <v>165.13</v>
      </c>
      <c r="BB124" t="s">
        <v>217</v>
      </c>
      <c r="BC124" t="s">
        <v>347</v>
      </c>
      <c r="BD124">
        <v>151.1</v>
      </c>
      <c r="BE124" t="s">
        <v>217</v>
      </c>
      <c r="BF124" t="s">
        <v>347</v>
      </c>
      <c r="BG124">
        <v>148.5</v>
      </c>
      <c r="BH124" t="s">
        <v>217</v>
      </c>
      <c r="BI124" t="s">
        <v>347</v>
      </c>
      <c r="BJ124">
        <v>147.6</v>
      </c>
      <c r="BK124" t="s">
        <v>217</v>
      </c>
      <c r="BL124" t="s">
        <v>352</v>
      </c>
      <c r="BM124">
        <v>11</v>
      </c>
      <c r="BN124" t="s">
        <v>140</v>
      </c>
      <c r="BO124" t="s">
        <v>352</v>
      </c>
      <c r="BP124">
        <v>11.39</v>
      </c>
      <c r="BQ124" t="s">
        <v>140</v>
      </c>
      <c r="BR124" t="s">
        <v>352</v>
      </c>
      <c r="BS124">
        <v>11.16</v>
      </c>
      <c r="BT124" t="s">
        <v>140</v>
      </c>
      <c r="BU124" t="s">
        <v>352</v>
      </c>
      <c r="BV124">
        <v>11.12</v>
      </c>
      <c r="BW124" t="s">
        <v>140</v>
      </c>
      <c r="BX124" t="s">
        <v>352</v>
      </c>
      <c r="BY124">
        <v>11.3</v>
      </c>
      <c r="BZ124" t="s">
        <v>140</v>
      </c>
      <c r="CA124" t="s">
        <v>438</v>
      </c>
      <c r="CB124">
        <v>1.06</v>
      </c>
      <c r="CC124" t="s">
        <v>137</v>
      </c>
      <c r="CD124" t="s">
        <v>352</v>
      </c>
      <c r="CE124">
        <v>11.31</v>
      </c>
      <c r="CF124" t="s">
        <v>140</v>
      </c>
      <c r="CG124" t="s">
        <v>352</v>
      </c>
      <c r="CH124">
        <v>11.4</v>
      </c>
      <c r="CI124" t="s">
        <v>140</v>
      </c>
      <c r="CJ124" t="s">
        <v>352</v>
      </c>
      <c r="CK124">
        <v>12.02</v>
      </c>
      <c r="CL124" t="s">
        <v>140</v>
      </c>
      <c r="CM124" t="s">
        <v>352</v>
      </c>
      <c r="CN124">
        <v>11.99</v>
      </c>
      <c r="CO124" t="s">
        <v>140</v>
      </c>
      <c r="CP124" t="s">
        <v>352</v>
      </c>
      <c r="CQ124">
        <v>12.05</v>
      </c>
      <c r="CR124" t="s">
        <v>140</v>
      </c>
      <c r="CS124" t="s">
        <v>352</v>
      </c>
      <c r="CT124">
        <v>12</v>
      </c>
      <c r="CU124" t="s">
        <v>140</v>
      </c>
      <c r="CV124" t="s">
        <v>352</v>
      </c>
      <c r="CW124">
        <v>12.22</v>
      </c>
      <c r="CX124" t="s">
        <v>140</v>
      </c>
      <c r="CY124" t="s">
        <v>352</v>
      </c>
      <c r="CZ124">
        <v>12.51</v>
      </c>
      <c r="DA124" t="s">
        <v>140</v>
      </c>
      <c r="DB124" t="s">
        <v>352</v>
      </c>
      <c r="DC124">
        <v>11.71</v>
      </c>
      <c r="DD124" t="s">
        <v>140</v>
      </c>
      <c r="DE124" t="s">
        <v>352</v>
      </c>
      <c r="DF124">
        <v>11.07</v>
      </c>
      <c r="DG124" t="s">
        <v>140</v>
      </c>
      <c r="DH124" t="s">
        <v>352</v>
      </c>
      <c r="DI124">
        <v>13.07</v>
      </c>
      <c r="DJ124" t="s">
        <v>140</v>
      </c>
      <c r="DK124" t="s">
        <v>347</v>
      </c>
      <c r="DL124">
        <v>155</v>
      </c>
      <c r="DM124" t="s">
        <v>217</v>
      </c>
      <c r="DN124" t="s">
        <v>347</v>
      </c>
      <c r="DO124">
        <v>146.15</v>
      </c>
      <c r="DP124" t="s">
        <v>217</v>
      </c>
      <c r="DQ124" t="s">
        <v>347</v>
      </c>
      <c r="DR124">
        <v>153</v>
      </c>
      <c r="DS124" t="s">
        <v>217</v>
      </c>
      <c r="DT124" t="s">
        <v>218</v>
      </c>
      <c r="DU124">
        <v>27.09</v>
      </c>
      <c r="DV124" t="s">
        <v>219</v>
      </c>
      <c r="DW124" t="s">
        <v>218</v>
      </c>
      <c r="DX124">
        <v>26.2</v>
      </c>
      <c r="DY124" t="s">
        <v>219</v>
      </c>
      <c r="DZ124" t="s">
        <v>218</v>
      </c>
      <c r="EA124">
        <v>27</v>
      </c>
      <c r="EB124" t="s">
        <v>219</v>
      </c>
      <c r="EC124" t="s">
        <v>218</v>
      </c>
      <c r="ED124">
        <v>26.78</v>
      </c>
      <c r="EE124" t="s">
        <v>219</v>
      </c>
      <c r="EF124" t="s">
        <v>218</v>
      </c>
      <c r="EG124">
        <v>27.71</v>
      </c>
      <c r="EH124" t="s">
        <v>219</v>
      </c>
      <c r="EI124" t="s">
        <v>218</v>
      </c>
      <c r="EJ124">
        <v>28.32</v>
      </c>
      <c r="EK124" t="s">
        <v>219</v>
      </c>
    </row>
    <row r="125" spans="1:141">
      <c r="A125" t="s">
        <v>347</v>
      </c>
      <c r="B125">
        <v>176.8</v>
      </c>
      <c r="C125" t="s">
        <v>217</v>
      </c>
      <c r="D125" t="s">
        <v>347</v>
      </c>
      <c r="E125">
        <v>171.1</v>
      </c>
      <c r="F125" t="s">
        <v>217</v>
      </c>
      <c r="G125" t="s">
        <v>707</v>
      </c>
      <c r="H125">
        <v>0.04</v>
      </c>
      <c r="I125" t="s">
        <v>712</v>
      </c>
      <c r="J125" t="s">
        <v>707</v>
      </c>
      <c r="K125">
        <v>0.04</v>
      </c>
      <c r="L125" t="s">
        <v>712</v>
      </c>
      <c r="M125" t="s">
        <v>707</v>
      </c>
      <c r="N125">
        <v>0.04</v>
      </c>
      <c r="O125" t="s">
        <v>712</v>
      </c>
      <c r="P125" t="s">
        <v>614</v>
      </c>
      <c r="Q125">
        <v>1.34</v>
      </c>
      <c r="R125" t="s">
        <v>635</v>
      </c>
      <c r="S125" t="s">
        <v>707</v>
      </c>
      <c r="T125">
        <v>0.04</v>
      </c>
      <c r="U125" t="s">
        <v>712</v>
      </c>
      <c r="V125" t="s">
        <v>707</v>
      </c>
      <c r="W125">
        <v>0.04</v>
      </c>
      <c r="X125" t="s">
        <v>712</v>
      </c>
      <c r="Y125" t="s">
        <v>707</v>
      </c>
      <c r="Z125">
        <v>0.04</v>
      </c>
      <c r="AA125" t="s">
        <v>712</v>
      </c>
      <c r="AB125" t="s">
        <v>707</v>
      </c>
      <c r="AC125">
        <v>0.04</v>
      </c>
      <c r="AD125" t="s">
        <v>712</v>
      </c>
      <c r="AE125" t="s">
        <v>707</v>
      </c>
      <c r="AF125">
        <v>0.04</v>
      </c>
      <c r="AG125" t="s">
        <v>712</v>
      </c>
      <c r="AH125" t="s">
        <v>707</v>
      </c>
      <c r="AI125">
        <v>0.04</v>
      </c>
      <c r="AJ125" t="s">
        <v>712</v>
      </c>
      <c r="AK125" t="s">
        <v>707</v>
      </c>
      <c r="AL125">
        <v>0.04</v>
      </c>
      <c r="AM125" t="s">
        <v>712</v>
      </c>
      <c r="AN125" t="s">
        <v>707</v>
      </c>
      <c r="AO125">
        <v>0.04</v>
      </c>
      <c r="AP125" t="s">
        <v>712</v>
      </c>
      <c r="AQ125" t="s">
        <v>707</v>
      </c>
      <c r="AR125">
        <v>0.04</v>
      </c>
      <c r="AS125" t="s">
        <v>712</v>
      </c>
      <c r="AT125" t="s">
        <v>707</v>
      </c>
      <c r="AU125">
        <v>0.04</v>
      </c>
      <c r="AV125" t="s">
        <v>712</v>
      </c>
      <c r="AW125" t="s">
        <v>707</v>
      </c>
      <c r="AX125">
        <v>0.04</v>
      </c>
      <c r="AY125" t="s">
        <v>712</v>
      </c>
      <c r="AZ125" t="s">
        <v>707</v>
      </c>
      <c r="BA125">
        <v>0.04</v>
      </c>
      <c r="BB125" t="s">
        <v>712</v>
      </c>
      <c r="BC125" t="s">
        <v>707</v>
      </c>
      <c r="BD125">
        <v>0.04</v>
      </c>
      <c r="BE125" t="s">
        <v>712</v>
      </c>
      <c r="BF125" t="s">
        <v>707</v>
      </c>
      <c r="BG125">
        <v>0.04</v>
      </c>
      <c r="BH125" t="s">
        <v>712</v>
      </c>
      <c r="BI125" t="s">
        <v>707</v>
      </c>
      <c r="BJ125">
        <v>0.04</v>
      </c>
      <c r="BK125" t="s">
        <v>712</v>
      </c>
      <c r="BL125" t="s">
        <v>347</v>
      </c>
      <c r="BM125">
        <v>145.80000000000001</v>
      </c>
      <c r="BN125" t="s">
        <v>217</v>
      </c>
      <c r="BO125" t="s">
        <v>347</v>
      </c>
      <c r="BP125">
        <v>143.5</v>
      </c>
      <c r="BQ125" t="s">
        <v>217</v>
      </c>
      <c r="BR125" t="s">
        <v>347</v>
      </c>
      <c r="BS125">
        <v>146.5</v>
      </c>
      <c r="BT125" t="s">
        <v>217</v>
      </c>
      <c r="BU125" t="s">
        <v>347</v>
      </c>
      <c r="BV125">
        <v>146.4</v>
      </c>
      <c r="BW125" t="s">
        <v>217</v>
      </c>
      <c r="BX125" t="s">
        <v>347</v>
      </c>
      <c r="BY125">
        <v>145</v>
      </c>
      <c r="BZ125" t="s">
        <v>217</v>
      </c>
      <c r="CA125" t="s">
        <v>614</v>
      </c>
      <c r="CB125">
        <v>44</v>
      </c>
      <c r="CC125" t="s">
        <v>635</v>
      </c>
      <c r="CD125" t="s">
        <v>347</v>
      </c>
      <c r="CE125">
        <v>149.97999999999999</v>
      </c>
      <c r="CF125" t="s">
        <v>217</v>
      </c>
      <c r="CG125" t="s">
        <v>347</v>
      </c>
      <c r="CH125">
        <v>149</v>
      </c>
      <c r="CI125" t="s">
        <v>217</v>
      </c>
      <c r="CJ125" t="s">
        <v>347</v>
      </c>
      <c r="CK125">
        <v>148.66</v>
      </c>
      <c r="CL125" t="s">
        <v>217</v>
      </c>
      <c r="CM125" t="s">
        <v>347</v>
      </c>
      <c r="CN125">
        <v>147.83000000000001</v>
      </c>
      <c r="CO125" t="s">
        <v>217</v>
      </c>
      <c r="CP125" t="s">
        <v>347</v>
      </c>
      <c r="CQ125">
        <v>145.4</v>
      </c>
      <c r="CR125" t="s">
        <v>217</v>
      </c>
      <c r="CS125" t="s">
        <v>347</v>
      </c>
      <c r="CT125">
        <v>146.9</v>
      </c>
      <c r="CU125" t="s">
        <v>217</v>
      </c>
      <c r="CV125" t="s">
        <v>347</v>
      </c>
      <c r="CW125">
        <v>150.02000000000001</v>
      </c>
      <c r="CX125" t="s">
        <v>217</v>
      </c>
      <c r="CY125" t="s">
        <v>347</v>
      </c>
      <c r="CZ125">
        <v>148.30000000000001</v>
      </c>
      <c r="DA125" t="s">
        <v>217</v>
      </c>
      <c r="DB125" t="s">
        <v>347</v>
      </c>
      <c r="DC125">
        <v>174.97</v>
      </c>
      <c r="DD125" t="s">
        <v>217</v>
      </c>
      <c r="DE125" t="s">
        <v>347</v>
      </c>
      <c r="DF125">
        <v>181.47</v>
      </c>
      <c r="DG125" t="s">
        <v>217</v>
      </c>
      <c r="DH125" t="s">
        <v>347</v>
      </c>
      <c r="DI125">
        <v>163</v>
      </c>
      <c r="DJ125" t="s">
        <v>217</v>
      </c>
      <c r="DK125" t="s">
        <v>707</v>
      </c>
      <c r="DL125">
        <v>0.03</v>
      </c>
      <c r="DM125" t="s">
        <v>712</v>
      </c>
      <c r="DN125" t="s">
        <v>707</v>
      </c>
      <c r="DO125">
        <v>0.03</v>
      </c>
      <c r="DP125" t="s">
        <v>712</v>
      </c>
      <c r="DQ125" t="s">
        <v>707</v>
      </c>
      <c r="DR125">
        <v>0.04</v>
      </c>
      <c r="DS125" t="s">
        <v>712</v>
      </c>
      <c r="DT125" t="s">
        <v>934</v>
      </c>
      <c r="DU125">
        <v>5.0999999999999996</v>
      </c>
      <c r="DV125" t="s">
        <v>975</v>
      </c>
      <c r="DW125" t="s">
        <v>934</v>
      </c>
      <c r="DX125">
        <v>4.97</v>
      </c>
      <c r="DY125" t="s">
        <v>975</v>
      </c>
      <c r="DZ125" t="s">
        <v>934</v>
      </c>
      <c r="EA125">
        <v>4.6100000000000003</v>
      </c>
      <c r="EB125" t="s">
        <v>975</v>
      </c>
      <c r="EC125" t="s">
        <v>934</v>
      </c>
      <c r="ED125">
        <v>4.54</v>
      </c>
      <c r="EE125" t="s">
        <v>975</v>
      </c>
      <c r="EF125" t="s">
        <v>934</v>
      </c>
      <c r="EG125">
        <v>4.49</v>
      </c>
      <c r="EH125" t="s">
        <v>975</v>
      </c>
      <c r="EI125" t="s">
        <v>934</v>
      </c>
      <c r="EJ125">
        <v>5.4</v>
      </c>
      <c r="EK125" t="s">
        <v>975</v>
      </c>
    </row>
    <row r="126" spans="1:141">
      <c r="A126" t="s">
        <v>707</v>
      </c>
      <c r="B126">
        <v>0.04</v>
      </c>
      <c r="C126" t="s">
        <v>712</v>
      </c>
      <c r="D126" t="s">
        <v>707</v>
      </c>
      <c r="E126">
        <v>0.04</v>
      </c>
      <c r="F126" t="s">
        <v>712</v>
      </c>
      <c r="G126" t="s">
        <v>375</v>
      </c>
      <c r="H126">
        <v>1.96</v>
      </c>
      <c r="I126" t="s">
        <v>480</v>
      </c>
      <c r="J126" t="s">
        <v>375</v>
      </c>
      <c r="K126">
        <v>1.96</v>
      </c>
      <c r="L126" t="s">
        <v>480</v>
      </c>
      <c r="M126" t="s">
        <v>375</v>
      </c>
      <c r="N126">
        <v>1.95</v>
      </c>
      <c r="O126" t="s">
        <v>480</v>
      </c>
      <c r="P126" t="s">
        <v>352</v>
      </c>
      <c r="Q126">
        <v>9.39</v>
      </c>
      <c r="R126" t="s">
        <v>140</v>
      </c>
      <c r="S126" t="s">
        <v>375</v>
      </c>
      <c r="T126">
        <v>2.08</v>
      </c>
      <c r="U126" t="s">
        <v>480</v>
      </c>
      <c r="V126" t="s">
        <v>375</v>
      </c>
      <c r="W126">
        <v>1.82</v>
      </c>
      <c r="X126" t="s">
        <v>480</v>
      </c>
      <c r="Y126" t="s">
        <v>375</v>
      </c>
      <c r="Z126">
        <v>1.82</v>
      </c>
      <c r="AA126" t="s">
        <v>480</v>
      </c>
      <c r="AB126" t="s">
        <v>375</v>
      </c>
      <c r="AC126">
        <v>1.85</v>
      </c>
      <c r="AD126" t="s">
        <v>480</v>
      </c>
      <c r="AE126" t="s">
        <v>375</v>
      </c>
      <c r="AF126">
        <v>1.8</v>
      </c>
      <c r="AG126" t="s">
        <v>480</v>
      </c>
      <c r="AH126" t="s">
        <v>375</v>
      </c>
      <c r="AI126">
        <v>1.8</v>
      </c>
      <c r="AJ126" t="s">
        <v>480</v>
      </c>
      <c r="AK126" t="s">
        <v>375</v>
      </c>
      <c r="AL126">
        <v>1.8</v>
      </c>
      <c r="AM126" t="s">
        <v>480</v>
      </c>
      <c r="AN126" t="s">
        <v>375</v>
      </c>
      <c r="AO126">
        <v>1.81</v>
      </c>
      <c r="AP126" t="s">
        <v>480</v>
      </c>
      <c r="AQ126" t="s">
        <v>375</v>
      </c>
      <c r="AR126">
        <v>1.85</v>
      </c>
      <c r="AS126" t="s">
        <v>480</v>
      </c>
      <c r="AT126" t="s">
        <v>375</v>
      </c>
      <c r="AU126">
        <v>1.85</v>
      </c>
      <c r="AV126" t="s">
        <v>480</v>
      </c>
      <c r="AW126" t="s">
        <v>375</v>
      </c>
      <c r="AX126">
        <v>2</v>
      </c>
      <c r="AY126" t="s">
        <v>480</v>
      </c>
      <c r="AZ126" t="s">
        <v>375</v>
      </c>
      <c r="BA126">
        <v>1.93</v>
      </c>
      <c r="BB126" t="s">
        <v>480</v>
      </c>
      <c r="BC126" t="s">
        <v>375</v>
      </c>
      <c r="BD126">
        <v>1.8</v>
      </c>
      <c r="BE126" t="s">
        <v>480</v>
      </c>
      <c r="BF126" t="s">
        <v>375</v>
      </c>
      <c r="BG126">
        <v>1.8</v>
      </c>
      <c r="BH126" t="s">
        <v>480</v>
      </c>
      <c r="BI126" t="s">
        <v>375</v>
      </c>
      <c r="BJ126">
        <v>1.8</v>
      </c>
      <c r="BK126" t="s">
        <v>480</v>
      </c>
      <c r="BL126" t="s">
        <v>707</v>
      </c>
      <c r="BM126">
        <v>0.04</v>
      </c>
      <c r="BN126" t="s">
        <v>712</v>
      </c>
      <c r="BO126" t="s">
        <v>707</v>
      </c>
      <c r="BP126">
        <v>0.04</v>
      </c>
      <c r="BQ126" t="s">
        <v>712</v>
      </c>
      <c r="BR126" t="s">
        <v>707</v>
      </c>
      <c r="BS126">
        <v>0.04</v>
      </c>
      <c r="BT126" t="s">
        <v>712</v>
      </c>
      <c r="BU126" t="s">
        <v>707</v>
      </c>
      <c r="BV126">
        <v>0.04</v>
      </c>
      <c r="BW126" t="s">
        <v>712</v>
      </c>
      <c r="BX126" t="s">
        <v>707</v>
      </c>
      <c r="BY126">
        <v>0.04</v>
      </c>
      <c r="BZ126" t="s">
        <v>712</v>
      </c>
      <c r="CA126" t="s">
        <v>614</v>
      </c>
      <c r="CB126">
        <v>1.25</v>
      </c>
      <c r="CC126" t="s">
        <v>635</v>
      </c>
      <c r="CD126" t="s">
        <v>707</v>
      </c>
      <c r="CE126">
        <v>0.04</v>
      </c>
      <c r="CF126" t="s">
        <v>712</v>
      </c>
      <c r="CG126" t="s">
        <v>707</v>
      </c>
      <c r="CH126">
        <v>0.04</v>
      </c>
      <c r="CI126" t="s">
        <v>712</v>
      </c>
      <c r="CJ126" t="s">
        <v>707</v>
      </c>
      <c r="CK126">
        <v>0.04</v>
      </c>
      <c r="CL126" t="s">
        <v>712</v>
      </c>
      <c r="CM126" t="s">
        <v>707</v>
      </c>
      <c r="CN126">
        <v>0.04</v>
      </c>
      <c r="CO126" t="s">
        <v>712</v>
      </c>
      <c r="CP126" t="s">
        <v>707</v>
      </c>
      <c r="CQ126">
        <v>0.04</v>
      </c>
      <c r="CR126" t="s">
        <v>712</v>
      </c>
      <c r="CS126" t="s">
        <v>707</v>
      </c>
      <c r="CT126">
        <v>0.04</v>
      </c>
      <c r="CU126" t="s">
        <v>712</v>
      </c>
      <c r="CV126" t="s">
        <v>707</v>
      </c>
      <c r="CW126">
        <v>0.04</v>
      </c>
      <c r="CX126" t="s">
        <v>712</v>
      </c>
      <c r="CY126" t="s">
        <v>707</v>
      </c>
      <c r="CZ126">
        <v>0.03</v>
      </c>
      <c r="DA126" t="s">
        <v>712</v>
      </c>
      <c r="DB126" t="s">
        <v>707</v>
      </c>
      <c r="DC126">
        <v>0.03</v>
      </c>
      <c r="DD126" t="s">
        <v>712</v>
      </c>
      <c r="DE126" t="s">
        <v>707</v>
      </c>
      <c r="DF126">
        <v>0.03</v>
      </c>
      <c r="DG126" t="s">
        <v>712</v>
      </c>
      <c r="DH126" t="s">
        <v>707</v>
      </c>
      <c r="DI126">
        <v>0.04</v>
      </c>
      <c r="DJ126" t="s">
        <v>712</v>
      </c>
      <c r="DK126" t="s">
        <v>375</v>
      </c>
      <c r="DL126">
        <v>1.86</v>
      </c>
      <c r="DM126" t="s">
        <v>480</v>
      </c>
      <c r="DN126" t="s">
        <v>375</v>
      </c>
      <c r="DO126">
        <v>1.94</v>
      </c>
      <c r="DP126" t="s">
        <v>480</v>
      </c>
      <c r="DQ126" t="s">
        <v>375</v>
      </c>
      <c r="DR126">
        <v>1.92</v>
      </c>
      <c r="DS126" t="s">
        <v>480</v>
      </c>
      <c r="DT126" t="s">
        <v>311</v>
      </c>
      <c r="DU126">
        <v>4.3</v>
      </c>
      <c r="DV126" t="s">
        <v>461</v>
      </c>
      <c r="DW126" t="s">
        <v>311</v>
      </c>
      <c r="DX126">
        <v>3.9</v>
      </c>
      <c r="DY126" t="s">
        <v>461</v>
      </c>
      <c r="DZ126" t="s">
        <v>311</v>
      </c>
      <c r="EA126">
        <v>3.65</v>
      </c>
      <c r="EB126" t="s">
        <v>461</v>
      </c>
      <c r="EC126" t="s">
        <v>311</v>
      </c>
      <c r="ED126">
        <v>4.03</v>
      </c>
      <c r="EE126" t="s">
        <v>461</v>
      </c>
      <c r="EF126" t="s">
        <v>311</v>
      </c>
      <c r="EG126">
        <v>3.68</v>
      </c>
      <c r="EH126" t="s">
        <v>461</v>
      </c>
      <c r="EI126" t="s">
        <v>311</v>
      </c>
      <c r="EJ126">
        <v>4.37</v>
      </c>
      <c r="EK126" t="s">
        <v>461</v>
      </c>
    </row>
    <row r="127" spans="1:141">
      <c r="A127" t="s">
        <v>375</v>
      </c>
      <c r="B127">
        <v>1.95</v>
      </c>
      <c r="C127" t="s">
        <v>480</v>
      </c>
      <c r="D127" t="s">
        <v>375</v>
      </c>
      <c r="E127">
        <v>1.96</v>
      </c>
      <c r="F127" t="s">
        <v>480</v>
      </c>
      <c r="G127" t="s">
        <v>218</v>
      </c>
      <c r="H127">
        <v>26.85</v>
      </c>
      <c r="I127" t="s">
        <v>219</v>
      </c>
      <c r="J127" t="s">
        <v>218</v>
      </c>
      <c r="K127">
        <v>28.4</v>
      </c>
      <c r="L127" t="s">
        <v>219</v>
      </c>
      <c r="M127" t="s">
        <v>218</v>
      </c>
      <c r="N127">
        <v>27.16</v>
      </c>
      <c r="O127" t="s">
        <v>219</v>
      </c>
      <c r="P127" t="s">
        <v>347</v>
      </c>
      <c r="Q127">
        <v>171.95</v>
      </c>
      <c r="R127" t="s">
        <v>217</v>
      </c>
      <c r="S127" t="s">
        <v>218</v>
      </c>
      <c r="T127">
        <v>26.17</v>
      </c>
      <c r="U127" t="s">
        <v>219</v>
      </c>
      <c r="V127" t="s">
        <v>218</v>
      </c>
      <c r="W127">
        <v>24.5</v>
      </c>
      <c r="X127" t="s">
        <v>219</v>
      </c>
      <c r="Y127" t="s">
        <v>218</v>
      </c>
      <c r="Z127">
        <v>25</v>
      </c>
      <c r="AA127" t="s">
        <v>219</v>
      </c>
      <c r="AB127" t="s">
        <v>218</v>
      </c>
      <c r="AC127">
        <v>25</v>
      </c>
      <c r="AD127" t="s">
        <v>219</v>
      </c>
      <c r="AE127" t="s">
        <v>218</v>
      </c>
      <c r="AF127">
        <v>25.3</v>
      </c>
      <c r="AG127" t="s">
        <v>219</v>
      </c>
      <c r="AH127" t="s">
        <v>218</v>
      </c>
      <c r="AI127">
        <v>30.28</v>
      </c>
      <c r="AJ127" t="s">
        <v>219</v>
      </c>
      <c r="AK127" t="s">
        <v>218</v>
      </c>
      <c r="AL127">
        <v>30.5</v>
      </c>
      <c r="AM127" t="s">
        <v>219</v>
      </c>
      <c r="AN127" t="s">
        <v>218</v>
      </c>
      <c r="AO127">
        <v>26.23</v>
      </c>
      <c r="AP127" t="s">
        <v>219</v>
      </c>
      <c r="AQ127" t="s">
        <v>218</v>
      </c>
      <c r="AR127">
        <v>26.03</v>
      </c>
      <c r="AS127" t="s">
        <v>219</v>
      </c>
      <c r="AT127" t="s">
        <v>218</v>
      </c>
      <c r="AU127">
        <v>27.14</v>
      </c>
      <c r="AV127" t="s">
        <v>219</v>
      </c>
      <c r="AW127" t="s">
        <v>218</v>
      </c>
      <c r="AX127">
        <v>26.67</v>
      </c>
      <c r="AY127" t="s">
        <v>219</v>
      </c>
      <c r="AZ127" t="s">
        <v>218</v>
      </c>
      <c r="BA127">
        <v>27.17</v>
      </c>
      <c r="BB127" t="s">
        <v>219</v>
      </c>
      <c r="BC127" t="s">
        <v>218</v>
      </c>
      <c r="BD127">
        <v>27.09</v>
      </c>
      <c r="BE127" t="s">
        <v>219</v>
      </c>
      <c r="BF127" t="s">
        <v>218</v>
      </c>
      <c r="BG127">
        <v>27.29</v>
      </c>
      <c r="BH127" t="s">
        <v>219</v>
      </c>
      <c r="BI127" t="s">
        <v>218</v>
      </c>
      <c r="BJ127">
        <v>26.92</v>
      </c>
      <c r="BK127" t="s">
        <v>219</v>
      </c>
      <c r="BL127" t="s">
        <v>375</v>
      </c>
      <c r="BM127">
        <v>1.92</v>
      </c>
      <c r="BN127" t="s">
        <v>480</v>
      </c>
      <c r="BO127" t="s">
        <v>375</v>
      </c>
      <c r="BP127">
        <v>1.8</v>
      </c>
      <c r="BQ127" t="s">
        <v>480</v>
      </c>
      <c r="BR127" t="s">
        <v>375</v>
      </c>
      <c r="BS127">
        <v>1.8</v>
      </c>
      <c r="BT127" t="s">
        <v>480</v>
      </c>
      <c r="BU127" t="s">
        <v>375</v>
      </c>
      <c r="BV127">
        <v>1.85</v>
      </c>
      <c r="BW127" t="s">
        <v>480</v>
      </c>
      <c r="BX127" t="s">
        <v>375</v>
      </c>
      <c r="BY127">
        <v>1.85</v>
      </c>
      <c r="BZ127" t="s">
        <v>480</v>
      </c>
      <c r="CA127" t="s">
        <v>352</v>
      </c>
      <c r="CB127">
        <v>11.27</v>
      </c>
      <c r="CC127" t="s">
        <v>140</v>
      </c>
      <c r="CD127" t="s">
        <v>375</v>
      </c>
      <c r="CE127">
        <v>1.85</v>
      </c>
      <c r="CF127" t="s">
        <v>480</v>
      </c>
      <c r="CG127" t="s">
        <v>375</v>
      </c>
      <c r="CH127">
        <v>1.85</v>
      </c>
      <c r="CI127" t="s">
        <v>480</v>
      </c>
      <c r="CJ127" t="s">
        <v>375</v>
      </c>
      <c r="CK127">
        <v>1.8</v>
      </c>
      <c r="CL127" t="s">
        <v>480</v>
      </c>
      <c r="CM127" t="s">
        <v>375</v>
      </c>
      <c r="CN127">
        <v>1.8</v>
      </c>
      <c r="CO127" t="s">
        <v>480</v>
      </c>
      <c r="CP127" t="s">
        <v>375</v>
      </c>
      <c r="CQ127">
        <v>1.9</v>
      </c>
      <c r="CR127" t="s">
        <v>480</v>
      </c>
      <c r="CS127" t="s">
        <v>375</v>
      </c>
      <c r="CT127">
        <v>1.79</v>
      </c>
      <c r="CU127" t="s">
        <v>480</v>
      </c>
      <c r="CV127" t="s">
        <v>375</v>
      </c>
      <c r="CW127">
        <v>1.9</v>
      </c>
      <c r="CX127" t="s">
        <v>480</v>
      </c>
      <c r="CY127" t="s">
        <v>375</v>
      </c>
      <c r="CZ127">
        <v>1.9</v>
      </c>
      <c r="DA127" t="s">
        <v>480</v>
      </c>
      <c r="DB127" t="s">
        <v>375</v>
      </c>
      <c r="DC127">
        <v>1.97</v>
      </c>
      <c r="DD127" t="s">
        <v>480</v>
      </c>
      <c r="DE127" t="s">
        <v>375</v>
      </c>
      <c r="DF127">
        <v>1.97</v>
      </c>
      <c r="DG127" t="s">
        <v>480</v>
      </c>
      <c r="DH127" t="s">
        <v>375</v>
      </c>
      <c r="DI127">
        <v>1.84</v>
      </c>
      <c r="DJ127" t="s">
        <v>480</v>
      </c>
      <c r="DK127" t="s">
        <v>218</v>
      </c>
      <c r="DL127">
        <v>26</v>
      </c>
      <c r="DM127" t="s">
        <v>219</v>
      </c>
      <c r="DN127" t="s">
        <v>218</v>
      </c>
      <c r="DO127">
        <v>25</v>
      </c>
      <c r="DP127" t="s">
        <v>219</v>
      </c>
      <c r="DQ127" t="s">
        <v>218</v>
      </c>
      <c r="DR127">
        <v>28.68</v>
      </c>
      <c r="DS127" t="s">
        <v>219</v>
      </c>
      <c r="DT127" t="s">
        <v>380</v>
      </c>
      <c r="DU127">
        <v>55.94</v>
      </c>
      <c r="DV127" t="s">
        <v>20</v>
      </c>
      <c r="DW127" t="s">
        <v>380</v>
      </c>
      <c r="DX127">
        <v>57.5</v>
      </c>
      <c r="DY127" t="s">
        <v>20</v>
      </c>
      <c r="DZ127" t="s">
        <v>380</v>
      </c>
      <c r="EA127">
        <v>57.51</v>
      </c>
      <c r="EB127" t="s">
        <v>20</v>
      </c>
      <c r="EC127" t="s">
        <v>380</v>
      </c>
      <c r="ED127">
        <v>59.95</v>
      </c>
      <c r="EE127" t="s">
        <v>20</v>
      </c>
      <c r="EF127" t="s">
        <v>380</v>
      </c>
      <c r="EG127">
        <v>61</v>
      </c>
      <c r="EH127" t="s">
        <v>20</v>
      </c>
      <c r="EI127" t="s">
        <v>380</v>
      </c>
      <c r="EJ127">
        <v>61.98</v>
      </c>
      <c r="EK127" t="s">
        <v>20</v>
      </c>
    </row>
    <row r="128" spans="1:141">
      <c r="A128" t="s">
        <v>218</v>
      </c>
      <c r="B128">
        <v>25.71</v>
      </c>
      <c r="C128" t="s">
        <v>219</v>
      </c>
      <c r="D128" t="s">
        <v>218</v>
      </c>
      <c r="E128">
        <v>25.53</v>
      </c>
      <c r="F128" t="s">
        <v>219</v>
      </c>
      <c r="G128" t="s">
        <v>311</v>
      </c>
      <c r="H128">
        <v>2.7</v>
      </c>
      <c r="I128" t="s">
        <v>461</v>
      </c>
      <c r="J128" t="s">
        <v>311</v>
      </c>
      <c r="K128">
        <v>2.7</v>
      </c>
      <c r="L128" t="s">
        <v>461</v>
      </c>
      <c r="M128" t="s">
        <v>311</v>
      </c>
      <c r="N128">
        <v>2.56</v>
      </c>
      <c r="O128" t="s">
        <v>461</v>
      </c>
      <c r="P128" t="s">
        <v>707</v>
      </c>
      <c r="Q128">
        <v>0.04</v>
      </c>
      <c r="R128" t="s">
        <v>712</v>
      </c>
      <c r="S128" t="s">
        <v>311</v>
      </c>
      <c r="T128">
        <v>2.64</v>
      </c>
      <c r="U128" t="s">
        <v>461</v>
      </c>
      <c r="V128" t="s">
        <v>311</v>
      </c>
      <c r="W128">
        <v>2.5</v>
      </c>
      <c r="X128" t="s">
        <v>461</v>
      </c>
      <c r="Y128" t="s">
        <v>311</v>
      </c>
      <c r="Z128">
        <v>2.5</v>
      </c>
      <c r="AA128" t="s">
        <v>461</v>
      </c>
      <c r="AB128" t="s">
        <v>311</v>
      </c>
      <c r="AC128">
        <v>2.6</v>
      </c>
      <c r="AD128" t="s">
        <v>461</v>
      </c>
      <c r="AE128" t="s">
        <v>311</v>
      </c>
      <c r="AF128">
        <v>2.58</v>
      </c>
      <c r="AG128" t="s">
        <v>461</v>
      </c>
      <c r="AH128" t="s">
        <v>311</v>
      </c>
      <c r="AI128">
        <v>2.58</v>
      </c>
      <c r="AJ128" t="s">
        <v>461</v>
      </c>
      <c r="AK128" t="s">
        <v>311</v>
      </c>
      <c r="AL128">
        <v>2.58</v>
      </c>
      <c r="AM128" t="s">
        <v>461</v>
      </c>
      <c r="AN128" t="s">
        <v>311</v>
      </c>
      <c r="AO128">
        <v>2.52</v>
      </c>
      <c r="AP128" t="s">
        <v>461</v>
      </c>
      <c r="AQ128" t="s">
        <v>311</v>
      </c>
      <c r="AR128">
        <v>2.44</v>
      </c>
      <c r="AS128" t="s">
        <v>461</v>
      </c>
      <c r="AT128" t="s">
        <v>311</v>
      </c>
      <c r="AU128">
        <v>2.44</v>
      </c>
      <c r="AV128" t="s">
        <v>461</v>
      </c>
      <c r="AW128" t="s">
        <v>311</v>
      </c>
      <c r="AX128">
        <v>2.41</v>
      </c>
      <c r="AY128" t="s">
        <v>461</v>
      </c>
      <c r="AZ128" t="s">
        <v>311</v>
      </c>
      <c r="BA128">
        <v>2.5499999999999998</v>
      </c>
      <c r="BB128" t="s">
        <v>461</v>
      </c>
      <c r="BC128" t="s">
        <v>311</v>
      </c>
      <c r="BD128">
        <v>2.41</v>
      </c>
      <c r="BE128" t="s">
        <v>461</v>
      </c>
      <c r="BF128" t="s">
        <v>311</v>
      </c>
      <c r="BG128">
        <v>2.34</v>
      </c>
      <c r="BH128" t="s">
        <v>461</v>
      </c>
      <c r="BI128" t="s">
        <v>311</v>
      </c>
      <c r="BJ128">
        <v>2.34</v>
      </c>
      <c r="BK128" t="s">
        <v>461</v>
      </c>
      <c r="BL128" t="s">
        <v>218</v>
      </c>
      <c r="BM128">
        <v>26.29</v>
      </c>
      <c r="BN128" t="s">
        <v>219</v>
      </c>
      <c r="BO128" t="s">
        <v>218</v>
      </c>
      <c r="BP128">
        <v>25.25</v>
      </c>
      <c r="BQ128" t="s">
        <v>219</v>
      </c>
      <c r="BR128" t="s">
        <v>218</v>
      </c>
      <c r="BS128">
        <v>25.51</v>
      </c>
      <c r="BT128" t="s">
        <v>219</v>
      </c>
      <c r="BU128" t="s">
        <v>218</v>
      </c>
      <c r="BV128">
        <v>25.82</v>
      </c>
      <c r="BW128" t="s">
        <v>219</v>
      </c>
      <c r="BX128" t="s">
        <v>218</v>
      </c>
      <c r="BY128">
        <v>26.45</v>
      </c>
      <c r="BZ128" t="s">
        <v>219</v>
      </c>
      <c r="CA128" t="s">
        <v>347</v>
      </c>
      <c r="CB128">
        <v>147</v>
      </c>
      <c r="CC128" t="s">
        <v>217</v>
      </c>
      <c r="CD128" t="s">
        <v>218</v>
      </c>
      <c r="CE128">
        <v>25.99</v>
      </c>
      <c r="CF128" t="s">
        <v>219</v>
      </c>
      <c r="CG128" t="s">
        <v>218</v>
      </c>
      <c r="CH128">
        <v>25.75</v>
      </c>
      <c r="CI128" t="s">
        <v>219</v>
      </c>
      <c r="CJ128" t="s">
        <v>218</v>
      </c>
      <c r="CK128">
        <v>26</v>
      </c>
      <c r="CL128" t="s">
        <v>219</v>
      </c>
      <c r="CM128" t="s">
        <v>218</v>
      </c>
      <c r="CN128">
        <v>25.94</v>
      </c>
      <c r="CO128" t="s">
        <v>219</v>
      </c>
      <c r="CP128" t="s">
        <v>218</v>
      </c>
      <c r="CQ128">
        <v>25.56</v>
      </c>
      <c r="CR128" t="s">
        <v>219</v>
      </c>
      <c r="CS128" t="s">
        <v>218</v>
      </c>
      <c r="CT128">
        <v>26.18</v>
      </c>
      <c r="CU128" t="s">
        <v>219</v>
      </c>
      <c r="CV128" t="s">
        <v>218</v>
      </c>
      <c r="CW128">
        <v>26.25</v>
      </c>
      <c r="CX128" t="s">
        <v>219</v>
      </c>
      <c r="CY128" t="s">
        <v>218</v>
      </c>
      <c r="CZ128">
        <v>26.51</v>
      </c>
      <c r="DA128" t="s">
        <v>219</v>
      </c>
      <c r="DB128" t="s">
        <v>218</v>
      </c>
      <c r="DC128">
        <v>26.31</v>
      </c>
      <c r="DD128" t="s">
        <v>219</v>
      </c>
      <c r="DE128" t="s">
        <v>218</v>
      </c>
      <c r="DF128">
        <v>26.55</v>
      </c>
      <c r="DG128" t="s">
        <v>219</v>
      </c>
      <c r="DH128" t="s">
        <v>218</v>
      </c>
      <c r="DI128">
        <v>27</v>
      </c>
      <c r="DJ128" t="s">
        <v>219</v>
      </c>
      <c r="DK128" t="s">
        <v>934</v>
      </c>
      <c r="DL128">
        <v>3.64</v>
      </c>
      <c r="DM128" t="s">
        <v>975</v>
      </c>
      <c r="DN128" t="s">
        <v>934</v>
      </c>
      <c r="DO128">
        <v>3.42</v>
      </c>
      <c r="DP128" t="s">
        <v>975</v>
      </c>
      <c r="DQ128" t="s">
        <v>934</v>
      </c>
      <c r="DR128">
        <v>5.18</v>
      </c>
      <c r="DS128" t="s">
        <v>975</v>
      </c>
      <c r="DT128" t="s">
        <v>220</v>
      </c>
      <c r="DU128">
        <v>11.15</v>
      </c>
      <c r="DV128" t="s">
        <v>221</v>
      </c>
      <c r="DW128" t="s">
        <v>220</v>
      </c>
      <c r="DX128">
        <v>11.1</v>
      </c>
      <c r="DY128" t="s">
        <v>221</v>
      </c>
      <c r="DZ128" t="s">
        <v>220</v>
      </c>
      <c r="EA128">
        <v>11.72</v>
      </c>
      <c r="EB128" t="s">
        <v>221</v>
      </c>
      <c r="EC128" t="s">
        <v>220</v>
      </c>
      <c r="ED128">
        <v>11.88</v>
      </c>
      <c r="EE128" t="s">
        <v>221</v>
      </c>
      <c r="EF128" t="s">
        <v>220</v>
      </c>
      <c r="EG128">
        <v>9.4700000000000006</v>
      </c>
      <c r="EH128" t="s">
        <v>221</v>
      </c>
      <c r="EI128" t="s">
        <v>220</v>
      </c>
      <c r="EJ128">
        <v>9.7100000000000009</v>
      </c>
      <c r="EK128" t="s">
        <v>221</v>
      </c>
    </row>
    <row r="129" spans="1:141">
      <c r="A129" t="s">
        <v>311</v>
      </c>
      <c r="B129">
        <v>2.77</v>
      </c>
      <c r="C129" t="s">
        <v>461</v>
      </c>
      <c r="D129" t="s">
        <v>311</v>
      </c>
      <c r="E129">
        <v>2.7</v>
      </c>
      <c r="F129" t="s">
        <v>461</v>
      </c>
      <c r="G129" t="s">
        <v>380</v>
      </c>
      <c r="H129">
        <v>53.01</v>
      </c>
      <c r="I129" t="s">
        <v>20</v>
      </c>
      <c r="J129" t="s">
        <v>380</v>
      </c>
      <c r="K129">
        <v>53.5</v>
      </c>
      <c r="L129" t="s">
        <v>20</v>
      </c>
      <c r="M129" t="s">
        <v>380</v>
      </c>
      <c r="N129">
        <v>53.41</v>
      </c>
      <c r="O129" t="s">
        <v>20</v>
      </c>
      <c r="P129" t="s">
        <v>375</v>
      </c>
      <c r="Q129">
        <v>1.95</v>
      </c>
      <c r="R129" t="s">
        <v>480</v>
      </c>
      <c r="S129" t="s">
        <v>380</v>
      </c>
      <c r="T129">
        <v>53.33</v>
      </c>
      <c r="U129" t="s">
        <v>20</v>
      </c>
      <c r="V129" t="s">
        <v>380</v>
      </c>
      <c r="W129">
        <v>53.37</v>
      </c>
      <c r="X129" t="s">
        <v>20</v>
      </c>
      <c r="Y129" t="s">
        <v>380</v>
      </c>
      <c r="Z129">
        <v>53.83</v>
      </c>
      <c r="AA129" t="s">
        <v>20</v>
      </c>
      <c r="AB129" t="s">
        <v>380</v>
      </c>
      <c r="AC129">
        <v>53.86</v>
      </c>
      <c r="AD129" t="s">
        <v>20</v>
      </c>
      <c r="AE129" t="s">
        <v>380</v>
      </c>
      <c r="AF129">
        <v>54.24</v>
      </c>
      <c r="AG129" t="s">
        <v>20</v>
      </c>
      <c r="AH129" t="s">
        <v>380</v>
      </c>
      <c r="AI129">
        <v>54.25</v>
      </c>
      <c r="AJ129" t="s">
        <v>20</v>
      </c>
      <c r="AK129" t="s">
        <v>380</v>
      </c>
      <c r="AL129">
        <v>53.05</v>
      </c>
      <c r="AM129" t="s">
        <v>20</v>
      </c>
      <c r="AN129" t="s">
        <v>380</v>
      </c>
      <c r="AO129">
        <v>51.7</v>
      </c>
      <c r="AP129" t="s">
        <v>20</v>
      </c>
      <c r="AQ129" t="s">
        <v>380</v>
      </c>
      <c r="AR129">
        <v>52</v>
      </c>
      <c r="AS129" t="s">
        <v>20</v>
      </c>
      <c r="AT129" t="s">
        <v>380</v>
      </c>
      <c r="AU129">
        <v>52.28</v>
      </c>
      <c r="AV129" t="s">
        <v>20</v>
      </c>
      <c r="AW129" t="s">
        <v>380</v>
      </c>
      <c r="AX129">
        <v>53</v>
      </c>
      <c r="AY129" t="s">
        <v>20</v>
      </c>
      <c r="AZ129" t="s">
        <v>380</v>
      </c>
      <c r="BA129">
        <v>52</v>
      </c>
      <c r="BB129" t="s">
        <v>20</v>
      </c>
      <c r="BC129" t="s">
        <v>380</v>
      </c>
      <c r="BD129">
        <v>51.56</v>
      </c>
      <c r="BE129" t="s">
        <v>20</v>
      </c>
      <c r="BF129" t="s">
        <v>380</v>
      </c>
      <c r="BG129">
        <v>51.89</v>
      </c>
      <c r="BH129" t="s">
        <v>20</v>
      </c>
      <c r="BI129" t="s">
        <v>380</v>
      </c>
      <c r="BJ129">
        <v>52</v>
      </c>
      <c r="BK129" t="s">
        <v>20</v>
      </c>
      <c r="BL129" t="s">
        <v>934</v>
      </c>
      <c r="BM129">
        <v>3.5</v>
      </c>
      <c r="BN129" t="s">
        <v>975</v>
      </c>
      <c r="BO129" t="s">
        <v>934</v>
      </c>
      <c r="BP129">
        <v>3.27</v>
      </c>
      <c r="BQ129" t="s">
        <v>975</v>
      </c>
      <c r="BR129" t="s">
        <v>934</v>
      </c>
      <c r="BS129">
        <v>3.72</v>
      </c>
      <c r="BT129" t="s">
        <v>975</v>
      </c>
      <c r="BU129" t="s">
        <v>934</v>
      </c>
      <c r="BV129">
        <v>3.88</v>
      </c>
      <c r="BW129" t="s">
        <v>975</v>
      </c>
      <c r="BX129" t="s">
        <v>934</v>
      </c>
      <c r="BY129">
        <v>3.71</v>
      </c>
      <c r="BZ129" t="s">
        <v>975</v>
      </c>
      <c r="CA129" t="s">
        <v>707</v>
      </c>
      <c r="CB129">
        <v>0.04</v>
      </c>
      <c r="CC129" t="s">
        <v>712</v>
      </c>
      <c r="CD129" t="s">
        <v>934</v>
      </c>
      <c r="CE129">
        <v>3.49</v>
      </c>
      <c r="CF129" t="s">
        <v>975</v>
      </c>
      <c r="CG129" t="s">
        <v>934</v>
      </c>
      <c r="CH129">
        <v>3.51</v>
      </c>
      <c r="CI129" t="s">
        <v>975</v>
      </c>
      <c r="CJ129" t="s">
        <v>934</v>
      </c>
      <c r="CK129">
        <v>3.45</v>
      </c>
      <c r="CL129" t="s">
        <v>975</v>
      </c>
      <c r="CM129" t="s">
        <v>934</v>
      </c>
      <c r="CN129">
        <v>3.46</v>
      </c>
      <c r="CO129" t="s">
        <v>975</v>
      </c>
      <c r="CP129" t="s">
        <v>934</v>
      </c>
      <c r="CQ129">
        <v>3.5</v>
      </c>
      <c r="CR129" t="s">
        <v>975</v>
      </c>
      <c r="CS129" t="s">
        <v>934</v>
      </c>
      <c r="CT129">
        <v>3.47</v>
      </c>
      <c r="CU129" t="s">
        <v>975</v>
      </c>
      <c r="CV129" t="s">
        <v>934</v>
      </c>
      <c r="CW129">
        <v>3.42</v>
      </c>
      <c r="CX129" t="s">
        <v>975</v>
      </c>
      <c r="CY129" t="s">
        <v>934</v>
      </c>
      <c r="CZ129">
        <v>3.48</v>
      </c>
      <c r="DA129" t="s">
        <v>975</v>
      </c>
      <c r="DB129" t="s">
        <v>934</v>
      </c>
      <c r="DC129">
        <v>3.34</v>
      </c>
      <c r="DD129" t="s">
        <v>975</v>
      </c>
      <c r="DE129" t="s">
        <v>934</v>
      </c>
      <c r="DF129">
        <v>3.41</v>
      </c>
      <c r="DG129" t="s">
        <v>975</v>
      </c>
      <c r="DH129" t="s">
        <v>934</v>
      </c>
      <c r="DI129">
        <v>3.68</v>
      </c>
      <c r="DJ129" t="s">
        <v>975</v>
      </c>
      <c r="DK129" t="s">
        <v>311</v>
      </c>
      <c r="DL129">
        <v>4</v>
      </c>
      <c r="DM129" t="s">
        <v>461</v>
      </c>
      <c r="DN129" t="s">
        <v>311</v>
      </c>
      <c r="DO129">
        <v>4.3</v>
      </c>
      <c r="DP129" t="s">
        <v>461</v>
      </c>
      <c r="DQ129" t="s">
        <v>311</v>
      </c>
      <c r="DR129">
        <v>4</v>
      </c>
      <c r="DS129" t="s">
        <v>461</v>
      </c>
      <c r="DT129" t="s">
        <v>222</v>
      </c>
      <c r="DU129">
        <v>28.75</v>
      </c>
      <c r="DV129" t="s">
        <v>223</v>
      </c>
      <c r="DW129" t="s">
        <v>222</v>
      </c>
      <c r="DX129">
        <v>30.81</v>
      </c>
      <c r="DY129" t="s">
        <v>223</v>
      </c>
      <c r="DZ129" t="s">
        <v>222</v>
      </c>
      <c r="EA129">
        <v>30.31</v>
      </c>
      <c r="EB129" t="s">
        <v>223</v>
      </c>
      <c r="EC129" t="s">
        <v>222</v>
      </c>
      <c r="ED129">
        <v>31.33</v>
      </c>
      <c r="EE129" t="s">
        <v>223</v>
      </c>
      <c r="EF129" t="s">
        <v>222</v>
      </c>
      <c r="EG129">
        <v>25.75</v>
      </c>
      <c r="EH129" t="s">
        <v>223</v>
      </c>
      <c r="EI129" t="s">
        <v>222</v>
      </c>
      <c r="EJ129">
        <v>24.75</v>
      </c>
      <c r="EK129" t="s">
        <v>223</v>
      </c>
    </row>
    <row r="130" spans="1:141">
      <c r="A130" t="s">
        <v>380</v>
      </c>
      <c r="B130">
        <v>54</v>
      </c>
      <c r="C130" t="s">
        <v>20</v>
      </c>
      <c r="D130" t="s">
        <v>380</v>
      </c>
      <c r="E130">
        <v>53.53</v>
      </c>
      <c r="F130" t="s">
        <v>20</v>
      </c>
      <c r="G130" t="s">
        <v>220</v>
      </c>
      <c r="H130">
        <v>9.4</v>
      </c>
      <c r="I130" t="s">
        <v>221</v>
      </c>
      <c r="J130" t="s">
        <v>220</v>
      </c>
      <c r="K130">
        <v>9.42</v>
      </c>
      <c r="L130" t="s">
        <v>221</v>
      </c>
      <c r="M130" t="s">
        <v>220</v>
      </c>
      <c r="N130">
        <v>9.2100000000000009</v>
      </c>
      <c r="O130" t="s">
        <v>221</v>
      </c>
      <c r="P130" t="s">
        <v>218</v>
      </c>
      <c r="Q130">
        <v>26.25</v>
      </c>
      <c r="R130" t="s">
        <v>219</v>
      </c>
      <c r="S130" t="s">
        <v>220</v>
      </c>
      <c r="T130">
        <v>9.2200000000000006</v>
      </c>
      <c r="U130" t="s">
        <v>221</v>
      </c>
      <c r="V130" t="s">
        <v>220</v>
      </c>
      <c r="W130">
        <v>9.0399999999999991</v>
      </c>
      <c r="X130" t="s">
        <v>221</v>
      </c>
      <c r="Y130" t="s">
        <v>220</v>
      </c>
      <c r="Z130">
        <v>9.24</v>
      </c>
      <c r="AA130" t="s">
        <v>221</v>
      </c>
      <c r="AB130" t="s">
        <v>220</v>
      </c>
      <c r="AC130">
        <v>9.14</v>
      </c>
      <c r="AD130" t="s">
        <v>221</v>
      </c>
      <c r="AE130" t="s">
        <v>220</v>
      </c>
      <c r="AF130">
        <v>9.06</v>
      </c>
      <c r="AG130" t="s">
        <v>221</v>
      </c>
      <c r="AH130" t="s">
        <v>220</v>
      </c>
      <c r="AI130">
        <v>9.0399999999999991</v>
      </c>
      <c r="AJ130" t="s">
        <v>221</v>
      </c>
      <c r="AK130" t="s">
        <v>220</v>
      </c>
      <c r="AL130">
        <v>9.02</v>
      </c>
      <c r="AM130" t="s">
        <v>221</v>
      </c>
      <c r="AN130" t="s">
        <v>220</v>
      </c>
      <c r="AO130">
        <v>8.9600000000000009</v>
      </c>
      <c r="AP130" t="s">
        <v>221</v>
      </c>
      <c r="AQ130" t="s">
        <v>220</v>
      </c>
      <c r="AR130">
        <v>9.7200000000000006</v>
      </c>
      <c r="AS130" t="s">
        <v>221</v>
      </c>
      <c r="AT130" t="s">
        <v>220</v>
      </c>
      <c r="AU130">
        <v>10.07</v>
      </c>
      <c r="AV130" t="s">
        <v>221</v>
      </c>
      <c r="AW130" t="s">
        <v>220</v>
      </c>
      <c r="AX130">
        <v>9.85</v>
      </c>
      <c r="AY130" t="s">
        <v>221</v>
      </c>
      <c r="AZ130" t="s">
        <v>220</v>
      </c>
      <c r="BA130">
        <v>9.94</v>
      </c>
      <c r="BB130" t="s">
        <v>221</v>
      </c>
      <c r="BC130" t="s">
        <v>220</v>
      </c>
      <c r="BD130">
        <v>10.76</v>
      </c>
      <c r="BE130" t="s">
        <v>221</v>
      </c>
      <c r="BF130" t="s">
        <v>220</v>
      </c>
      <c r="BG130">
        <v>10.6</v>
      </c>
      <c r="BH130" t="s">
        <v>221</v>
      </c>
      <c r="BI130" t="s">
        <v>220</v>
      </c>
      <c r="BJ130">
        <v>10.45</v>
      </c>
      <c r="BK130" t="s">
        <v>221</v>
      </c>
      <c r="BL130" t="s">
        <v>311</v>
      </c>
      <c r="BM130">
        <v>2.19</v>
      </c>
      <c r="BN130" t="s">
        <v>461</v>
      </c>
      <c r="BO130" t="s">
        <v>311</v>
      </c>
      <c r="BP130">
        <v>2.19</v>
      </c>
      <c r="BQ130" t="s">
        <v>461</v>
      </c>
      <c r="BR130" t="s">
        <v>311</v>
      </c>
      <c r="BS130">
        <v>2.19</v>
      </c>
      <c r="BT130" t="s">
        <v>461</v>
      </c>
      <c r="BU130" t="s">
        <v>311</v>
      </c>
      <c r="BV130">
        <v>2.4</v>
      </c>
      <c r="BW130" t="s">
        <v>461</v>
      </c>
      <c r="BX130" t="s">
        <v>311</v>
      </c>
      <c r="BY130">
        <v>2.4</v>
      </c>
      <c r="BZ130" t="s">
        <v>461</v>
      </c>
      <c r="CA130" t="s">
        <v>375</v>
      </c>
      <c r="CB130">
        <v>1.85</v>
      </c>
      <c r="CC130" t="s">
        <v>480</v>
      </c>
      <c r="CD130" t="s">
        <v>311</v>
      </c>
      <c r="CE130">
        <v>2.5299999999999998</v>
      </c>
      <c r="CF130" t="s">
        <v>461</v>
      </c>
      <c r="CG130" t="s">
        <v>311</v>
      </c>
      <c r="CH130">
        <v>2.5299999999999998</v>
      </c>
      <c r="CI130" t="s">
        <v>461</v>
      </c>
      <c r="CJ130" t="s">
        <v>311</v>
      </c>
      <c r="CK130">
        <v>2.67</v>
      </c>
      <c r="CL130" t="s">
        <v>461</v>
      </c>
      <c r="CM130" t="s">
        <v>311</v>
      </c>
      <c r="CN130">
        <v>2.67</v>
      </c>
      <c r="CO130" t="s">
        <v>461</v>
      </c>
      <c r="CP130" t="s">
        <v>311</v>
      </c>
      <c r="CQ130">
        <v>3.2</v>
      </c>
      <c r="CR130" t="s">
        <v>461</v>
      </c>
      <c r="CS130" t="s">
        <v>311</v>
      </c>
      <c r="CT130">
        <v>4.1500000000000004</v>
      </c>
      <c r="CU130" t="s">
        <v>461</v>
      </c>
      <c r="CV130" t="s">
        <v>311</v>
      </c>
      <c r="CW130">
        <v>4.18</v>
      </c>
      <c r="CX130" t="s">
        <v>461</v>
      </c>
      <c r="CY130" t="s">
        <v>311</v>
      </c>
      <c r="CZ130">
        <v>4.18</v>
      </c>
      <c r="DA130" t="s">
        <v>461</v>
      </c>
      <c r="DB130" t="s">
        <v>311</v>
      </c>
      <c r="DC130">
        <v>3.5</v>
      </c>
      <c r="DD130" t="s">
        <v>461</v>
      </c>
      <c r="DE130" t="s">
        <v>311</v>
      </c>
      <c r="DF130">
        <v>3.5</v>
      </c>
      <c r="DG130" t="s">
        <v>461</v>
      </c>
      <c r="DH130" t="s">
        <v>311</v>
      </c>
      <c r="DI130">
        <v>4.1900000000000004</v>
      </c>
      <c r="DJ130" t="s">
        <v>461</v>
      </c>
      <c r="DK130" t="s">
        <v>380</v>
      </c>
      <c r="DL130">
        <v>55.77</v>
      </c>
      <c r="DM130" t="s">
        <v>20</v>
      </c>
      <c r="DN130" t="s">
        <v>380</v>
      </c>
      <c r="DO130">
        <v>55.1</v>
      </c>
      <c r="DP130" t="s">
        <v>20</v>
      </c>
      <c r="DQ130" t="s">
        <v>380</v>
      </c>
      <c r="DR130">
        <v>52</v>
      </c>
      <c r="DS130" t="s">
        <v>20</v>
      </c>
      <c r="DT130" t="s">
        <v>593</v>
      </c>
      <c r="DU130">
        <v>3.78</v>
      </c>
      <c r="DV130" t="s">
        <v>639</v>
      </c>
      <c r="DW130" t="s">
        <v>593</v>
      </c>
      <c r="DX130">
        <v>4.5599999999999996</v>
      </c>
      <c r="DY130" t="s">
        <v>639</v>
      </c>
      <c r="DZ130" t="s">
        <v>593</v>
      </c>
      <c r="EA130">
        <v>5.09</v>
      </c>
      <c r="EB130" t="s">
        <v>639</v>
      </c>
      <c r="EC130" t="s">
        <v>593</v>
      </c>
      <c r="ED130">
        <v>5.42</v>
      </c>
      <c r="EE130" t="s">
        <v>639</v>
      </c>
      <c r="EF130" t="s">
        <v>593</v>
      </c>
      <c r="EG130">
        <v>6.18</v>
      </c>
      <c r="EH130" t="s">
        <v>639</v>
      </c>
      <c r="EI130" t="s">
        <v>593</v>
      </c>
      <c r="EJ130">
        <v>9.9</v>
      </c>
      <c r="EK130" t="s">
        <v>639</v>
      </c>
    </row>
    <row r="131" spans="1:141">
      <c r="A131" t="s">
        <v>220</v>
      </c>
      <c r="B131">
        <v>9.5</v>
      </c>
      <c r="C131" t="s">
        <v>221</v>
      </c>
      <c r="D131" t="s">
        <v>220</v>
      </c>
      <c r="E131">
        <v>9.4</v>
      </c>
      <c r="F131" t="s">
        <v>221</v>
      </c>
      <c r="G131" t="s">
        <v>222</v>
      </c>
      <c r="H131">
        <v>20.95</v>
      </c>
      <c r="I131" t="s">
        <v>223</v>
      </c>
      <c r="J131" t="s">
        <v>222</v>
      </c>
      <c r="K131">
        <v>20.65</v>
      </c>
      <c r="L131" t="s">
        <v>223</v>
      </c>
      <c r="M131" t="s">
        <v>222</v>
      </c>
      <c r="N131">
        <v>20.11</v>
      </c>
      <c r="O131" t="s">
        <v>223</v>
      </c>
      <c r="P131" t="s">
        <v>311</v>
      </c>
      <c r="Q131">
        <v>2.56</v>
      </c>
      <c r="R131" t="s">
        <v>461</v>
      </c>
      <c r="S131" t="s">
        <v>222</v>
      </c>
      <c r="T131">
        <v>20.399999999999999</v>
      </c>
      <c r="U131" t="s">
        <v>223</v>
      </c>
      <c r="V131" t="s">
        <v>222</v>
      </c>
      <c r="W131">
        <v>20.7</v>
      </c>
      <c r="X131" t="s">
        <v>223</v>
      </c>
      <c r="Y131" t="s">
        <v>222</v>
      </c>
      <c r="Z131">
        <v>20.93</v>
      </c>
      <c r="AA131" t="s">
        <v>223</v>
      </c>
      <c r="AB131" t="s">
        <v>222</v>
      </c>
      <c r="AC131">
        <v>20.63</v>
      </c>
      <c r="AD131" t="s">
        <v>223</v>
      </c>
      <c r="AE131" t="s">
        <v>222</v>
      </c>
      <c r="AF131">
        <v>20.8</v>
      </c>
      <c r="AG131" t="s">
        <v>223</v>
      </c>
      <c r="AH131" t="s">
        <v>222</v>
      </c>
      <c r="AI131">
        <v>20.7</v>
      </c>
      <c r="AJ131" t="s">
        <v>223</v>
      </c>
      <c r="AK131" t="s">
        <v>222</v>
      </c>
      <c r="AL131">
        <v>20.3</v>
      </c>
      <c r="AM131" t="s">
        <v>223</v>
      </c>
      <c r="AN131" t="s">
        <v>222</v>
      </c>
      <c r="AO131">
        <v>19.45</v>
      </c>
      <c r="AP131" t="s">
        <v>223</v>
      </c>
      <c r="AQ131" t="s">
        <v>222</v>
      </c>
      <c r="AR131">
        <v>20.12</v>
      </c>
      <c r="AS131" t="s">
        <v>223</v>
      </c>
      <c r="AT131" t="s">
        <v>222</v>
      </c>
      <c r="AU131">
        <v>20</v>
      </c>
      <c r="AV131" t="s">
        <v>223</v>
      </c>
      <c r="AW131" t="s">
        <v>222</v>
      </c>
      <c r="AX131">
        <v>20.45</v>
      </c>
      <c r="AY131" t="s">
        <v>223</v>
      </c>
      <c r="AZ131" t="s">
        <v>222</v>
      </c>
      <c r="BA131">
        <v>20.52</v>
      </c>
      <c r="BB131" t="s">
        <v>223</v>
      </c>
      <c r="BC131" t="s">
        <v>222</v>
      </c>
      <c r="BD131">
        <v>21.7</v>
      </c>
      <c r="BE131" t="s">
        <v>223</v>
      </c>
      <c r="BF131" t="s">
        <v>222</v>
      </c>
      <c r="BG131">
        <v>21.65</v>
      </c>
      <c r="BH131" t="s">
        <v>223</v>
      </c>
      <c r="BI131" t="s">
        <v>222</v>
      </c>
      <c r="BJ131">
        <v>21.99</v>
      </c>
      <c r="BK131" t="s">
        <v>223</v>
      </c>
      <c r="BL131" t="s">
        <v>380</v>
      </c>
      <c r="BM131">
        <v>51.27</v>
      </c>
      <c r="BN131" t="s">
        <v>20</v>
      </c>
      <c r="BO131" t="s">
        <v>380</v>
      </c>
      <c r="BP131">
        <v>51.26</v>
      </c>
      <c r="BQ131" t="s">
        <v>20</v>
      </c>
      <c r="BR131" t="s">
        <v>380</v>
      </c>
      <c r="BS131">
        <v>51.8</v>
      </c>
      <c r="BT131" t="s">
        <v>20</v>
      </c>
      <c r="BU131" t="s">
        <v>380</v>
      </c>
      <c r="BV131">
        <v>52</v>
      </c>
      <c r="BW131" t="s">
        <v>20</v>
      </c>
      <c r="BX131" t="s">
        <v>380</v>
      </c>
      <c r="BY131">
        <v>52</v>
      </c>
      <c r="BZ131" t="s">
        <v>20</v>
      </c>
      <c r="CA131" t="s">
        <v>218</v>
      </c>
      <c r="CB131">
        <v>25.97</v>
      </c>
      <c r="CC131" t="s">
        <v>219</v>
      </c>
      <c r="CD131" t="s">
        <v>380</v>
      </c>
      <c r="CE131">
        <v>52.5</v>
      </c>
      <c r="CF131" t="s">
        <v>20</v>
      </c>
      <c r="CG131" t="s">
        <v>380</v>
      </c>
      <c r="CH131">
        <v>52.47</v>
      </c>
      <c r="CI131" t="s">
        <v>20</v>
      </c>
      <c r="CJ131" t="s">
        <v>380</v>
      </c>
      <c r="CK131">
        <v>53.2</v>
      </c>
      <c r="CL131" t="s">
        <v>20</v>
      </c>
      <c r="CM131" t="s">
        <v>380</v>
      </c>
      <c r="CN131">
        <v>53.41</v>
      </c>
      <c r="CO131" t="s">
        <v>20</v>
      </c>
      <c r="CP131" t="s">
        <v>380</v>
      </c>
      <c r="CQ131">
        <v>53.76</v>
      </c>
      <c r="CR131" t="s">
        <v>20</v>
      </c>
      <c r="CS131" t="s">
        <v>380</v>
      </c>
      <c r="CT131">
        <v>53.48</v>
      </c>
      <c r="CU131" t="s">
        <v>20</v>
      </c>
      <c r="CV131" t="s">
        <v>380</v>
      </c>
      <c r="CW131">
        <v>52.99</v>
      </c>
      <c r="CX131" t="s">
        <v>20</v>
      </c>
      <c r="CY131" t="s">
        <v>380</v>
      </c>
      <c r="CZ131">
        <v>53.77</v>
      </c>
      <c r="DA131" t="s">
        <v>20</v>
      </c>
      <c r="DB131" t="s">
        <v>380</v>
      </c>
      <c r="DC131">
        <v>55.53</v>
      </c>
      <c r="DD131" t="s">
        <v>20</v>
      </c>
      <c r="DE131" t="s">
        <v>380</v>
      </c>
      <c r="DF131">
        <v>56</v>
      </c>
      <c r="DG131" t="s">
        <v>20</v>
      </c>
      <c r="DH131" t="s">
        <v>380</v>
      </c>
      <c r="DI131">
        <v>55.9</v>
      </c>
      <c r="DJ131" t="s">
        <v>20</v>
      </c>
      <c r="DK131" t="s">
        <v>220</v>
      </c>
      <c r="DL131">
        <v>11.48</v>
      </c>
      <c r="DM131" t="s">
        <v>221</v>
      </c>
      <c r="DN131" t="s">
        <v>220</v>
      </c>
      <c r="DO131">
        <v>10.75</v>
      </c>
      <c r="DP131" t="s">
        <v>221</v>
      </c>
      <c r="DQ131" t="s">
        <v>220</v>
      </c>
      <c r="DR131">
        <v>11.15</v>
      </c>
      <c r="DS131" t="s">
        <v>221</v>
      </c>
      <c r="DT131" t="s">
        <v>224</v>
      </c>
      <c r="DU131">
        <v>19.23</v>
      </c>
      <c r="DV131" t="s">
        <v>18</v>
      </c>
      <c r="DW131" t="s">
        <v>224</v>
      </c>
      <c r="DX131">
        <v>18.64</v>
      </c>
      <c r="DY131" t="s">
        <v>18</v>
      </c>
      <c r="DZ131" t="s">
        <v>224</v>
      </c>
      <c r="EA131">
        <v>20.010000000000002</v>
      </c>
      <c r="EB131" t="s">
        <v>18</v>
      </c>
      <c r="EC131" t="s">
        <v>224</v>
      </c>
      <c r="ED131">
        <v>21.5</v>
      </c>
      <c r="EE131" t="s">
        <v>18</v>
      </c>
      <c r="EF131" t="s">
        <v>224</v>
      </c>
      <c r="EG131">
        <v>22.86</v>
      </c>
      <c r="EH131" t="s">
        <v>18</v>
      </c>
      <c r="EI131" t="s">
        <v>224</v>
      </c>
      <c r="EJ131">
        <v>22.72</v>
      </c>
      <c r="EK131" t="s">
        <v>18</v>
      </c>
    </row>
    <row r="132" spans="1:141">
      <c r="A132" t="s">
        <v>222</v>
      </c>
      <c r="B132">
        <v>21.22</v>
      </c>
      <c r="C132" t="s">
        <v>223</v>
      </c>
      <c r="D132" t="s">
        <v>222</v>
      </c>
      <c r="E132">
        <v>20.66</v>
      </c>
      <c r="F132" t="s">
        <v>223</v>
      </c>
      <c r="G132" t="s">
        <v>593</v>
      </c>
      <c r="H132">
        <v>3.31</v>
      </c>
      <c r="I132" t="s">
        <v>639</v>
      </c>
      <c r="J132" t="s">
        <v>593</v>
      </c>
      <c r="K132">
        <v>3.23</v>
      </c>
      <c r="L132" t="s">
        <v>639</v>
      </c>
      <c r="M132" t="s">
        <v>593</v>
      </c>
      <c r="N132">
        <v>3.08</v>
      </c>
      <c r="O132" t="s">
        <v>639</v>
      </c>
      <c r="P132" t="s">
        <v>380</v>
      </c>
      <c r="Q132">
        <v>53.02</v>
      </c>
      <c r="R132" t="s">
        <v>20</v>
      </c>
      <c r="S132" t="s">
        <v>593</v>
      </c>
      <c r="T132">
        <v>2.67</v>
      </c>
      <c r="U132" t="s">
        <v>639</v>
      </c>
      <c r="V132" t="s">
        <v>593</v>
      </c>
      <c r="W132">
        <v>3.14</v>
      </c>
      <c r="X132" t="s">
        <v>639</v>
      </c>
      <c r="Y132" t="s">
        <v>593</v>
      </c>
      <c r="Z132">
        <v>3.12</v>
      </c>
      <c r="AA132" t="s">
        <v>639</v>
      </c>
      <c r="AB132" t="s">
        <v>593</v>
      </c>
      <c r="AC132">
        <v>2.96</v>
      </c>
      <c r="AD132" t="s">
        <v>639</v>
      </c>
      <c r="AE132" t="s">
        <v>593</v>
      </c>
      <c r="AF132">
        <v>3</v>
      </c>
      <c r="AG132" t="s">
        <v>639</v>
      </c>
      <c r="AH132" t="s">
        <v>593</v>
      </c>
      <c r="AI132">
        <v>2.9</v>
      </c>
      <c r="AJ132" t="s">
        <v>639</v>
      </c>
      <c r="AK132" t="s">
        <v>593</v>
      </c>
      <c r="AL132">
        <v>3.05</v>
      </c>
      <c r="AM132" t="s">
        <v>639</v>
      </c>
      <c r="AN132" t="s">
        <v>593</v>
      </c>
      <c r="AO132">
        <v>2.87</v>
      </c>
      <c r="AP132" t="s">
        <v>639</v>
      </c>
      <c r="AQ132" t="s">
        <v>593</v>
      </c>
      <c r="AR132">
        <v>2.81</v>
      </c>
      <c r="AS132" t="s">
        <v>639</v>
      </c>
      <c r="AT132" t="s">
        <v>593</v>
      </c>
      <c r="AU132">
        <v>2.76</v>
      </c>
      <c r="AV132" t="s">
        <v>639</v>
      </c>
      <c r="AW132" t="s">
        <v>593</v>
      </c>
      <c r="AX132">
        <v>2.71</v>
      </c>
      <c r="AY132" t="s">
        <v>639</v>
      </c>
      <c r="AZ132" t="s">
        <v>593</v>
      </c>
      <c r="BA132">
        <v>2.59</v>
      </c>
      <c r="BB132" t="s">
        <v>639</v>
      </c>
      <c r="BC132" t="s">
        <v>593</v>
      </c>
      <c r="BD132">
        <v>2.37</v>
      </c>
      <c r="BE132" t="s">
        <v>639</v>
      </c>
      <c r="BF132" t="s">
        <v>593</v>
      </c>
      <c r="BG132">
        <v>2.19</v>
      </c>
      <c r="BH132" t="s">
        <v>639</v>
      </c>
      <c r="BI132" t="s">
        <v>593</v>
      </c>
      <c r="BJ132">
        <v>2.11</v>
      </c>
      <c r="BK132" t="s">
        <v>639</v>
      </c>
      <c r="BL132" t="s">
        <v>220</v>
      </c>
      <c r="BM132">
        <v>10.06</v>
      </c>
      <c r="BN132" t="s">
        <v>221</v>
      </c>
      <c r="BO132" t="s">
        <v>220</v>
      </c>
      <c r="BP132">
        <v>10.210000000000001</v>
      </c>
      <c r="BQ132" t="s">
        <v>221</v>
      </c>
      <c r="BR132" t="s">
        <v>220</v>
      </c>
      <c r="BS132">
        <v>10.33</v>
      </c>
      <c r="BT132" t="s">
        <v>221</v>
      </c>
      <c r="BU132" t="s">
        <v>220</v>
      </c>
      <c r="BV132">
        <v>10.36</v>
      </c>
      <c r="BW132" t="s">
        <v>221</v>
      </c>
      <c r="BX132" t="s">
        <v>220</v>
      </c>
      <c r="BY132">
        <v>10.37</v>
      </c>
      <c r="BZ132" t="s">
        <v>221</v>
      </c>
      <c r="CA132" t="s">
        <v>934</v>
      </c>
      <c r="CB132">
        <v>3.5</v>
      </c>
      <c r="CC132" t="s">
        <v>975</v>
      </c>
      <c r="CD132" t="s">
        <v>220</v>
      </c>
      <c r="CE132">
        <v>10.67</v>
      </c>
      <c r="CF132" t="s">
        <v>221</v>
      </c>
      <c r="CG132" t="s">
        <v>220</v>
      </c>
      <c r="CH132">
        <v>10.65</v>
      </c>
      <c r="CI132" t="s">
        <v>221</v>
      </c>
      <c r="CJ132" t="s">
        <v>220</v>
      </c>
      <c r="CK132">
        <v>10.57</v>
      </c>
      <c r="CL132" t="s">
        <v>221</v>
      </c>
      <c r="CM132" t="s">
        <v>220</v>
      </c>
      <c r="CN132">
        <v>10.36</v>
      </c>
      <c r="CO132" t="s">
        <v>221</v>
      </c>
      <c r="CP132" t="s">
        <v>220</v>
      </c>
      <c r="CQ132">
        <v>10.3</v>
      </c>
      <c r="CR132" t="s">
        <v>221</v>
      </c>
      <c r="CS132" t="s">
        <v>220</v>
      </c>
      <c r="CT132">
        <v>10.78</v>
      </c>
      <c r="CU132" t="s">
        <v>221</v>
      </c>
      <c r="CV132" t="s">
        <v>220</v>
      </c>
      <c r="CW132">
        <v>10.59</v>
      </c>
      <c r="CX132" t="s">
        <v>221</v>
      </c>
      <c r="CY132" t="s">
        <v>220</v>
      </c>
      <c r="CZ132">
        <v>10.66</v>
      </c>
      <c r="DA132" t="s">
        <v>221</v>
      </c>
      <c r="DB132" t="s">
        <v>220</v>
      </c>
      <c r="DC132">
        <v>10.78</v>
      </c>
      <c r="DD132" t="s">
        <v>221</v>
      </c>
      <c r="DE132" t="s">
        <v>220</v>
      </c>
      <c r="DF132">
        <v>11.1</v>
      </c>
      <c r="DG132" t="s">
        <v>221</v>
      </c>
      <c r="DH132" t="s">
        <v>220</v>
      </c>
      <c r="DI132">
        <v>10.87</v>
      </c>
      <c r="DJ132" t="s">
        <v>221</v>
      </c>
      <c r="DK132" t="s">
        <v>222</v>
      </c>
      <c r="DL132">
        <v>26.15</v>
      </c>
      <c r="DM132" t="s">
        <v>223</v>
      </c>
      <c r="DN132" t="s">
        <v>222</v>
      </c>
      <c r="DO132">
        <v>26.11</v>
      </c>
      <c r="DP132" t="s">
        <v>223</v>
      </c>
      <c r="DQ132" t="s">
        <v>222</v>
      </c>
      <c r="DR132">
        <v>28.51</v>
      </c>
      <c r="DS132" t="s">
        <v>223</v>
      </c>
      <c r="DT132" t="s">
        <v>357</v>
      </c>
      <c r="DU132">
        <v>3.71</v>
      </c>
      <c r="DV132" t="s">
        <v>225</v>
      </c>
      <c r="DW132" t="s">
        <v>357</v>
      </c>
      <c r="DX132">
        <v>3.53</v>
      </c>
      <c r="DY132" t="s">
        <v>225</v>
      </c>
      <c r="DZ132" t="s">
        <v>357</v>
      </c>
      <c r="EA132">
        <v>3.5</v>
      </c>
      <c r="EB132" t="s">
        <v>225</v>
      </c>
      <c r="EC132" t="s">
        <v>357</v>
      </c>
      <c r="ED132">
        <v>3.5</v>
      </c>
      <c r="EE132" t="s">
        <v>225</v>
      </c>
      <c r="EF132" t="s">
        <v>357</v>
      </c>
      <c r="EG132">
        <v>3.5</v>
      </c>
      <c r="EH132" t="s">
        <v>225</v>
      </c>
      <c r="EI132" t="s">
        <v>357</v>
      </c>
      <c r="EJ132">
        <v>3.54</v>
      </c>
      <c r="EK132" t="s">
        <v>225</v>
      </c>
    </row>
    <row r="133" spans="1:141">
      <c r="A133" t="s">
        <v>593</v>
      </c>
      <c r="B133">
        <v>3.72</v>
      </c>
      <c r="C133" t="s">
        <v>639</v>
      </c>
      <c r="D133" t="s">
        <v>593</v>
      </c>
      <c r="E133">
        <v>3.42</v>
      </c>
      <c r="F133" t="s">
        <v>639</v>
      </c>
      <c r="G133" t="s">
        <v>224</v>
      </c>
      <c r="H133">
        <v>10.29</v>
      </c>
      <c r="I133" t="s">
        <v>18</v>
      </c>
      <c r="J133" t="s">
        <v>224</v>
      </c>
      <c r="K133">
        <v>10.210000000000001</v>
      </c>
      <c r="L133" t="s">
        <v>18</v>
      </c>
      <c r="M133" t="s">
        <v>224</v>
      </c>
      <c r="N133">
        <v>10.08</v>
      </c>
      <c r="O133" t="s">
        <v>18</v>
      </c>
      <c r="P133" t="s">
        <v>220</v>
      </c>
      <c r="Q133">
        <v>9.2200000000000006</v>
      </c>
      <c r="R133" t="s">
        <v>221</v>
      </c>
      <c r="S133" t="s">
        <v>224</v>
      </c>
      <c r="T133">
        <v>10.039999999999999</v>
      </c>
      <c r="U133" t="s">
        <v>18</v>
      </c>
      <c r="V133" t="s">
        <v>224</v>
      </c>
      <c r="W133">
        <v>9.73</v>
      </c>
      <c r="X133" t="s">
        <v>18</v>
      </c>
      <c r="Y133" t="s">
        <v>224</v>
      </c>
      <c r="Z133">
        <v>10.1</v>
      </c>
      <c r="AA133" t="s">
        <v>18</v>
      </c>
      <c r="AB133" t="s">
        <v>224</v>
      </c>
      <c r="AC133">
        <v>10.06</v>
      </c>
      <c r="AD133" t="s">
        <v>18</v>
      </c>
      <c r="AE133" t="s">
        <v>224</v>
      </c>
      <c r="AF133">
        <v>9.99</v>
      </c>
      <c r="AG133" t="s">
        <v>18</v>
      </c>
      <c r="AH133" t="s">
        <v>224</v>
      </c>
      <c r="AI133">
        <v>9.8699999999999992</v>
      </c>
      <c r="AJ133" t="s">
        <v>18</v>
      </c>
      <c r="AK133" t="s">
        <v>224</v>
      </c>
      <c r="AL133">
        <v>10.25</v>
      </c>
      <c r="AM133" t="s">
        <v>18</v>
      </c>
      <c r="AN133" t="s">
        <v>224</v>
      </c>
      <c r="AO133">
        <v>9.98</v>
      </c>
      <c r="AP133" t="s">
        <v>18</v>
      </c>
      <c r="AQ133" t="s">
        <v>224</v>
      </c>
      <c r="AR133">
        <v>11.77</v>
      </c>
      <c r="AS133" t="s">
        <v>18</v>
      </c>
      <c r="AT133" t="s">
        <v>224</v>
      </c>
      <c r="AU133">
        <v>11.42</v>
      </c>
      <c r="AV133" t="s">
        <v>18</v>
      </c>
      <c r="AW133" t="s">
        <v>224</v>
      </c>
      <c r="AX133">
        <v>11.21</v>
      </c>
      <c r="AY133" t="s">
        <v>18</v>
      </c>
      <c r="AZ133" t="s">
        <v>224</v>
      </c>
      <c r="BA133">
        <v>12.18</v>
      </c>
      <c r="BB133" t="s">
        <v>18</v>
      </c>
      <c r="BC133" t="s">
        <v>224</v>
      </c>
      <c r="BD133">
        <v>12.03</v>
      </c>
      <c r="BE133" t="s">
        <v>18</v>
      </c>
      <c r="BF133" t="s">
        <v>224</v>
      </c>
      <c r="BG133">
        <v>12.19</v>
      </c>
      <c r="BH133" t="s">
        <v>18</v>
      </c>
      <c r="BI133" t="s">
        <v>224</v>
      </c>
      <c r="BJ133">
        <v>12</v>
      </c>
      <c r="BK133" t="s">
        <v>18</v>
      </c>
      <c r="BL133" t="s">
        <v>222</v>
      </c>
      <c r="BM133">
        <v>21.6</v>
      </c>
      <c r="BN133" t="s">
        <v>223</v>
      </c>
      <c r="BO133" t="s">
        <v>222</v>
      </c>
      <c r="BP133">
        <v>22.95</v>
      </c>
      <c r="BQ133" t="s">
        <v>223</v>
      </c>
      <c r="BR133" t="s">
        <v>222</v>
      </c>
      <c r="BS133">
        <v>23.68</v>
      </c>
      <c r="BT133" t="s">
        <v>223</v>
      </c>
      <c r="BU133" t="s">
        <v>222</v>
      </c>
      <c r="BV133">
        <v>23.21</v>
      </c>
      <c r="BW133" t="s">
        <v>223</v>
      </c>
      <c r="BX133" t="s">
        <v>222</v>
      </c>
      <c r="BY133">
        <v>24.25</v>
      </c>
      <c r="BZ133" t="s">
        <v>223</v>
      </c>
      <c r="CA133" t="s">
        <v>311</v>
      </c>
      <c r="CB133">
        <v>2.5299999999999998</v>
      </c>
      <c r="CC133" t="s">
        <v>461</v>
      </c>
      <c r="CD133" t="s">
        <v>222</v>
      </c>
      <c r="CE133">
        <v>25.59</v>
      </c>
      <c r="CF133" t="s">
        <v>223</v>
      </c>
      <c r="CG133" t="s">
        <v>222</v>
      </c>
      <c r="CH133">
        <v>25.8</v>
      </c>
      <c r="CI133" t="s">
        <v>223</v>
      </c>
      <c r="CJ133" t="s">
        <v>222</v>
      </c>
      <c r="CK133">
        <v>25.2</v>
      </c>
      <c r="CL133" t="s">
        <v>223</v>
      </c>
      <c r="CM133" t="s">
        <v>222</v>
      </c>
      <c r="CN133">
        <v>25.1</v>
      </c>
      <c r="CO133" t="s">
        <v>223</v>
      </c>
      <c r="CP133" t="s">
        <v>222</v>
      </c>
      <c r="CQ133">
        <v>26</v>
      </c>
      <c r="CR133" t="s">
        <v>223</v>
      </c>
      <c r="CS133" t="s">
        <v>222</v>
      </c>
      <c r="CT133">
        <v>26.2</v>
      </c>
      <c r="CU133" t="s">
        <v>223</v>
      </c>
      <c r="CV133" t="s">
        <v>222</v>
      </c>
      <c r="CW133">
        <v>25.9</v>
      </c>
      <c r="CX133" t="s">
        <v>223</v>
      </c>
      <c r="CY133" t="s">
        <v>222</v>
      </c>
      <c r="CZ133">
        <v>27.9</v>
      </c>
      <c r="DA133" t="s">
        <v>223</v>
      </c>
      <c r="DB133" t="s">
        <v>222</v>
      </c>
      <c r="DC133">
        <v>27.35</v>
      </c>
      <c r="DD133" t="s">
        <v>223</v>
      </c>
      <c r="DE133" t="s">
        <v>222</v>
      </c>
      <c r="DF133">
        <v>27.8</v>
      </c>
      <c r="DG133" t="s">
        <v>223</v>
      </c>
      <c r="DH133" t="s">
        <v>222</v>
      </c>
      <c r="DI133">
        <v>27.8</v>
      </c>
      <c r="DJ133" t="s">
        <v>223</v>
      </c>
      <c r="DK133" t="s">
        <v>593</v>
      </c>
      <c r="DL133">
        <v>1.96</v>
      </c>
      <c r="DM133" t="s">
        <v>639</v>
      </c>
      <c r="DN133" t="s">
        <v>593</v>
      </c>
      <c r="DO133">
        <v>1.93</v>
      </c>
      <c r="DP133" t="s">
        <v>639</v>
      </c>
      <c r="DQ133" t="s">
        <v>593</v>
      </c>
      <c r="DR133">
        <v>2.5</v>
      </c>
      <c r="DS133" t="s">
        <v>639</v>
      </c>
      <c r="DT133" t="s">
        <v>345</v>
      </c>
      <c r="DU133">
        <v>49.2</v>
      </c>
      <c r="DV133" t="s">
        <v>469</v>
      </c>
      <c r="DW133" t="s">
        <v>345</v>
      </c>
      <c r="DX133">
        <v>49.2</v>
      </c>
      <c r="DY133" t="s">
        <v>469</v>
      </c>
      <c r="DZ133" t="s">
        <v>345</v>
      </c>
      <c r="EA133">
        <v>49.2</v>
      </c>
      <c r="EB133" t="s">
        <v>469</v>
      </c>
      <c r="EC133" t="s">
        <v>345</v>
      </c>
      <c r="ED133">
        <v>49.2</v>
      </c>
      <c r="EE133" t="s">
        <v>469</v>
      </c>
      <c r="EF133" t="s">
        <v>345</v>
      </c>
      <c r="EG133">
        <v>49.2</v>
      </c>
      <c r="EH133" t="s">
        <v>469</v>
      </c>
      <c r="EI133" t="s">
        <v>345</v>
      </c>
      <c r="EJ133">
        <v>49.2</v>
      </c>
      <c r="EK133" t="s">
        <v>469</v>
      </c>
    </row>
    <row r="134" spans="1:141">
      <c r="A134" t="s">
        <v>224</v>
      </c>
      <c r="B134">
        <v>10.3</v>
      </c>
      <c r="C134" t="s">
        <v>18</v>
      </c>
      <c r="D134" t="s">
        <v>224</v>
      </c>
      <c r="E134">
        <v>10.24</v>
      </c>
      <c r="F134" t="s">
        <v>18</v>
      </c>
      <c r="G134" t="s">
        <v>357</v>
      </c>
      <c r="H134">
        <v>3.4</v>
      </c>
      <c r="I134" t="s">
        <v>225</v>
      </c>
      <c r="J134" t="s">
        <v>357</v>
      </c>
      <c r="K134">
        <v>3.3</v>
      </c>
      <c r="L134" t="s">
        <v>225</v>
      </c>
      <c r="M134" t="s">
        <v>357</v>
      </c>
      <c r="N134">
        <v>3.29</v>
      </c>
      <c r="O134" t="s">
        <v>225</v>
      </c>
      <c r="P134" t="s">
        <v>222</v>
      </c>
      <c r="Q134">
        <v>20.53</v>
      </c>
      <c r="R134" t="s">
        <v>223</v>
      </c>
      <c r="S134" t="s">
        <v>357</v>
      </c>
      <c r="T134">
        <v>3.36</v>
      </c>
      <c r="U134" t="s">
        <v>225</v>
      </c>
      <c r="V134" t="s">
        <v>357</v>
      </c>
      <c r="W134">
        <v>3.52</v>
      </c>
      <c r="X134" t="s">
        <v>225</v>
      </c>
      <c r="Y134" t="s">
        <v>357</v>
      </c>
      <c r="Z134">
        <v>3.59</v>
      </c>
      <c r="AA134" t="s">
        <v>225</v>
      </c>
      <c r="AB134" t="s">
        <v>357</v>
      </c>
      <c r="AC134">
        <v>3.54</v>
      </c>
      <c r="AD134" t="s">
        <v>225</v>
      </c>
      <c r="AE134" t="s">
        <v>357</v>
      </c>
      <c r="AF134">
        <v>3.48</v>
      </c>
      <c r="AG134" t="s">
        <v>225</v>
      </c>
      <c r="AH134" t="s">
        <v>357</v>
      </c>
      <c r="AI134">
        <v>3.4</v>
      </c>
      <c r="AJ134" t="s">
        <v>225</v>
      </c>
      <c r="AK134" t="s">
        <v>357</v>
      </c>
      <c r="AL134">
        <v>3.36</v>
      </c>
      <c r="AM134" t="s">
        <v>225</v>
      </c>
      <c r="AN134" t="s">
        <v>357</v>
      </c>
      <c r="AO134">
        <v>3.29</v>
      </c>
      <c r="AP134" t="s">
        <v>225</v>
      </c>
      <c r="AQ134" t="s">
        <v>357</v>
      </c>
      <c r="AR134">
        <v>3.31</v>
      </c>
      <c r="AS134" t="s">
        <v>225</v>
      </c>
      <c r="AT134" t="s">
        <v>357</v>
      </c>
      <c r="AU134">
        <v>3.4</v>
      </c>
      <c r="AV134" t="s">
        <v>225</v>
      </c>
      <c r="AW134" t="s">
        <v>357</v>
      </c>
      <c r="AX134">
        <v>3.43</v>
      </c>
      <c r="AY134" t="s">
        <v>225</v>
      </c>
      <c r="AZ134" t="s">
        <v>357</v>
      </c>
      <c r="BA134">
        <v>3.43</v>
      </c>
      <c r="BB134" t="s">
        <v>225</v>
      </c>
      <c r="BC134" t="s">
        <v>357</v>
      </c>
      <c r="BD134">
        <v>3.39</v>
      </c>
      <c r="BE134" t="s">
        <v>225</v>
      </c>
      <c r="BF134" t="s">
        <v>357</v>
      </c>
      <c r="BG134">
        <v>3.32</v>
      </c>
      <c r="BH134" t="s">
        <v>225</v>
      </c>
      <c r="BI134" t="s">
        <v>357</v>
      </c>
      <c r="BJ134">
        <v>3.3</v>
      </c>
      <c r="BK134" t="s">
        <v>225</v>
      </c>
      <c r="BL134" t="s">
        <v>593</v>
      </c>
      <c r="BM134">
        <v>1.95</v>
      </c>
      <c r="BN134" t="s">
        <v>639</v>
      </c>
      <c r="BO134" t="s">
        <v>593</v>
      </c>
      <c r="BP134">
        <v>1.96</v>
      </c>
      <c r="BQ134" t="s">
        <v>639</v>
      </c>
      <c r="BR134" t="s">
        <v>593</v>
      </c>
      <c r="BS134">
        <v>2.14</v>
      </c>
      <c r="BT134" t="s">
        <v>639</v>
      </c>
      <c r="BU134" t="s">
        <v>593</v>
      </c>
      <c r="BV134">
        <v>2.17</v>
      </c>
      <c r="BW134" t="s">
        <v>639</v>
      </c>
      <c r="BX134" t="s">
        <v>593</v>
      </c>
      <c r="BY134">
        <v>2.11</v>
      </c>
      <c r="BZ134" t="s">
        <v>639</v>
      </c>
      <c r="CA134" t="s">
        <v>380</v>
      </c>
      <c r="CB134">
        <v>51.5</v>
      </c>
      <c r="CC134" t="s">
        <v>20</v>
      </c>
      <c r="CD134" t="s">
        <v>593</v>
      </c>
      <c r="CE134">
        <v>2.04</v>
      </c>
      <c r="CF134" t="s">
        <v>639</v>
      </c>
      <c r="CG134" t="s">
        <v>593</v>
      </c>
      <c r="CH134">
        <v>2.08</v>
      </c>
      <c r="CI134" t="s">
        <v>639</v>
      </c>
      <c r="CJ134" t="s">
        <v>593</v>
      </c>
      <c r="CK134">
        <v>2.0499999999999998</v>
      </c>
      <c r="CL134" t="s">
        <v>639</v>
      </c>
      <c r="CM134" t="s">
        <v>593</v>
      </c>
      <c r="CN134">
        <v>1.95</v>
      </c>
      <c r="CO134" t="s">
        <v>639</v>
      </c>
      <c r="CP134" t="s">
        <v>593</v>
      </c>
      <c r="CQ134">
        <v>1.97</v>
      </c>
      <c r="CR134" t="s">
        <v>639</v>
      </c>
      <c r="CS134" t="s">
        <v>593</v>
      </c>
      <c r="CT134">
        <v>1.97</v>
      </c>
      <c r="CU134" t="s">
        <v>639</v>
      </c>
      <c r="CV134" t="s">
        <v>593</v>
      </c>
      <c r="CW134">
        <v>1.93</v>
      </c>
      <c r="CX134" t="s">
        <v>639</v>
      </c>
      <c r="CY134" t="s">
        <v>593</v>
      </c>
      <c r="CZ134">
        <v>1.9</v>
      </c>
      <c r="DA134" t="s">
        <v>639</v>
      </c>
      <c r="DB134" t="s">
        <v>593</v>
      </c>
      <c r="DC134">
        <v>1.97</v>
      </c>
      <c r="DD134" t="s">
        <v>639</v>
      </c>
      <c r="DE134" t="s">
        <v>593</v>
      </c>
      <c r="DF134">
        <v>2.08</v>
      </c>
      <c r="DG134" t="s">
        <v>639</v>
      </c>
      <c r="DH134" t="s">
        <v>593</v>
      </c>
      <c r="DI134">
        <v>1.98</v>
      </c>
      <c r="DJ134" t="s">
        <v>639</v>
      </c>
      <c r="DK134" t="s">
        <v>224</v>
      </c>
      <c r="DL134">
        <v>20.3</v>
      </c>
      <c r="DM134" t="s">
        <v>18</v>
      </c>
      <c r="DN134" t="s">
        <v>224</v>
      </c>
      <c r="DO134">
        <v>18.010000000000002</v>
      </c>
      <c r="DP134" t="s">
        <v>18</v>
      </c>
      <c r="DQ134" t="s">
        <v>224</v>
      </c>
      <c r="DR134">
        <v>20.02</v>
      </c>
      <c r="DS134" t="s">
        <v>18</v>
      </c>
      <c r="DT134" t="s">
        <v>372</v>
      </c>
      <c r="DU134">
        <v>2.61</v>
      </c>
      <c r="DV134" t="s">
        <v>226</v>
      </c>
      <c r="DW134" t="s">
        <v>372</v>
      </c>
      <c r="DX134">
        <v>2.59</v>
      </c>
      <c r="DY134" t="s">
        <v>226</v>
      </c>
      <c r="DZ134" t="s">
        <v>372</v>
      </c>
      <c r="EA134">
        <v>2.58</v>
      </c>
      <c r="EB134" t="s">
        <v>226</v>
      </c>
      <c r="EC134" t="s">
        <v>372</v>
      </c>
      <c r="ED134">
        <v>2.4</v>
      </c>
      <c r="EE134" t="s">
        <v>226</v>
      </c>
      <c r="EF134" t="s">
        <v>372</v>
      </c>
      <c r="EG134">
        <v>2.54</v>
      </c>
      <c r="EH134" t="s">
        <v>226</v>
      </c>
      <c r="EI134" t="s">
        <v>372</v>
      </c>
      <c r="EJ134">
        <v>2.78</v>
      </c>
      <c r="EK134" t="s">
        <v>226</v>
      </c>
    </row>
    <row r="135" spans="1:141">
      <c r="A135" t="s">
        <v>357</v>
      </c>
      <c r="B135">
        <v>3.48</v>
      </c>
      <c r="C135" t="s">
        <v>225</v>
      </c>
      <c r="D135" t="s">
        <v>357</v>
      </c>
      <c r="E135">
        <v>3.33</v>
      </c>
      <c r="F135" t="s">
        <v>225</v>
      </c>
      <c r="G135" t="s">
        <v>345</v>
      </c>
      <c r="H135">
        <v>49.2</v>
      </c>
      <c r="I135" t="s">
        <v>469</v>
      </c>
      <c r="J135" t="s">
        <v>345</v>
      </c>
      <c r="K135">
        <v>49.2</v>
      </c>
      <c r="L135" t="s">
        <v>469</v>
      </c>
      <c r="M135" t="s">
        <v>345</v>
      </c>
      <c r="N135">
        <v>49.2</v>
      </c>
      <c r="O135" t="s">
        <v>469</v>
      </c>
      <c r="P135" t="s">
        <v>593</v>
      </c>
      <c r="Q135">
        <v>2.86</v>
      </c>
      <c r="R135" t="s">
        <v>639</v>
      </c>
      <c r="S135" t="s">
        <v>345</v>
      </c>
      <c r="T135">
        <v>49.2</v>
      </c>
      <c r="U135" t="s">
        <v>469</v>
      </c>
      <c r="V135" t="s">
        <v>345</v>
      </c>
      <c r="W135">
        <v>49.2</v>
      </c>
      <c r="X135" t="s">
        <v>469</v>
      </c>
      <c r="Y135" t="s">
        <v>345</v>
      </c>
      <c r="Z135">
        <v>49.2</v>
      </c>
      <c r="AA135" t="s">
        <v>469</v>
      </c>
      <c r="AB135" t="s">
        <v>345</v>
      </c>
      <c r="AC135">
        <v>49.2</v>
      </c>
      <c r="AD135" t="s">
        <v>469</v>
      </c>
      <c r="AE135" t="s">
        <v>345</v>
      </c>
      <c r="AF135">
        <v>49.2</v>
      </c>
      <c r="AG135" t="s">
        <v>469</v>
      </c>
      <c r="AH135" t="s">
        <v>345</v>
      </c>
      <c r="AI135">
        <v>49.2</v>
      </c>
      <c r="AJ135" t="s">
        <v>469</v>
      </c>
      <c r="AK135" t="s">
        <v>345</v>
      </c>
      <c r="AL135">
        <v>49.2</v>
      </c>
      <c r="AM135" t="s">
        <v>469</v>
      </c>
      <c r="AN135" t="s">
        <v>345</v>
      </c>
      <c r="AO135">
        <v>49.2</v>
      </c>
      <c r="AP135" t="s">
        <v>469</v>
      </c>
      <c r="AQ135" t="s">
        <v>345</v>
      </c>
      <c r="AR135">
        <v>49.2</v>
      </c>
      <c r="AS135" t="s">
        <v>469</v>
      </c>
      <c r="AT135" t="s">
        <v>345</v>
      </c>
      <c r="AU135">
        <v>49.2</v>
      </c>
      <c r="AV135" t="s">
        <v>469</v>
      </c>
      <c r="AW135" t="s">
        <v>345</v>
      </c>
      <c r="AX135">
        <v>49.2</v>
      </c>
      <c r="AY135" t="s">
        <v>469</v>
      </c>
      <c r="AZ135" t="s">
        <v>345</v>
      </c>
      <c r="BA135">
        <v>41.3</v>
      </c>
      <c r="BB135" t="s">
        <v>469</v>
      </c>
      <c r="BC135" t="s">
        <v>345</v>
      </c>
      <c r="BD135">
        <v>41.3</v>
      </c>
      <c r="BE135" t="s">
        <v>469</v>
      </c>
      <c r="BF135" t="s">
        <v>345</v>
      </c>
      <c r="BG135">
        <v>40.25</v>
      </c>
      <c r="BH135" t="s">
        <v>469</v>
      </c>
      <c r="BI135" t="s">
        <v>345</v>
      </c>
      <c r="BJ135">
        <v>40.25</v>
      </c>
      <c r="BK135" t="s">
        <v>469</v>
      </c>
      <c r="BL135" t="s">
        <v>224</v>
      </c>
      <c r="BM135">
        <v>11.64</v>
      </c>
      <c r="BN135" t="s">
        <v>18</v>
      </c>
      <c r="BO135" t="s">
        <v>224</v>
      </c>
      <c r="BP135">
        <v>11.65</v>
      </c>
      <c r="BQ135" t="s">
        <v>18</v>
      </c>
      <c r="BR135" t="s">
        <v>224</v>
      </c>
      <c r="BS135">
        <v>11.64</v>
      </c>
      <c r="BT135" t="s">
        <v>18</v>
      </c>
      <c r="BU135" t="s">
        <v>224</v>
      </c>
      <c r="BV135">
        <v>11.76</v>
      </c>
      <c r="BW135" t="s">
        <v>18</v>
      </c>
      <c r="BX135" t="s">
        <v>224</v>
      </c>
      <c r="BY135">
        <v>12.03</v>
      </c>
      <c r="BZ135" t="s">
        <v>18</v>
      </c>
      <c r="CA135" t="s">
        <v>220</v>
      </c>
      <c r="CB135">
        <v>10.56</v>
      </c>
      <c r="CC135" t="s">
        <v>221</v>
      </c>
      <c r="CD135" t="s">
        <v>224</v>
      </c>
      <c r="CE135">
        <v>13.45</v>
      </c>
      <c r="CF135" t="s">
        <v>18</v>
      </c>
      <c r="CG135" t="s">
        <v>224</v>
      </c>
      <c r="CH135">
        <v>13.18</v>
      </c>
      <c r="CI135" t="s">
        <v>18</v>
      </c>
      <c r="CJ135" t="s">
        <v>224</v>
      </c>
      <c r="CK135">
        <v>13.61</v>
      </c>
      <c r="CL135" t="s">
        <v>18</v>
      </c>
      <c r="CM135" t="s">
        <v>224</v>
      </c>
      <c r="CN135">
        <v>13.41</v>
      </c>
      <c r="CO135" t="s">
        <v>18</v>
      </c>
      <c r="CP135" t="s">
        <v>224</v>
      </c>
      <c r="CQ135">
        <v>13.4</v>
      </c>
      <c r="CR135" t="s">
        <v>18</v>
      </c>
      <c r="CS135" t="s">
        <v>224</v>
      </c>
      <c r="CT135">
        <v>13.33</v>
      </c>
      <c r="CU135" t="s">
        <v>18</v>
      </c>
      <c r="CV135" t="s">
        <v>224</v>
      </c>
      <c r="CW135">
        <v>13.21</v>
      </c>
      <c r="CX135" t="s">
        <v>18</v>
      </c>
      <c r="CY135" t="s">
        <v>224</v>
      </c>
      <c r="CZ135">
        <v>15.41</v>
      </c>
      <c r="DA135" t="s">
        <v>18</v>
      </c>
      <c r="DB135" t="s">
        <v>224</v>
      </c>
      <c r="DC135">
        <v>17.3</v>
      </c>
      <c r="DD135" t="s">
        <v>18</v>
      </c>
      <c r="DE135" t="s">
        <v>224</v>
      </c>
      <c r="DF135">
        <v>17.079999999999998</v>
      </c>
      <c r="DG135" t="s">
        <v>18</v>
      </c>
      <c r="DH135" t="s">
        <v>224</v>
      </c>
      <c r="DI135">
        <v>19.07</v>
      </c>
      <c r="DJ135" t="s">
        <v>18</v>
      </c>
      <c r="DK135" t="s">
        <v>357</v>
      </c>
      <c r="DL135">
        <v>3.15</v>
      </c>
      <c r="DM135" t="s">
        <v>225</v>
      </c>
      <c r="DN135" t="s">
        <v>357</v>
      </c>
      <c r="DO135">
        <v>3.21</v>
      </c>
      <c r="DP135" t="s">
        <v>225</v>
      </c>
      <c r="DQ135" t="s">
        <v>357</v>
      </c>
      <c r="DR135">
        <v>3.86</v>
      </c>
      <c r="DS135" t="s">
        <v>225</v>
      </c>
      <c r="DT135" t="s">
        <v>376</v>
      </c>
      <c r="DU135">
        <v>26.87</v>
      </c>
      <c r="DV135" t="s">
        <v>124</v>
      </c>
      <c r="DW135" t="s">
        <v>376</v>
      </c>
      <c r="DX135">
        <v>26.99</v>
      </c>
      <c r="DY135" t="s">
        <v>124</v>
      </c>
      <c r="DZ135" t="s">
        <v>376</v>
      </c>
      <c r="EA135">
        <v>29.48</v>
      </c>
      <c r="EB135" t="s">
        <v>124</v>
      </c>
      <c r="EC135" t="s">
        <v>376</v>
      </c>
      <c r="ED135">
        <v>27.66</v>
      </c>
      <c r="EE135" t="s">
        <v>124</v>
      </c>
      <c r="EF135" t="s">
        <v>376</v>
      </c>
      <c r="EG135">
        <v>26.02</v>
      </c>
      <c r="EH135" t="s">
        <v>124</v>
      </c>
      <c r="EI135" t="s">
        <v>376</v>
      </c>
      <c r="EJ135">
        <v>26.79</v>
      </c>
      <c r="EK135" t="s">
        <v>124</v>
      </c>
    </row>
    <row r="136" spans="1:141">
      <c r="A136" t="s">
        <v>345</v>
      </c>
      <c r="B136">
        <v>49.2</v>
      </c>
      <c r="C136" t="s">
        <v>469</v>
      </c>
      <c r="D136" t="s">
        <v>345</v>
      </c>
      <c r="E136">
        <v>49.2</v>
      </c>
      <c r="F136" t="s">
        <v>469</v>
      </c>
      <c r="G136" t="s">
        <v>372</v>
      </c>
      <c r="H136">
        <v>2.02</v>
      </c>
      <c r="I136" t="s">
        <v>226</v>
      </c>
      <c r="J136" t="s">
        <v>372</v>
      </c>
      <c r="K136">
        <v>2.2200000000000002</v>
      </c>
      <c r="L136" t="s">
        <v>226</v>
      </c>
      <c r="M136" t="s">
        <v>372</v>
      </c>
      <c r="N136">
        <v>2.4300000000000002</v>
      </c>
      <c r="O136" t="s">
        <v>226</v>
      </c>
      <c r="P136" t="s">
        <v>224</v>
      </c>
      <c r="Q136">
        <v>10.039999999999999</v>
      </c>
      <c r="R136" t="s">
        <v>18</v>
      </c>
      <c r="S136" t="s">
        <v>372</v>
      </c>
      <c r="T136">
        <v>2.5499999999999998</v>
      </c>
      <c r="U136" t="s">
        <v>226</v>
      </c>
      <c r="V136" t="s">
        <v>372</v>
      </c>
      <c r="W136">
        <v>2.56</v>
      </c>
      <c r="X136" t="s">
        <v>226</v>
      </c>
      <c r="Y136" t="s">
        <v>372</v>
      </c>
      <c r="Z136">
        <v>2.6</v>
      </c>
      <c r="AA136" t="s">
        <v>226</v>
      </c>
      <c r="AB136" t="s">
        <v>372</v>
      </c>
      <c r="AC136">
        <v>2.63</v>
      </c>
      <c r="AD136" t="s">
        <v>226</v>
      </c>
      <c r="AE136" t="s">
        <v>372</v>
      </c>
      <c r="AF136">
        <v>2.77</v>
      </c>
      <c r="AG136" t="s">
        <v>226</v>
      </c>
      <c r="AH136" t="s">
        <v>372</v>
      </c>
      <c r="AI136">
        <v>2.69</v>
      </c>
      <c r="AJ136" t="s">
        <v>226</v>
      </c>
      <c r="AK136" t="s">
        <v>372</v>
      </c>
      <c r="AL136">
        <v>2.65</v>
      </c>
      <c r="AM136" t="s">
        <v>226</v>
      </c>
      <c r="AN136" t="s">
        <v>372</v>
      </c>
      <c r="AO136">
        <v>2.6</v>
      </c>
      <c r="AP136" t="s">
        <v>226</v>
      </c>
      <c r="AQ136" t="s">
        <v>372</v>
      </c>
      <c r="AR136">
        <v>2.71</v>
      </c>
      <c r="AS136" t="s">
        <v>226</v>
      </c>
      <c r="AT136" t="s">
        <v>372</v>
      </c>
      <c r="AU136">
        <v>2.72</v>
      </c>
      <c r="AV136" t="s">
        <v>226</v>
      </c>
      <c r="AW136" t="s">
        <v>372</v>
      </c>
      <c r="AX136">
        <v>2.68</v>
      </c>
      <c r="AY136" t="s">
        <v>226</v>
      </c>
      <c r="AZ136" t="s">
        <v>372</v>
      </c>
      <c r="BA136">
        <v>2.66</v>
      </c>
      <c r="BB136" t="s">
        <v>226</v>
      </c>
      <c r="BC136" t="s">
        <v>372</v>
      </c>
      <c r="BD136">
        <v>2.46</v>
      </c>
      <c r="BE136" t="s">
        <v>226</v>
      </c>
      <c r="BF136" t="s">
        <v>372</v>
      </c>
      <c r="BG136">
        <v>2.59</v>
      </c>
      <c r="BH136" t="s">
        <v>226</v>
      </c>
      <c r="BI136" t="s">
        <v>372</v>
      </c>
      <c r="BJ136">
        <v>2.68</v>
      </c>
      <c r="BK136" t="s">
        <v>226</v>
      </c>
      <c r="BL136" t="s">
        <v>357</v>
      </c>
      <c r="BM136">
        <v>3.13</v>
      </c>
      <c r="BN136" t="s">
        <v>225</v>
      </c>
      <c r="BO136" t="s">
        <v>357</v>
      </c>
      <c r="BP136">
        <v>3.18</v>
      </c>
      <c r="BQ136" t="s">
        <v>225</v>
      </c>
      <c r="BR136" t="s">
        <v>357</v>
      </c>
      <c r="BS136">
        <v>3.21</v>
      </c>
      <c r="BT136" t="s">
        <v>225</v>
      </c>
      <c r="BU136" t="s">
        <v>357</v>
      </c>
      <c r="BV136">
        <v>3.22</v>
      </c>
      <c r="BW136" t="s">
        <v>225</v>
      </c>
      <c r="BX136" t="s">
        <v>357</v>
      </c>
      <c r="BY136">
        <v>3.22</v>
      </c>
      <c r="BZ136" t="s">
        <v>225</v>
      </c>
      <c r="CA136" t="s">
        <v>222</v>
      </c>
      <c r="CB136">
        <v>25.16</v>
      </c>
      <c r="CC136" t="s">
        <v>223</v>
      </c>
      <c r="CD136" t="s">
        <v>357</v>
      </c>
      <c r="CE136">
        <v>3.24</v>
      </c>
      <c r="CF136" t="s">
        <v>225</v>
      </c>
      <c r="CG136" t="s">
        <v>357</v>
      </c>
      <c r="CH136">
        <v>3.3</v>
      </c>
      <c r="CI136" t="s">
        <v>225</v>
      </c>
      <c r="CJ136" t="s">
        <v>357</v>
      </c>
      <c r="CK136">
        <v>3.3</v>
      </c>
      <c r="CL136" t="s">
        <v>225</v>
      </c>
      <c r="CM136" t="s">
        <v>357</v>
      </c>
      <c r="CN136">
        <v>3.26</v>
      </c>
      <c r="CO136" t="s">
        <v>225</v>
      </c>
      <c r="CP136" t="s">
        <v>357</v>
      </c>
      <c r="CQ136">
        <v>3.18</v>
      </c>
      <c r="CR136" t="s">
        <v>225</v>
      </c>
      <c r="CS136" t="s">
        <v>357</v>
      </c>
      <c r="CT136">
        <v>3.23</v>
      </c>
      <c r="CU136" t="s">
        <v>225</v>
      </c>
      <c r="CV136" t="s">
        <v>357</v>
      </c>
      <c r="CW136">
        <v>3.15</v>
      </c>
      <c r="CX136" t="s">
        <v>225</v>
      </c>
      <c r="CY136" t="s">
        <v>357</v>
      </c>
      <c r="CZ136">
        <v>3.15</v>
      </c>
      <c r="DA136" t="s">
        <v>225</v>
      </c>
      <c r="DB136" t="s">
        <v>357</v>
      </c>
      <c r="DC136">
        <v>3.21</v>
      </c>
      <c r="DD136" t="s">
        <v>225</v>
      </c>
      <c r="DE136" t="s">
        <v>357</v>
      </c>
      <c r="DF136">
        <v>3.14</v>
      </c>
      <c r="DG136" t="s">
        <v>225</v>
      </c>
      <c r="DH136" t="s">
        <v>357</v>
      </c>
      <c r="DI136">
        <v>3.7</v>
      </c>
      <c r="DJ136" t="s">
        <v>225</v>
      </c>
      <c r="DK136" t="s">
        <v>345</v>
      </c>
      <c r="DL136">
        <v>49.2</v>
      </c>
      <c r="DM136" t="s">
        <v>469</v>
      </c>
      <c r="DN136" t="s">
        <v>345</v>
      </c>
      <c r="DO136">
        <v>49.2</v>
      </c>
      <c r="DP136" t="s">
        <v>469</v>
      </c>
      <c r="DQ136" t="s">
        <v>345</v>
      </c>
      <c r="DR136">
        <v>49.2</v>
      </c>
      <c r="DS136" t="s">
        <v>469</v>
      </c>
      <c r="DT136" t="s">
        <v>401</v>
      </c>
      <c r="DU136">
        <v>0.38</v>
      </c>
      <c r="DV136" t="s">
        <v>120</v>
      </c>
      <c r="DW136" t="s">
        <v>401</v>
      </c>
      <c r="DX136">
        <v>0.35</v>
      </c>
      <c r="DY136" t="s">
        <v>120</v>
      </c>
      <c r="DZ136" t="s">
        <v>401</v>
      </c>
      <c r="EA136">
        <v>0.35</v>
      </c>
      <c r="EB136" t="s">
        <v>120</v>
      </c>
      <c r="EC136" t="s">
        <v>401</v>
      </c>
      <c r="ED136">
        <v>0.34</v>
      </c>
      <c r="EE136" t="s">
        <v>120</v>
      </c>
      <c r="EF136" t="s">
        <v>401</v>
      </c>
      <c r="EG136">
        <v>0.32</v>
      </c>
      <c r="EH136" t="s">
        <v>120</v>
      </c>
      <c r="EI136" t="s">
        <v>401</v>
      </c>
      <c r="EJ136">
        <v>0.34</v>
      </c>
      <c r="EK136" t="s">
        <v>120</v>
      </c>
    </row>
    <row r="137" spans="1:141">
      <c r="A137" t="s">
        <v>372</v>
      </c>
      <c r="B137">
        <v>1.95</v>
      </c>
      <c r="C137" t="s">
        <v>226</v>
      </c>
      <c r="D137" t="s">
        <v>372</v>
      </c>
      <c r="E137">
        <v>2.02</v>
      </c>
      <c r="F137" t="s">
        <v>226</v>
      </c>
      <c r="G137" t="s">
        <v>376</v>
      </c>
      <c r="H137">
        <v>14.29</v>
      </c>
      <c r="I137" t="s">
        <v>124</v>
      </c>
      <c r="J137" t="s">
        <v>376</v>
      </c>
      <c r="K137">
        <v>15</v>
      </c>
      <c r="L137" t="s">
        <v>124</v>
      </c>
      <c r="M137" t="s">
        <v>376</v>
      </c>
      <c r="N137">
        <v>15.75</v>
      </c>
      <c r="O137" t="s">
        <v>124</v>
      </c>
      <c r="P137" t="s">
        <v>357</v>
      </c>
      <c r="Q137">
        <v>3.25</v>
      </c>
      <c r="R137" t="s">
        <v>225</v>
      </c>
      <c r="S137" t="s">
        <v>376</v>
      </c>
      <c r="T137">
        <v>17.350000000000001</v>
      </c>
      <c r="U137" t="s">
        <v>124</v>
      </c>
      <c r="V137" t="s">
        <v>376</v>
      </c>
      <c r="W137">
        <v>19.07</v>
      </c>
      <c r="X137" t="s">
        <v>124</v>
      </c>
      <c r="Y137" t="s">
        <v>376</v>
      </c>
      <c r="Z137">
        <v>20.02</v>
      </c>
      <c r="AA137" t="s">
        <v>124</v>
      </c>
      <c r="AB137" t="s">
        <v>376</v>
      </c>
      <c r="AC137">
        <v>22.07</v>
      </c>
      <c r="AD137" t="s">
        <v>124</v>
      </c>
      <c r="AE137" t="s">
        <v>376</v>
      </c>
      <c r="AF137">
        <v>23.17</v>
      </c>
      <c r="AG137" t="s">
        <v>124</v>
      </c>
      <c r="AH137" t="s">
        <v>376</v>
      </c>
      <c r="AI137">
        <v>22.02</v>
      </c>
      <c r="AJ137" t="s">
        <v>124</v>
      </c>
      <c r="AK137" t="s">
        <v>376</v>
      </c>
      <c r="AL137">
        <v>21.73</v>
      </c>
      <c r="AM137" t="s">
        <v>124</v>
      </c>
      <c r="AN137" t="s">
        <v>376</v>
      </c>
      <c r="AO137">
        <v>19.62</v>
      </c>
      <c r="AP137" t="s">
        <v>124</v>
      </c>
      <c r="AQ137" t="s">
        <v>376</v>
      </c>
      <c r="AR137">
        <v>19.59</v>
      </c>
      <c r="AS137" t="s">
        <v>124</v>
      </c>
      <c r="AT137" t="s">
        <v>376</v>
      </c>
      <c r="AU137">
        <v>20.56</v>
      </c>
      <c r="AV137" t="s">
        <v>124</v>
      </c>
      <c r="AW137" t="s">
        <v>376</v>
      </c>
      <c r="AX137">
        <v>19.600000000000001</v>
      </c>
      <c r="AY137" t="s">
        <v>124</v>
      </c>
      <c r="AZ137" t="s">
        <v>376</v>
      </c>
      <c r="BA137">
        <v>19.12</v>
      </c>
      <c r="BB137" t="s">
        <v>124</v>
      </c>
      <c r="BC137" t="s">
        <v>376</v>
      </c>
      <c r="BD137">
        <v>18.71</v>
      </c>
      <c r="BE137" t="s">
        <v>124</v>
      </c>
      <c r="BF137" t="s">
        <v>376</v>
      </c>
      <c r="BG137">
        <v>18.66</v>
      </c>
      <c r="BH137" t="s">
        <v>124</v>
      </c>
      <c r="BI137" t="s">
        <v>376</v>
      </c>
      <c r="BJ137">
        <v>18.559999999999999</v>
      </c>
      <c r="BK137" t="s">
        <v>124</v>
      </c>
      <c r="BL137" t="s">
        <v>345</v>
      </c>
      <c r="BM137">
        <v>40.119999999999997</v>
      </c>
      <c r="BN137" t="s">
        <v>469</v>
      </c>
      <c r="BO137" t="s">
        <v>345</v>
      </c>
      <c r="BP137">
        <v>40.119999999999997</v>
      </c>
      <c r="BQ137" t="s">
        <v>469</v>
      </c>
      <c r="BR137" t="s">
        <v>345</v>
      </c>
      <c r="BS137">
        <v>40.119999999999997</v>
      </c>
      <c r="BT137" t="s">
        <v>469</v>
      </c>
      <c r="BU137" t="s">
        <v>345</v>
      </c>
      <c r="BV137">
        <v>40</v>
      </c>
      <c r="BW137" t="s">
        <v>469</v>
      </c>
      <c r="BX137" t="s">
        <v>345</v>
      </c>
      <c r="BY137">
        <v>40</v>
      </c>
      <c r="BZ137" t="s">
        <v>469</v>
      </c>
      <c r="CA137" t="s">
        <v>593</v>
      </c>
      <c r="CB137">
        <v>2.0699999999999998</v>
      </c>
      <c r="CC137" t="s">
        <v>639</v>
      </c>
      <c r="CD137" t="s">
        <v>345</v>
      </c>
      <c r="CE137">
        <v>40</v>
      </c>
      <c r="CF137" t="s">
        <v>469</v>
      </c>
      <c r="CG137" t="s">
        <v>345</v>
      </c>
      <c r="CH137">
        <v>41</v>
      </c>
      <c r="CI137" t="s">
        <v>469</v>
      </c>
      <c r="CJ137" t="s">
        <v>345</v>
      </c>
      <c r="CK137">
        <v>41</v>
      </c>
      <c r="CL137" t="s">
        <v>469</v>
      </c>
      <c r="CM137" t="s">
        <v>345</v>
      </c>
      <c r="CN137">
        <v>41</v>
      </c>
      <c r="CO137" t="s">
        <v>469</v>
      </c>
      <c r="CP137" t="s">
        <v>345</v>
      </c>
      <c r="CQ137">
        <v>41</v>
      </c>
      <c r="CR137" t="s">
        <v>469</v>
      </c>
      <c r="CS137" t="s">
        <v>345</v>
      </c>
      <c r="CT137">
        <v>41</v>
      </c>
      <c r="CU137" t="s">
        <v>469</v>
      </c>
      <c r="CV137" t="s">
        <v>345</v>
      </c>
      <c r="CW137">
        <v>41</v>
      </c>
      <c r="CX137" t="s">
        <v>469</v>
      </c>
      <c r="CY137" t="s">
        <v>345</v>
      </c>
      <c r="CZ137">
        <v>41</v>
      </c>
      <c r="DA137" t="s">
        <v>469</v>
      </c>
      <c r="DB137" t="s">
        <v>345</v>
      </c>
      <c r="DC137">
        <v>41</v>
      </c>
      <c r="DD137" t="s">
        <v>469</v>
      </c>
      <c r="DE137" t="s">
        <v>345</v>
      </c>
      <c r="DF137">
        <v>41</v>
      </c>
      <c r="DG137" t="s">
        <v>469</v>
      </c>
      <c r="DH137" t="s">
        <v>345</v>
      </c>
      <c r="DI137">
        <v>49.2</v>
      </c>
      <c r="DJ137" t="s">
        <v>469</v>
      </c>
      <c r="DK137" t="s">
        <v>372</v>
      </c>
      <c r="DL137">
        <v>2.8</v>
      </c>
      <c r="DM137" t="s">
        <v>226</v>
      </c>
      <c r="DN137" t="s">
        <v>372</v>
      </c>
      <c r="DO137">
        <v>2.61</v>
      </c>
      <c r="DP137" t="s">
        <v>226</v>
      </c>
      <c r="DQ137" t="s">
        <v>372</v>
      </c>
      <c r="DR137">
        <v>2.85</v>
      </c>
      <c r="DS137" t="s">
        <v>226</v>
      </c>
      <c r="DT137" t="s">
        <v>332</v>
      </c>
      <c r="DU137">
        <v>15</v>
      </c>
      <c r="DV137" t="s">
        <v>30</v>
      </c>
      <c r="DW137" t="s">
        <v>332</v>
      </c>
      <c r="DX137">
        <v>15.3</v>
      </c>
      <c r="DY137" t="s">
        <v>30</v>
      </c>
      <c r="DZ137" t="s">
        <v>332</v>
      </c>
      <c r="EA137">
        <v>15.69</v>
      </c>
      <c r="EB137" t="s">
        <v>30</v>
      </c>
      <c r="EC137" t="s">
        <v>332</v>
      </c>
      <c r="ED137">
        <v>18.600000000000001</v>
      </c>
      <c r="EE137" t="s">
        <v>30</v>
      </c>
      <c r="EF137" t="s">
        <v>332</v>
      </c>
      <c r="EG137">
        <v>20.76</v>
      </c>
      <c r="EH137" t="s">
        <v>30</v>
      </c>
      <c r="EI137" t="s">
        <v>332</v>
      </c>
      <c r="EJ137">
        <v>24.25</v>
      </c>
      <c r="EK137" t="s">
        <v>30</v>
      </c>
    </row>
    <row r="138" spans="1:141">
      <c r="A138" t="s">
        <v>376</v>
      </c>
      <c r="B138">
        <v>13.97</v>
      </c>
      <c r="C138" t="s">
        <v>124</v>
      </c>
      <c r="D138" t="s">
        <v>376</v>
      </c>
      <c r="E138">
        <v>13.98</v>
      </c>
      <c r="F138" t="s">
        <v>124</v>
      </c>
      <c r="G138" t="s">
        <v>401</v>
      </c>
      <c r="H138">
        <v>0.26</v>
      </c>
      <c r="I138" t="s">
        <v>120</v>
      </c>
      <c r="J138" t="s">
        <v>401</v>
      </c>
      <c r="K138">
        <v>0.26</v>
      </c>
      <c r="L138" t="s">
        <v>120</v>
      </c>
      <c r="M138" t="s">
        <v>401</v>
      </c>
      <c r="N138">
        <v>0.26</v>
      </c>
      <c r="O138" t="s">
        <v>120</v>
      </c>
      <c r="P138" t="s">
        <v>345</v>
      </c>
      <c r="Q138">
        <v>49.2</v>
      </c>
      <c r="R138" t="s">
        <v>469</v>
      </c>
      <c r="S138" t="s">
        <v>401</v>
      </c>
      <c r="T138">
        <v>0.25</v>
      </c>
      <c r="U138" t="s">
        <v>120</v>
      </c>
      <c r="V138" t="s">
        <v>401</v>
      </c>
      <c r="W138">
        <v>0.27</v>
      </c>
      <c r="X138" t="s">
        <v>120</v>
      </c>
      <c r="Y138" t="s">
        <v>401</v>
      </c>
      <c r="Z138">
        <v>0.27</v>
      </c>
      <c r="AA138" t="s">
        <v>120</v>
      </c>
      <c r="AB138" t="s">
        <v>401</v>
      </c>
      <c r="AC138">
        <v>0.26</v>
      </c>
      <c r="AD138" t="s">
        <v>120</v>
      </c>
      <c r="AE138" t="s">
        <v>401</v>
      </c>
      <c r="AF138">
        <v>0.26</v>
      </c>
      <c r="AG138" t="s">
        <v>120</v>
      </c>
      <c r="AH138" t="s">
        <v>401</v>
      </c>
      <c r="AI138">
        <v>0.26</v>
      </c>
      <c r="AJ138" t="s">
        <v>120</v>
      </c>
      <c r="AK138" t="s">
        <v>401</v>
      </c>
      <c r="AL138">
        <v>0.26</v>
      </c>
      <c r="AM138" t="s">
        <v>120</v>
      </c>
      <c r="AN138" t="s">
        <v>401</v>
      </c>
      <c r="AO138">
        <v>0.25</v>
      </c>
      <c r="AP138" t="s">
        <v>120</v>
      </c>
      <c r="AQ138" t="s">
        <v>401</v>
      </c>
      <c r="AR138">
        <v>0.26</v>
      </c>
      <c r="AS138" t="s">
        <v>120</v>
      </c>
      <c r="AT138" t="s">
        <v>401</v>
      </c>
      <c r="AU138">
        <v>0.26</v>
      </c>
      <c r="AV138" t="s">
        <v>120</v>
      </c>
      <c r="AW138" t="s">
        <v>401</v>
      </c>
      <c r="AX138">
        <v>0.33</v>
      </c>
      <c r="AY138" t="s">
        <v>120</v>
      </c>
      <c r="AZ138" t="s">
        <v>401</v>
      </c>
      <c r="BA138">
        <v>0.33</v>
      </c>
      <c r="BB138" t="s">
        <v>120</v>
      </c>
      <c r="BC138" t="s">
        <v>401</v>
      </c>
      <c r="BD138">
        <v>0.3</v>
      </c>
      <c r="BE138" t="s">
        <v>120</v>
      </c>
      <c r="BF138" t="s">
        <v>401</v>
      </c>
      <c r="BG138">
        <v>0.33</v>
      </c>
      <c r="BH138" t="s">
        <v>120</v>
      </c>
      <c r="BI138" t="s">
        <v>401</v>
      </c>
      <c r="BJ138">
        <v>0.33</v>
      </c>
      <c r="BK138" t="s">
        <v>120</v>
      </c>
      <c r="BL138" t="s">
        <v>372</v>
      </c>
      <c r="BM138">
        <v>2.71</v>
      </c>
      <c r="BN138" t="s">
        <v>226</v>
      </c>
      <c r="BO138" t="s">
        <v>372</v>
      </c>
      <c r="BP138">
        <v>2.9</v>
      </c>
      <c r="BQ138" t="s">
        <v>226</v>
      </c>
      <c r="BR138" t="s">
        <v>372</v>
      </c>
      <c r="BS138">
        <v>3.08</v>
      </c>
      <c r="BT138" t="s">
        <v>226</v>
      </c>
      <c r="BU138" t="s">
        <v>372</v>
      </c>
      <c r="BV138">
        <v>3.05</v>
      </c>
      <c r="BW138" t="s">
        <v>226</v>
      </c>
      <c r="BX138" t="s">
        <v>372</v>
      </c>
      <c r="BY138">
        <v>2.86</v>
      </c>
      <c r="BZ138" t="s">
        <v>226</v>
      </c>
      <c r="CA138" t="s">
        <v>224</v>
      </c>
      <c r="CB138">
        <v>12.1</v>
      </c>
      <c r="CC138" t="s">
        <v>18</v>
      </c>
      <c r="CD138" t="s">
        <v>372</v>
      </c>
      <c r="CE138">
        <v>2.75</v>
      </c>
      <c r="CF138" t="s">
        <v>226</v>
      </c>
      <c r="CG138" t="s">
        <v>372</v>
      </c>
      <c r="CH138">
        <v>3</v>
      </c>
      <c r="CI138" t="s">
        <v>226</v>
      </c>
      <c r="CJ138" t="s">
        <v>372</v>
      </c>
      <c r="CK138">
        <v>3.13</v>
      </c>
      <c r="CL138" t="s">
        <v>226</v>
      </c>
      <c r="CM138" t="s">
        <v>372</v>
      </c>
      <c r="CN138">
        <v>3.17</v>
      </c>
      <c r="CO138" t="s">
        <v>226</v>
      </c>
      <c r="CP138" t="s">
        <v>372</v>
      </c>
      <c r="CQ138">
        <v>3.19</v>
      </c>
      <c r="CR138" t="s">
        <v>226</v>
      </c>
      <c r="CS138" t="s">
        <v>372</v>
      </c>
      <c r="CT138">
        <v>3.28</v>
      </c>
      <c r="CU138" t="s">
        <v>226</v>
      </c>
      <c r="CV138" t="s">
        <v>372</v>
      </c>
      <c r="CW138">
        <v>3.38</v>
      </c>
      <c r="CX138" t="s">
        <v>226</v>
      </c>
      <c r="CY138" t="s">
        <v>372</v>
      </c>
      <c r="CZ138">
        <v>3.6</v>
      </c>
      <c r="DA138" t="s">
        <v>226</v>
      </c>
      <c r="DB138" t="s">
        <v>372</v>
      </c>
      <c r="DC138">
        <v>3.15</v>
      </c>
      <c r="DD138" t="s">
        <v>226</v>
      </c>
      <c r="DE138" t="s">
        <v>372</v>
      </c>
      <c r="DF138">
        <v>2.98</v>
      </c>
      <c r="DG138" t="s">
        <v>226</v>
      </c>
      <c r="DH138" t="s">
        <v>372</v>
      </c>
      <c r="DI138">
        <v>3.16</v>
      </c>
      <c r="DJ138" t="s">
        <v>226</v>
      </c>
      <c r="DK138" t="s">
        <v>376</v>
      </c>
      <c r="DL138">
        <v>27.96</v>
      </c>
      <c r="DM138" t="s">
        <v>124</v>
      </c>
      <c r="DN138" t="s">
        <v>376</v>
      </c>
      <c r="DO138">
        <v>26.64</v>
      </c>
      <c r="DP138" t="s">
        <v>124</v>
      </c>
      <c r="DQ138" t="s">
        <v>376</v>
      </c>
      <c r="DR138">
        <v>28.71</v>
      </c>
      <c r="DS138" t="s">
        <v>124</v>
      </c>
      <c r="DT138" t="s">
        <v>408</v>
      </c>
      <c r="DU138">
        <v>0.3</v>
      </c>
      <c r="DV138" t="s">
        <v>112</v>
      </c>
      <c r="DW138" t="s">
        <v>408</v>
      </c>
      <c r="DX138">
        <v>0.32</v>
      </c>
      <c r="DY138" t="s">
        <v>112</v>
      </c>
      <c r="DZ138" t="s">
        <v>408</v>
      </c>
      <c r="EA138">
        <v>0.32</v>
      </c>
      <c r="EB138" t="s">
        <v>112</v>
      </c>
      <c r="EC138" t="s">
        <v>408</v>
      </c>
      <c r="ED138">
        <v>0.31</v>
      </c>
      <c r="EE138" t="s">
        <v>112</v>
      </c>
      <c r="EF138" t="s">
        <v>408</v>
      </c>
      <c r="EG138">
        <v>0.28000000000000003</v>
      </c>
      <c r="EH138" t="s">
        <v>112</v>
      </c>
      <c r="EI138" t="s">
        <v>408</v>
      </c>
      <c r="EJ138">
        <v>0.28000000000000003</v>
      </c>
      <c r="EK138" t="s">
        <v>112</v>
      </c>
    </row>
    <row r="139" spans="1:141">
      <c r="A139" t="s">
        <v>401</v>
      </c>
      <c r="B139">
        <v>0.27</v>
      </c>
      <c r="C139" t="s">
        <v>120</v>
      </c>
      <c r="D139" t="s">
        <v>401</v>
      </c>
      <c r="E139">
        <v>0.26</v>
      </c>
      <c r="F139" t="s">
        <v>120</v>
      </c>
      <c r="G139" t="s">
        <v>332</v>
      </c>
      <c r="H139">
        <v>18</v>
      </c>
      <c r="I139" t="s">
        <v>30</v>
      </c>
      <c r="J139" t="s">
        <v>332</v>
      </c>
      <c r="K139">
        <v>18.600000000000001</v>
      </c>
      <c r="L139" t="s">
        <v>30</v>
      </c>
      <c r="M139" t="s">
        <v>332</v>
      </c>
      <c r="N139">
        <v>18.84</v>
      </c>
      <c r="O139" t="s">
        <v>30</v>
      </c>
      <c r="P139" t="s">
        <v>372</v>
      </c>
      <c r="Q139">
        <v>2.67</v>
      </c>
      <c r="R139" t="s">
        <v>226</v>
      </c>
      <c r="S139" t="s">
        <v>332</v>
      </c>
      <c r="T139">
        <v>18.66</v>
      </c>
      <c r="U139" t="s">
        <v>30</v>
      </c>
      <c r="V139" t="s">
        <v>332</v>
      </c>
      <c r="W139">
        <v>18.239999999999998</v>
      </c>
      <c r="X139" t="s">
        <v>30</v>
      </c>
      <c r="Y139" t="s">
        <v>332</v>
      </c>
      <c r="Z139">
        <v>18.940000000000001</v>
      </c>
      <c r="AA139" t="s">
        <v>30</v>
      </c>
      <c r="AB139" t="s">
        <v>332</v>
      </c>
      <c r="AC139">
        <v>18.89</v>
      </c>
      <c r="AD139" t="s">
        <v>30</v>
      </c>
      <c r="AE139" t="s">
        <v>332</v>
      </c>
      <c r="AF139">
        <v>18.989999999999998</v>
      </c>
      <c r="AG139" t="s">
        <v>30</v>
      </c>
      <c r="AH139" t="s">
        <v>332</v>
      </c>
      <c r="AI139">
        <v>18.86</v>
      </c>
      <c r="AJ139" t="s">
        <v>30</v>
      </c>
      <c r="AK139" t="s">
        <v>332</v>
      </c>
      <c r="AL139">
        <v>19.760000000000002</v>
      </c>
      <c r="AM139" t="s">
        <v>30</v>
      </c>
      <c r="AN139" t="s">
        <v>332</v>
      </c>
      <c r="AO139">
        <v>20.5</v>
      </c>
      <c r="AP139" t="s">
        <v>30</v>
      </c>
      <c r="AQ139" t="s">
        <v>332</v>
      </c>
      <c r="AR139">
        <v>21.06</v>
      </c>
      <c r="AS139" t="s">
        <v>30</v>
      </c>
      <c r="AT139" t="s">
        <v>332</v>
      </c>
      <c r="AU139">
        <v>20.87</v>
      </c>
      <c r="AV139" t="s">
        <v>30</v>
      </c>
      <c r="AW139" t="s">
        <v>332</v>
      </c>
      <c r="AX139">
        <v>20.63</v>
      </c>
      <c r="AY139" t="s">
        <v>30</v>
      </c>
      <c r="AZ139" t="s">
        <v>332</v>
      </c>
      <c r="BA139">
        <v>21.12</v>
      </c>
      <c r="BB139" t="s">
        <v>30</v>
      </c>
      <c r="BC139" t="s">
        <v>332</v>
      </c>
      <c r="BD139">
        <v>21.06</v>
      </c>
      <c r="BE139" t="s">
        <v>30</v>
      </c>
      <c r="BF139" t="s">
        <v>332</v>
      </c>
      <c r="BG139">
        <v>21.31</v>
      </c>
      <c r="BH139" t="s">
        <v>30</v>
      </c>
      <c r="BI139" t="s">
        <v>332</v>
      </c>
      <c r="BJ139">
        <v>21.28</v>
      </c>
      <c r="BK139" t="s">
        <v>30</v>
      </c>
      <c r="BL139" t="s">
        <v>376</v>
      </c>
      <c r="BM139">
        <v>17.59</v>
      </c>
      <c r="BN139" t="s">
        <v>124</v>
      </c>
      <c r="BO139" t="s">
        <v>376</v>
      </c>
      <c r="BP139">
        <v>17.75</v>
      </c>
      <c r="BQ139" t="s">
        <v>124</v>
      </c>
      <c r="BR139" t="s">
        <v>376</v>
      </c>
      <c r="BS139">
        <v>17.600000000000001</v>
      </c>
      <c r="BT139" t="s">
        <v>124</v>
      </c>
      <c r="BU139" t="s">
        <v>376</v>
      </c>
      <c r="BV139">
        <v>17.399999999999999</v>
      </c>
      <c r="BW139" t="s">
        <v>124</v>
      </c>
      <c r="BX139" t="s">
        <v>376</v>
      </c>
      <c r="BY139">
        <v>17.399999999999999</v>
      </c>
      <c r="BZ139" t="s">
        <v>124</v>
      </c>
      <c r="CA139" t="s">
        <v>357</v>
      </c>
      <c r="CB139">
        <v>3.28</v>
      </c>
      <c r="CC139" t="s">
        <v>225</v>
      </c>
      <c r="CD139" t="s">
        <v>376</v>
      </c>
      <c r="CE139">
        <v>17.46</v>
      </c>
      <c r="CF139" t="s">
        <v>124</v>
      </c>
      <c r="CG139" t="s">
        <v>376</v>
      </c>
      <c r="CH139">
        <v>17.53</v>
      </c>
      <c r="CI139" t="s">
        <v>124</v>
      </c>
      <c r="CJ139" t="s">
        <v>376</v>
      </c>
      <c r="CK139">
        <v>17.05</v>
      </c>
      <c r="CL139" t="s">
        <v>124</v>
      </c>
      <c r="CM139" t="s">
        <v>376</v>
      </c>
      <c r="CN139">
        <v>17.07</v>
      </c>
      <c r="CO139" t="s">
        <v>124</v>
      </c>
      <c r="CP139" t="s">
        <v>376</v>
      </c>
      <c r="CQ139">
        <v>20.399999999999999</v>
      </c>
      <c r="CR139" t="s">
        <v>124</v>
      </c>
      <c r="CS139" t="s">
        <v>376</v>
      </c>
      <c r="CT139">
        <v>21.54</v>
      </c>
      <c r="CU139" t="s">
        <v>124</v>
      </c>
      <c r="CV139" t="s">
        <v>376</v>
      </c>
      <c r="CW139">
        <v>27.27</v>
      </c>
      <c r="CX139" t="s">
        <v>124</v>
      </c>
      <c r="CY139" t="s">
        <v>376</v>
      </c>
      <c r="CZ139">
        <v>33.5</v>
      </c>
      <c r="DA139" t="s">
        <v>124</v>
      </c>
      <c r="DB139" t="s">
        <v>376</v>
      </c>
      <c r="DC139">
        <v>34.01</v>
      </c>
      <c r="DD139" t="s">
        <v>124</v>
      </c>
      <c r="DE139" t="s">
        <v>376</v>
      </c>
      <c r="DF139">
        <v>31.61</v>
      </c>
      <c r="DG139" t="s">
        <v>124</v>
      </c>
      <c r="DH139" t="s">
        <v>376</v>
      </c>
      <c r="DI139">
        <v>28.44</v>
      </c>
      <c r="DJ139" t="s">
        <v>124</v>
      </c>
      <c r="DK139" t="s">
        <v>401</v>
      </c>
      <c r="DL139">
        <v>0.35</v>
      </c>
      <c r="DM139" t="s">
        <v>120</v>
      </c>
      <c r="DN139" t="s">
        <v>401</v>
      </c>
      <c r="DO139">
        <v>0.34</v>
      </c>
      <c r="DP139" t="s">
        <v>120</v>
      </c>
      <c r="DQ139" t="s">
        <v>401</v>
      </c>
      <c r="DR139">
        <v>0.36</v>
      </c>
      <c r="DS139" t="s">
        <v>120</v>
      </c>
      <c r="DT139" t="s">
        <v>227</v>
      </c>
      <c r="DU139">
        <v>72.459999999999994</v>
      </c>
      <c r="DV139" t="s">
        <v>99</v>
      </c>
      <c r="DW139" t="s">
        <v>227</v>
      </c>
      <c r="DX139">
        <v>72.569999999999993</v>
      </c>
      <c r="DY139" t="s">
        <v>99</v>
      </c>
      <c r="DZ139" t="s">
        <v>227</v>
      </c>
      <c r="EA139">
        <v>72.010000000000005</v>
      </c>
      <c r="EB139" t="s">
        <v>99</v>
      </c>
      <c r="EC139" t="s">
        <v>227</v>
      </c>
      <c r="ED139">
        <v>72.87</v>
      </c>
      <c r="EE139" t="s">
        <v>99</v>
      </c>
      <c r="EF139" t="s">
        <v>227</v>
      </c>
      <c r="EG139">
        <v>80.8</v>
      </c>
      <c r="EH139" t="s">
        <v>99</v>
      </c>
      <c r="EI139" t="s">
        <v>227</v>
      </c>
      <c r="EJ139">
        <v>88.69</v>
      </c>
      <c r="EK139" t="s">
        <v>99</v>
      </c>
    </row>
    <row r="140" spans="1:141">
      <c r="A140" t="s">
        <v>332</v>
      </c>
      <c r="B140">
        <v>18.23</v>
      </c>
      <c r="C140" t="s">
        <v>30</v>
      </c>
      <c r="D140" t="s">
        <v>332</v>
      </c>
      <c r="E140">
        <v>18.14</v>
      </c>
      <c r="F140" t="s">
        <v>30</v>
      </c>
      <c r="G140" t="s">
        <v>408</v>
      </c>
      <c r="H140">
        <v>0.18</v>
      </c>
      <c r="I140" t="s">
        <v>112</v>
      </c>
      <c r="J140" t="s">
        <v>408</v>
      </c>
      <c r="K140">
        <v>0.18</v>
      </c>
      <c r="L140" t="s">
        <v>112</v>
      </c>
      <c r="M140" t="s">
        <v>408</v>
      </c>
      <c r="N140">
        <v>0.17</v>
      </c>
      <c r="O140" t="s">
        <v>112</v>
      </c>
      <c r="P140" t="s">
        <v>376</v>
      </c>
      <c r="Q140">
        <v>16.53</v>
      </c>
      <c r="R140" t="s">
        <v>124</v>
      </c>
      <c r="S140" t="s">
        <v>408</v>
      </c>
      <c r="T140">
        <v>0.18</v>
      </c>
      <c r="U140" t="s">
        <v>112</v>
      </c>
      <c r="V140" t="s">
        <v>408</v>
      </c>
      <c r="W140">
        <v>0.18</v>
      </c>
      <c r="X140" t="s">
        <v>112</v>
      </c>
      <c r="Y140" t="s">
        <v>408</v>
      </c>
      <c r="Z140">
        <v>0.19</v>
      </c>
      <c r="AA140" t="s">
        <v>112</v>
      </c>
      <c r="AB140" t="s">
        <v>408</v>
      </c>
      <c r="AC140">
        <v>0.2</v>
      </c>
      <c r="AD140" t="s">
        <v>112</v>
      </c>
      <c r="AE140" t="s">
        <v>408</v>
      </c>
      <c r="AF140">
        <v>0.2</v>
      </c>
      <c r="AG140" t="s">
        <v>112</v>
      </c>
      <c r="AH140" t="s">
        <v>408</v>
      </c>
      <c r="AI140">
        <v>0.2</v>
      </c>
      <c r="AJ140" t="s">
        <v>112</v>
      </c>
      <c r="AK140" t="s">
        <v>408</v>
      </c>
      <c r="AL140">
        <v>0.18</v>
      </c>
      <c r="AM140" t="s">
        <v>112</v>
      </c>
      <c r="AN140" t="s">
        <v>408</v>
      </c>
      <c r="AO140">
        <v>0.18</v>
      </c>
      <c r="AP140" t="s">
        <v>112</v>
      </c>
      <c r="AQ140" t="s">
        <v>408</v>
      </c>
      <c r="AR140">
        <v>0.19</v>
      </c>
      <c r="AS140" t="s">
        <v>112</v>
      </c>
      <c r="AT140" t="s">
        <v>408</v>
      </c>
      <c r="AU140">
        <v>0.2</v>
      </c>
      <c r="AV140" t="s">
        <v>112</v>
      </c>
      <c r="AW140" t="s">
        <v>408</v>
      </c>
      <c r="AX140">
        <v>0.21</v>
      </c>
      <c r="AY140" t="s">
        <v>112</v>
      </c>
      <c r="AZ140" t="s">
        <v>408</v>
      </c>
      <c r="BA140">
        <v>0.22</v>
      </c>
      <c r="BB140" t="s">
        <v>112</v>
      </c>
      <c r="BC140" t="s">
        <v>408</v>
      </c>
      <c r="BD140">
        <v>0.21</v>
      </c>
      <c r="BE140" t="s">
        <v>112</v>
      </c>
      <c r="BF140" t="s">
        <v>408</v>
      </c>
      <c r="BG140">
        <v>0.19</v>
      </c>
      <c r="BH140" t="s">
        <v>112</v>
      </c>
      <c r="BI140" t="s">
        <v>408</v>
      </c>
      <c r="BJ140">
        <v>0.2</v>
      </c>
      <c r="BK140" t="s">
        <v>112</v>
      </c>
      <c r="BL140" t="s">
        <v>401</v>
      </c>
      <c r="BM140">
        <v>0.3</v>
      </c>
      <c r="BN140" t="s">
        <v>120</v>
      </c>
      <c r="BO140" t="s">
        <v>401</v>
      </c>
      <c r="BP140">
        <v>0.31</v>
      </c>
      <c r="BQ140" t="s">
        <v>120</v>
      </c>
      <c r="BR140" t="s">
        <v>401</v>
      </c>
      <c r="BS140">
        <v>0.31</v>
      </c>
      <c r="BT140" t="s">
        <v>120</v>
      </c>
      <c r="BU140" t="s">
        <v>401</v>
      </c>
      <c r="BV140">
        <v>0.3</v>
      </c>
      <c r="BW140" t="s">
        <v>120</v>
      </c>
      <c r="BX140" t="s">
        <v>401</v>
      </c>
      <c r="BY140">
        <v>0.31</v>
      </c>
      <c r="BZ140" t="s">
        <v>120</v>
      </c>
      <c r="CA140" t="s">
        <v>345</v>
      </c>
      <c r="CB140">
        <v>40</v>
      </c>
      <c r="CC140" t="s">
        <v>469</v>
      </c>
      <c r="CD140" t="s">
        <v>401</v>
      </c>
      <c r="CE140">
        <v>0.32</v>
      </c>
      <c r="CF140" t="s">
        <v>120</v>
      </c>
      <c r="CG140" t="s">
        <v>401</v>
      </c>
      <c r="CH140">
        <v>0.33</v>
      </c>
      <c r="CI140" t="s">
        <v>120</v>
      </c>
      <c r="CJ140" t="s">
        <v>401</v>
      </c>
      <c r="CK140">
        <v>0.34</v>
      </c>
      <c r="CL140" t="s">
        <v>120</v>
      </c>
      <c r="CM140" t="s">
        <v>401</v>
      </c>
      <c r="CN140">
        <v>0.33</v>
      </c>
      <c r="CO140" t="s">
        <v>120</v>
      </c>
      <c r="CP140" t="s">
        <v>401</v>
      </c>
      <c r="CQ140">
        <v>0.34</v>
      </c>
      <c r="CR140" t="s">
        <v>120</v>
      </c>
      <c r="CS140" t="s">
        <v>401</v>
      </c>
      <c r="CT140">
        <v>0.37</v>
      </c>
      <c r="CU140" t="s">
        <v>120</v>
      </c>
      <c r="CV140" t="s">
        <v>401</v>
      </c>
      <c r="CW140">
        <v>0.35</v>
      </c>
      <c r="CX140" t="s">
        <v>120</v>
      </c>
      <c r="CY140" t="s">
        <v>401</v>
      </c>
      <c r="CZ140">
        <v>0.37</v>
      </c>
      <c r="DA140" t="s">
        <v>120</v>
      </c>
      <c r="DB140" t="s">
        <v>401</v>
      </c>
      <c r="DC140">
        <v>0.37</v>
      </c>
      <c r="DD140" t="s">
        <v>120</v>
      </c>
      <c r="DE140" t="s">
        <v>401</v>
      </c>
      <c r="DF140">
        <v>0.38</v>
      </c>
      <c r="DG140" t="s">
        <v>120</v>
      </c>
      <c r="DH140" t="s">
        <v>401</v>
      </c>
      <c r="DI140">
        <v>0.35</v>
      </c>
      <c r="DJ140" t="s">
        <v>120</v>
      </c>
      <c r="DK140" t="s">
        <v>332</v>
      </c>
      <c r="DL140">
        <v>14.2</v>
      </c>
      <c r="DM140" t="s">
        <v>30</v>
      </c>
      <c r="DN140" t="s">
        <v>332</v>
      </c>
      <c r="DO140">
        <v>13.5</v>
      </c>
      <c r="DP140" t="s">
        <v>30</v>
      </c>
      <c r="DQ140" t="s">
        <v>332</v>
      </c>
      <c r="DR140">
        <v>15.12</v>
      </c>
      <c r="DS140" t="s">
        <v>30</v>
      </c>
      <c r="DT140" t="s">
        <v>360</v>
      </c>
      <c r="DU140">
        <v>1250</v>
      </c>
      <c r="DV140" t="s">
        <v>476</v>
      </c>
      <c r="DW140" t="s">
        <v>360</v>
      </c>
      <c r="DX140">
        <v>1250</v>
      </c>
      <c r="DY140" t="s">
        <v>476</v>
      </c>
      <c r="DZ140" t="s">
        <v>360</v>
      </c>
      <c r="EA140">
        <v>1250</v>
      </c>
      <c r="EB140" t="s">
        <v>476</v>
      </c>
      <c r="EC140" t="s">
        <v>360</v>
      </c>
      <c r="ED140">
        <v>1250</v>
      </c>
      <c r="EE140" t="s">
        <v>476</v>
      </c>
      <c r="EF140" t="s">
        <v>360</v>
      </c>
      <c r="EG140">
        <v>1250</v>
      </c>
      <c r="EH140" t="s">
        <v>476</v>
      </c>
      <c r="EI140" t="s">
        <v>360</v>
      </c>
      <c r="EJ140">
        <v>1250</v>
      </c>
      <c r="EK140" t="s">
        <v>476</v>
      </c>
    </row>
    <row r="141" spans="1:141">
      <c r="A141" t="s">
        <v>408</v>
      </c>
      <c r="B141">
        <v>0.18</v>
      </c>
      <c r="C141" t="s">
        <v>112</v>
      </c>
      <c r="D141" t="s">
        <v>408</v>
      </c>
      <c r="E141">
        <v>0.18</v>
      </c>
      <c r="F141" t="s">
        <v>112</v>
      </c>
      <c r="G141" t="s">
        <v>227</v>
      </c>
      <c r="H141">
        <v>63.49</v>
      </c>
      <c r="I141" t="s">
        <v>99</v>
      </c>
      <c r="J141" t="s">
        <v>227</v>
      </c>
      <c r="K141">
        <v>62.88</v>
      </c>
      <c r="L141" t="s">
        <v>99</v>
      </c>
      <c r="M141" t="s">
        <v>227</v>
      </c>
      <c r="N141">
        <v>61.82</v>
      </c>
      <c r="O141" t="s">
        <v>99</v>
      </c>
      <c r="P141" t="s">
        <v>401</v>
      </c>
      <c r="Q141">
        <v>0.25</v>
      </c>
      <c r="R141" t="s">
        <v>120</v>
      </c>
      <c r="S141" t="s">
        <v>227</v>
      </c>
      <c r="T141">
        <v>62.35</v>
      </c>
      <c r="U141" t="s">
        <v>99</v>
      </c>
      <c r="V141" t="s">
        <v>227</v>
      </c>
      <c r="W141">
        <v>58</v>
      </c>
      <c r="X141" t="s">
        <v>99</v>
      </c>
      <c r="Y141" t="s">
        <v>227</v>
      </c>
      <c r="Z141">
        <v>69.790000000000006</v>
      </c>
      <c r="AA141" t="s">
        <v>99</v>
      </c>
      <c r="AB141" t="s">
        <v>227</v>
      </c>
      <c r="AC141">
        <v>92.75</v>
      </c>
      <c r="AD141" t="s">
        <v>99</v>
      </c>
      <c r="AE141" t="s">
        <v>227</v>
      </c>
      <c r="AF141">
        <v>111.3</v>
      </c>
      <c r="AG141" t="s">
        <v>99</v>
      </c>
      <c r="AH141" t="s">
        <v>227</v>
      </c>
      <c r="AI141">
        <v>119.52</v>
      </c>
      <c r="AJ141" t="s">
        <v>99</v>
      </c>
      <c r="AK141" t="s">
        <v>227</v>
      </c>
      <c r="AL141">
        <v>105.96</v>
      </c>
      <c r="AM141" t="s">
        <v>99</v>
      </c>
      <c r="AN141" t="s">
        <v>227</v>
      </c>
      <c r="AO141">
        <v>108.02</v>
      </c>
      <c r="AP141" t="s">
        <v>99</v>
      </c>
      <c r="AQ141" t="s">
        <v>227</v>
      </c>
      <c r="AR141">
        <v>106.51</v>
      </c>
      <c r="AS141" t="s">
        <v>99</v>
      </c>
      <c r="AT141" t="s">
        <v>227</v>
      </c>
      <c r="AU141">
        <v>103.66</v>
      </c>
      <c r="AV141" t="s">
        <v>99</v>
      </c>
      <c r="AW141" t="s">
        <v>227</v>
      </c>
      <c r="AX141">
        <v>91.3</v>
      </c>
      <c r="AY141" t="s">
        <v>99</v>
      </c>
      <c r="AZ141" t="s">
        <v>227</v>
      </c>
      <c r="BA141">
        <v>92.1</v>
      </c>
      <c r="BB141" t="s">
        <v>99</v>
      </c>
      <c r="BC141" t="s">
        <v>227</v>
      </c>
      <c r="BD141">
        <v>87.06</v>
      </c>
      <c r="BE141" t="s">
        <v>99</v>
      </c>
      <c r="BF141" t="s">
        <v>227</v>
      </c>
      <c r="BG141">
        <v>87.89</v>
      </c>
      <c r="BH141" t="s">
        <v>99</v>
      </c>
      <c r="BI141" t="s">
        <v>227</v>
      </c>
      <c r="BJ141">
        <v>87.7</v>
      </c>
      <c r="BK141" t="s">
        <v>99</v>
      </c>
      <c r="BL141" t="s">
        <v>332</v>
      </c>
      <c r="BM141">
        <v>19.86</v>
      </c>
      <c r="BN141" t="s">
        <v>30</v>
      </c>
      <c r="BO141" t="s">
        <v>332</v>
      </c>
      <c r="BP141">
        <v>20.58</v>
      </c>
      <c r="BQ141" t="s">
        <v>30</v>
      </c>
      <c r="BR141" t="s">
        <v>332</v>
      </c>
      <c r="BS141">
        <v>20.07</v>
      </c>
      <c r="BT141" t="s">
        <v>30</v>
      </c>
      <c r="BU141" t="s">
        <v>332</v>
      </c>
      <c r="BV141">
        <v>19.920000000000002</v>
      </c>
      <c r="BW141" t="s">
        <v>30</v>
      </c>
      <c r="BX141" t="s">
        <v>332</v>
      </c>
      <c r="BY141">
        <v>20.12</v>
      </c>
      <c r="BZ141" t="s">
        <v>30</v>
      </c>
      <c r="CA141" t="s">
        <v>372</v>
      </c>
      <c r="CB141">
        <v>3.01</v>
      </c>
      <c r="CC141" t="s">
        <v>226</v>
      </c>
      <c r="CD141" t="s">
        <v>332</v>
      </c>
      <c r="CE141">
        <v>20.57</v>
      </c>
      <c r="CF141" t="s">
        <v>30</v>
      </c>
      <c r="CG141" t="s">
        <v>332</v>
      </c>
      <c r="CH141">
        <v>20.73</v>
      </c>
      <c r="CI141" t="s">
        <v>30</v>
      </c>
      <c r="CJ141" t="s">
        <v>332</v>
      </c>
      <c r="CK141">
        <v>20.41</v>
      </c>
      <c r="CL141" t="s">
        <v>30</v>
      </c>
      <c r="CM141" t="s">
        <v>332</v>
      </c>
      <c r="CN141">
        <v>20.57</v>
      </c>
      <c r="CO141" t="s">
        <v>30</v>
      </c>
      <c r="CP141" t="s">
        <v>332</v>
      </c>
      <c r="CQ141">
        <v>8.85</v>
      </c>
      <c r="CR141" t="s">
        <v>30</v>
      </c>
      <c r="CS141" t="s">
        <v>332</v>
      </c>
      <c r="CT141">
        <v>8.66</v>
      </c>
      <c r="CU141" t="s">
        <v>30</v>
      </c>
      <c r="CV141" t="s">
        <v>332</v>
      </c>
      <c r="CW141">
        <v>8.6999999999999993</v>
      </c>
      <c r="CX141" t="s">
        <v>30</v>
      </c>
      <c r="CY141" t="s">
        <v>332</v>
      </c>
      <c r="CZ141">
        <v>11.04</v>
      </c>
      <c r="DA141" t="s">
        <v>30</v>
      </c>
      <c r="DB141" t="s">
        <v>332</v>
      </c>
      <c r="DC141">
        <v>12.45</v>
      </c>
      <c r="DD141" t="s">
        <v>30</v>
      </c>
      <c r="DE141" t="s">
        <v>332</v>
      </c>
      <c r="DF141">
        <v>12.64</v>
      </c>
      <c r="DG141" t="s">
        <v>30</v>
      </c>
      <c r="DH141" t="s">
        <v>332</v>
      </c>
      <c r="DI141">
        <v>13.68</v>
      </c>
      <c r="DJ141" t="s">
        <v>30</v>
      </c>
      <c r="DK141" t="s">
        <v>408</v>
      </c>
      <c r="DL141">
        <v>0.25</v>
      </c>
      <c r="DM141" t="s">
        <v>112</v>
      </c>
      <c r="DN141" t="s">
        <v>408</v>
      </c>
      <c r="DO141">
        <v>0.26</v>
      </c>
      <c r="DP141" t="s">
        <v>112</v>
      </c>
      <c r="DQ141" t="s">
        <v>408</v>
      </c>
      <c r="DR141">
        <v>0.31</v>
      </c>
      <c r="DS141" t="s">
        <v>112</v>
      </c>
      <c r="DT141" t="s">
        <v>645</v>
      </c>
      <c r="DU141">
        <v>41.1</v>
      </c>
      <c r="DV141" t="s">
        <v>705</v>
      </c>
      <c r="DW141" t="s">
        <v>645</v>
      </c>
      <c r="DX141">
        <v>39.549999999999997</v>
      </c>
      <c r="DY141" t="s">
        <v>705</v>
      </c>
      <c r="DZ141" t="s">
        <v>645</v>
      </c>
      <c r="EA141">
        <v>40.61</v>
      </c>
      <c r="EB141" t="s">
        <v>705</v>
      </c>
      <c r="EC141" t="s">
        <v>645</v>
      </c>
      <c r="ED141">
        <v>38.700000000000003</v>
      </c>
      <c r="EE141" t="s">
        <v>705</v>
      </c>
      <c r="EF141" t="s">
        <v>645</v>
      </c>
      <c r="EG141">
        <v>36.39</v>
      </c>
      <c r="EH141" t="s">
        <v>705</v>
      </c>
      <c r="EI141" t="s">
        <v>645</v>
      </c>
      <c r="EJ141">
        <v>34.39</v>
      </c>
      <c r="EK141" t="s">
        <v>705</v>
      </c>
    </row>
    <row r="142" spans="1:141">
      <c r="A142" t="s">
        <v>227</v>
      </c>
      <c r="B142">
        <v>64.03</v>
      </c>
      <c r="C142" t="s">
        <v>99</v>
      </c>
      <c r="D142" t="s">
        <v>227</v>
      </c>
      <c r="E142">
        <v>63.2</v>
      </c>
      <c r="F142" t="s">
        <v>99</v>
      </c>
      <c r="G142" t="s">
        <v>360</v>
      </c>
      <c r="H142">
        <v>1250</v>
      </c>
      <c r="I142" t="s">
        <v>476</v>
      </c>
      <c r="J142" t="s">
        <v>360</v>
      </c>
      <c r="K142">
        <v>1250</v>
      </c>
      <c r="L142" t="s">
        <v>476</v>
      </c>
      <c r="M142" t="s">
        <v>360</v>
      </c>
      <c r="N142">
        <v>932</v>
      </c>
      <c r="O142" t="s">
        <v>476</v>
      </c>
      <c r="P142" t="s">
        <v>332</v>
      </c>
      <c r="Q142">
        <v>18.72</v>
      </c>
      <c r="R142" t="s">
        <v>30</v>
      </c>
      <c r="S142" t="s">
        <v>360</v>
      </c>
      <c r="T142">
        <v>1250.01</v>
      </c>
      <c r="U142" t="s">
        <v>476</v>
      </c>
      <c r="V142" t="s">
        <v>360</v>
      </c>
      <c r="W142">
        <v>1250</v>
      </c>
      <c r="X142" t="s">
        <v>476</v>
      </c>
      <c r="Y142" t="s">
        <v>360</v>
      </c>
      <c r="Z142">
        <v>1250</v>
      </c>
      <c r="AA142" t="s">
        <v>476</v>
      </c>
      <c r="AB142" t="s">
        <v>360</v>
      </c>
      <c r="AC142">
        <v>1251</v>
      </c>
      <c r="AD142" t="s">
        <v>476</v>
      </c>
      <c r="AE142" t="s">
        <v>360</v>
      </c>
      <c r="AF142">
        <v>1251</v>
      </c>
      <c r="AG142" t="s">
        <v>476</v>
      </c>
      <c r="AH142" t="s">
        <v>360</v>
      </c>
      <c r="AI142">
        <v>1251</v>
      </c>
      <c r="AJ142" t="s">
        <v>476</v>
      </c>
      <c r="AK142" t="s">
        <v>360</v>
      </c>
      <c r="AL142">
        <v>1251</v>
      </c>
      <c r="AM142" t="s">
        <v>476</v>
      </c>
      <c r="AN142" t="s">
        <v>360</v>
      </c>
      <c r="AO142">
        <v>1251</v>
      </c>
      <c r="AP142" t="s">
        <v>476</v>
      </c>
      <c r="AQ142" t="s">
        <v>360</v>
      </c>
      <c r="AR142">
        <v>1250</v>
      </c>
      <c r="AS142" t="s">
        <v>476</v>
      </c>
      <c r="AT142" t="s">
        <v>360</v>
      </c>
      <c r="AU142">
        <v>1250</v>
      </c>
      <c r="AV142" t="s">
        <v>476</v>
      </c>
      <c r="AW142" t="s">
        <v>360</v>
      </c>
      <c r="AX142">
        <v>1250</v>
      </c>
      <c r="AY142" t="s">
        <v>476</v>
      </c>
      <c r="AZ142" t="s">
        <v>360</v>
      </c>
      <c r="BA142">
        <v>1250</v>
      </c>
      <c r="BB142" t="s">
        <v>476</v>
      </c>
      <c r="BC142" t="s">
        <v>360</v>
      </c>
      <c r="BD142">
        <v>1250</v>
      </c>
      <c r="BE142" t="s">
        <v>476</v>
      </c>
      <c r="BF142" t="s">
        <v>360</v>
      </c>
      <c r="BG142">
        <v>1251</v>
      </c>
      <c r="BH142" t="s">
        <v>476</v>
      </c>
      <c r="BI142" t="s">
        <v>360</v>
      </c>
      <c r="BJ142">
        <v>1251</v>
      </c>
      <c r="BK142" t="s">
        <v>476</v>
      </c>
      <c r="BL142" t="s">
        <v>408</v>
      </c>
      <c r="BM142">
        <v>0.19</v>
      </c>
      <c r="BN142" t="s">
        <v>112</v>
      </c>
      <c r="BO142" t="s">
        <v>408</v>
      </c>
      <c r="BP142">
        <v>0.19</v>
      </c>
      <c r="BQ142" t="s">
        <v>112</v>
      </c>
      <c r="BR142" t="s">
        <v>408</v>
      </c>
      <c r="BS142">
        <v>0.19</v>
      </c>
      <c r="BT142" t="s">
        <v>112</v>
      </c>
      <c r="BU142" t="s">
        <v>408</v>
      </c>
      <c r="BV142">
        <v>0.2</v>
      </c>
      <c r="BW142" t="s">
        <v>112</v>
      </c>
      <c r="BX142" t="s">
        <v>408</v>
      </c>
      <c r="BY142">
        <v>0.19</v>
      </c>
      <c r="BZ142" t="s">
        <v>112</v>
      </c>
      <c r="CA142" t="s">
        <v>376</v>
      </c>
      <c r="CB142">
        <v>16.93</v>
      </c>
      <c r="CC142" t="s">
        <v>124</v>
      </c>
      <c r="CD142" t="s">
        <v>408</v>
      </c>
      <c r="CE142">
        <v>0.19</v>
      </c>
      <c r="CF142" t="s">
        <v>112</v>
      </c>
      <c r="CG142" t="s">
        <v>408</v>
      </c>
      <c r="CH142">
        <v>0.19</v>
      </c>
      <c r="CI142" t="s">
        <v>112</v>
      </c>
      <c r="CJ142" t="s">
        <v>408</v>
      </c>
      <c r="CK142">
        <v>0.19</v>
      </c>
      <c r="CL142" t="s">
        <v>112</v>
      </c>
      <c r="CM142" t="s">
        <v>408</v>
      </c>
      <c r="CN142">
        <v>0.19</v>
      </c>
      <c r="CO142" t="s">
        <v>112</v>
      </c>
      <c r="CP142" t="s">
        <v>408</v>
      </c>
      <c r="CQ142">
        <v>0.19</v>
      </c>
      <c r="CR142" t="s">
        <v>112</v>
      </c>
      <c r="CS142" t="s">
        <v>408</v>
      </c>
      <c r="CT142">
        <v>0.2</v>
      </c>
      <c r="CU142" t="s">
        <v>112</v>
      </c>
      <c r="CV142" t="s">
        <v>408</v>
      </c>
      <c r="CW142">
        <v>0.23</v>
      </c>
      <c r="CX142" t="s">
        <v>112</v>
      </c>
      <c r="CY142" t="s">
        <v>408</v>
      </c>
      <c r="CZ142">
        <v>0.28000000000000003</v>
      </c>
      <c r="DA142" t="s">
        <v>112</v>
      </c>
      <c r="DB142" t="s">
        <v>408</v>
      </c>
      <c r="DC142">
        <v>0.33</v>
      </c>
      <c r="DD142" t="s">
        <v>112</v>
      </c>
      <c r="DE142" t="s">
        <v>408</v>
      </c>
      <c r="DF142">
        <v>0.3</v>
      </c>
      <c r="DG142" t="s">
        <v>112</v>
      </c>
      <c r="DH142" t="s">
        <v>408</v>
      </c>
      <c r="DI142">
        <v>0.26</v>
      </c>
      <c r="DJ142" t="s">
        <v>112</v>
      </c>
      <c r="DK142" t="s">
        <v>227</v>
      </c>
      <c r="DL142">
        <v>69.180000000000007</v>
      </c>
      <c r="DM142" t="s">
        <v>99</v>
      </c>
      <c r="DN142" t="s">
        <v>227</v>
      </c>
      <c r="DO142">
        <v>68.25</v>
      </c>
      <c r="DP142" t="s">
        <v>99</v>
      </c>
      <c r="DQ142" t="s">
        <v>227</v>
      </c>
      <c r="DR142">
        <v>73.22</v>
      </c>
      <c r="DS142" t="s">
        <v>99</v>
      </c>
      <c r="DT142" t="s">
        <v>370</v>
      </c>
      <c r="DU142">
        <v>10.89</v>
      </c>
      <c r="DV142" t="s">
        <v>133</v>
      </c>
      <c r="DW142" t="s">
        <v>370</v>
      </c>
      <c r="DX142">
        <v>10.44</v>
      </c>
      <c r="DY142" t="s">
        <v>133</v>
      </c>
      <c r="DZ142" t="s">
        <v>370</v>
      </c>
      <c r="EA142">
        <v>10.54</v>
      </c>
      <c r="EB142" t="s">
        <v>133</v>
      </c>
      <c r="EC142" t="s">
        <v>370</v>
      </c>
      <c r="ED142">
        <v>10.029999999999999</v>
      </c>
      <c r="EE142" t="s">
        <v>133</v>
      </c>
      <c r="EF142" t="s">
        <v>370</v>
      </c>
      <c r="EG142">
        <v>10.119999999999999</v>
      </c>
      <c r="EH142" t="s">
        <v>133</v>
      </c>
      <c r="EI142" t="s">
        <v>370</v>
      </c>
      <c r="EJ142">
        <v>10.34</v>
      </c>
      <c r="EK142" t="s">
        <v>133</v>
      </c>
    </row>
    <row r="143" spans="1:141">
      <c r="A143" t="s">
        <v>360</v>
      </c>
      <c r="B143">
        <v>1299.98</v>
      </c>
      <c r="C143" t="s">
        <v>476</v>
      </c>
      <c r="D143" t="s">
        <v>360</v>
      </c>
      <c r="E143">
        <v>1250</v>
      </c>
      <c r="F143" t="s">
        <v>476</v>
      </c>
      <c r="G143" t="s">
        <v>645</v>
      </c>
      <c r="H143">
        <v>50.34</v>
      </c>
      <c r="I143" t="s">
        <v>705</v>
      </c>
      <c r="J143" t="s">
        <v>645</v>
      </c>
      <c r="K143">
        <v>48.78</v>
      </c>
      <c r="L143" t="s">
        <v>705</v>
      </c>
      <c r="M143" t="s">
        <v>645</v>
      </c>
      <c r="N143">
        <v>47.7</v>
      </c>
      <c r="O143" t="s">
        <v>705</v>
      </c>
      <c r="P143" t="s">
        <v>408</v>
      </c>
      <c r="Q143">
        <v>0.18</v>
      </c>
      <c r="R143" t="s">
        <v>112</v>
      </c>
      <c r="S143" t="s">
        <v>645</v>
      </c>
      <c r="T143">
        <v>49.52</v>
      </c>
      <c r="U143" t="s">
        <v>705</v>
      </c>
      <c r="V143" t="s">
        <v>645</v>
      </c>
      <c r="W143">
        <v>47.11</v>
      </c>
      <c r="X143" t="s">
        <v>705</v>
      </c>
      <c r="Y143" t="s">
        <v>645</v>
      </c>
      <c r="Z143">
        <v>47.63</v>
      </c>
      <c r="AA143" t="s">
        <v>705</v>
      </c>
      <c r="AB143" t="s">
        <v>645</v>
      </c>
      <c r="AC143">
        <v>49.83</v>
      </c>
      <c r="AD143" t="s">
        <v>705</v>
      </c>
      <c r="AE143" t="s">
        <v>645</v>
      </c>
      <c r="AF143">
        <v>50.03</v>
      </c>
      <c r="AG143" t="s">
        <v>705</v>
      </c>
      <c r="AH143" t="s">
        <v>645</v>
      </c>
      <c r="AI143">
        <v>49.92</v>
      </c>
      <c r="AJ143" t="s">
        <v>705</v>
      </c>
      <c r="AK143" t="s">
        <v>645</v>
      </c>
      <c r="AL143">
        <v>48.77</v>
      </c>
      <c r="AM143" t="s">
        <v>705</v>
      </c>
      <c r="AN143" t="s">
        <v>645</v>
      </c>
      <c r="AO143">
        <v>47.71</v>
      </c>
      <c r="AP143" t="s">
        <v>705</v>
      </c>
      <c r="AQ143" t="s">
        <v>645</v>
      </c>
      <c r="AR143">
        <v>47.77</v>
      </c>
      <c r="AS143" t="s">
        <v>705</v>
      </c>
      <c r="AT143" t="s">
        <v>645</v>
      </c>
      <c r="AU143">
        <v>48.41</v>
      </c>
      <c r="AV143" t="s">
        <v>705</v>
      </c>
      <c r="AW143" t="s">
        <v>645</v>
      </c>
      <c r="AX143">
        <v>48.12</v>
      </c>
      <c r="AY143" t="s">
        <v>705</v>
      </c>
      <c r="AZ143" t="s">
        <v>645</v>
      </c>
      <c r="BA143">
        <v>47.7</v>
      </c>
      <c r="BB143" t="s">
        <v>705</v>
      </c>
      <c r="BC143" t="s">
        <v>645</v>
      </c>
      <c r="BD143">
        <v>48</v>
      </c>
      <c r="BE143" t="s">
        <v>705</v>
      </c>
      <c r="BF143" t="s">
        <v>645</v>
      </c>
      <c r="BG143">
        <v>49.4</v>
      </c>
      <c r="BH143" t="s">
        <v>705</v>
      </c>
      <c r="BI143" t="s">
        <v>645</v>
      </c>
      <c r="BJ143">
        <v>48.94</v>
      </c>
      <c r="BK143" t="s">
        <v>705</v>
      </c>
      <c r="BL143" t="s">
        <v>227</v>
      </c>
      <c r="BM143">
        <v>83</v>
      </c>
      <c r="BN143" t="s">
        <v>99</v>
      </c>
      <c r="BO143" t="s">
        <v>227</v>
      </c>
      <c r="BP143">
        <v>85.55</v>
      </c>
      <c r="BQ143" t="s">
        <v>99</v>
      </c>
      <c r="BR143" t="s">
        <v>227</v>
      </c>
      <c r="BS143">
        <v>86.34</v>
      </c>
      <c r="BT143" t="s">
        <v>99</v>
      </c>
      <c r="BU143" t="s">
        <v>227</v>
      </c>
      <c r="BV143">
        <v>86.86</v>
      </c>
      <c r="BW143" t="s">
        <v>99</v>
      </c>
      <c r="BX143" t="s">
        <v>227</v>
      </c>
      <c r="BY143">
        <v>86.93</v>
      </c>
      <c r="BZ143" t="s">
        <v>99</v>
      </c>
      <c r="CA143" t="s">
        <v>401</v>
      </c>
      <c r="CB143">
        <v>0.33</v>
      </c>
      <c r="CC143" t="s">
        <v>120</v>
      </c>
      <c r="CD143" t="s">
        <v>227</v>
      </c>
      <c r="CE143">
        <v>77.58</v>
      </c>
      <c r="CF143" t="s">
        <v>99</v>
      </c>
      <c r="CG143" t="s">
        <v>227</v>
      </c>
      <c r="CH143">
        <v>76.41</v>
      </c>
      <c r="CI143" t="s">
        <v>99</v>
      </c>
      <c r="CJ143" t="s">
        <v>227</v>
      </c>
      <c r="CK143">
        <v>75.319999999999993</v>
      </c>
      <c r="CL143" t="s">
        <v>99</v>
      </c>
      <c r="CM143" t="s">
        <v>227</v>
      </c>
      <c r="CN143">
        <v>73.3</v>
      </c>
      <c r="CO143" t="s">
        <v>99</v>
      </c>
      <c r="CP143" t="s">
        <v>227</v>
      </c>
      <c r="CQ143">
        <v>75.03</v>
      </c>
      <c r="CR143" t="s">
        <v>99</v>
      </c>
      <c r="CS143" t="s">
        <v>227</v>
      </c>
      <c r="CT143">
        <v>74</v>
      </c>
      <c r="CU143" t="s">
        <v>99</v>
      </c>
      <c r="CV143" t="s">
        <v>227</v>
      </c>
      <c r="CW143">
        <v>73.87</v>
      </c>
      <c r="CX143" t="s">
        <v>99</v>
      </c>
      <c r="CY143" t="s">
        <v>227</v>
      </c>
      <c r="CZ143">
        <v>73.28</v>
      </c>
      <c r="DA143" t="s">
        <v>99</v>
      </c>
      <c r="DB143" t="s">
        <v>227</v>
      </c>
      <c r="DC143">
        <v>75.239999999999995</v>
      </c>
      <c r="DD143" t="s">
        <v>99</v>
      </c>
      <c r="DE143" t="s">
        <v>227</v>
      </c>
      <c r="DF143">
        <v>74.7</v>
      </c>
      <c r="DG143" t="s">
        <v>99</v>
      </c>
      <c r="DH143" t="s">
        <v>227</v>
      </c>
      <c r="DI143">
        <v>72.97</v>
      </c>
      <c r="DJ143" t="s">
        <v>99</v>
      </c>
      <c r="DK143" t="s">
        <v>360</v>
      </c>
      <c r="DL143">
        <v>1250</v>
      </c>
      <c r="DM143" t="s">
        <v>476</v>
      </c>
      <c r="DN143" t="s">
        <v>360</v>
      </c>
      <c r="DO143">
        <v>1250</v>
      </c>
      <c r="DP143" t="s">
        <v>476</v>
      </c>
      <c r="DQ143" t="s">
        <v>360</v>
      </c>
      <c r="DR143">
        <v>1250</v>
      </c>
      <c r="DS143" t="s">
        <v>476</v>
      </c>
      <c r="DT143" t="s">
        <v>427</v>
      </c>
      <c r="DU143">
        <v>5.44</v>
      </c>
      <c r="DV143" t="s">
        <v>228</v>
      </c>
      <c r="DW143" t="s">
        <v>427</v>
      </c>
      <c r="DX143">
        <v>5.26</v>
      </c>
      <c r="DY143" t="s">
        <v>228</v>
      </c>
      <c r="DZ143" t="s">
        <v>427</v>
      </c>
      <c r="EA143">
        <v>5.56</v>
      </c>
      <c r="EB143" t="s">
        <v>228</v>
      </c>
      <c r="EC143" t="s">
        <v>427</v>
      </c>
      <c r="ED143">
        <v>5.73</v>
      </c>
      <c r="EE143" t="s">
        <v>228</v>
      </c>
      <c r="EF143" t="s">
        <v>427</v>
      </c>
      <c r="EG143">
        <v>5.0199999999999996</v>
      </c>
      <c r="EH143" t="s">
        <v>228</v>
      </c>
      <c r="EI143" t="s">
        <v>427</v>
      </c>
      <c r="EJ143">
        <v>5.18</v>
      </c>
      <c r="EK143" t="s">
        <v>228</v>
      </c>
    </row>
    <row r="144" spans="1:141">
      <c r="A144" t="s">
        <v>645</v>
      </c>
      <c r="B144">
        <v>49.03</v>
      </c>
      <c r="C144" t="s">
        <v>705</v>
      </c>
      <c r="D144" t="s">
        <v>645</v>
      </c>
      <c r="E144">
        <v>47.95</v>
      </c>
      <c r="F144" t="s">
        <v>705</v>
      </c>
      <c r="G144" t="s">
        <v>370</v>
      </c>
      <c r="H144">
        <v>8.77</v>
      </c>
      <c r="I144" t="s">
        <v>133</v>
      </c>
      <c r="J144" t="s">
        <v>370</v>
      </c>
      <c r="K144">
        <v>9.1</v>
      </c>
      <c r="L144" t="s">
        <v>133</v>
      </c>
      <c r="M144" t="s">
        <v>370</v>
      </c>
      <c r="N144">
        <v>8.82</v>
      </c>
      <c r="O144" t="s">
        <v>133</v>
      </c>
      <c r="P144" t="s">
        <v>227</v>
      </c>
      <c r="Q144">
        <v>63</v>
      </c>
      <c r="R144" t="s">
        <v>99</v>
      </c>
      <c r="S144" t="s">
        <v>370</v>
      </c>
      <c r="T144">
        <v>8.69</v>
      </c>
      <c r="U144" t="s">
        <v>133</v>
      </c>
      <c r="V144" t="s">
        <v>370</v>
      </c>
      <c r="W144">
        <v>8.18</v>
      </c>
      <c r="X144" t="s">
        <v>133</v>
      </c>
      <c r="Y144" t="s">
        <v>370</v>
      </c>
      <c r="Z144">
        <v>8.51</v>
      </c>
      <c r="AA144" t="s">
        <v>133</v>
      </c>
      <c r="AB144" t="s">
        <v>370</v>
      </c>
      <c r="AC144">
        <v>8.9</v>
      </c>
      <c r="AD144" t="s">
        <v>133</v>
      </c>
      <c r="AE144" t="s">
        <v>370</v>
      </c>
      <c r="AF144">
        <v>9.0500000000000007</v>
      </c>
      <c r="AG144" t="s">
        <v>133</v>
      </c>
      <c r="AH144" t="s">
        <v>370</v>
      </c>
      <c r="AI144">
        <v>10.130000000000001</v>
      </c>
      <c r="AJ144" t="s">
        <v>133</v>
      </c>
      <c r="AK144" t="s">
        <v>370</v>
      </c>
      <c r="AL144">
        <v>10.57</v>
      </c>
      <c r="AM144" t="s">
        <v>133</v>
      </c>
      <c r="AN144" t="s">
        <v>370</v>
      </c>
      <c r="AO144">
        <v>9.6</v>
      </c>
      <c r="AP144" t="s">
        <v>133</v>
      </c>
      <c r="AQ144" t="s">
        <v>370</v>
      </c>
      <c r="AR144">
        <v>9.8699999999999992</v>
      </c>
      <c r="AS144" t="s">
        <v>133</v>
      </c>
      <c r="AT144" t="s">
        <v>370</v>
      </c>
      <c r="AU144">
        <v>9.75</v>
      </c>
      <c r="AV144" t="s">
        <v>133</v>
      </c>
      <c r="AW144" t="s">
        <v>370</v>
      </c>
      <c r="AX144">
        <v>9.7899999999999991</v>
      </c>
      <c r="AY144" t="s">
        <v>133</v>
      </c>
      <c r="AZ144" t="s">
        <v>370</v>
      </c>
      <c r="BA144">
        <v>9.74</v>
      </c>
      <c r="BB144" t="s">
        <v>133</v>
      </c>
      <c r="BC144" t="s">
        <v>370</v>
      </c>
      <c r="BD144">
        <v>9.98</v>
      </c>
      <c r="BE144" t="s">
        <v>133</v>
      </c>
      <c r="BF144" t="s">
        <v>370</v>
      </c>
      <c r="BG144">
        <v>9.64</v>
      </c>
      <c r="BH144" t="s">
        <v>133</v>
      </c>
      <c r="BI144" t="s">
        <v>370</v>
      </c>
      <c r="BJ144">
        <v>9.59</v>
      </c>
      <c r="BK144" t="s">
        <v>133</v>
      </c>
      <c r="BL144" t="s">
        <v>360</v>
      </c>
      <c r="BM144">
        <v>1250</v>
      </c>
      <c r="BN144" t="s">
        <v>476</v>
      </c>
      <c r="BO144" t="s">
        <v>360</v>
      </c>
      <c r="BP144">
        <v>1250</v>
      </c>
      <c r="BQ144" t="s">
        <v>476</v>
      </c>
      <c r="BR144" t="s">
        <v>360</v>
      </c>
      <c r="BS144">
        <v>1250</v>
      </c>
      <c r="BT144" t="s">
        <v>476</v>
      </c>
      <c r="BU144" t="s">
        <v>360</v>
      </c>
      <c r="BV144">
        <v>1250</v>
      </c>
      <c r="BW144" t="s">
        <v>476</v>
      </c>
      <c r="BX144" t="s">
        <v>360</v>
      </c>
      <c r="BY144">
        <v>1250</v>
      </c>
      <c r="BZ144" t="s">
        <v>476</v>
      </c>
      <c r="CA144" t="s">
        <v>332</v>
      </c>
      <c r="CB144">
        <v>20</v>
      </c>
      <c r="CC144" t="s">
        <v>30</v>
      </c>
      <c r="CD144" t="s">
        <v>360</v>
      </c>
      <c r="CE144">
        <v>1250</v>
      </c>
      <c r="CF144" t="s">
        <v>476</v>
      </c>
      <c r="CG144" t="s">
        <v>360</v>
      </c>
      <c r="CH144">
        <v>1250</v>
      </c>
      <c r="CI144" t="s">
        <v>476</v>
      </c>
      <c r="CJ144" t="s">
        <v>360</v>
      </c>
      <c r="CK144">
        <v>1251</v>
      </c>
      <c r="CL144" t="s">
        <v>476</v>
      </c>
      <c r="CM144" t="s">
        <v>360</v>
      </c>
      <c r="CN144">
        <v>1251</v>
      </c>
      <c r="CO144" t="s">
        <v>476</v>
      </c>
      <c r="CP144" t="s">
        <v>360</v>
      </c>
      <c r="CQ144">
        <v>1250</v>
      </c>
      <c r="CR144" t="s">
        <v>476</v>
      </c>
      <c r="CS144" t="s">
        <v>360</v>
      </c>
      <c r="CT144">
        <v>1250</v>
      </c>
      <c r="CU144" t="s">
        <v>476</v>
      </c>
      <c r="CV144" t="s">
        <v>360</v>
      </c>
      <c r="CW144">
        <v>1250</v>
      </c>
      <c r="CX144" t="s">
        <v>476</v>
      </c>
      <c r="CY144" t="s">
        <v>360</v>
      </c>
      <c r="CZ144">
        <v>1250</v>
      </c>
      <c r="DA144" t="s">
        <v>476</v>
      </c>
      <c r="DB144" t="s">
        <v>360</v>
      </c>
      <c r="DC144">
        <v>1250</v>
      </c>
      <c r="DD144" t="s">
        <v>476</v>
      </c>
      <c r="DE144" t="s">
        <v>360</v>
      </c>
      <c r="DF144">
        <v>1250</v>
      </c>
      <c r="DG144" t="s">
        <v>476</v>
      </c>
      <c r="DH144" t="s">
        <v>360</v>
      </c>
      <c r="DI144">
        <v>1250</v>
      </c>
      <c r="DJ144" t="s">
        <v>476</v>
      </c>
      <c r="DK144" t="s">
        <v>645</v>
      </c>
      <c r="DL144">
        <v>41.04</v>
      </c>
      <c r="DM144" t="s">
        <v>705</v>
      </c>
      <c r="DN144" t="s">
        <v>645</v>
      </c>
      <c r="DO144">
        <v>41.07</v>
      </c>
      <c r="DP144" t="s">
        <v>705</v>
      </c>
      <c r="DQ144" t="s">
        <v>645</v>
      </c>
      <c r="DR144">
        <v>44.33</v>
      </c>
      <c r="DS144" t="s">
        <v>705</v>
      </c>
      <c r="DT144" t="s">
        <v>229</v>
      </c>
      <c r="DU144">
        <v>9.5</v>
      </c>
      <c r="DV144" t="s">
        <v>86</v>
      </c>
      <c r="DW144" t="s">
        <v>229</v>
      </c>
      <c r="DX144">
        <v>9.9</v>
      </c>
      <c r="DY144" t="s">
        <v>86</v>
      </c>
      <c r="DZ144" t="s">
        <v>229</v>
      </c>
      <c r="EA144">
        <v>9.3000000000000007</v>
      </c>
      <c r="EB144" t="s">
        <v>86</v>
      </c>
      <c r="EC144" t="s">
        <v>229</v>
      </c>
      <c r="ED144">
        <v>9.3000000000000007</v>
      </c>
      <c r="EE144" t="s">
        <v>86</v>
      </c>
      <c r="EF144" t="s">
        <v>229</v>
      </c>
      <c r="EG144">
        <v>9.09</v>
      </c>
      <c r="EH144" t="s">
        <v>86</v>
      </c>
      <c r="EI144" t="s">
        <v>229</v>
      </c>
      <c r="EJ144">
        <v>9.4700000000000006</v>
      </c>
      <c r="EK144" t="s">
        <v>86</v>
      </c>
    </row>
    <row r="145" spans="1:141">
      <c r="A145" t="s">
        <v>370</v>
      </c>
      <c r="B145">
        <v>9.0299999999999994</v>
      </c>
      <c r="C145" t="s">
        <v>133</v>
      </c>
      <c r="D145" t="s">
        <v>370</v>
      </c>
      <c r="E145">
        <v>8.85</v>
      </c>
      <c r="F145" t="s">
        <v>133</v>
      </c>
      <c r="G145" t="s">
        <v>427</v>
      </c>
      <c r="H145">
        <v>4.25</v>
      </c>
      <c r="I145" t="s">
        <v>228</v>
      </c>
      <c r="J145" t="s">
        <v>427</v>
      </c>
      <c r="K145">
        <v>4.21</v>
      </c>
      <c r="L145" t="s">
        <v>228</v>
      </c>
      <c r="M145" t="s">
        <v>427</v>
      </c>
      <c r="N145">
        <v>4.07</v>
      </c>
      <c r="O145" t="s">
        <v>228</v>
      </c>
      <c r="P145" t="s">
        <v>360</v>
      </c>
      <c r="Q145">
        <v>932</v>
      </c>
      <c r="R145" t="s">
        <v>476</v>
      </c>
      <c r="S145" t="s">
        <v>427</v>
      </c>
      <c r="T145">
        <v>3.97</v>
      </c>
      <c r="U145" t="s">
        <v>228</v>
      </c>
      <c r="V145" t="s">
        <v>427</v>
      </c>
      <c r="W145">
        <v>3.93</v>
      </c>
      <c r="X145" t="s">
        <v>228</v>
      </c>
      <c r="Y145" t="s">
        <v>427</v>
      </c>
      <c r="Z145">
        <v>4.05</v>
      </c>
      <c r="AA145" t="s">
        <v>228</v>
      </c>
      <c r="AB145" t="s">
        <v>427</v>
      </c>
      <c r="AC145">
        <v>4</v>
      </c>
      <c r="AD145" t="s">
        <v>228</v>
      </c>
      <c r="AE145" t="s">
        <v>427</v>
      </c>
      <c r="AF145">
        <v>3.98</v>
      </c>
      <c r="AG145" t="s">
        <v>228</v>
      </c>
      <c r="AH145" t="s">
        <v>427</v>
      </c>
      <c r="AI145">
        <v>3.99</v>
      </c>
      <c r="AJ145" t="s">
        <v>228</v>
      </c>
      <c r="AK145" t="s">
        <v>427</v>
      </c>
      <c r="AL145">
        <v>3.89</v>
      </c>
      <c r="AM145" t="s">
        <v>228</v>
      </c>
      <c r="AN145" t="s">
        <v>427</v>
      </c>
      <c r="AO145">
        <v>3.77</v>
      </c>
      <c r="AP145" t="s">
        <v>228</v>
      </c>
      <c r="AQ145" t="s">
        <v>427</v>
      </c>
      <c r="AR145">
        <v>3.88</v>
      </c>
      <c r="AS145" t="s">
        <v>228</v>
      </c>
      <c r="AT145" t="s">
        <v>427</v>
      </c>
      <c r="AU145">
        <v>3.88</v>
      </c>
      <c r="AV145" t="s">
        <v>228</v>
      </c>
      <c r="AW145" t="s">
        <v>427</v>
      </c>
      <c r="AX145">
        <v>4.0199999999999996</v>
      </c>
      <c r="AY145" t="s">
        <v>228</v>
      </c>
      <c r="AZ145" t="s">
        <v>427</v>
      </c>
      <c r="BA145">
        <v>4.07</v>
      </c>
      <c r="BB145" t="s">
        <v>228</v>
      </c>
      <c r="BC145" t="s">
        <v>427</v>
      </c>
      <c r="BD145">
        <v>4.29</v>
      </c>
      <c r="BE145" t="s">
        <v>228</v>
      </c>
      <c r="BF145" t="s">
        <v>427</v>
      </c>
      <c r="BG145">
        <v>4.2</v>
      </c>
      <c r="BH145" t="s">
        <v>228</v>
      </c>
      <c r="BI145" t="s">
        <v>427</v>
      </c>
      <c r="BJ145">
        <v>4.17</v>
      </c>
      <c r="BK145" t="s">
        <v>228</v>
      </c>
      <c r="BL145" t="s">
        <v>645</v>
      </c>
      <c r="BM145">
        <v>48.37</v>
      </c>
      <c r="BN145" t="s">
        <v>705</v>
      </c>
      <c r="BO145" t="s">
        <v>645</v>
      </c>
      <c r="BP145">
        <v>48.4</v>
      </c>
      <c r="BQ145" t="s">
        <v>705</v>
      </c>
      <c r="BR145" t="s">
        <v>645</v>
      </c>
      <c r="BS145">
        <v>48.35</v>
      </c>
      <c r="BT145" t="s">
        <v>705</v>
      </c>
      <c r="BU145" t="s">
        <v>645</v>
      </c>
      <c r="BV145">
        <v>48.7</v>
      </c>
      <c r="BW145" t="s">
        <v>705</v>
      </c>
      <c r="BX145" t="s">
        <v>645</v>
      </c>
      <c r="BY145">
        <v>46.36</v>
      </c>
      <c r="BZ145" t="s">
        <v>705</v>
      </c>
      <c r="CA145" t="s">
        <v>408</v>
      </c>
      <c r="CB145">
        <v>0.19</v>
      </c>
      <c r="CC145" t="s">
        <v>112</v>
      </c>
      <c r="CD145" t="s">
        <v>645</v>
      </c>
      <c r="CE145">
        <v>42</v>
      </c>
      <c r="CF145" t="s">
        <v>705</v>
      </c>
      <c r="CG145" t="s">
        <v>645</v>
      </c>
      <c r="CH145">
        <v>39.9</v>
      </c>
      <c r="CI145" t="s">
        <v>705</v>
      </c>
      <c r="CJ145" t="s">
        <v>645</v>
      </c>
      <c r="CK145">
        <v>41.89</v>
      </c>
      <c r="CL145" t="s">
        <v>705</v>
      </c>
      <c r="CM145" t="s">
        <v>645</v>
      </c>
      <c r="CN145">
        <v>43.98</v>
      </c>
      <c r="CO145" t="s">
        <v>705</v>
      </c>
      <c r="CP145" t="s">
        <v>645</v>
      </c>
      <c r="CQ145">
        <v>42.84</v>
      </c>
      <c r="CR145" t="s">
        <v>705</v>
      </c>
      <c r="CS145" t="s">
        <v>645</v>
      </c>
      <c r="CT145">
        <v>40.94</v>
      </c>
      <c r="CU145" t="s">
        <v>705</v>
      </c>
      <c r="CV145" t="s">
        <v>645</v>
      </c>
      <c r="CW145">
        <v>40.549999999999997</v>
      </c>
      <c r="CX145" t="s">
        <v>705</v>
      </c>
      <c r="CY145" t="s">
        <v>645</v>
      </c>
      <c r="CZ145">
        <v>39.99</v>
      </c>
      <c r="DA145" t="s">
        <v>705</v>
      </c>
      <c r="DB145" t="s">
        <v>645</v>
      </c>
      <c r="DC145">
        <v>40.03</v>
      </c>
      <c r="DD145" t="s">
        <v>705</v>
      </c>
      <c r="DE145" t="s">
        <v>645</v>
      </c>
      <c r="DF145">
        <v>40.19</v>
      </c>
      <c r="DG145" t="s">
        <v>705</v>
      </c>
      <c r="DH145" t="s">
        <v>645</v>
      </c>
      <c r="DI145">
        <v>44.09</v>
      </c>
      <c r="DJ145" t="s">
        <v>705</v>
      </c>
      <c r="DK145" t="s">
        <v>370</v>
      </c>
      <c r="DL145">
        <v>8.81</v>
      </c>
      <c r="DM145" t="s">
        <v>133</v>
      </c>
      <c r="DN145" t="s">
        <v>370</v>
      </c>
      <c r="DO145">
        <v>8.7899999999999991</v>
      </c>
      <c r="DP145" t="s">
        <v>133</v>
      </c>
      <c r="DQ145" t="s">
        <v>370</v>
      </c>
      <c r="DR145">
        <v>9.42</v>
      </c>
      <c r="DS145" t="s">
        <v>133</v>
      </c>
      <c r="DT145" t="s">
        <v>230</v>
      </c>
      <c r="DU145">
        <v>28.44</v>
      </c>
      <c r="DV145" t="s">
        <v>231</v>
      </c>
      <c r="DW145" t="s">
        <v>230</v>
      </c>
      <c r="DX145">
        <v>27.11</v>
      </c>
      <c r="DY145" t="s">
        <v>231</v>
      </c>
      <c r="DZ145" t="s">
        <v>230</v>
      </c>
      <c r="EA145">
        <v>27.16</v>
      </c>
      <c r="EB145" t="s">
        <v>231</v>
      </c>
      <c r="EC145" t="s">
        <v>230</v>
      </c>
      <c r="ED145">
        <v>27.26</v>
      </c>
      <c r="EE145" t="s">
        <v>231</v>
      </c>
      <c r="EF145" t="s">
        <v>230</v>
      </c>
      <c r="EG145">
        <v>26.65</v>
      </c>
      <c r="EH145" t="s">
        <v>231</v>
      </c>
      <c r="EI145" t="s">
        <v>230</v>
      </c>
      <c r="EJ145">
        <v>29</v>
      </c>
      <c r="EK145" t="s">
        <v>231</v>
      </c>
    </row>
    <row r="146" spans="1:141">
      <c r="A146" t="s">
        <v>427</v>
      </c>
      <c r="B146">
        <v>4.22</v>
      </c>
      <c r="C146" t="s">
        <v>228</v>
      </c>
      <c r="D146" t="s">
        <v>427</v>
      </c>
      <c r="E146">
        <v>4.25</v>
      </c>
      <c r="F146" t="s">
        <v>228</v>
      </c>
      <c r="G146" t="s">
        <v>229</v>
      </c>
      <c r="H146">
        <v>6.7</v>
      </c>
      <c r="I146" t="s">
        <v>86</v>
      </c>
      <c r="J146" t="s">
        <v>229</v>
      </c>
      <c r="K146">
        <v>6.6</v>
      </c>
      <c r="L146" t="s">
        <v>86</v>
      </c>
      <c r="M146" t="s">
        <v>229</v>
      </c>
      <c r="N146">
        <v>6.65</v>
      </c>
      <c r="O146" t="s">
        <v>86</v>
      </c>
      <c r="P146" t="s">
        <v>645</v>
      </c>
      <c r="Q146">
        <v>47.17</v>
      </c>
      <c r="R146" t="s">
        <v>705</v>
      </c>
      <c r="S146" t="s">
        <v>229</v>
      </c>
      <c r="T146">
        <v>6.47</v>
      </c>
      <c r="U146" t="s">
        <v>86</v>
      </c>
      <c r="V146" t="s">
        <v>229</v>
      </c>
      <c r="W146">
        <v>7</v>
      </c>
      <c r="X146" t="s">
        <v>86</v>
      </c>
      <c r="Y146" t="s">
        <v>229</v>
      </c>
      <c r="Z146">
        <v>6.95</v>
      </c>
      <c r="AA146" t="s">
        <v>86</v>
      </c>
      <c r="AB146" t="s">
        <v>229</v>
      </c>
      <c r="AC146">
        <v>7.4</v>
      </c>
      <c r="AD146" t="s">
        <v>86</v>
      </c>
      <c r="AE146" t="s">
        <v>229</v>
      </c>
      <c r="AF146">
        <v>7.3</v>
      </c>
      <c r="AG146" t="s">
        <v>86</v>
      </c>
      <c r="AH146" t="s">
        <v>229</v>
      </c>
      <c r="AI146">
        <v>7.15</v>
      </c>
      <c r="AJ146" t="s">
        <v>86</v>
      </c>
      <c r="AK146" t="s">
        <v>229</v>
      </c>
      <c r="AL146">
        <v>6.62</v>
      </c>
      <c r="AM146" t="s">
        <v>86</v>
      </c>
      <c r="AN146" t="s">
        <v>229</v>
      </c>
      <c r="AO146">
        <v>6.5</v>
      </c>
      <c r="AP146" t="s">
        <v>86</v>
      </c>
      <c r="AQ146" t="s">
        <v>229</v>
      </c>
      <c r="AR146">
        <v>6.51</v>
      </c>
      <c r="AS146" t="s">
        <v>86</v>
      </c>
      <c r="AT146" t="s">
        <v>229</v>
      </c>
      <c r="AU146">
        <v>6.5</v>
      </c>
      <c r="AV146" t="s">
        <v>86</v>
      </c>
      <c r="AW146" t="s">
        <v>229</v>
      </c>
      <c r="AX146">
        <v>6.46</v>
      </c>
      <c r="AY146" t="s">
        <v>86</v>
      </c>
      <c r="AZ146" t="s">
        <v>229</v>
      </c>
      <c r="BA146">
        <v>6.75</v>
      </c>
      <c r="BB146" t="s">
        <v>86</v>
      </c>
      <c r="BC146" t="s">
        <v>229</v>
      </c>
      <c r="BD146">
        <v>6.9</v>
      </c>
      <c r="BE146" t="s">
        <v>86</v>
      </c>
      <c r="BF146" t="s">
        <v>229</v>
      </c>
      <c r="BG146">
        <v>6.58</v>
      </c>
      <c r="BH146" t="s">
        <v>86</v>
      </c>
      <c r="BI146" t="s">
        <v>229</v>
      </c>
      <c r="BJ146">
        <v>6.45</v>
      </c>
      <c r="BK146" t="s">
        <v>86</v>
      </c>
      <c r="BL146" t="s">
        <v>370</v>
      </c>
      <c r="BM146">
        <v>9.49</v>
      </c>
      <c r="BN146" t="s">
        <v>133</v>
      </c>
      <c r="BO146" t="s">
        <v>370</v>
      </c>
      <c r="BP146">
        <v>9.5299999999999994</v>
      </c>
      <c r="BQ146" t="s">
        <v>133</v>
      </c>
      <c r="BR146" t="s">
        <v>370</v>
      </c>
      <c r="BS146">
        <v>9.7100000000000009</v>
      </c>
      <c r="BT146" t="s">
        <v>133</v>
      </c>
      <c r="BU146" t="s">
        <v>370</v>
      </c>
      <c r="BV146">
        <v>9.6999999999999993</v>
      </c>
      <c r="BW146" t="s">
        <v>133</v>
      </c>
      <c r="BX146" t="s">
        <v>370</v>
      </c>
      <c r="BY146">
        <v>9.6999999999999993</v>
      </c>
      <c r="BZ146" t="s">
        <v>133</v>
      </c>
      <c r="CA146" t="s">
        <v>227</v>
      </c>
      <c r="CB146">
        <v>88.97</v>
      </c>
      <c r="CC146" t="s">
        <v>99</v>
      </c>
      <c r="CD146" t="s">
        <v>370</v>
      </c>
      <c r="CE146">
        <v>9.6999999999999993</v>
      </c>
      <c r="CF146" t="s">
        <v>133</v>
      </c>
      <c r="CG146" t="s">
        <v>370</v>
      </c>
      <c r="CH146">
        <v>9.7799999999999994</v>
      </c>
      <c r="CI146" t="s">
        <v>133</v>
      </c>
      <c r="CJ146" t="s">
        <v>370</v>
      </c>
      <c r="CK146">
        <v>9.73</v>
      </c>
      <c r="CL146" t="s">
        <v>133</v>
      </c>
      <c r="CM146" t="s">
        <v>370</v>
      </c>
      <c r="CN146">
        <v>9.59</v>
      </c>
      <c r="CO146" t="s">
        <v>133</v>
      </c>
      <c r="CP146" t="s">
        <v>370</v>
      </c>
      <c r="CQ146">
        <v>9.6</v>
      </c>
      <c r="CR146" t="s">
        <v>133</v>
      </c>
      <c r="CS146" t="s">
        <v>370</v>
      </c>
      <c r="CT146">
        <v>9.6</v>
      </c>
      <c r="CU146" t="s">
        <v>133</v>
      </c>
      <c r="CV146" t="s">
        <v>370</v>
      </c>
      <c r="CW146">
        <v>9.43</v>
      </c>
      <c r="CX146" t="s">
        <v>133</v>
      </c>
      <c r="CY146" t="s">
        <v>370</v>
      </c>
      <c r="CZ146">
        <v>9.4499999999999993</v>
      </c>
      <c r="DA146" t="s">
        <v>133</v>
      </c>
      <c r="DB146" t="s">
        <v>370</v>
      </c>
      <c r="DC146">
        <v>9.2200000000000006</v>
      </c>
      <c r="DD146" t="s">
        <v>133</v>
      </c>
      <c r="DE146" t="s">
        <v>370</v>
      </c>
      <c r="DF146">
        <v>9.2200000000000006</v>
      </c>
      <c r="DG146" t="s">
        <v>133</v>
      </c>
      <c r="DH146" t="s">
        <v>370</v>
      </c>
      <c r="DI146">
        <v>9.25</v>
      </c>
      <c r="DJ146" t="s">
        <v>133</v>
      </c>
      <c r="DK146" t="s">
        <v>427</v>
      </c>
      <c r="DL146">
        <v>5.75</v>
      </c>
      <c r="DM146" t="s">
        <v>228</v>
      </c>
      <c r="DN146" t="s">
        <v>427</v>
      </c>
      <c r="DO146">
        <v>5.45</v>
      </c>
      <c r="DP146" t="s">
        <v>228</v>
      </c>
      <c r="DQ146" t="s">
        <v>427</v>
      </c>
      <c r="DR146">
        <v>5.67</v>
      </c>
      <c r="DS146" t="s">
        <v>228</v>
      </c>
      <c r="DT146" t="s">
        <v>232</v>
      </c>
      <c r="DU146">
        <v>6.19</v>
      </c>
      <c r="DV146" t="s">
        <v>233</v>
      </c>
      <c r="DW146" t="s">
        <v>232</v>
      </c>
      <c r="DX146">
        <v>6.15</v>
      </c>
      <c r="DY146" t="s">
        <v>233</v>
      </c>
      <c r="DZ146" t="s">
        <v>232</v>
      </c>
      <c r="EA146">
        <v>6.11</v>
      </c>
      <c r="EB146" t="s">
        <v>233</v>
      </c>
      <c r="EC146" t="s">
        <v>232</v>
      </c>
      <c r="ED146">
        <v>6.11</v>
      </c>
      <c r="EE146" t="s">
        <v>233</v>
      </c>
      <c r="EF146" t="s">
        <v>232</v>
      </c>
      <c r="EG146">
        <v>6.13</v>
      </c>
      <c r="EH146" t="s">
        <v>233</v>
      </c>
      <c r="EI146" t="s">
        <v>232</v>
      </c>
      <c r="EJ146">
        <v>5.85</v>
      </c>
      <c r="EK146" t="s">
        <v>233</v>
      </c>
    </row>
    <row r="147" spans="1:141">
      <c r="A147" t="s">
        <v>229</v>
      </c>
      <c r="B147">
        <v>6.9</v>
      </c>
      <c r="C147" t="s">
        <v>86</v>
      </c>
      <c r="D147" t="s">
        <v>229</v>
      </c>
      <c r="E147">
        <v>6.72</v>
      </c>
      <c r="F147" t="s">
        <v>86</v>
      </c>
      <c r="G147" t="s">
        <v>230</v>
      </c>
      <c r="H147">
        <v>31</v>
      </c>
      <c r="I147" t="s">
        <v>231</v>
      </c>
      <c r="J147" t="s">
        <v>230</v>
      </c>
      <c r="K147">
        <v>31.01</v>
      </c>
      <c r="L147" t="s">
        <v>231</v>
      </c>
      <c r="M147" t="s">
        <v>230</v>
      </c>
      <c r="N147">
        <v>30.85</v>
      </c>
      <c r="O147" t="s">
        <v>231</v>
      </c>
      <c r="P147" t="s">
        <v>370</v>
      </c>
      <c r="Q147">
        <v>8.68</v>
      </c>
      <c r="R147" t="s">
        <v>133</v>
      </c>
      <c r="S147" t="s">
        <v>230</v>
      </c>
      <c r="T147">
        <v>30.72</v>
      </c>
      <c r="U147" t="s">
        <v>231</v>
      </c>
      <c r="V147" t="s">
        <v>230</v>
      </c>
      <c r="W147">
        <v>33.5</v>
      </c>
      <c r="X147" t="s">
        <v>231</v>
      </c>
      <c r="Y147" t="s">
        <v>230</v>
      </c>
      <c r="Z147">
        <v>33.700000000000003</v>
      </c>
      <c r="AA147" t="s">
        <v>231</v>
      </c>
      <c r="AB147" t="s">
        <v>230</v>
      </c>
      <c r="AC147">
        <v>32.85</v>
      </c>
      <c r="AD147" t="s">
        <v>231</v>
      </c>
      <c r="AE147" t="s">
        <v>230</v>
      </c>
      <c r="AF147">
        <v>32.619999999999997</v>
      </c>
      <c r="AG147" t="s">
        <v>231</v>
      </c>
      <c r="AH147" t="s">
        <v>230</v>
      </c>
      <c r="AI147">
        <v>33.4</v>
      </c>
      <c r="AJ147" t="s">
        <v>231</v>
      </c>
      <c r="AK147" t="s">
        <v>230</v>
      </c>
      <c r="AL147">
        <v>32.81</v>
      </c>
      <c r="AM147" t="s">
        <v>231</v>
      </c>
      <c r="AN147" t="s">
        <v>230</v>
      </c>
      <c r="AO147">
        <v>32.17</v>
      </c>
      <c r="AP147" t="s">
        <v>231</v>
      </c>
      <c r="AQ147" t="s">
        <v>230</v>
      </c>
      <c r="AR147">
        <v>32</v>
      </c>
      <c r="AS147" t="s">
        <v>231</v>
      </c>
      <c r="AT147" t="s">
        <v>230</v>
      </c>
      <c r="AU147">
        <v>32.19</v>
      </c>
      <c r="AV147" t="s">
        <v>231</v>
      </c>
      <c r="AW147" t="s">
        <v>230</v>
      </c>
      <c r="AX147">
        <v>31.8</v>
      </c>
      <c r="AY147" t="s">
        <v>231</v>
      </c>
      <c r="AZ147" t="s">
        <v>230</v>
      </c>
      <c r="BA147">
        <v>35.71</v>
      </c>
      <c r="BB147" t="s">
        <v>231</v>
      </c>
      <c r="BC147" t="s">
        <v>230</v>
      </c>
      <c r="BD147">
        <v>35.58</v>
      </c>
      <c r="BE147" t="s">
        <v>231</v>
      </c>
      <c r="BF147" t="s">
        <v>230</v>
      </c>
      <c r="BG147">
        <v>35.49</v>
      </c>
      <c r="BH147" t="s">
        <v>231</v>
      </c>
      <c r="BI147" t="s">
        <v>230</v>
      </c>
      <c r="BJ147">
        <v>37.520000000000003</v>
      </c>
      <c r="BK147" t="s">
        <v>231</v>
      </c>
      <c r="BL147" t="s">
        <v>427</v>
      </c>
      <c r="BM147">
        <v>4</v>
      </c>
      <c r="BN147" t="s">
        <v>228</v>
      </c>
      <c r="BO147" t="s">
        <v>427</v>
      </c>
      <c r="BP147">
        <v>4.04</v>
      </c>
      <c r="BQ147" t="s">
        <v>228</v>
      </c>
      <c r="BR147" t="s">
        <v>427</v>
      </c>
      <c r="BS147">
        <v>4.2699999999999996</v>
      </c>
      <c r="BT147" t="s">
        <v>228</v>
      </c>
      <c r="BU147" t="s">
        <v>427</v>
      </c>
      <c r="BV147">
        <v>4.29</v>
      </c>
      <c r="BW147" t="s">
        <v>228</v>
      </c>
      <c r="BX147" t="s">
        <v>427</v>
      </c>
      <c r="BY147">
        <v>4.1900000000000004</v>
      </c>
      <c r="BZ147" t="s">
        <v>228</v>
      </c>
      <c r="CA147" t="s">
        <v>360</v>
      </c>
      <c r="CB147">
        <v>1250</v>
      </c>
      <c r="CC147" t="s">
        <v>476</v>
      </c>
      <c r="CD147" t="s">
        <v>427</v>
      </c>
      <c r="CE147">
        <v>4.2</v>
      </c>
      <c r="CF147" t="s">
        <v>228</v>
      </c>
      <c r="CG147" t="s">
        <v>427</v>
      </c>
      <c r="CH147">
        <v>4.16</v>
      </c>
      <c r="CI147" t="s">
        <v>228</v>
      </c>
      <c r="CJ147" t="s">
        <v>427</v>
      </c>
      <c r="CK147">
        <v>4.0999999999999996</v>
      </c>
      <c r="CL147" t="s">
        <v>228</v>
      </c>
      <c r="CM147" t="s">
        <v>427</v>
      </c>
      <c r="CN147">
        <v>4.08</v>
      </c>
      <c r="CO147" t="s">
        <v>228</v>
      </c>
      <c r="CP147" t="s">
        <v>427</v>
      </c>
      <c r="CQ147">
        <v>4.2300000000000004</v>
      </c>
      <c r="CR147" t="s">
        <v>228</v>
      </c>
      <c r="CS147" t="s">
        <v>427</v>
      </c>
      <c r="CT147">
        <v>4.29</v>
      </c>
      <c r="CU147" t="s">
        <v>228</v>
      </c>
      <c r="CV147" t="s">
        <v>427</v>
      </c>
      <c r="CW147">
        <v>4.37</v>
      </c>
      <c r="CX147" t="s">
        <v>228</v>
      </c>
      <c r="CY147" t="s">
        <v>427</v>
      </c>
      <c r="CZ147">
        <v>4.32</v>
      </c>
      <c r="DA147" t="s">
        <v>228</v>
      </c>
      <c r="DB147" t="s">
        <v>427</v>
      </c>
      <c r="DC147">
        <v>4.51</v>
      </c>
      <c r="DD147" t="s">
        <v>228</v>
      </c>
      <c r="DE147" t="s">
        <v>427</v>
      </c>
      <c r="DF147">
        <v>5.2</v>
      </c>
      <c r="DG147" t="s">
        <v>228</v>
      </c>
      <c r="DH147" t="s">
        <v>427</v>
      </c>
      <c r="DI147">
        <v>5.36</v>
      </c>
      <c r="DJ147" t="s">
        <v>228</v>
      </c>
      <c r="DK147" t="s">
        <v>229</v>
      </c>
      <c r="DL147">
        <v>8.6</v>
      </c>
      <c r="DM147" t="s">
        <v>86</v>
      </c>
      <c r="DN147" t="s">
        <v>229</v>
      </c>
      <c r="DO147">
        <v>8.85</v>
      </c>
      <c r="DP147" t="s">
        <v>86</v>
      </c>
      <c r="DQ147" t="s">
        <v>229</v>
      </c>
      <c r="DR147">
        <v>8.81</v>
      </c>
      <c r="DS147" t="s">
        <v>86</v>
      </c>
      <c r="DT147" t="s">
        <v>391</v>
      </c>
      <c r="DU147">
        <v>0.61</v>
      </c>
      <c r="DV147" t="s">
        <v>110</v>
      </c>
      <c r="DW147" t="s">
        <v>391</v>
      </c>
      <c r="DX147">
        <v>0.59</v>
      </c>
      <c r="DY147" t="s">
        <v>110</v>
      </c>
      <c r="DZ147" t="s">
        <v>391</v>
      </c>
      <c r="EA147">
        <v>0.59</v>
      </c>
      <c r="EB147" t="s">
        <v>110</v>
      </c>
      <c r="EC147" t="s">
        <v>391</v>
      </c>
      <c r="ED147">
        <v>0.57999999999999996</v>
      </c>
      <c r="EE147" t="s">
        <v>110</v>
      </c>
      <c r="EF147" t="s">
        <v>391</v>
      </c>
      <c r="EG147">
        <v>0.55000000000000004</v>
      </c>
      <c r="EH147" t="s">
        <v>110</v>
      </c>
      <c r="EI147" t="s">
        <v>391</v>
      </c>
      <c r="EJ147">
        <v>0.56000000000000005</v>
      </c>
      <c r="EK147" t="s">
        <v>110</v>
      </c>
    </row>
    <row r="148" spans="1:141">
      <c r="A148" t="s">
        <v>230</v>
      </c>
      <c r="B148">
        <v>29.72</v>
      </c>
      <c r="C148" t="s">
        <v>231</v>
      </c>
      <c r="D148" t="s">
        <v>230</v>
      </c>
      <c r="E148">
        <v>30.9</v>
      </c>
      <c r="F148" t="s">
        <v>231</v>
      </c>
      <c r="G148" t="s">
        <v>232</v>
      </c>
      <c r="H148">
        <v>3.55</v>
      </c>
      <c r="I148" t="s">
        <v>233</v>
      </c>
      <c r="J148" t="s">
        <v>232</v>
      </c>
      <c r="K148">
        <v>3.63</v>
      </c>
      <c r="L148" t="s">
        <v>233</v>
      </c>
      <c r="M148" t="s">
        <v>232</v>
      </c>
      <c r="N148">
        <v>3.6</v>
      </c>
      <c r="O148" t="s">
        <v>233</v>
      </c>
      <c r="P148" t="s">
        <v>427</v>
      </c>
      <c r="Q148">
        <v>3.97</v>
      </c>
      <c r="R148" t="s">
        <v>228</v>
      </c>
      <c r="S148" t="s">
        <v>232</v>
      </c>
      <c r="T148">
        <v>3.82</v>
      </c>
      <c r="U148" t="s">
        <v>233</v>
      </c>
      <c r="V148" t="s">
        <v>232</v>
      </c>
      <c r="W148">
        <v>3.9</v>
      </c>
      <c r="X148" t="s">
        <v>233</v>
      </c>
      <c r="Y148" t="s">
        <v>232</v>
      </c>
      <c r="Z148">
        <v>3.88</v>
      </c>
      <c r="AA148" t="s">
        <v>233</v>
      </c>
      <c r="AB148" t="s">
        <v>232</v>
      </c>
      <c r="AC148">
        <v>4.2</v>
      </c>
      <c r="AD148" t="s">
        <v>233</v>
      </c>
      <c r="AE148" t="s">
        <v>232</v>
      </c>
      <c r="AF148">
        <v>4.3099999999999996</v>
      </c>
      <c r="AG148" t="s">
        <v>233</v>
      </c>
      <c r="AH148" t="s">
        <v>232</v>
      </c>
      <c r="AI148">
        <v>4.2</v>
      </c>
      <c r="AJ148" t="s">
        <v>233</v>
      </c>
      <c r="AK148" t="s">
        <v>232</v>
      </c>
      <c r="AL148">
        <v>4.0599999999999996</v>
      </c>
      <c r="AM148" t="s">
        <v>233</v>
      </c>
      <c r="AN148" t="s">
        <v>232</v>
      </c>
      <c r="AO148">
        <v>4.08</v>
      </c>
      <c r="AP148" t="s">
        <v>233</v>
      </c>
      <c r="AQ148" t="s">
        <v>232</v>
      </c>
      <c r="AR148">
        <v>4.2</v>
      </c>
      <c r="AS148" t="s">
        <v>233</v>
      </c>
      <c r="AT148" t="s">
        <v>232</v>
      </c>
      <c r="AU148">
        <v>4.33</v>
      </c>
      <c r="AV148" t="s">
        <v>233</v>
      </c>
      <c r="AW148" t="s">
        <v>232</v>
      </c>
      <c r="AX148">
        <v>4.4000000000000004</v>
      </c>
      <c r="AY148" t="s">
        <v>233</v>
      </c>
      <c r="AZ148" t="s">
        <v>232</v>
      </c>
      <c r="BA148">
        <v>4.45</v>
      </c>
      <c r="BB148" t="s">
        <v>233</v>
      </c>
      <c r="BC148" t="s">
        <v>232</v>
      </c>
      <c r="BD148">
        <v>4.83</v>
      </c>
      <c r="BE148" t="s">
        <v>233</v>
      </c>
      <c r="BF148" t="s">
        <v>232</v>
      </c>
      <c r="BG148">
        <v>4.72</v>
      </c>
      <c r="BH148" t="s">
        <v>233</v>
      </c>
      <c r="BI148" t="s">
        <v>232</v>
      </c>
      <c r="BJ148">
        <v>4.7</v>
      </c>
      <c r="BK148" t="s">
        <v>233</v>
      </c>
      <c r="BL148" t="s">
        <v>229</v>
      </c>
      <c r="BM148">
        <v>6.12</v>
      </c>
      <c r="BN148" t="s">
        <v>86</v>
      </c>
      <c r="BO148" t="s">
        <v>229</v>
      </c>
      <c r="BP148">
        <v>6.15</v>
      </c>
      <c r="BQ148" t="s">
        <v>86</v>
      </c>
      <c r="BR148" t="s">
        <v>229</v>
      </c>
      <c r="BS148">
        <v>6.4</v>
      </c>
      <c r="BT148" t="s">
        <v>86</v>
      </c>
      <c r="BU148" t="s">
        <v>229</v>
      </c>
      <c r="BV148">
        <v>6.45</v>
      </c>
      <c r="BW148" t="s">
        <v>86</v>
      </c>
      <c r="BX148" t="s">
        <v>229</v>
      </c>
      <c r="BY148">
        <v>6.42</v>
      </c>
      <c r="BZ148" t="s">
        <v>86</v>
      </c>
      <c r="CA148" t="s">
        <v>645</v>
      </c>
      <c r="CB148">
        <v>44.05</v>
      </c>
      <c r="CC148" t="s">
        <v>705</v>
      </c>
      <c r="CD148" t="s">
        <v>229</v>
      </c>
      <c r="CE148">
        <v>6.52</v>
      </c>
      <c r="CF148" t="s">
        <v>86</v>
      </c>
      <c r="CG148" t="s">
        <v>229</v>
      </c>
      <c r="CH148">
        <v>6.45</v>
      </c>
      <c r="CI148" t="s">
        <v>86</v>
      </c>
      <c r="CJ148" t="s">
        <v>229</v>
      </c>
      <c r="CK148">
        <v>6.43</v>
      </c>
      <c r="CL148" t="s">
        <v>86</v>
      </c>
      <c r="CM148" t="s">
        <v>229</v>
      </c>
      <c r="CN148">
        <v>6.59</v>
      </c>
      <c r="CO148" t="s">
        <v>86</v>
      </c>
      <c r="CP148" t="s">
        <v>229</v>
      </c>
      <c r="CQ148">
        <v>6.64</v>
      </c>
      <c r="CR148" t="s">
        <v>86</v>
      </c>
      <c r="CS148" t="s">
        <v>229</v>
      </c>
      <c r="CT148">
        <v>6.86</v>
      </c>
      <c r="CU148" t="s">
        <v>86</v>
      </c>
      <c r="CV148" t="s">
        <v>229</v>
      </c>
      <c r="CW148">
        <v>6.7</v>
      </c>
      <c r="CX148" t="s">
        <v>86</v>
      </c>
      <c r="CY148" t="s">
        <v>229</v>
      </c>
      <c r="CZ148">
        <v>7.36</v>
      </c>
      <c r="DA148" t="s">
        <v>86</v>
      </c>
      <c r="DB148" t="s">
        <v>229</v>
      </c>
      <c r="DC148">
        <v>8</v>
      </c>
      <c r="DD148" t="s">
        <v>86</v>
      </c>
      <c r="DE148" t="s">
        <v>229</v>
      </c>
      <c r="DF148">
        <v>7.82</v>
      </c>
      <c r="DG148" t="s">
        <v>86</v>
      </c>
      <c r="DH148" t="s">
        <v>229</v>
      </c>
      <c r="DI148">
        <v>8.6199999999999992</v>
      </c>
      <c r="DJ148" t="s">
        <v>86</v>
      </c>
      <c r="DK148" t="s">
        <v>230</v>
      </c>
      <c r="DL148">
        <v>32.75</v>
      </c>
      <c r="DM148" t="s">
        <v>231</v>
      </c>
      <c r="DN148" t="s">
        <v>230</v>
      </c>
      <c r="DO148">
        <v>30.2</v>
      </c>
      <c r="DP148" t="s">
        <v>231</v>
      </c>
      <c r="DQ148" t="s">
        <v>230</v>
      </c>
      <c r="DR148">
        <v>31.4</v>
      </c>
      <c r="DS148" t="s">
        <v>231</v>
      </c>
      <c r="DT148" t="s">
        <v>318</v>
      </c>
      <c r="DU148">
        <v>23.5</v>
      </c>
      <c r="DV148" t="s">
        <v>88</v>
      </c>
      <c r="DW148" t="s">
        <v>318</v>
      </c>
      <c r="DX148">
        <v>24.99</v>
      </c>
      <c r="DY148" t="s">
        <v>88</v>
      </c>
      <c r="DZ148" t="s">
        <v>318</v>
      </c>
      <c r="EA148">
        <v>25.27</v>
      </c>
      <c r="EB148" t="s">
        <v>88</v>
      </c>
      <c r="EC148" t="s">
        <v>318</v>
      </c>
      <c r="ED148">
        <v>23.85</v>
      </c>
      <c r="EE148" t="s">
        <v>88</v>
      </c>
      <c r="EF148" t="s">
        <v>318</v>
      </c>
      <c r="EG148">
        <v>49.3</v>
      </c>
      <c r="EH148" t="s">
        <v>88</v>
      </c>
      <c r="EI148" t="s">
        <v>318</v>
      </c>
      <c r="EJ148">
        <v>51.39</v>
      </c>
      <c r="EK148" t="s">
        <v>88</v>
      </c>
    </row>
    <row r="149" spans="1:141">
      <c r="A149" t="s">
        <v>232</v>
      </c>
      <c r="B149">
        <v>3.79</v>
      </c>
      <c r="C149" t="s">
        <v>233</v>
      </c>
      <c r="D149" t="s">
        <v>232</v>
      </c>
      <c r="E149">
        <v>3.6</v>
      </c>
      <c r="F149" t="s">
        <v>233</v>
      </c>
      <c r="G149" t="s">
        <v>391</v>
      </c>
      <c r="H149">
        <v>0.56999999999999995</v>
      </c>
      <c r="I149" t="s">
        <v>110</v>
      </c>
      <c r="J149" t="s">
        <v>391</v>
      </c>
      <c r="K149">
        <v>0.59</v>
      </c>
      <c r="L149" t="s">
        <v>110</v>
      </c>
      <c r="M149" t="s">
        <v>391</v>
      </c>
      <c r="N149">
        <v>0.56999999999999995</v>
      </c>
      <c r="O149" t="s">
        <v>110</v>
      </c>
      <c r="P149" t="s">
        <v>229</v>
      </c>
      <c r="Q149">
        <v>6.59</v>
      </c>
      <c r="R149" t="s">
        <v>86</v>
      </c>
      <c r="S149" t="s">
        <v>391</v>
      </c>
      <c r="T149">
        <v>0.57999999999999996</v>
      </c>
      <c r="U149" t="s">
        <v>110</v>
      </c>
      <c r="V149" t="s">
        <v>391</v>
      </c>
      <c r="W149">
        <v>0.56999999999999995</v>
      </c>
      <c r="X149" t="s">
        <v>110</v>
      </c>
      <c r="Y149" t="s">
        <v>391</v>
      </c>
      <c r="Z149">
        <v>0.57999999999999996</v>
      </c>
      <c r="AA149" t="s">
        <v>110</v>
      </c>
      <c r="AB149" t="s">
        <v>391</v>
      </c>
      <c r="AC149">
        <v>0.56999999999999995</v>
      </c>
      <c r="AD149" t="s">
        <v>110</v>
      </c>
      <c r="AE149" t="s">
        <v>391</v>
      </c>
      <c r="AF149">
        <v>0.56999999999999995</v>
      </c>
      <c r="AG149" t="s">
        <v>110</v>
      </c>
      <c r="AH149" t="s">
        <v>391</v>
      </c>
      <c r="AI149">
        <v>0.56999999999999995</v>
      </c>
      <c r="AJ149" t="s">
        <v>110</v>
      </c>
      <c r="AK149" t="s">
        <v>391</v>
      </c>
      <c r="AL149">
        <v>0.56000000000000005</v>
      </c>
      <c r="AM149" t="s">
        <v>110</v>
      </c>
      <c r="AN149" t="s">
        <v>391</v>
      </c>
      <c r="AO149">
        <v>0.54</v>
      </c>
      <c r="AP149" t="s">
        <v>110</v>
      </c>
      <c r="AQ149" t="s">
        <v>391</v>
      </c>
      <c r="AR149">
        <v>0.55000000000000004</v>
      </c>
      <c r="AS149" t="s">
        <v>110</v>
      </c>
      <c r="AT149" t="s">
        <v>391</v>
      </c>
      <c r="AU149">
        <v>0.56000000000000005</v>
      </c>
      <c r="AV149" t="s">
        <v>110</v>
      </c>
      <c r="AW149" t="s">
        <v>391</v>
      </c>
      <c r="AX149">
        <v>0.57999999999999996</v>
      </c>
      <c r="AY149" t="s">
        <v>110</v>
      </c>
      <c r="AZ149" t="s">
        <v>391</v>
      </c>
      <c r="BA149">
        <v>0.6</v>
      </c>
      <c r="BB149" t="s">
        <v>110</v>
      </c>
      <c r="BC149" t="s">
        <v>391</v>
      </c>
      <c r="BD149">
        <v>0.65</v>
      </c>
      <c r="BE149" t="s">
        <v>110</v>
      </c>
      <c r="BF149" t="s">
        <v>391</v>
      </c>
      <c r="BG149">
        <v>0.63</v>
      </c>
      <c r="BH149" t="s">
        <v>110</v>
      </c>
      <c r="BI149" t="s">
        <v>391</v>
      </c>
      <c r="BJ149">
        <v>0.64</v>
      </c>
      <c r="BK149" t="s">
        <v>110</v>
      </c>
      <c r="BL149" t="s">
        <v>230</v>
      </c>
      <c r="BM149">
        <v>36.049999999999997</v>
      </c>
      <c r="BN149" t="s">
        <v>231</v>
      </c>
      <c r="BO149" t="s">
        <v>230</v>
      </c>
      <c r="BP149">
        <v>37.51</v>
      </c>
      <c r="BQ149" t="s">
        <v>231</v>
      </c>
      <c r="BR149" t="s">
        <v>230</v>
      </c>
      <c r="BS149">
        <v>36.25</v>
      </c>
      <c r="BT149" t="s">
        <v>231</v>
      </c>
      <c r="BU149" t="s">
        <v>230</v>
      </c>
      <c r="BV149">
        <v>36.799999999999997</v>
      </c>
      <c r="BW149" t="s">
        <v>231</v>
      </c>
      <c r="BX149" t="s">
        <v>230</v>
      </c>
      <c r="BY149">
        <v>37.53</v>
      </c>
      <c r="BZ149" t="s">
        <v>231</v>
      </c>
      <c r="CA149" t="s">
        <v>370</v>
      </c>
      <c r="CB149">
        <v>9.65</v>
      </c>
      <c r="CC149" t="s">
        <v>133</v>
      </c>
      <c r="CD149" t="s">
        <v>230</v>
      </c>
      <c r="CE149">
        <v>36.35</v>
      </c>
      <c r="CF149" t="s">
        <v>231</v>
      </c>
      <c r="CG149" t="s">
        <v>230</v>
      </c>
      <c r="CH149">
        <v>38.5</v>
      </c>
      <c r="CI149" t="s">
        <v>231</v>
      </c>
      <c r="CJ149" t="s">
        <v>230</v>
      </c>
      <c r="CK149">
        <v>37.54</v>
      </c>
      <c r="CL149" t="s">
        <v>231</v>
      </c>
      <c r="CM149" t="s">
        <v>230</v>
      </c>
      <c r="CN149">
        <v>36.85</v>
      </c>
      <c r="CO149" t="s">
        <v>231</v>
      </c>
      <c r="CP149" t="s">
        <v>230</v>
      </c>
      <c r="CQ149">
        <v>35.78</v>
      </c>
      <c r="CR149" t="s">
        <v>231</v>
      </c>
      <c r="CS149" t="s">
        <v>230</v>
      </c>
      <c r="CT149">
        <v>35.6</v>
      </c>
      <c r="CU149" t="s">
        <v>231</v>
      </c>
      <c r="CV149" t="s">
        <v>230</v>
      </c>
      <c r="CW149">
        <v>35.65</v>
      </c>
      <c r="CX149" t="s">
        <v>231</v>
      </c>
      <c r="CY149" t="s">
        <v>230</v>
      </c>
      <c r="CZ149">
        <v>35.25</v>
      </c>
      <c r="DA149" t="s">
        <v>231</v>
      </c>
      <c r="DB149" t="s">
        <v>230</v>
      </c>
      <c r="DC149">
        <v>35.53</v>
      </c>
      <c r="DD149" t="s">
        <v>231</v>
      </c>
      <c r="DE149" t="s">
        <v>230</v>
      </c>
      <c r="DF149">
        <v>35.58</v>
      </c>
      <c r="DG149" t="s">
        <v>231</v>
      </c>
      <c r="DH149" t="s">
        <v>230</v>
      </c>
      <c r="DI149">
        <v>32.46</v>
      </c>
      <c r="DJ149" t="s">
        <v>231</v>
      </c>
      <c r="DK149" t="s">
        <v>232</v>
      </c>
      <c r="DL149">
        <v>4.4000000000000004</v>
      </c>
      <c r="DM149" t="s">
        <v>233</v>
      </c>
      <c r="DN149" t="s">
        <v>232</v>
      </c>
      <c r="DO149">
        <v>4.45</v>
      </c>
      <c r="DP149" t="s">
        <v>233</v>
      </c>
      <c r="DQ149" t="s">
        <v>232</v>
      </c>
      <c r="DR149">
        <v>6</v>
      </c>
      <c r="DS149" t="s">
        <v>233</v>
      </c>
      <c r="DT149" t="s">
        <v>419</v>
      </c>
      <c r="DU149">
        <v>11.41</v>
      </c>
      <c r="DV149" t="s">
        <v>51</v>
      </c>
      <c r="DW149" t="s">
        <v>419</v>
      </c>
      <c r="DX149">
        <v>11.3</v>
      </c>
      <c r="DY149" t="s">
        <v>51</v>
      </c>
      <c r="DZ149" t="s">
        <v>419</v>
      </c>
      <c r="EA149">
        <v>11.21</v>
      </c>
      <c r="EB149" t="s">
        <v>51</v>
      </c>
      <c r="EC149" t="s">
        <v>419</v>
      </c>
      <c r="ED149">
        <v>11.3</v>
      </c>
      <c r="EE149" t="s">
        <v>51</v>
      </c>
      <c r="EF149" t="s">
        <v>419</v>
      </c>
      <c r="EG149">
        <v>13.2</v>
      </c>
      <c r="EH149" t="s">
        <v>51</v>
      </c>
      <c r="EI149" t="s">
        <v>419</v>
      </c>
      <c r="EJ149">
        <v>13.68</v>
      </c>
      <c r="EK149" t="s">
        <v>51</v>
      </c>
    </row>
    <row r="150" spans="1:141">
      <c r="A150" t="s">
        <v>391</v>
      </c>
      <c r="B150">
        <v>0.61</v>
      </c>
      <c r="C150" t="s">
        <v>110</v>
      </c>
      <c r="D150" t="s">
        <v>391</v>
      </c>
      <c r="E150">
        <v>0.57999999999999996</v>
      </c>
      <c r="F150" t="s">
        <v>110</v>
      </c>
      <c r="G150" t="s">
        <v>318</v>
      </c>
      <c r="H150">
        <v>26.05</v>
      </c>
      <c r="I150" t="s">
        <v>88</v>
      </c>
      <c r="J150" t="s">
        <v>318</v>
      </c>
      <c r="K150">
        <v>26.41</v>
      </c>
      <c r="L150" t="s">
        <v>88</v>
      </c>
      <c r="M150" t="s">
        <v>318</v>
      </c>
      <c r="N150">
        <v>26.46</v>
      </c>
      <c r="O150" t="s">
        <v>88</v>
      </c>
      <c r="P150" t="s">
        <v>230</v>
      </c>
      <c r="Q150">
        <v>31.06</v>
      </c>
      <c r="R150" t="s">
        <v>231</v>
      </c>
      <c r="S150" t="s">
        <v>318</v>
      </c>
      <c r="T150">
        <v>26.95</v>
      </c>
      <c r="U150" t="s">
        <v>88</v>
      </c>
      <c r="V150" t="s">
        <v>318</v>
      </c>
      <c r="W150">
        <v>29.95</v>
      </c>
      <c r="X150" t="s">
        <v>88</v>
      </c>
      <c r="Y150" t="s">
        <v>318</v>
      </c>
      <c r="Z150">
        <v>26</v>
      </c>
      <c r="AA150" t="s">
        <v>88</v>
      </c>
      <c r="AB150" t="s">
        <v>318</v>
      </c>
      <c r="AC150">
        <v>26.6</v>
      </c>
      <c r="AD150" t="s">
        <v>88</v>
      </c>
      <c r="AE150" t="s">
        <v>318</v>
      </c>
      <c r="AF150">
        <v>25.64</v>
      </c>
      <c r="AG150" t="s">
        <v>88</v>
      </c>
      <c r="AH150" t="s">
        <v>318</v>
      </c>
      <c r="AI150">
        <v>25.87</v>
      </c>
      <c r="AJ150" t="s">
        <v>88</v>
      </c>
      <c r="AK150" t="s">
        <v>318</v>
      </c>
      <c r="AL150">
        <v>25.5</v>
      </c>
      <c r="AM150" t="s">
        <v>88</v>
      </c>
      <c r="AN150" t="s">
        <v>318</v>
      </c>
      <c r="AO150">
        <v>25.32</v>
      </c>
      <c r="AP150" t="s">
        <v>88</v>
      </c>
      <c r="AQ150" t="s">
        <v>318</v>
      </c>
      <c r="AR150">
        <v>25.55</v>
      </c>
      <c r="AS150" t="s">
        <v>88</v>
      </c>
      <c r="AT150" t="s">
        <v>318</v>
      </c>
      <c r="AU150">
        <v>25.65</v>
      </c>
      <c r="AV150" t="s">
        <v>88</v>
      </c>
      <c r="AW150" t="s">
        <v>318</v>
      </c>
      <c r="AX150">
        <v>25.5</v>
      </c>
      <c r="AY150" t="s">
        <v>88</v>
      </c>
      <c r="AZ150" t="s">
        <v>318</v>
      </c>
      <c r="BA150">
        <v>25.65</v>
      </c>
      <c r="BB150" t="s">
        <v>88</v>
      </c>
      <c r="BC150" t="s">
        <v>318</v>
      </c>
      <c r="BD150">
        <v>26</v>
      </c>
      <c r="BE150" t="s">
        <v>88</v>
      </c>
      <c r="BF150" t="s">
        <v>318</v>
      </c>
      <c r="BG150">
        <v>24.8</v>
      </c>
      <c r="BH150" t="s">
        <v>88</v>
      </c>
      <c r="BI150" t="s">
        <v>318</v>
      </c>
      <c r="BJ150">
        <v>25.75</v>
      </c>
      <c r="BK150" t="s">
        <v>88</v>
      </c>
      <c r="BL150" t="s">
        <v>232</v>
      </c>
      <c r="BM150">
        <v>4.49</v>
      </c>
      <c r="BN150" t="s">
        <v>233</v>
      </c>
      <c r="BO150" t="s">
        <v>232</v>
      </c>
      <c r="BP150">
        <v>4.7</v>
      </c>
      <c r="BQ150" t="s">
        <v>233</v>
      </c>
      <c r="BR150" t="s">
        <v>232</v>
      </c>
      <c r="BS150">
        <v>4.72</v>
      </c>
      <c r="BT150" t="s">
        <v>233</v>
      </c>
      <c r="BU150" t="s">
        <v>232</v>
      </c>
      <c r="BV150">
        <v>4.75</v>
      </c>
      <c r="BW150" t="s">
        <v>233</v>
      </c>
      <c r="BX150" t="s">
        <v>232</v>
      </c>
      <c r="BY150">
        <v>4.6100000000000003</v>
      </c>
      <c r="BZ150" t="s">
        <v>233</v>
      </c>
      <c r="CA150" t="s">
        <v>427</v>
      </c>
      <c r="CB150">
        <v>4.1399999999999997</v>
      </c>
      <c r="CC150" t="s">
        <v>228</v>
      </c>
      <c r="CD150" t="s">
        <v>232</v>
      </c>
      <c r="CE150">
        <v>4.68</v>
      </c>
      <c r="CF150" t="s">
        <v>233</v>
      </c>
      <c r="CG150" t="s">
        <v>232</v>
      </c>
      <c r="CH150">
        <v>4.75</v>
      </c>
      <c r="CI150" t="s">
        <v>233</v>
      </c>
      <c r="CJ150" t="s">
        <v>232</v>
      </c>
      <c r="CK150">
        <v>4.99</v>
      </c>
      <c r="CL150" t="s">
        <v>233</v>
      </c>
      <c r="CM150" t="s">
        <v>232</v>
      </c>
      <c r="CN150">
        <v>4.8499999999999996</v>
      </c>
      <c r="CO150" t="s">
        <v>233</v>
      </c>
      <c r="CP150" t="s">
        <v>232</v>
      </c>
      <c r="CQ150">
        <v>4.9000000000000004</v>
      </c>
      <c r="CR150" t="s">
        <v>233</v>
      </c>
      <c r="CS150" t="s">
        <v>232</v>
      </c>
      <c r="CT150">
        <v>4.88</v>
      </c>
      <c r="CU150" t="s">
        <v>233</v>
      </c>
      <c r="CV150" t="s">
        <v>232</v>
      </c>
      <c r="CW150">
        <v>5.24</v>
      </c>
      <c r="CX150" t="s">
        <v>233</v>
      </c>
      <c r="CY150" t="s">
        <v>232</v>
      </c>
      <c r="CZ150">
        <v>5.17</v>
      </c>
      <c r="DA150" t="s">
        <v>233</v>
      </c>
      <c r="DB150" t="s">
        <v>232</v>
      </c>
      <c r="DC150">
        <v>5.16</v>
      </c>
      <c r="DD150" t="s">
        <v>233</v>
      </c>
      <c r="DE150" t="s">
        <v>232</v>
      </c>
      <c r="DF150">
        <v>5.2</v>
      </c>
      <c r="DG150" t="s">
        <v>233</v>
      </c>
      <c r="DH150" t="s">
        <v>232</v>
      </c>
      <c r="DI150">
        <v>4.5</v>
      </c>
      <c r="DJ150" t="s">
        <v>233</v>
      </c>
      <c r="DK150" t="s">
        <v>391</v>
      </c>
      <c r="DL150">
        <v>0.6</v>
      </c>
      <c r="DM150" t="s">
        <v>110</v>
      </c>
      <c r="DN150" t="s">
        <v>391</v>
      </c>
      <c r="DO150">
        <v>0.6</v>
      </c>
      <c r="DP150" t="s">
        <v>110</v>
      </c>
      <c r="DQ150" t="s">
        <v>391</v>
      </c>
      <c r="DR150">
        <v>0.64</v>
      </c>
      <c r="DS150" t="s">
        <v>110</v>
      </c>
      <c r="DT150" t="s">
        <v>446</v>
      </c>
      <c r="DU150">
        <v>23.86</v>
      </c>
      <c r="DV150" t="s">
        <v>15</v>
      </c>
      <c r="DW150" t="s">
        <v>446</v>
      </c>
      <c r="DX150">
        <v>22.69</v>
      </c>
      <c r="DY150" t="s">
        <v>15</v>
      </c>
      <c r="DZ150" t="s">
        <v>446</v>
      </c>
      <c r="EA150">
        <v>25.3</v>
      </c>
      <c r="EB150" t="s">
        <v>15</v>
      </c>
      <c r="EC150" t="s">
        <v>446</v>
      </c>
      <c r="ED150">
        <v>24.77</v>
      </c>
      <c r="EE150" t="s">
        <v>15</v>
      </c>
      <c r="EF150" t="s">
        <v>446</v>
      </c>
      <c r="EG150">
        <v>25.01</v>
      </c>
      <c r="EH150" t="s">
        <v>15</v>
      </c>
      <c r="EI150" t="s">
        <v>446</v>
      </c>
      <c r="EJ150">
        <v>27.49</v>
      </c>
      <c r="EK150" t="s">
        <v>15</v>
      </c>
    </row>
    <row r="151" spans="1:141">
      <c r="A151" t="s">
        <v>318</v>
      </c>
      <c r="B151">
        <v>26.91</v>
      </c>
      <c r="C151" t="s">
        <v>88</v>
      </c>
      <c r="D151" t="s">
        <v>318</v>
      </c>
      <c r="E151">
        <v>27.39</v>
      </c>
      <c r="F151" t="s">
        <v>88</v>
      </c>
      <c r="G151" t="s">
        <v>419</v>
      </c>
      <c r="H151">
        <v>11.95</v>
      </c>
      <c r="I151" t="s">
        <v>51</v>
      </c>
      <c r="J151" t="s">
        <v>419</v>
      </c>
      <c r="K151">
        <v>11.96</v>
      </c>
      <c r="L151" t="s">
        <v>51</v>
      </c>
      <c r="M151" t="s">
        <v>419</v>
      </c>
      <c r="N151">
        <v>11.82</v>
      </c>
      <c r="O151" t="s">
        <v>51</v>
      </c>
      <c r="P151" t="s">
        <v>232</v>
      </c>
      <c r="Q151">
        <v>3.53</v>
      </c>
      <c r="R151" t="s">
        <v>233</v>
      </c>
      <c r="S151" t="s">
        <v>419</v>
      </c>
      <c r="T151">
        <v>11.9</v>
      </c>
      <c r="U151" t="s">
        <v>51</v>
      </c>
      <c r="V151" t="s">
        <v>419</v>
      </c>
      <c r="W151">
        <v>11.6</v>
      </c>
      <c r="X151" t="s">
        <v>51</v>
      </c>
      <c r="Y151" t="s">
        <v>419</v>
      </c>
      <c r="Z151">
        <v>11.7</v>
      </c>
      <c r="AA151" t="s">
        <v>51</v>
      </c>
      <c r="AB151" t="s">
        <v>419</v>
      </c>
      <c r="AC151">
        <v>11.98</v>
      </c>
      <c r="AD151" t="s">
        <v>51</v>
      </c>
      <c r="AE151" t="s">
        <v>419</v>
      </c>
      <c r="AF151">
        <v>12.58</v>
      </c>
      <c r="AG151" t="s">
        <v>51</v>
      </c>
      <c r="AH151" t="s">
        <v>419</v>
      </c>
      <c r="AI151">
        <v>12.08</v>
      </c>
      <c r="AJ151" t="s">
        <v>51</v>
      </c>
      <c r="AK151" t="s">
        <v>419</v>
      </c>
      <c r="AL151">
        <v>12.06</v>
      </c>
      <c r="AM151" t="s">
        <v>51</v>
      </c>
      <c r="AN151" t="s">
        <v>419</v>
      </c>
      <c r="AO151">
        <v>11.65</v>
      </c>
      <c r="AP151" t="s">
        <v>51</v>
      </c>
      <c r="AQ151" t="s">
        <v>419</v>
      </c>
      <c r="AR151">
        <v>12.06</v>
      </c>
      <c r="AS151" t="s">
        <v>51</v>
      </c>
      <c r="AT151" t="s">
        <v>419</v>
      </c>
      <c r="AU151">
        <v>12.07</v>
      </c>
      <c r="AV151" t="s">
        <v>51</v>
      </c>
      <c r="AW151" t="s">
        <v>419</v>
      </c>
      <c r="AX151">
        <v>11.74</v>
      </c>
      <c r="AY151" t="s">
        <v>51</v>
      </c>
      <c r="AZ151" t="s">
        <v>419</v>
      </c>
      <c r="BA151">
        <v>11.84</v>
      </c>
      <c r="BB151" t="s">
        <v>51</v>
      </c>
      <c r="BC151" t="s">
        <v>419</v>
      </c>
      <c r="BD151">
        <v>11.63</v>
      </c>
      <c r="BE151" t="s">
        <v>51</v>
      </c>
      <c r="BF151" t="s">
        <v>419</v>
      </c>
      <c r="BG151">
        <v>11.31</v>
      </c>
      <c r="BH151" t="s">
        <v>51</v>
      </c>
      <c r="BI151" t="s">
        <v>419</v>
      </c>
      <c r="BJ151">
        <v>11.23</v>
      </c>
      <c r="BK151" t="s">
        <v>51</v>
      </c>
      <c r="BL151" t="s">
        <v>391</v>
      </c>
      <c r="BM151">
        <v>0.61</v>
      </c>
      <c r="BN151" t="s">
        <v>110</v>
      </c>
      <c r="BO151" t="s">
        <v>391</v>
      </c>
      <c r="BP151">
        <v>0.6</v>
      </c>
      <c r="BQ151" t="s">
        <v>110</v>
      </c>
      <c r="BR151" t="s">
        <v>391</v>
      </c>
      <c r="BS151">
        <v>0.6</v>
      </c>
      <c r="BT151" t="s">
        <v>110</v>
      </c>
      <c r="BU151" t="s">
        <v>391</v>
      </c>
      <c r="BV151">
        <v>0.6</v>
      </c>
      <c r="BW151" t="s">
        <v>110</v>
      </c>
      <c r="BX151" t="s">
        <v>391</v>
      </c>
      <c r="BY151">
        <v>0.6</v>
      </c>
      <c r="BZ151" t="s">
        <v>110</v>
      </c>
      <c r="CA151" t="s">
        <v>229</v>
      </c>
      <c r="CB151">
        <v>6.51</v>
      </c>
      <c r="CC151" t="s">
        <v>86</v>
      </c>
      <c r="CD151" t="s">
        <v>391</v>
      </c>
      <c r="CE151">
        <v>0.6</v>
      </c>
      <c r="CF151" t="s">
        <v>110</v>
      </c>
      <c r="CG151" t="s">
        <v>391</v>
      </c>
      <c r="CH151">
        <v>0.59</v>
      </c>
      <c r="CI151" t="s">
        <v>110</v>
      </c>
      <c r="CJ151" t="s">
        <v>391</v>
      </c>
      <c r="CK151">
        <v>0.6</v>
      </c>
      <c r="CL151" t="s">
        <v>110</v>
      </c>
      <c r="CM151" t="s">
        <v>391</v>
      </c>
      <c r="CN151">
        <v>0.61</v>
      </c>
      <c r="CO151" t="s">
        <v>110</v>
      </c>
      <c r="CP151" t="s">
        <v>391</v>
      </c>
      <c r="CQ151">
        <v>0.6</v>
      </c>
      <c r="CR151" t="s">
        <v>110</v>
      </c>
      <c r="CS151" t="s">
        <v>391</v>
      </c>
      <c r="CT151">
        <v>0.59</v>
      </c>
      <c r="CU151" t="s">
        <v>110</v>
      </c>
      <c r="CV151" t="s">
        <v>391</v>
      </c>
      <c r="CW151">
        <v>0.57999999999999996</v>
      </c>
      <c r="CX151" t="s">
        <v>110</v>
      </c>
      <c r="CY151" t="s">
        <v>391</v>
      </c>
      <c r="CZ151">
        <v>0.57999999999999996</v>
      </c>
      <c r="DA151" t="s">
        <v>110</v>
      </c>
      <c r="DB151" t="s">
        <v>391</v>
      </c>
      <c r="DC151">
        <v>0.59</v>
      </c>
      <c r="DD151" t="s">
        <v>110</v>
      </c>
      <c r="DE151" t="s">
        <v>391</v>
      </c>
      <c r="DF151">
        <v>0.6</v>
      </c>
      <c r="DG151" t="s">
        <v>110</v>
      </c>
      <c r="DH151" t="s">
        <v>391</v>
      </c>
      <c r="DI151">
        <v>0.59</v>
      </c>
      <c r="DJ151" t="s">
        <v>110</v>
      </c>
      <c r="DK151" t="s">
        <v>318</v>
      </c>
      <c r="DL151">
        <v>24.1</v>
      </c>
      <c r="DM151" t="s">
        <v>88</v>
      </c>
      <c r="DN151" t="s">
        <v>318</v>
      </c>
      <c r="DO151">
        <v>24</v>
      </c>
      <c r="DP151" t="s">
        <v>88</v>
      </c>
      <c r="DQ151" t="s">
        <v>318</v>
      </c>
      <c r="DR151">
        <v>27.1</v>
      </c>
      <c r="DS151" t="s">
        <v>88</v>
      </c>
      <c r="DT151" t="s">
        <v>355</v>
      </c>
      <c r="DU151">
        <v>0.62</v>
      </c>
      <c r="DV151" t="s">
        <v>473</v>
      </c>
      <c r="DW151" t="s">
        <v>355</v>
      </c>
      <c r="DX151">
        <v>0.6</v>
      </c>
      <c r="DY151" t="s">
        <v>473</v>
      </c>
      <c r="DZ151" t="s">
        <v>355</v>
      </c>
      <c r="EA151">
        <v>0.59</v>
      </c>
      <c r="EB151" t="s">
        <v>473</v>
      </c>
      <c r="EC151" t="s">
        <v>355</v>
      </c>
      <c r="ED151">
        <v>0.57999999999999996</v>
      </c>
      <c r="EE151" t="s">
        <v>473</v>
      </c>
      <c r="EF151" t="s">
        <v>355</v>
      </c>
      <c r="EG151">
        <v>0.57999999999999996</v>
      </c>
      <c r="EH151" t="s">
        <v>473</v>
      </c>
      <c r="EI151" t="s">
        <v>355</v>
      </c>
      <c r="EJ151">
        <v>0.59</v>
      </c>
      <c r="EK151" t="s">
        <v>473</v>
      </c>
    </row>
    <row r="152" spans="1:141">
      <c r="A152" t="s">
        <v>419</v>
      </c>
      <c r="B152">
        <v>12.22</v>
      </c>
      <c r="C152" t="s">
        <v>51</v>
      </c>
      <c r="D152" t="s">
        <v>419</v>
      </c>
      <c r="E152">
        <v>11.92</v>
      </c>
      <c r="F152" t="s">
        <v>51</v>
      </c>
      <c r="G152" t="s">
        <v>446</v>
      </c>
      <c r="H152">
        <v>32.01</v>
      </c>
      <c r="I152" t="s">
        <v>15</v>
      </c>
      <c r="J152" t="s">
        <v>446</v>
      </c>
      <c r="K152">
        <v>33.340000000000003</v>
      </c>
      <c r="L152" t="s">
        <v>15</v>
      </c>
      <c r="M152" t="s">
        <v>446</v>
      </c>
      <c r="N152">
        <v>32.4</v>
      </c>
      <c r="O152" t="s">
        <v>15</v>
      </c>
      <c r="P152" t="s">
        <v>391</v>
      </c>
      <c r="Q152">
        <v>0.57999999999999996</v>
      </c>
      <c r="R152" t="s">
        <v>110</v>
      </c>
      <c r="S152" t="s">
        <v>446</v>
      </c>
      <c r="T152">
        <v>33</v>
      </c>
      <c r="U152" t="s">
        <v>15</v>
      </c>
      <c r="V152" t="s">
        <v>446</v>
      </c>
      <c r="W152">
        <v>31</v>
      </c>
      <c r="X152" t="s">
        <v>15</v>
      </c>
      <c r="Y152" t="s">
        <v>446</v>
      </c>
      <c r="Z152">
        <v>32.119999999999997</v>
      </c>
      <c r="AA152" t="s">
        <v>15</v>
      </c>
      <c r="AB152" t="s">
        <v>446</v>
      </c>
      <c r="AC152">
        <v>30.32</v>
      </c>
      <c r="AD152" t="s">
        <v>15</v>
      </c>
      <c r="AE152" t="s">
        <v>446</v>
      </c>
      <c r="AF152">
        <v>29.97</v>
      </c>
      <c r="AG152" t="s">
        <v>15</v>
      </c>
      <c r="AH152" t="s">
        <v>446</v>
      </c>
      <c r="AI152">
        <v>29.4</v>
      </c>
      <c r="AJ152" t="s">
        <v>15</v>
      </c>
      <c r="AK152" t="s">
        <v>446</v>
      </c>
      <c r="AL152">
        <v>28.05</v>
      </c>
      <c r="AM152" t="s">
        <v>15</v>
      </c>
      <c r="AN152" t="s">
        <v>446</v>
      </c>
      <c r="AO152">
        <v>28.9</v>
      </c>
      <c r="AP152" t="s">
        <v>15</v>
      </c>
      <c r="AQ152" t="s">
        <v>446</v>
      </c>
      <c r="AR152">
        <v>28.53</v>
      </c>
      <c r="AS152" t="s">
        <v>15</v>
      </c>
      <c r="AT152" t="s">
        <v>446</v>
      </c>
      <c r="AU152">
        <v>29.63</v>
      </c>
      <c r="AV152" t="s">
        <v>15</v>
      </c>
      <c r="AW152" t="s">
        <v>446</v>
      </c>
      <c r="AX152">
        <v>29.71</v>
      </c>
      <c r="AY152" t="s">
        <v>15</v>
      </c>
      <c r="AZ152" t="s">
        <v>446</v>
      </c>
      <c r="BA152">
        <v>29.73</v>
      </c>
      <c r="BB152" t="s">
        <v>15</v>
      </c>
      <c r="BC152" t="s">
        <v>446</v>
      </c>
      <c r="BD152">
        <v>31.06</v>
      </c>
      <c r="BE152" t="s">
        <v>15</v>
      </c>
      <c r="BF152" t="s">
        <v>446</v>
      </c>
      <c r="BG152">
        <v>30.21</v>
      </c>
      <c r="BH152" t="s">
        <v>15</v>
      </c>
      <c r="BI152" t="s">
        <v>446</v>
      </c>
      <c r="BJ152">
        <v>30.3</v>
      </c>
      <c r="BK152" t="s">
        <v>15</v>
      </c>
      <c r="BL152" t="s">
        <v>318</v>
      </c>
      <c r="BM152">
        <v>24.77</v>
      </c>
      <c r="BN152" t="s">
        <v>88</v>
      </c>
      <c r="BO152" t="s">
        <v>318</v>
      </c>
      <c r="BP152">
        <v>24.8</v>
      </c>
      <c r="BQ152" t="s">
        <v>88</v>
      </c>
      <c r="BR152" t="s">
        <v>318</v>
      </c>
      <c r="BS152">
        <v>25.7</v>
      </c>
      <c r="BT152" t="s">
        <v>88</v>
      </c>
      <c r="BU152" t="s">
        <v>318</v>
      </c>
      <c r="BV152">
        <v>24.5</v>
      </c>
      <c r="BW152" t="s">
        <v>88</v>
      </c>
      <c r="BX152" t="s">
        <v>318</v>
      </c>
      <c r="BY152">
        <v>25.82</v>
      </c>
      <c r="BZ152" t="s">
        <v>88</v>
      </c>
      <c r="CA152" t="s">
        <v>230</v>
      </c>
      <c r="CB152">
        <v>36.54</v>
      </c>
      <c r="CC152" t="s">
        <v>231</v>
      </c>
      <c r="CD152" t="s">
        <v>318</v>
      </c>
      <c r="CE152">
        <v>24.44</v>
      </c>
      <c r="CF152" t="s">
        <v>88</v>
      </c>
      <c r="CG152" t="s">
        <v>318</v>
      </c>
      <c r="CH152">
        <v>24.47</v>
      </c>
      <c r="CI152" t="s">
        <v>88</v>
      </c>
      <c r="CJ152" t="s">
        <v>318</v>
      </c>
      <c r="CK152">
        <v>24.23</v>
      </c>
      <c r="CL152" t="s">
        <v>88</v>
      </c>
      <c r="CM152" t="s">
        <v>318</v>
      </c>
      <c r="CN152">
        <v>24.96</v>
      </c>
      <c r="CO152" t="s">
        <v>88</v>
      </c>
      <c r="CP152" t="s">
        <v>318</v>
      </c>
      <c r="CQ152">
        <v>24.6</v>
      </c>
      <c r="CR152" t="s">
        <v>88</v>
      </c>
      <c r="CS152" t="s">
        <v>318</v>
      </c>
      <c r="CT152">
        <v>24.01</v>
      </c>
      <c r="CU152" t="s">
        <v>88</v>
      </c>
      <c r="CV152" t="s">
        <v>318</v>
      </c>
      <c r="CW152">
        <v>23.99</v>
      </c>
      <c r="CX152" t="s">
        <v>88</v>
      </c>
      <c r="CY152" t="s">
        <v>318</v>
      </c>
      <c r="CZ152">
        <v>24.12</v>
      </c>
      <c r="DA152" t="s">
        <v>88</v>
      </c>
      <c r="DB152" t="s">
        <v>318</v>
      </c>
      <c r="DC152">
        <v>25.3</v>
      </c>
      <c r="DD152" t="s">
        <v>88</v>
      </c>
      <c r="DE152" t="s">
        <v>318</v>
      </c>
      <c r="DF152">
        <v>24.5</v>
      </c>
      <c r="DG152" t="s">
        <v>88</v>
      </c>
      <c r="DH152" t="s">
        <v>318</v>
      </c>
      <c r="DI152">
        <v>24.23</v>
      </c>
      <c r="DJ152" t="s">
        <v>88</v>
      </c>
      <c r="DK152" t="s">
        <v>419</v>
      </c>
      <c r="DL152">
        <v>10.7</v>
      </c>
      <c r="DM152" t="s">
        <v>51</v>
      </c>
      <c r="DN152" t="s">
        <v>419</v>
      </c>
      <c r="DO152">
        <v>10.69</v>
      </c>
      <c r="DP152" t="s">
        <v>51</v>
      </c>
      <c r="DQ152" t="s">
        <v>419</v>
      </c>
      <c r="DR152">
        <v>11.42</v>
      </c>
      <c r="DS152" t="s">
        <v>51</v>
      </c>
      <c r="DT152" t="s">
        <v>234</v>
      </c>
      <c r="DU152">
        <v>3.23</v>
      </c>
      <c r="DV152" t="s">
        <v>125</v>
      </c>
      <c r="DW152" t="s">
        <v>234</v>
      </c>
      <c r="DX152">
        <v>3.02</v>
      </c>
      <c r="DY152" t="s">
        <v>125</v>
      </c>
      <c r="DZ152" t="s">
        <v>234</v>
      </c>
      <c r="EA152">
        <v>3.13</v>
      </c>
      <c r="EB152" t="s">
        <v>125</v>
      </c>
      <c r="EC152" t="s">
        <v>234</v>
      </c>
      <c r="ED152">
        <v>3.04</v>
      </c>
      <c r="EE152" t="s">
        <v>125</v>
      </c>
      <c r="EF152" t="s">
        <v>234</v>
      </c>
      <c r="EG152">
        <v>3.17</v>
      </c>
      <c r="EH152" t="s">
        <v>125</v>
      </c>
      <c r="EI152" t="s">
        <v>234</v>
      </c>
      <c r="EJ152">
        <v>3.46</v>
      </c>
      <c r="EK152" t="s">
        <v>125</v>
      </c>
    </row>
    <row r="153" spans="1:141">
      <c r="A153" t="s">
        <v>446</v>
      </c>
      <c r="B153">
        <v>29.45</v>
      </c>
      <c r="C153" t="s">
        <v>15</v>
      </c>
      <c r="D153" t="s">
        <v>446</v>
      </c>
      <c r="E153">
        <v>30.2</v>
      </c>
      <c r="F153" t="s">
        <v>15</v>
      </c>
      <c r="G153" t="s">
        <v>355</v>
      </c>
      <c r="H153">
        <v>0.62</v>
      </c>
      <c r="I153" t="s">
        <v>473</v>
      </c>
      <c r="J153" t="s">
        <v>355</v>
      </c>
      <c r="K153">
        <v>0.62</v>
      </c>
      <c r="L153" t="s">
        <v>473</v>
      </c>
      <c r="M153" t="s">
        <v>355</v>
      </c>
      <c r="N153">
        <v>0.6</v>
      </c>
      <c r="O153" t="s">
        <v>473</v>
      </c>
      <c r="P153" t="s">
        <v>318</v>
      </c>
      <c r="Q153">
        <v>26</v>
      </c>
      <c r="R153" t="s">
        <v>88</v>
      </c>
      <c r="S153" t="s">
        <v>355</v>
      </c>
      <c r="T153">
        <v>0.57999999999999996</v>
      </c>
      <c r="U153" t="s">
        <v>473</v>
      </c>
      <c r="V153" t="s">
        <v>355</v>
      </c>
      <c r="W153">
        <v>0.59</v>
      </c>
      <c r="X153" t="s">
        <v>473</v>
      </c>
      <c r="Y153" t="s">
        <v>355</v>
      </c>
      <c r="Z153">
        <v>0.59</v>
      </c>
      <c r="AA153" t="s">
        <v>473</v>
      </c>
      <c r="AB153" t="s">
        <v>355</v>
      </c>
      <c r="AC153">
        <v>0.57999999999999996</v>
      </c>
      <c r="AD153" t="s">
        <v>473</v>
      </c>
      <c r="AE153" t="s">
        <v>355</v>
      </c>
      <c r="AF153">
        <v>0.64</v>
      </c>
      <c r="AG153" t="s">
        <v>473</v>
      </c>
      <c r="AH153" t="s">
        <v>355</v>
      </c>
      <c r="AI153">
        <v>0.62</v>
      </c>
      <c r="AJ153" t="s">
        <v>473</v>
      </c>
      <c r="AK153" t="s">
        <v>355</v>
      </c>
      <c r="AL153">
        <v>0.61</v>
      </c>
      <c r="AM153" t="s">
        <v>473</v>
      </c>
      <c r="AN153" t="s">
        <v>355</v>
      </c>
      <c r="AO153">
        <v>0.59</v>
      </c>
      <c r="AP153" t="s">
        <v>473</v>
      </c>
      <c r="AQ153" t="s">
        <v>355</v>
      </c>
      <c r="AR153">
        <v>0.61</v>
      </c>
      <c r="AS153" t="s">
        <v>473</v>
      </c>
      <c r="AT153" t="s">
        <v>355</v>
      </c>
      <c r="AU153">
        <v>0.61</v>
      </c>
      <c r="AV153" t="s">
        <v>473</v>
      </c>
      <c r="AW153" t="s">
        <v>355</v>
      </c>
      <c r="AX153">
        <v>0.62</v>
      </c>
      <c r="AY153" t="s">
        <v>473</v>
      </c>
      <c r="AZ153" t="s">
        <v>355</v>
      </c>
      <c r="BA153">
        <v>0.64</v>
      </c>
      <c r="BB153" t="s">
        <v>473</v>
      </c>
      <c r="BC153" t="s">
        <v>355</v>
      </c>
      <c r="BD153">
        <v>0.75</v>
      </c>
      <c r="BE153" t="s">
        <v>473</v>
      </c>
      <c r="BF153" t="s">
        <v>355</v>
      </c>
      <c r="BG153">
        <v>0.75</v>
      </c>
      <c r="BH153" t="s">
        <v>473</v>
      </c>
      <c r="BI153" t="s">
        <v>355</v>
      </c>
      <c r="BJ153">
        <v>0.74</v>
      </c>
      <c r="BK153" t="s">
        <v>473</v>
      </c>
      <c r="BL153" t="s">
        <v>419</v>
      </c>
      <c r="BM153">
        <v>10.73</v>
      </c>
      <c r="BN153" t="s">
        <v>51</v>
      </c>
      <c r="BO153" t="s">
        <v>419</v>
      </c>
      <c r="BP153">
        <v>11</v>
      </c>
      <c r="BQ153" t="s">
        <v>51</v>
      </c>
      <c r="BR153" t="s">
        <v>419</v>
      </c>
      <c r="BS153">
        <v>11.09</v>
      </c>
      <c r="BT153" t="s">
        <v>51</v>
      </c>
      <c r="BU153" t="s">
        <v>419</v>
      </c>
      <c r="BV153">
        <v>10.96</v>
      </c>
      <c r="BW153" t="s">
        <v>51</v>
      </c>
      <c r="BX153" t="s">
        <v>419</v>
      </c>
      <c r="BY153">
        <v>10.94</v>
      </c>
      <c r="BZ153" t="s">
        <v>51</v>
      </c>
      <c r="CA153" t="s">
        <v>232</v>
      </c>
      <c r="CB153">
        <v>4.75</v>
      </c>
      <c r="CC153" t="s">
        <v>233</v>
      </c>
      <c r="CD153" t="s">
        <v>419</v>
      </c>
      <c r="CE153">
        <v>11.19</v>
      </c>
      <c r="CF153" t="s">
        <v>51</v>
      </c>
      <c r="CG153" t="s">
        <v>419</v>
      </c>
      <c r="CH153">
        <v>11.66</v>
      </c>
      <c r="CI153" t="s">
        <v>51</v>
      </c>
      <c r="CJ153" t="s">
        <v>419</v>
      </c>
      <c r="CK153">
        <v>11.36</v>
      </c>
      <c r="CL153" t="s">
        <v>51</v>
      </c>
      <c r="CM153" t="s">
        <v>419</v>
      </c>
      <c r="CN153">
        <v>11.22</v>
      </c>
      <c r="CO153" t="s">
        <v>51</v>
      </c>
      <c r="CP153" t="s">
        <v>419</v>
      </c>
      <c r="CQ153">
        <v>11.25</v>
      </c>
      <c r="CR153" t="s">
        <v>51</v>
      </c>
      <c r="CS153" t="s">
        <v>419</v>
      </c>
      <c r="CT153">
        <v>11.1</v>
      </c>
      <c r="CU153" t="s">
        <v>51</v>
      </c>
      <c r="CV153" t="s">
        <v>419</v>
      </c>
      <c r="CW153">
        <v>10.9</v>
      </c>
      <c r="CX153" t="s">
        <v>51</v>
      </c>
      <c r="CY153" t="s">
        <v>419</v>
      </c>
      <c r="CZ153">
        <v>11.2</v>
      </c>
      <c r="DA153" t="s">
        <v>51</v>
      </c>
      <c r="DB153" t="s">
        <v>419</v>
      </c>
      <c r="DC153">
        <v>11.04</v>
      </c>
      <c r="DD153" t="s">
        <v>51</v>
      </c>
      <c r="DE153" t="s">
        <v>419</v>
      </c>
      <c r="DF153">
        <v>11</v>
      </c>
      <c r="DG153" t="s">
        <v>51</v>
      </c>
      <c r="DH153" t="s">
        <v>419</v>
      </c>
      <c r="DI153">
        <v>10.91</v>
      </c>
      <c r="DJ153" t="s">
        <v>51</v>
      </c>
      <c r="DK153" t="s">
        <v>446</v>
      </c>
      <c r="DL153">
        <v>23.81</v>
      </c>
      <c r="DM153" t="s">
        <v>15</v>
      </c>
      <c r="DN153" t="s">
        <v>446</v>
      </c>
      <c r="DO153">
        <v>23.52</v>
      </c>
      <c r="DP153" t="s">
        <v>15</v>
      </c>
      <c r="DQ153" t="s">
        <v>446</v>
      </c>
      <c r="DR153">
        <v>25.7</v>
      </c>
      <c r="DS153" t="s">
        <v>15</v>
      </c>
      <c r="DT153" t="s">
        <v>430</v>
      </c>
      <c r="DU153">
        <v>4.55</v>
      </c>
      <c r="DV153" t="s">
        <v>235</v>
      </c>
      <c r="DW153" t="s">
        <v>430</v>
      </c>
      <c r="DX153">
        <v>4.51</v>
      </c>
      <c r="DY153" t="s">
        <v>235</v>
      </c>
      <c r="DZ153" t="s">
        <v>430</v>
      </c>
      <c r="EA153">
        <v>4.58</v>
      </c>
      <c r="EB153" t="s">
        <v>235</v>
      </c>
      <c r="EC153" t="s">
        <v>430</v>
      </c>
      <c r="ED153">
        <v>4.5999999999999996</v>
      </c>
      <c r="EE153" t="s">
        <v>235</v>
      </c>
      <c r="EF153" t="s">
        <v>430</v>
      </c>
      <c r="EG153">
        <v>4.54</v>
      </c>
      <c r="EH153" t="s">
        <v>235</v>
      </c>
      <c r="EI153" t="s">
        <v>430</v>
      </c>
      <c r="EJ153">
        <v>4.8</v>
      </c>
      <c r="EK153" t="s">
        <v>235</v>
      </c>
    </row>
    <row r="154" spans="1:141">
      <c r="A154" t="s">
        <v>355</v>
      </c>
      <c r="B154">
        <v>0.64</v>
      </c>
      <c r="C154" t="s">
        <v>473</v>
      </c>
      <c r="D154" t="s">
        <v>355</v>
      </c>
      <c r="E154">
        <v>0.62</v>
      </c>
      <c r="F154" t="s">
        <v>473</v>
      </c>
      <c r="G154" t="s">
        <v>234</v>
      </c>
      <c r="H154">
        <v>4.3600000000000003</v>
      </c>
      <c r="I154" t="s">
        <v>125</v>
      </c>
      <c r="J154" t="s">
        <v>234</v>
      </c>
      <c r="K154">
        <v>4.1900000000000004</v>
      </c>
      <c r="L154" t="s">
        <v>125</v>
      </c>
      <c r="M154" t="s">
        <v>234</v>
      </c>
      <c r="N154">
        <v>3.9</v>
      </c>
      <c r="O154" t="s">
        <v>125</v>
      </c>
      <c r="P154" t="s">
        <v>419</v>
      </c>
      <c r="Q154">
        <v>11.91</v>
      </c>
      <c r="R154" t="s">
        <v>51</v>
      </c>
      <c r="S154" t="s">
        <v>234</v>
      </c>
      <c r="T154">
        <v>3.88</v>
      </c>
      <c r="U154" t="s">
        <v>125</v>
      </c>
      <c r="V154" t="s">
        <v>234</v>
      </c>
      <c r="W154">
        <v>3.7</v>
      </c>
      <c r="X154" t="s">
        <v>125</v>
      </c>
      <c r="Y154" t="s">
        <v>234</v>
      </c>
      <c r="Z154">
        <v>3.77</v>
      </c>
      <c r="AA154" t="s">
        <v>125</v>
      </c>
      <c r="AB154" t="s">
        <v>234</v>
      </c>
      <c r="AC154">
        <v>3.61</v>
      </c>
      <c r="AD154" t="s">
        <v>125</v>
      </c>
      <c r="AE154" t="s">
        <v>234</v>
      </c>
      <c r="AF154">
        <v>3.43</v>
      </c>
      <c r="AG154" t="s">
        <v>125</v>
      </c>
      <c r="AH154" t="s">
        <v>234</v>
      </c>
      <c r="AI154">
        <v>3.38</v>
      </c>
      <c r="AJ154" t="s">
        <v>125</v>
      </c>
      <c r="AK154" t="s">
        <v>234</v>
      </c>
      <c r="AL154">
        <v>3.25</v>
      </c>
      <c r="AM154" t="s">
        <v>125</v>
      </c>
      <c r="AN154" t="s">
        <v>234</v>
      </c>
      <c r="AO154">
        <v>3</v>
      </c>
      <c r="AP154" t="s">
        <v>125</v>
      </c>
      <c r="AQ154" t="s">
        <v>234</v>
      </c>
      <c r="AR154">
        <v>3.14</v>
      </c>
      <c r="AS154" t="s">
        <v>125</v>
      </c>
      <c r="AT154" t="s">
        <v>234</v>
      </c>
      <c r="AU154">
        <v>3.17</v>
      </c>
      <c r="AV154" t="s">
        <v>125</v>
      </c>
      <c r="AW154" t="s">
        <v>234</v>
      </c>
      <c r="AX154">
        <v>3.12</v>
      </c>
      <c r="AY154" t="s">
        <v>125</v>
      </c>
      <c r="AZ154" t="s">
        <v>234</v>
      </c>
      <c r="BA154">
        <v>3</v>
      </c>
      <c r="BB154" t="s">
        <v>125</v>
      </c>
      <c r="BC154" t="s">
        <v>234</v>
      </c>
      <c r="BD154">
        <v>3.05</v>
      </c>
      <c r="BE154" t="s">
        <v>125</v>
      </c>
      <c r="BF154" t="s">
        <v>234</v>
      </c>
      <c r="BG154">
        <v>3.03</v>
      </c>
      <c r="BH154" t="s">
        <v>125</v>
      </c>
      <c r="BI154" t="s">
        <v>234</v>
      </c>
      <c r="BJ154">
        <v>3.02</v>
      </c>
      <c r="BK154" t="s">
        <v>125</v>
      </c>
      <c r="BL154" t="s">
        <v>446</v>
      </c>
      <c r="BM154">
        <v>29.26</v>
      </c>
      <c r="BN154" t="s">
        <v>15</v>
      </c>
      <c r="BO154" t="s">
        <v>446</v>
      </c>
      <c r="BP154">
        <v>29.08</v>
      </c>
      <c r="BQ154" t="s">
        <v>15</v>
      </c>
      <c r="BR154" t="s">
        <v>446</v>
      </c>
      <c r="BS154">
        <v>29.7</v>
      </c>
      <c r="BT154" t="s">
        <v>15</v>
      </c>
      <c r="BU154" t="s">
        <v>446</v>
      </c>
      <c r="BV154">
        <v>29.64</v>
      </c>
      <c r="BW154" t="s">
        <v>15</v>
      </c>
      <c r="BX154" t="s">
        <v>446</v>
      </c>
      <c r="BY154">
        <v>29.6</v>
      </c>
      <c r="BZ154" t="s">
        <v>15</v>
      </c>
      <c r="CA154" t="s">
        <v>391</v>
      </c>
      <c r="CB154">
        <v>0.6</v>
      </c>
      <c r="CC154" t="s">
        <v>110</v>
      </c>
      <c r="CD154" t="s">
        <v>446</v>
      </c>
      <c r="CE154">
        <v>30.03</v>
      </c>
      <c r="CF154" t="s">
        <v>15</v>
      </c>
      <c r="CG154" t="s">
        <v>446</v>
      </c>
      <c r="CH154">
        <v>30.85</v>
      </c>
      <c r="CI154" t="s">
        <v>15</v>
      </c>
      <c r="CJ154" t="s">
        <v>446</v>
      </c>
      <c r="CK154">
        <v>31.07</v>
      </c>
      <c r="CL154" t="s">
        <v>15</v>
      </c>
      <c r="CM154" t="s">
        <v>446</v>
      </c>
      <c r="CN154">
        <v>30.82</v>
      </c>
      <c r="CO154" t="s">
        <v>15</v>
      </c>
      <c r="CP154" t="s">
        <v>446</v>
      </c>
      <c r="CQ154">
        <v>31.62</v>
      </c>
      <c r="CR154" t="s">
        <v>15</v>
      </c>
      <c r="CS154" t="s">
        <v>446</v>
      </c>
      <c r="CT154">
        <v>29.82</v>
      </c>
      <c r="CU154" t="s">
        <v>15</v>
      </c>
      <c r="CV154" t="s">
        <v>446</v>
      </c>
      <c r="CW154">
        <v>28.44</v>
      </c>
      <c r="CX154" t="s">
        <v>15</v>
      </c>
      <c r="CY154" t="s">
        <v>446</v>
      </c>
      <c r="CZ154">
        <v>28.25</v>
      </c>
      <c r="DA154" t="s">
        <v>15</v>
      </c>
      <c r="DB154" t="s">
        <v>446</v>
      </c>
      <c r="DC154">
        <v>27.66</v>
      </c>
      <c r="DD154" t="s">
        <v>15</v>
      </c>
      <c r="DE154" t="s">
        <v>446</v>
      </c>
      <c r="DF154">
        <v>27.62</v>
      </c>
      <c r="DG154" t="s">
        <v>15</v>
      </c>
      <c r="DH154" t="s">
        <v>446</v>
      </c>
      <c r="DI154">
        <v>25.86</v>
      </c>
      <c r="DJ154" t="s">
        <v>15</v>
      </c>
      <c r="DK154" t="s">
        <v>355</v>
      </c>
      <c r="DL154">
        <v>0.63</v>
      </c>
      <c r="DM154" t="s">
        <v>473</v>
      </c>
      <c r="DN154" t="s">
        <v>355</v>
      </c>
      <c r="DO154">
        <v>0.62</v>
      </c>
      <c r="DP154" t="s">
        <v>473</v>
      </c>
      <c r="DQ154" t="s">
        <v>355</v>
      </c>
      <c r="DR154">
        <v>0.66</v>
      </c>
      <c r="DS154" t="s">
        <v>473</v>
      </c>
      <c r="DT154" t="s">
        <v>455</v>
      </c>
      <c r="DU154">
        <v>2.82</v>
      </c>
      <c r="DV154" t="s">
        <v>903</v>
      </c>
      <c r="DW154" t="s">
        <v>455</v>
      </c>
      <c r="DX154">
        <v>2.97</v>
      </c>
      <c r="DY154" t="s">
        <v>903</v>
      </c>
      <c r="DZ154" t="s">
        <v>455</v>
      </c>
      <c r="EA154">
        <v>3.1</v>
      </c>
      <c r="EB154" t="s">
        <v>903</v>
      </c>
      <c r="EC154" t="s">
        <v>455</v>
      </c>
      <c r="ED154">
        <v>2.97</v>
      </c>
      <c r="EE154" t="s">
        <v>903</v>
      </c>
      <c r="EF154" t="s">
        <v>455</v>
      </c>
      <c r="EG154">
        <v>2.34</v>
      </c>
      <c r="EH154" t="s">
        <v>903</v>
      </c>
      <c r="EI154" t="s">
        <v>455</v>
      </c>
      <c r="EJ154">
        <v>2.37</v>
      </c>
      <c r="EK154" t="s">
        <v>903</v>
      </c>
    </row>
    <row r="155" spans="1:141">
      <c r="A155" t="s">
        <v>234</v>
      </c>
      <c r="B155">
        <v>4.49</v>
      </c>
      <c r="C155" t="s">
        <v>125</v>
      </c>
      <c r="D155" t="s">
        <v>234</v>
      </c>
      <c r="E155">
        <v>4.17</v>
      </c>
      <c r="F155" t="s">
        <v>125</v>
      </c>
      <c r="G155" t="s">
        <v>430</v>
      </c>
      <c r="H155">
        <v>3.9</v>
      </c>
      <c r="I155" t="s">
        <v>235</v>
      </c>
      <c r="J155" t="s">
        <v>430</v>
      </c>
      <c r="K155">
        <v>3.91</v>
      </c>
      <c r="L155" t="s">
        <v>235</v>
      </c>
      <c r="M155" t="s">
        <v>430</v>
      </c>
      <c r="N155">
        <v>3.85</v>
      </c>
      <c r="O155" t="s">
        <v>235</v>
      </c>
      <c r="P155" t="s">
        <v>446</v>
      </c>
      <c r="Q155">
        <v>33.5</v>
      </c>
      <c r="R155" t="s">
        <v>15</v>
      </c>
      <c r="S155" t="s">
        <v>430</v>
      </c>
      <c r="T155">
        <v>3.86</v>
      </c>
      <c r="U155" t="s">
        <v>235</v>
      </c>
      <c r="V155" t="s">
        <v>430</v>
      </c>
      <c r="W155">
        <v>3.81</v>
      </c>
      <c r="X155" t="s">
        <v>235</v>
      </c>
      <c r="Y155" t="s">
        <v>430</v>
      </c>
      <c r="Z155">
        <v>3.97</v>
      </c>
      <c r="AA155" t="s">
        <v>235</v>
      </c>
      <c r="AB155" t="s">
        <v>430</v>
      </c>
      <c r="AC155">
        <v>3.91</v>
      </c>
      <c r="AD155" t="s">
        <v>235</v>
      </c>
      <c r="AE155" t="s">
        <v>430</v>
      </c>
      <c r="AF155">
        <v>3.88</v>
      </c>
      <c r="AG155" t="s">
        <v>235</v>
      </c>
      <c r="AH155" t="s">
        <v>430</v>
      </c>
      <c r="AI155">
        <v>3.87</v>
      </c>
      <c r="AJ155" t="s">
        <v>235</v>
      </c>
      <c r="AK155" t="s">
        <v>430</v>
      </c>
      <c r="AL155">
        <v>3.83</v>
      </c>
      <c r="AM155" t="s">
        <v>235</v>
      </c>
      <c r="AN155" t="s">
        <v>430</v>
      </c>
      <c r="AO155">
        <v>3.77</v>
      </c>
      <c r="AP155" t="s">
        <v>235</v>
      </c>
      <c r="AQ155" t="s">
        <v>430</v>
      </c>
      <c r="AR155">
        <v>3.9</v>
      </c>
      <c r="AS155" t="s">
        <v>235</v>
      </c>
      <c r="AT155" t="s">
        <v>430</v>
      </c>
      <c r="AU155">
        <v>3.95</v>
      </c>
      <c r="AV155" t="s">
        <v>235</v>
      </c>
      <c r="AW155" t="s">
        <v>430</v>
      </c>
      <c r="AX155">
        <v>3.91</v>
      </c>
      <c r="AY155" t="s">
        <v>235</v>
      </c>
      <c r="AZ155" t="s">
        <v>430</v>
      </c>
      <c r="BA155">
        <v>3.89</v>
      </c>
      <c r="BB155" t="s">
        <v>235</v>
      </c>
      <c r="BC155" t="s">
        <v>430</v>
      </c>
      <c r="BD155">
        <v>4.07</v>
      </c>
      <c r="BE155" t="s">
        <v>235</v>
      </c>
      <c r="BF155" t="s">
        <v>430</v>
      </c>
      <c r="BG155">
        <v>3.99</v>
      </c>
      <c r="BH155" t="s">
        <v>235</v>
      </c>
      <c r="BI155" t="s">
        <v>430</v>
      </c>
      <c r="BJ155">
        <v>3.95</v>
      </c>
      <c r="BK155" t="s">
        <v>235</v>
      </c>
      <c r="BL155" t="s">
        <v>355</v>
      </c>
      <c r="BM155">
        <v>0.68</v>
      </c>
      <c r="BN155" t="s">
        <v>473</v>
      </c>
      <c r="BO155" t="s">
        <v>355</v>
      </c>
      <c r="BP155">
        <v>0.69</v>
      </c>
      <c r="BQ155" t="s">
        <v>473</v>
      </c>
      <c r="BR155" t="s">
        <v>355</v>
      </c>
      <c r="BS155">
        <v>0.68</v>
      </c>
      <c r="BT155" t="s">
        <v>473</v>
      </c>
      <c r="BU155" t="s">
        <v>355</v>
      </c>
      <c r="BV155">
        <v>0.66</v>
      </c>
      <c r="BW155" t="s">
        <v>473</v>
      </c>
      <c r="BX155" t="s">
        <v>355</v>
      </c>
      <c r="BY155">
        <v>0.67</v>
      </c>
      <c r="BZ155" t="s">
        <v>473</v>
      </c>
      <c r="CA155" t="s">
        <v>318</v>
      </c>
      <c r="CB155">
        <v>24.36</v>
      </c>
      <c r="CC155" t="s">
        <v>88</v>
      </c>
      <c r="CD155" t="s">
        <v>355</v>
      </c>
      <c r="CE155">
        <v>0.66</v>
      </c>
      <c r="CF155" t="s">
        <v>473</v>
      </c>
      <c r="CG155" t="s">
        <v>355</v>
      </c>
      <c r="CH155">
        <v>0.66</v>
      </c>
      <c r="CI155" t="s">
        <v>473</v>
      </c>
      <c r="CJ155" t="s">
        <v>355</v>
      </c>
      <c r="CK155">
        <v>0.68</v>
      </c>
      <c r="CL155" t="s">
        <v>473</v>
      </c>
      <c r="CM155" t="s">
        <v>355</v>
      </c>
      <c r="CN155">
        <v>0.7</v>
      </c>
      <c r="CO155" t="s">
        <v>473</v>
      </c>
      <c r="CP155" t="s">
        <v>355</v>
      </c>
      <c r="CQ155">
        <v>0.7</v>
      </c>
      <c r="CR155" t="s">
        <v>473</v>
      </c>
      <c r="CS155" t="s">
        <v>355</v>
      </c>
      <c r="CT155">
        <v>0.71</v>
      </c>
      <c r="CU155" t="s">
        <v>473</v>
      </c>
      <c r="CV155" t="s">
        <v>355</v>
      </c>
      <c r="CW155">
        <v>0.72</v>
      </c>
      <c r="CX155" t="s">
        <v>473</v>
      </c>
      <c r="CY155" t="s">
        <v>355</v>
      </c>
      <c r="CZ155">
        <v>0.69</v>
      </c>
      <c r="DA155" t="s">
        <v>473</v>
      </c>
      <c r="DB155" t="s">
        <v>355</v>
      </c>
      <c r="DC155">
        <v>0.67</v>
      </c>
      <c r="DD155" t="s">
        <v>473</v>
      </c>
      <c r="DE155" t="s">
        <v>355</v>
      </c>
      <c r="DF155">
        <v>0.69</v>
      </c>
      <c r="DG155" t="s">
        <v>473</v>
      </c>
      <c r="DH155" t="s">
        <v>355</v>
      </c>
      <c r="DI155">
        <v>0.64</v>
      </c>
      <c r="DJ155" t="s">
        <v>473</v>
      </c>
      <c r="DK155" t="s">
        <v>234</v>
      </c>
      <c r="DL155">
        <v>2.74</v>
      </c>
      <c r="DM155" t="s">
        <v>125</v>
      </c>
      <c r="DN155" t="s">
        <v>234</v>
      </c>
      <c r="DO155">
        <v>2.75</v>
      </c>
      <c r="DP155" t="s">
        <v>125</v>
      </c>
      <c r="DQ155" t="s">
        <v>234</v>
      </c>
      <c r="DR155">
        <v>3.39</v>
      </c>
      <c r="DS155" t="s">
        <v>125</v>
      </c>
      <c r="DT155" t="s">
        <v>458</v>
      </c>
      <c r="DU155">
        <v>85.75</v>
      </c>
      <c r="DV155" t="s">
        <v>63</v>
      </c>
      <c r="DW155" t="s">
        <v>458</v>
      </c>
      <c r="DX155">
        <v>87.25</v>
      </c>
      <c r="DY155" t="s">
        <v>63</v>
      </c>
      <c r="DZ155" t="s">
        <v>458</v>
      </c>
      <c r="EA155">
        <v>96.1</v>
      </c>
      <c r="EB155" t="s">
        <v>63</v>
      </c>
      <c r="EC155" t="s">
        <v>458</v>
      </c>
      <c r="ED155">
        <v>111.01</v>
      </c>
      <c r="EE155" t="s">
        <v>63</v>
      </c>
      <c r="EF155" t="s">
        <v>458</v>
      </c>
      <c r="EG155">
        <v>139.05000000000001</v>
      </c>
      <c r="EH155" t="s">
        <v>63</v>
      </c>
      <c r="EI155" t="s">
        <v>458</v>
      </c>
      <c r="EJ155">
        <v>140.04</v>
      </c>
      <c r="EK155" t="s">
        <v>63</v>
      </c>
    </row>
    <row r="156" spans="1:141">
      <c r="A156" t="s">
        <v>430</v>
      </c>
      <c r="B156">
        <v>3.98</v>
      </c>
      <c r="C156" t="s">
        <v>235</v>
      </c>
      <c r="D156" t="s">
        <v>430</v>
      </c>
      <c r="E156">
        <v>3.93</v>
      </c>
      <c r="F156" t="s">
        <v>235</v>
      </c>
      <c r="G156" t="s">
        <v>455</v>
      </c>
      <c r="H156">
        <v>2.3199999999999998</v>
      </c>
      <c r="I156" t="s">
        <v>903</v>
      </c>
      <c r="J156" t="s">
        <v>455</v>
      </c>
      <c r="K156">
        <v>2.39</v>
      </c>
      <c r="L156" t="s">
        <v>903</v>
      </c>
      <c r="M156" t="s">
        <v>455</v>
      </c>
      <c r="N156">
        <v>2.2200000000000002</v>
      </c>
      <c r="O156" t="s">
        <v>903</v>
      </c>
      <c r="P156" t="s">
        <v>355</v>
      </c>
      <c r="Q156">
        <v>0.57999999999999996</v>
      </c>
      <c r="R156" t="s">
        <v>473</v>
      </c>
      <c r="S156" t="s">
        <v>455</v>
      </c>
      <c r="T156">
        <v>2.25</v>
      </c>
      <c r="U156" t="s">
        <v>903</v>
      </c>
      <c r="V156" t="s">
        <v>455</v>
      </c>
      <c r="W156">
        <v>2.12</v>
      </c>
      <c r="X156" t="s">
        <v>903</v>
      </c>
      <c r="Y156" t="s">
        <v>455</v>
      </c>
      <c r="Z156">
        <v>2.2200000000000002</v>
      </c>
      <c r="AA156" t="s">
        <v>903</v>
      </c>
      <c r="AB156" t="s">
        <v>455</v>
      </c>
      <c r="AC156">
        <v>2.2599999999999998</v>
      </c>
      <c r="AD156" t="s">
        <v>903</v>
      </c>
      <c r="AE156" t="s">
        <v>455</v>
      </c>
      <c r="AF156">
        <v>2.19</v>
      </c>
      <c r="AG156" t="s">
        <v>903</v>
      </c>
      <c r="AH156" t="s">
        <v>455</v>
      </c>
      <c r="AI156">
        <v>2.2000000000000002</v>
      </c>
      <c r="AJ156" t="s">
        <v>903</v>
      </c>
      <c r="AK156" t="s">
        <v>455</v>
      </c>
      <c r="AL156">
        <v>2.15</v>
      </c>
      <c r="AM156" t="s">
        <v>903</v>
      </c>
      <c r="AN156" t="s">
        <v>455</v>
      </c>
      <c r="AO156">
        <v>2.12</v>
      </c>
      <c r="AP156" t="s">
        <v>903</v>
      </c>
      <c r="AQ156" t="s">
        <v>455</v>
      </c>
      <c r="AR156">
        <v>2.2999999999999998</v>
      </c>
      <c r="AS156" t="s">
        <v>903</v>
      </c>
      <c r="AT156" t="s">
        <v>455</v>
      </c>
      <c r="AU156">
        <v>2.2999999999999998</v>
      </c>
      <c r="AV156" t="s">
        <v>903</v>
      </c>
      <c r="AW156" t="s">
        <v>455</v>
      </c>
      <c r="AX156">
        <v>2.35</v>
      </c>
      <c r="AY156" t="s">
        <v>903</v>
      </c>
      <c r="AZ156" t="s">
        <v>455</v>
      </c>
      <c r="BA156">
        <v>2.2200000000000002</v>
      </c>
      <c r="BB156" t="s">
        <v>903</v>
      </c>
      <c r="BC156" t="s">
        <v>455</v>
      </c>
      <c r="BD156">
        <v>2.1800000000000002</v>
      </c>
      <c r="BE156" t="s">
        <v>903</v>
      </c>
      <c r="BF156" t="s">
        <v>455</v>
      </c>
      <c r="BG156">
        <v>2.2599999999999998</v>
      </c>
      <c r="BH156" t="s">
        <v>903</v>
      </c>
      <c r="BI156" t="s">
        <v>455</v>
      </c>
      <c r="BJ156">
        <v>2.23</v>
      </c>
      <c r="BK156" t="s">
        <v>903</v>
      </c>
      <c r="BL156" t="s">
        <v>234</v>
      </c>
      <c r="BM156">
        <v>2.9</v>
      </c>
      <c r="BN156" t="s">
        <v>125</v>
      </c>
      <c r="BO156" t="s">
        <v>234</v>
      </c>
      <c r="BP156">
        <v>2.93</v>
      </c>
      <c r="BQ156" t="s">
        <v>125</v>
      </c>
      <c r="BR156" t="s">
        <v>234</v>
      </c>
      <c r="BS156">
        <v>2.93</v>
      </c>
      <c r="BT156" t="s">
        <v>125</v>
      </c>
      <c r="BU156" t="s">
        <v>234</v>
      </c>
      <c r="BV156">
        <v>2.95</v>
      </c>
      <c r="BW156" t="s">
        <v>125</v>
      </c>
      <c r="BX156" t="s">
        <v>234</v>
      </c>
      <c r="BY156">
        <v>2.91</v>
      </c>
      <c r="BZ156" t="s">
        <v>125</v>
      </c>
      <c r="CA156" t="s">
        <v>419</v>
      </c>
      <c r="CB156">
        <v>10.86</v>
      </c>
      <c r="CC156" t="s">
        <v>51</v>
      </c>
      <c r="CD156" t="s">
        <v>234</v>
      </c>
      <c r="CE156">
        <v>3.58</v>
      </c>
      <c r="CF156" t="s">
        <v>125</v>
      </c>
      <c r="CG156" t="s">
        <v>234</v>
      </c>
      <c r="CH156">
        <v>3.9</v>
      </c>
      <c r="CI156" t="s">
        <v>125</v>
      </c>
      <c r="CJ156" t="s">
        <v>234</v>
      </c>
      <c r="CK156">
        <v>3.77</v>
      </c>
      <c r="CL156" t="s">
        <v>125</v>
      </c>
      <c r="CM156" t="s">
        <v>234</v>
      </c>
      <c r="CN156">
        <v>3.42</v>
      </c>
      <c r="CO156" t="s">
        <v>125</v>
      </c>
      <c r="CP156" t="s">
        <v>234</v>
      </c>
      <c r="CQ156">
        <v>3.25</v>
      </c>
      <c r="CR156" t="s">
        <v>125</v>
      </c>
      <c r="CS156" t="s">
        <v>234</v>
      </c>
      <c r="CT156">
        <v>3.14</v>
      </c>
      <c r="CU156" t="s">
        <v>125</v>
      </c>
      <c r="CV156" t="s">
        <v>234</v>
      </c>
      <c r="CW156">
        <v>3.02</v>
      </c>
      <c r="CX156" t="s">
        <v>125</v>
      </c>
      <c r="CY156" t="s">
        <v>234</v>
      </c>
      <c r="CZ156">
        <v>2.96</v>
      </c>
      <c r="DA156" t="s">
        <v>125</v>
      </c>
      <c r="DB156" t="s">
        <v>234</v>
      </c>
      <c r="DC156">
        <v>2.87</v>
      </c>
      <c r="DD156" t="s">
        <v>125</v>
      </c>
      <c r="DE156" t="s">
        <v>234</v>
      </c>
      <c r="DF156">
        <v>2.8</v>
      </c>
      <c r="DG156" t="s">
        <v>125</v>
      </c>
      <c r="DH156" t="s">
        <v>234</v>
      </c>
      <c r="DI156">
        <v>2.88</v>
      </c>
      <c r="DJ156" t="s">
        <v>125</v>
      </c>
      <c r="DK156" t="s">
        <v>430</v>
      </c>
      <c r="DL156">
        <v>4.43</v>
      </c>
      <c r="DM156" t="s">
        <v>235</v>
      </c>
      <c r="DN156" t="s">
        <v>430</v>
      </c>
      <c r="DO156">
        <v>4.3499999999999996</v>
      </c>
      <c r="DP156" t="s">
        <v>235</v>
      </c>
      <c r="DQ156" t="s">
        <v>430</v>
      </c>
      <c r="DR156">
        <v>4.6500000000000004</v>
      </c>
      <c r="DS156" t="s">
        <v>235</v>
      </c>
      <c r="DT156" t="s">
        <v>402</v>
      </c>
      <c r="DU156">
        <v>29.82</v>
      </c>
      <c r="DV156" t="s">
        <v>90</v>
      </c>
      <c r="DW156" t="s">
        <v>402</v>
      </c>
      <c r="DX156">
        <v>33.619999999999997</v>
      </c>
      <c r="DY156" t="s">
        <v>90</v>
      </c>
      <c r="DZ156" t="s">
        <v>402</v>
      </c>
      <c r="EA156">
        <v>37.6</v>
      </c>
      <c r="EB156" t="s">
        <v>90</v>
      </c>
      <c r="EC156" t="s">
        <v>402</v>
      </c>
      <c r="ED156">
        <v>39.21</v>
      </c>
      <c r="EE156" t="s">
        <v>90</v>
      </c>
      <c r="EF156" t="s">
        <v>402</v>
      </c>
      <c r="EG156">
        <v>53.7</v>
      </c>
      <c r="EH156" t="s">
        <v>90</v>
      </c>
      <c r="EI156" t="s">
        <v>402</v>
      </c>
      <c r="EJ156">
        <v>51.1</v>
      </c>
      <c r="EK156" t="s">
        <v>90</v>
      </c>
    </row>
    <row r="157" spans="1:141">
      <c r="A157" t="s">
        <v>455</v>
      </c>
      <c r="B157">
        <v>2.42</v>
      </c>
      <c r="C157" t="s">
        <v>903</v>
      </c>
      <c r="D157" t="s">
        <v>455</v>
      </c>
      <c r="E157">
        <v>2.36</v>
      </c>
      <c r="F157" t="s">
        <v>903</v>
      </c>
      <c r="G157" t="s">
        <v>458</v>
      </c>
      <c r="H157">
        <v>58</v>
      </c>
      <c r="I157" t="s">
        <v>63</v>
      </c>
      <c r="J157" t="s">
        <v>458</v>
      </c>
      <c r="K157">
        <v>57.89</v>
      </c>
      <c r="L157" t="s">
        <v>63</v>
      </c>
      <c r="M157" t="s">
        <v>458</v>
      </c>
      <c r="N157">
        <v>56.41</v>
      </c>
      <c r="O157" t="s">
        <v>63</v>
      </c>
      <c r="P157" t="s">
        <v>234</v>
      </c>
      <c r="Q157">
        <v>3.83</v>
      </c>
      <c r="R157" t="s">
        <v>125</v>
      </c>
      <c r="S157" t="s">
        <v>458</v>
      </c>
      <c r="T157">
        <v>56.69</v>
      </c>
      <c r="U157" t="s">
        <v>63</v>
      </c>
      <c r="V157" t="s">
        <v>458</v>
      </c>
      <c r="W157">
        <v>54.94</v>
      </c>
      <c r="X157" t="s">
        <v>63</v>
      </c>
      <c r="Y157" t="s">
        <v>458</v>
      </c>
      <c r="Z157">
        <v>57</v>
      </c>
      <c r="AA157" t="s">
        <v>63</v>
      </c>
      <c r="AB157" t="s">
        <v>458</v>
      </c>
      <c r="AC157">
        <v>57.95</v>
      </c>
      <c r="AD157" t="s">
        <v>63</v>
      </c>
      <c r="AE157" t="s">
        <v>458</v>
      </c>
      <c r="AF157">
        <v>58.3</v>
      </c>
      <c r="AG157" t="s">
        <v>63</v>
      </c>
      <c r="AH157" t="s">
        <v>458</v>
      </c>
      <c r="AI157">
        <v>58.1</v>
      </c>
      <c r="AJ157" t="s">
        <v>63</v>
      </c>
      <c r="AK157" t="s">
        <v>458</v>
      </c>
      <c r="AL157">
        <v>56.48</v>
      </c>
      <c r="AM157" t="s">
        <v>63</v>
      </c>
      <c r="AN157" t="s">
        <v>458</v>
      </c>
      <c r="AO157">
        <v>56.8</v>
      </c>
      <c r="AP157" t="s">
        <v>63</v>
      </c>
      <c r="AQ157" t="s">
        <v>458</v>
      </c>
      <c r="AR157">
        <v>60.59</v>
      </c>
      <c r="AS157" t="s">
        <v>63</v>
      </c>
      <c r="AT157" t="s">
        <v>458</v>
      </c>
      <c r="AU157">
        <v>62.7</v>
      </c>
      <c r="AV157" t="s">
        <v>63</v>
      </c>
      <c r="AW157" t="s">
        <v>458</v>
      </c>
      <c r="AX157">
        <v>64.88</v>
      </c>
      <c r="AY157" t="s">
        <v>63</v>
      </c>
      <c r="AZ157" t="s">
        <v>458</v>
      </c>
      <c r="BA157">
        <v>61.77</v>
      </c>
      <c r="BB157" t="s">
        <v>63</v>
      </c>
      <c r="BC157" t="s">
        <v>458</v>
      </c>
      <c r="BD157">
        <v>75.489999999999995</v>
      </c>
      <c r="BE157" t="s">
        <v>63</v>
      </c>
      <c r="BF157" t="s">
        <v>458</v>
      </c>
      <c r="BG157">
        <v>73.400000000000006</v>
      </c>
      <c r="BH157" t="s">
        <v>63</v>
      </c>
      <c r="BI157" t="s">
        <v>458</v>
      </c>
      <c r="BJ157">
        <v>72.790000000000006</v>
      </c>
      <c r="BK157" t="s">
        <v>63</v>
      </c>
      <c r="BL157" t="s">
        <v>430</v>
      </c>
      <c r="BM157">
        <v>3.84</v>
      </c>
      <c r="BN157" t="s">
        <v>235</v>
      </c>
      <c r="BO157" t="s">
        <v>430</v>
      </c>
      <c r="BP157">
        <v>3.86</v>
      </c>
      <c r="BQ157" t="s">
        <v>235</v>
      </c>
      <c r="BR157" t="s">
        <v>430</v>
      </c>
      <c r="BS157">
        <v>4.01</v>
      </c>
      <c r="BT157" t="s">
        <v>235</v>
      </c>
      <c r="BU157" t="s">
        <v>430</v>
      </c>
      <c r="BV157">
        <v>4.0599999999999996</v>
      </c>
      <c r="BW157" t="s">
        <v>235</v>
      </c>
      <c r="BX157" t="s">
        <v>430</v>
      </c>
      <c r="BY157">
        <v>4.0599999999999996</v>
      </c>
      <c r="BZ157" t="s">
        <v>235</v>
      </c>
      <c r="CA157" t="s">
        <v>446</v>
      </c>
      <c r="CB157">
        <v>29.96</v>
      </c>
      <c r="CC157" t="s">
        <v>15</v>
      </c>
      <c r="CD157" t="s">
        <v>430</v>
      </c>
      <c r="CE157">
        <v>4.07</v>
      </c>
      <c r="CF157" t="s">
        <v>235</v>
      </c>
      <c r="CG157" t="s">
        <v>430</v>
      </c>
      <c r="CH157">
        <v>4.03</v>
      </c>
      <c r="CI157" t="s">
        <v>235</v>
      </c>
      <c r="CJ157" t="s">
        <v>430</v>
      </c>
      <c r="CK157">
        <v>3.98</v>
      </c>
      <c r="CL157" t="s">
        <v>235</v>
      </c>
      <c r="CM157" t="s">
        <v>430</v>
      </c>
      <c r="CN157">
        <v>3.92</v>
      </c>
      <c r="CO157" t="s">
        <v>235</v>
      </c>
      <c r="CP157" t="s">
        <v>430</v>
      </c>
      <c r="CQ157">
        <v>3.96</v>
      </c>
      <c r="CR157" t="s">
        <v>235</v>
      </c>
      <c r="CS157" t="s">
        <v>430</v>
      </c>
      <c r="CT157">
        <v>4.05</v>
      </c>
      <c r="CU157" t="s">
        <v>235</v>
      </c>
      <c r="CV157" t="s">
        <v>430</v>
      </c>
      <c r="CW157">
        <v>3.99</v>
      </c>
      <c r="CX157" t="s">
        <v>235</v>
      </c>
      <c r="CY157" t="s">
        <v>430</v>
      </c>
      <c r="CZ157">
        <v>4.1500000000000004</v>
      </c>
      <c r="DA157" t="s">
        <v>235</v>
      </c>
      <c r="DB157" t="s">
        <v>430</v>
      </c>
      <c r="DC157">
        <v>4.16</v>
      </c>
      <c r="DD157" t="s">
        <v>235</v>
      </c>
      <c r="DE157" t="s">
        <v>430</v>
      </c>
      <c r="DF157">
        <v>4.17</v>
      </c>
      <c r="DG157" t="s">
        <v>235</v>
      </c>
      <c r="DH157" t="s">
        <v>430</v>
      </c>
      <c r="DI157">
        <v>4.47</v>
      </c>
      <c r="DJ157" t="s">
        <v>235</v>
      </c>
      <c r="DK157" t="s">
        <v>455</v>
      </c>
      <c r="DL157">
        <v>2.87</v>
      </c>
      <c r="DM157" t="s">
        <v>903</v>
      </c>
      <c r="DN157" t="s">
        <v>455</v>
      </c>
      <c r="DO157">
        <v>2.61</v>
      </c>
      <c r="DP157" t="s">
        <v>903</v>
      </c>
      <c r="DQ157" t="s">
        <v>455</v>
      </c>
      <c r="DR157">
        <v>3.03</v>
      </c>
      <c r="DS157" t="s">
        <v>903</v>
      </c>
      <c r="DT157" t="s">
        <v>344</v>
      </c>
      <c r="DU157">
        <v>2.25</v>
      </c>
      <c r="DV157" t="s">
        <v>236</v>
      </c>
      <c r="DW157" t="s">
        <v>344</v>
      </c>
      <c r="DX157">
        <v>2.19</v>
      </c>
      <c r="DY157" t="s">
        <v>236</v>
      </c>
      <c r="DZ157" t="s">
        <v>344</v>
      </c>
      <c r="EA157">
        <v>2.17</v>
      </c>
      <c r="EB157" t="s">
        <v>236</v>
      </c>
      <c r="EC157" t="s">
        <v>344</v>
      </c>
      <c r="ED157">
        <v>2.15</v>
      </c>
      <c r="EE157" t="s">
        <v>236</v>
      </c>
      <c r="EF157" t="s">
        <v>344</v>
      </c>
      <c r="EG157">
        <v>2.09</v>
      </c>
      <c r="EH157" t="s">
        <v>236</v>
      </c>
      <c r="EI157" t="s">
        <v>344</v>
      </c>
      <c r="EJ157">
        <v>2.21</v>
      </c>
      <c r="EK157" t="s">
        <v>236</v>
      </c>
    </row>
    <row r="158" spans="1:141">
      <c r="A158" t="s">
        <v>458</v>
      </c>
      <c r="B158">
        <v>57</v>
      </c>
      <c r="C158" t="s">
        <v>63</v>
      </c>
      <c r="D158" t="s">
        <v>458</v>
      </c>
      <c r="E158">
        <v>56.4</v>
      </c>
      <c r="F158" t="s">
        <v>63</v>
      </c>
      <c r="G158" t="s">
        <v>402</v>
      </c>
      <c r="H158">
        <v>23.97</v>
      </c>
      <c r="I158" t="s">
        <v>90</v>
      </c>
      <c r="J158" t="s">
        <v>402</v>
      </c>
      <c r="K158">
        <v>23.86</v>
      </c>
      <c r="L158" t="s">
        <v>90</v>
      </c>
      <c r="M158" t="s">
        <v>402</v>
      </c>
      <c r="N158">
        <v>23.01</v>
      </c>
      <c r="O158" t="s">
        <v>90</v>
      </c>
      <c r="P158" t="s">
        <v>430</v>
      </c>
      <c r="Q158">
        <v>3.86</v>
      </c>
      <c r="R158" t="s">
        <v>235</v>
      </c>
      <c r="S158" t="s">
        <v>402</v>
      </c>
      <c r="T158">
        <v>22.56</v>
      </c>
      <c r="U158" t="s">
        <v>90</v>
      </c>
      <c r="V158" t="s">
        <v>402</v>
      </c>
      <c r="W158">
        <v>22.65</v>
      </c>
      <c r="X158" t="s">
        <v>90</v>
      </c>
      <c r="Y158" t="s">
        <v>402</v>
      </c>
      <c r="Z158">
        <v>23.54</v>
      </c>
      <c r="AA158" t="s">
        <v>90</v>
      </c>
      <c r="AB158" t="s">
        <v>402</v>
      </c>
      <c r="AC158">
        <v>23.51</v>
      </c>
      <c r="AD158" t="s">
        <v>90</v>
      </c>
      <c r="AE158" t="s">
        <v>402</v>
      </c>
      <c r="AF158">
        <v>23.67</v>
      </c>
      <c r="AG158" t="s">
        <v>90</v>
      </c>
      <c r="AH158" t="s">
        <v>402</v>
      </c>
      <c r="AI158">
        <v>23.3</v>
      </c>
      <c r="AJ158" t="s">
        <v>90</v>
      </c>
      <c r="AK158" t="s">
        <v>402</v>
      </c>
      <c r="AL158">
        <v>22.71</v>
      </c>
      <c r="AM158" t="s">
        <v>90</v>
      </c>
      <c r="AN158" t="s">
        <v>402</v>
      </c>
      <c r="AO158">
        <v>21.78</v>
      </c>
      <c r="AP158" t="s">
        <v>90</v>
      </c>
      <c r="AQ158" t="s">
        <v>402</v>
      </c>
      <c r="AR158">
        <v>23.68</v>
      </c>
      <c r="AS158" t="s">
        <v>90</v>
      </c>
      <c r="AT158" t="s">
        <v>402</v>
      </c>
      <c r="AU158">
        <v>24.81</v>
      </c>
      <c r="AV158" t="s">
        <v>90</v>
      </c>
      <c r="AW158" t="s">
        <v>402</v>
      </c>
      <c r="AX158">
        <v>24.45</v>
      </c>
      <c r="AY158" t="s">
        <v>90</v>
      </c>
      <c r="AZ158" t="s">
        <v>402</v>
      </c>
      <c r="BA158">
        <v>24.16</v>
      </c>
      <c r="BB158" t="s">
        <v>90</v>
      </c>
      <c r="BC158" t="s">
        <v>402</v>
      </c>
      <c r="BD158">
        <v>27.63</v>
      </c>
      <c r="BE158" t="s">
        <v>90</v>
      </c>
      <c r="BF158" t="s">
        <v>402</v>
      </c>
      <c r="BG158">
        <v>25.9</v>
      </c>
      <c r="BH158" t="s">
        <v>90</v>
      </c>
      <c r="BI158" t="s">
        <v>402</v>
      </c>
      <c r="BJ158">
        <v>25.5</v>
      </c>
      <c r="BK158" t="s">
        <v>90</v>
      </c>
      <c r="BL158" t="s">
        <v>455</v>
      </c>
      <c r="BM158">
        <v>2.15</v>
      </c>
      <c r="BN158" t="s">
        <v>903</v>
      </c>
      <c r="BO158" t="s">
        <v>455</v>
      </c>
      <c r="BP158">
        <v>2.11</v>
      </c>
      <c r="BQ158" t="s">
        <v>903</v>
      </c>
      <c r="BR158" t="s">
        <v>455</v>
      </c>
      <c r="BS158">
        <v>2.12</v>
      </c>
      <c r="BT158" t="s">
        <v>903</v>
      </c>
      <c r="BU158" t="s">
        <v>455</v>
      </c>
      <c r="BV158">
        <v>2.15</v>
      </c>
      <c r="BW158" t="s">
        <v>903</v>
      </c>
      <c r="BX158" t="s">
        <v>455</v>
      </c>
      <c r="BY158">
        <v>2.15</v>
      </c>
      <c r="BZ158" t="s">
        <v>903</v>
      </c>
      <c r="CA158" t="s">
        <v>355</v>
      </c>
      <c r="CB158">
        <v>0.66</v>
      </c>
      <c r="CC158" t="s">
        <v>473</v>
      </c>
      <c r="CD158" t="s">
        <v>455</v>
      </c>
      <c r="CE158">
        <v>2.17</v>
      </c>
      <c r="CF158" t="s">
        <v>903</v>
      </c>
      <c r="CG158" t="s">
        <v>455</v>
      </c>
      <c r="CH158">
        <v>2.13</v>
      </c>
      <c r="CI158" t="s">
        <v>903</v>
      </c>
      <c r="CJ158" t="s">
        <v>455</v>
      </c>
      <c r="CK158">
        <v>2.11</v>
      </c>
      <c r="CL158" t="s">
        <v>903</v>
      </c>
      <c r="CM158" t="s">
        <v>455</v>
      </c>
      <c r="CN158">
        <v>2.1</v>
      </c>
      <c r="CO158" t="s">
        <v>903</v>
      </c>
      <c r="CP158" t="s">
        <v>455</v>
      </c>
      <c r="CQ158">
        <v>2.08</v>
      </c>
      <c r="CR158" t="s">
        <v>903</v>
      </c>
      <c r="CS158" t="s">
        <v>455</v>
      </c>
      <c r="CT158">
        <v>2.0699999999999998</v>
      </c>
      <c r="CU158" t="s">
        <v>903</v>
      </c>
      <c r="CV158" t="s">
        <v>455</v>
      </c>
      <c r="CW158">
        <v>2.0099999999999998</v>
      </c>
      <c r="CX158" t="s">
        <v>903</v>
      </c>
      <c r="CY158" t="s">
        <v>455</v>
      </c>
      <c r="CZ158">
        <v>2.0499999999999998</v>
      </c>
      <c r="DA158" t="s">
        <v>903</v>
      </c>
      <c r="DB158" t="s">
        <v>455</v>
      </c>
      <c r="DC158">
        <v>1.96</v>
      </c>
      <c r="DD158" t="s">
        <v>903</v>
      </c>
      <c r="DE158" t="s">
        <v>455</v>
      </c>
      <c r="DF158">
        <v>1.92</v>
      </c>
      <c r="DG158" t="s">
        <v>903</v>
      </c>
      <c r="DH158" t="s">
        <v>455</v>
      </c>
      <c r="DI158">
        <v>2.4900000000000002</v>
      </c>
      <c r="DJ158" t="s">
        <v>903</v>
      </c>
      <c r="DK158" t="s">
        <v>458</v>
      </c>
      <c r="DL158">
        <v>73.5</v>
      </c>
      <c r="DM158" t="s">
        <v>63</v>
      </c>
      <c r="DN158" t="s">
        <v>458</v>
      </c>
      <c r="DO158">
        <v>75</v>
      </c>
      <c r="DP158" t="s">
        <v>63</v>
      </c>
      <c r="DQ158" t="s">
        <v>458</v>
      </c>
      <c r="DR158">
        <v>86</v>
      </c>
      <c r="DS158" t="s">
        <v>63</v>
      </c>
      <c r="DT158" t="s">
        <v>674</v>
      </c>
      <c r="DU158">
        <v>12.54</v>
      </c>
      <c r="DV158" t="s">
        <v>499</v>
      </c>
      <c r="DW158" t="s">
        <v>674</v>
      </c>
      <c r="DX158">
        <v>12.54</v>
      </c>
      <c r="DY158" t="s">
        <v>499</v>
      </c>
      <c r="DZ158" t="s">
        <v>674</v>
      </c>
      <c r="EA158">
        <v>12.54</v>
      </c>
      <c r="EB158" t="s">
        <v>499</v>
      </c>
      <c r="EC158" t="s">
        <v>674</v>
      </c>
      <c r="ED158">
        <v>12.54</v>
      </c>
      <c r="EE158" t="s">
        <v>499</v>
      </c>
      <c r="EF158" t="s">
        <v>674</v>
      </c>
      <c r="EG158">
        <v>12.54</v>
      </c>
      <c r="EH158" t="s">
        <v>499</v>
      </c>
      <c r="EI158" t="s">
        <v>674</v>
      </c>
      <c r="EJ158">
        <v>12.54</v>
      </c>
      <c r="EK158" t="s">
        <v>499</v>
      </c>
    </row>
    <row r="159" spans="1:141">
      <c r="A159" t="s">
        <v>402</v>
      </c>
      <c r="B159">
        <v>23.65</v>
      </c>
      <c r="C159" t="s">
        <v>90</v>
      </c>
      <c r="D159" t="s">
        <v>402</v>
      </c>
      <c r="E159">
        <v>24.21</v>
      </c>
      <c r="F159" t="s">
        <v>90</v>
      </c>
      <c r="G159" t="s">
        <v>344</v>
      </c>
      <c r="H159">
        <v>2.5299999999999998</v>
      </c>
      <c r="I159" t="s">
        <v>236</v>
      </c>
      <c r="J159" t="s">
        <v>344</v>
      </c>
      <c r="K159">
        <v>2.5499999999999998</v>
      </c>
      <c r="L159" t="s">
        <v>236</v>
      </c>
      <c r="M159" t="s">
        <v>344</v>
      </c>
      <c r="N159">
        <v>2.39</v>
      </c>
      <c r="O159" t="s">
        <v>236</v>
      </c>
      <c r="P159" t="s">
        <v>455</v>
      </c>
      <c r="Q159">
        <v>2.19</v>
      </c>
      <c r="R159" t="s">
        <v>903</v>
      </c>
      <c r="S159" t="s">
        <v>344</v>
      </c>
      <c r="T159">
        <v>2.4</v>
      </c>
      <c r="U159" t="s">
        <v>236</v>
      </c>
      <c r="V159" t="s">
        <v>344</v>
      </c>
      <c r="W159">
        <v>2.3199999999999998</v>
      </c>
      <c r="X159" t="s">
        <v>236</v>
      </c>
      <c r="Y159" t="s">
        <v>344</v>
      </c>
      <c r="Z159">
        <v>2.34</v>
      </c>
      <c r="AA159" t="s">
        <v>236</v>
      </c>
      <c r="AB159" t="s">
        <v>344</v>
      </c>
      <c r="AC159">
        <v>2.2599999999999998</v>
      </c>
      <c r="AD159" t="s">
        <v>236</v>
      </c>
      <c r="AE159" t="s">
        <v>344</v>
      </c>
      <c r="AF159">
        <v>2.23</v>
      </c>
      <c r="AG159" t="s">
        <v>236</v>
      </c>
      <c r="AH159" t="s">
        <v>344</v>
      </c>
      <c r="AI159">
        <v>2.2000000000000002</v>
      </c>
      <c r="AJ159" t="s">
        <v>236</v>
      </c>
      <c r="AK159" t="s">
        <v>344</v>
      </c>
      <c r="AL159">
        <v>2.15</v>
      </c>
      <c r="AM159" t="s">
        <v>236</v>
      </c>
      <c r="AN159" t="s">
        <v>344</v>
      </c>
      <c r="AO159">
        <v>2.21</v>
      </c>
      <c r="AP159" t="s">
        <v>236</v>
      </c>
      <c r="AQ159" t="s">
        <v>344</v>
      </c>
      <c r="AR159">
        <v>2.14</v>
      </c>
      <c r="AS159" t="s">
        <v>236</v>
      </c>
      <c r="AT159" t="s">
        <v>344</v>
      </c>
      <c r="AU159">
        <v>2.15</v>
      </c>
      <c r="AV159" t="s">
        <v>236</v>
      </c>
      <c r="AW159" t="s">
        <v>344</v>
      </c>
      <c r="AX159">
        <v>2.2000000000000002</v>
      </c>
      <c r="AY159" t="s">
        <v>236</v>
      </c>
      <c r="AZ159" t="s">
        <v>344</v>
      </c>
      <c r="BA159">
        <v>2.15</v>
      </c>
      <c r="BB159" t="s">
        <v>236</v>
      </c>
      <c r="BC159" t="s">
        <v>344</v>
      </c>
      <c r="BD159">
        <v>2.1</v>
      </c>
      <c r="BE159" t="s">
        <v>236</v>
      </c>
      <c r="BF159" t="s">
        <v>344</v>
      </c>
      <c r="BG159">
        <v>2.02</v>
      </c>
      <c r="BH159" t="s">
        <v>236</v>
      </c>
      <c r="BI159" t="s">
        <v>344</v>
      </c>
      <c r="BJ159">
        <v>1.99</v>
      </c>
      <c r="BK159" t="s">
        <v>236</v>
      </c>
      <c r="BL159" t="s">
        <v>458</v>
      </c>
      <c r="BM159">
        <v>73.599999999999994</v>
      </c>
      <c r="BN159" t="s">
        <v>63</v>
      </c>
      <c r="BO159" t="s">
        <v>458</v>
      </c>
      <c r="BP159">
        <v>71.260000000000005</v>
      </c>
      <c r="BQ159" t="s">
        <v>63</v>
      </c>
      <c r="BR159" t="s">
        <v>458</v>
      </c>
      <c r="BS159">
        <v>73</v>
      </c>
      <c r="BT159" t="s">
        <v>63</v>
      </c>
      <c r="BU159" t="s">
        <v>458</v>
      </c>
      <c r="BV159">
        <v>73</v>
      </c>
      <c r="BW159" t="s">
        <v>63</v>
      </c>
      <c r="BX159" t="s">
        <v>458</v>
      </c>
      <c r="BY159">
        <v>74</v>
      </c>
      <c r="BZ159" t="s">
        <v>63</v>
      </c>
      <c r="CA159" t="s">
        <v>234</v>
      </c>
      <c r="CB159">
        <v>3.48</v>
      </c>
      <c r="CC159" t="s">
        <v>125</v>
      </c>
      <c r="CD159" t="s">
        <v>458</v>
      </c>
      <c r="CE159">
        <v>74.55</v>
      </c>
      <c r="CF159" t="s">
        <v>63</v>
      </c>
      <c r="CG159" t="s">
        <v>458</v>
      </c>
      <c r="CH159">
        <v>74</v>
      </c>
      <c r="CI159" t="s">
        <v>63</v>
      </c>
      <c r="CJ159" t="s">
        <v>458</v>
      </c>
      <c r="CK159">
        <v>73.37</v>
      </c>
      <c r="CL159" t="s">
        <v>63</v>
      </c>
      <c r="CM159" t="s">
        <v>458</v>
      </c>
      <c r="CN159">
        <v>72.38</v>
      </c>
      <c r="CO159" t="s">
        <v>63</v>
      </c>
      <c r="CP159" t="s">
        <v>458</v>
      </c>
      <c r="CQ159">
        <v>72.92</v>
      </c>
      <c r="CR159" t="s">
        <v>63</v>
      </c>
      <c r="CS159" t="s">
        <v>458</v>
      </c>
      <c r="CT159">
        <v>73</v>
      </c>
      <c r="CU159" t="s">
        <v>63</v>
      </c>
      <c r="CV159" t="s">
        <v>458</v>
      </c>
      <c r="CW159">
        <v>74</v>
      </c>
      <c r="CX159" t="s">
        <v>63</v>
      </c>
      <c r="CY159" t="s">
        <v>458</v>
      </c>
      <c r="CZ159">
        <v>75</v>
      </c>
      <c r="DA159" t="s">
        <v>63</v>
      </c>
      <c r="DB159" t="s">
        <v>458</v>
      </c>
      <c r="DC159">
        <v>77.510000000000005</v>
      </c>
      <c r="DD159" t="s">
        <v>63</v>
      </c>
      <c r="DE159" t="s">
        <v>458</v>
      </c>
      <c r="DF159">
        <v>78.349999999999994</v>
      </c>
      <c r="DG159" t="s">
        <v>63</v>
      </c>
      <c r="DH159" t="s">
        <v>458</v>
      </c>
      <c r="DI159">
        <v>75.5</v>
      </c>
      <c r="DJ159" t="s">
        <v>63</v>
      </c>
      <c r="DK159" t="s">
        <v>402</v>
      </c>
      <c r="DL159">
        <v>24.94</v>
      </c>
      <c r="DM159" t="s">
        <v>90</v>
      </c>
      <c r="DN159" t="s">
        <v>402</v>
      </c>
      <c r="DO159">
        <v>24.54</v>
      </c>
      <c r="DP159" t="s">
        <v>90</v>
      </c>
      <c r="DQ159" t="s">
        <v>402</v>
      </c>
      <c r="DR159">
        <v>28.14</v>
      </c>
      <c r="DS159" t="s">
        <v>90</v>
      </c>
      <c r="DT159" t="s">
        <v>397</v>
      </c>
      <c r="DU159">
        <v>4.99</v>
      </c>
      <c r="DV159" t="s">
        <v>128</v>
      </c>
      <c r="DW159" t="s">
        <v>397</v>
      </c>
      <c r="DX159">
        <v>4.9000000000000004</v>
      </c>
      <c r="DY159" t="s">
        <v>128</v>
      </c>
      <c r="DZ159" t="s">
        <v>397</v>
      </c>
      <c r="EA159">
        <v>5.0199999999999996</v>
      </c>
      <c r="EB159" t="s">
        <v>128</v>
      </c>
      <c r="EC159" t="s">
        <v>397</v>
      </c>
      <c r="ED159">
        <v>4.66</v>
      </c>
      <c r="EE159" t="s">
        <v>128</v>
      </c>
      <c r="EF159" t="s">
        <v>397</v>
      </c>
      <c r="EG159">
        <v>4.5999999999999996</v>
      </c>
      <c r="EH159" t="s">
        <v>128</v>
      </c>
      <c r="EI159" t="s">
        <v>397</v>
      </c>
      <c r="EJ159">
        <v>4.58</v>
      </c>
      <c r="EK159" t="s">
        <v>128</v>
      </c>
    </row>
    <row r="160" spans="1:141">
      <c r="A160" t="s">
        <v>344</v>
      </c>
      <c r="B160">
        <v>2.62</v>
      </c>
      <c r="C160" t="s">
        <v>236</v>
      </c>
      <c r="D160" t="s">
        <v>344</v>
      </c>
      <c r="E160">
        <v>2.6</v>
      </c>
      <c r="F160" t="s">
        <v>236</v>
      </c>
      <c r="G160" t="s">
        <v>674</v>
      </c>
      <c r="H160">
        <v>12.54</v>
      </c>
      <c r="I160" t="s">
        <v>499</v>
      </c>
      <c r="J160" t="s">
        <v>674</v>
      </c>
      <c r="K160">
        <v>12.54</v>
      </c>
      <c r="L160" t="s">
        <v>499</v>
      </c>
      <c r="M160" t="s">
        <v>674</v>
      </c>
      <c r="N160">
        <v>12.54</v>
      </c>
      <c r="O160" t="s">
        <v>499</v>
      </c>
      <c r="P160" t="s">
        <v>458</v>
      </c>
      <c r="Q160">
        <v>55.4</v>
      </c>
      <c r="R160" t="s">
        <v>63</v>
      </c>
      <c r="S160" t="s">
        <v>674</v>
      </c>
      <c r="T160">
        <v>12.54</v>
      </c>
      <c r="U160" t="s">
        <v>499</v>
      </c>
      <c r="V160" t="s">
        <v>674</v>
      </c>
      <c r="W160">
        <v>12.54</v>
      </c>
      <c r="X160" t="s">
        <v>499</v>
      </c>
      <c r="Y160" t="s">
        <v>674</v>
      </c>
      <c r="Z160">
        <v>12.54</v>
      </c>
      <c r="AA160" t="s">
        <v>499</v>
      </c>
      <c r="AB160" t="s">
        <v>674</v>
      </c>
      <c r="AC160">
        <v>12.54</v>
      </c>
      <c r="AD160" t="s">
        <v>499</v>
      </c>
      <c r="AE160" t="s">
        <v>674</v>
      </c>
      <c r="AF160">
        <v>12.54</v>
      </c>
      <c r="AG160" t="s">
        <v>499</v>
      </c>
      <c r="AH160" t="s">
        <v>674</v>
      </c>
      <c r="AI160">
        <v>12.54</v>
      </c>
      <c r="AJ160" t="s">
        <v>499</v>
      </c>
      <c r="AK160" t="s">
        <v>674</v>
      </c>
      <c r="AL160">
        <v>12.54</v>
      </c>
      <c r="AM160" t="s">
        <v>499</v>
      </c>
      <c r="AN160" t="s">
        <v>674</v>
      </c>
      <c r="AO160">
        <v>12.54</v>
      </c>
      <c r="AP160" t="s">
        <v>499</v>
      </c>
      <c r="AQ160" t="s">
        <v>674</v>
      </c>
      <c r="AR160">
        <v>12.54</v>
      </c>
      <c r="AS160" t="s">
        <v>499</v>
      </c>
      <c r="AT160" t="s">
        <v>674</v>
      </c>
      <c r="AU160">
        <v>12.54</v>
      </c>
      <c r="AV160" t="s">
        <v>499</v>
      </c>
      <c r="AW160" t="s">
        <v>674</v>
      </c>
      <c r="AX160">
        <v>12.54</v>
      </c>
      <c r="AY160" t="s">
        <v>499</v>
      </c>
      <c r="AZ160" t="s">
        <v>674</v>
      </c>
      <c r="BA160">
        <v>12.54</v>
      </c>
      <c r="BB160" t="s">
        <v>499</v>
      </c>
      <c r="BC160" t="s">
        <v>674</v>
      </c>
      <c r="BD160">
        <v>12.54</v>
      </c>
      <c r="BE160" t="s">
        <v>499</v>
      </c>
      <c r="BF160" t="s">
        <v>674</v>
      </c>
      <c r="BG160">
        <v>12.54</v>
      </c>
      <c r="BH160" t="s">
        <v>499</v>
      </c>
      <c r="BI160" t="s">
        <v>674</v>
      </c>
      <c r="BJ160">
        <v>12.54</v>
      </c>
      <c r="BK160" t="s">
        <v>499</v>
      </c>
      <c r="BL160" t="s">
        <v>402</v>
      </c>
      <c r="BM160">
        <v>24.09</v>
      </c>
      <c r="BN160" t="s">
        <v>90</v>
      </c>
      <c r="BO160" t="s">
        <v>402</v>
      </c>
      <c r="BP160">
        <v>23.71</v>
      </c>
      <c r="BQ160" t="s">
        <v>90</v>
      </c>
      <c r="BR160" t="s">
        <v>402</v>
      </c>
      <c r="BS160">
        <v>24.49</v>
      </c>
      <c r="BT160" t="s">
        <v>90</v>
      </c>
      <c r="BU160" t="s">
        <v>402</v>
      </c>
      <c r="BV160">
        <v>24.61</v>
      </c>
      <c r="BW160" t="s">
        <v>90</v>
      </c>
      <c r="BX160" t="s">
        <v>402</v>
      </c>
      <c r="BY160">
        <v>24.6</v>
      </c>
      <c r="BZ160" t="s">
        <v>90</v>
      </c>
      <c r="CA160" t="s">
        <v>430</v>
      </c>
      <c r="CB160">
        <v>4.08</v>
      </c>
      <c r="CC160" t="s">
        <v>235</v>
      </c>
      <c r="CD160" t="s">
        <v>402</v>
      </c>
      <c r="CE160">
        <v>24.34</v>
      </c>
      <c r="CF160" t="s">
        <v>90</v>
      </c>
      <c r="CG160" t="s">
        <v>402</v>
      </c>
      <c r="CH160">
        <v>25.01</v>
      </c>
      <c r="CI160" t="s">
        <v>90</v>
      </c>
      <c r="CJ160" t="s">
        <v>402</v>
      </c>
      <c r="CK160">
        <v>24.7</v>
      </c>
      <c r="CL160" t="s">
        <v>90</v>
      </c>
      <c r="CM160" t="s">
        <v>402</v>
      </c>
      <c r="CN160">
        <v>24.54</v>
      </c>
      <c r="CO160" t="s">
        <v>90</v>
      </c>
      <c r="CP160" t="s">
        <v>402</v>
      </c>
      <c r="CQ160">
        <v>24.59</v>
      </c>
      <c r="CR160" t="s">
        <v>90</v>
      </c>
      <c r="CS160" t="s">
        <v>402</v>
      </c>
      <c r="CT160">
        <v>25.02</v>
      </c>
      <c r="CU160" t="s">
        <v>90</v>
      </c>
      <c r="CV160" t="s">
        <v>402</v>
      </c>
      <c r="CW160">
        <v>24.76</v>
      </c>
      <c r="CX160" t="s">
        <v>90</v>
      </c>
      <c r="CY160" t="s">
        <v>402</v>
      </c>
      <c r="CZ160">
        <v>24.5</v>
      </c>
      <c r="DA160" t="s">
        <v>90</v>
      </c>
      <c r="DB160" t="s">
        <v>402</v>
      </c>
      <c r="DC160">
        <v>24.31</v>
      </c>
      <c r="DD160" t="s">
        <v>90</v>
      </c>
      <c r="DE160" t="s">
        <v>402</v>
      </c>
      <c r="DF160">
        <v>26.28</v>
      </c>
      <c r="DG160" t="s">
        <v>90</v>
      </c>
      <c r="DH160" t="s">
        <v>402</v>
      </c>
      <c r="DI160">
        <v>25.77</v>
      </c>
      <c r="DJ160" t="s">
        <v>90</v>
      </c>
      <c r="DK160" t="s">
        <v>344</v>
      </c>
      <c r="DL160">
        <v>1.93</v>
      </c>
      <c r="DM160" t="s">
        <v>236</v>
      </c>
      <c r="DN160" t="s">
        <v>344</v>
      </c>
      <c r="DO160">
        <v>1.92</v>
      </c>
      <c r="DP160" t="s">
        <v>236</v>
      </c>
      <c r="DQ160" t="s">
        <v>344</v>
      </c>
      <c r="DR160">
        <v>2.1800000000000002</v>
      </c>
      <c r="DS160" t="s">
        <v>236</v>
      </c>
      <c r="DT160" t="s">
        <v>237</v>
      </c>
      <c r="DU160">
        <v>1.29</v>
      </c>
      <c r="DV160" t="s">
        <v>113</v>
      </c>
      <c r="DW160" t="s">
        <v>237</v>
      </c>
      <c r="DX160">
        <v>1.28</v>
      </c>
      <c r="DY160" t="s">
        <v>113</v>
      </c>
      <c r="DZ160" t="s">
        <v>237</v>
      </c>
      <c r="EA160">
        <v>1.24</v>
      </c>
      <c r="EB160" t="s">
        <v>113</v>
      </c>
      <c r="EC160" t="s">
        <v>237</v>
      </c>
      <c r="ED160">
        <v>1.24</v>
      </c>
      <c r="EE160" t="s">
        <v>113</v>
      </c>
      <c r="EF160" t="s">
        <v>237</v>
      </c>
      <c r="EG160">
        <v>1.2</v>
      </c>
      <c r="EH160" t="s">
        <v>113</v>
      </c>
      <c r="EI160" t="s">
        <v>237</v>
      </c>
      <c r="EJ160">
        <v>1.24</v>
      </c>
      <c r="EK160" t="s">
        <v>113</v>
      </c>
    </row>
    <row r="161" spans="1:141">
      <c r="A161" t="s">
        <v>674</v>
      </c>
      <c r="B161">
        <v>12.54</v>
      </c>
      <c r="C161" t="s">
        <v>499</v>
      </c>
      <c r="D161" t="s">
        <v>674</v>
      </c>
      <c r="E161">
        <v>12.54</v>
      </c>
      <c r="F161" t="s">
        <v>499</v>
      </c>
      <c r="G161" t="s">
        <v>397</v>
      </c>
      <c r="H161">
        <v>3.88</v>
      </c>
      <c r="I161" t="s">
        <v>128</v>
      </c>
      <c r="J161" t="s">
        <v>397</v>
      </c>
      <c r="K161">
        <v>3.86</v>
      </c>
      <c r="L161" t="s">
        <v>128</v>
      </c>
      <c r="M161" t="s">
        <v>397</v>
      </c>
      <c r="N161">
        <v>3.57</v>
      </c>
      <c r="O161" t="s">
        <v>128</v>
      </c>
      <c r="P161" t="s">
        <v>402</v>
      </c>
      <c r="Q161">
        <v>22.79</v>
      </c>
      <c r="R161" t="s">
        <v>90</v>
      </c>
      <c r="S161" t="s">
        <v>397</v>
      </c>
      <c r="T161">
        <v>3.95</v>
      </c>
      <c r="U161" t="s">
        <v>128</v>
      </c>
      <c r="V161" t="s">
        <v>397</v>
      </c>
      <c r="W161">
        <v>4.3099999999999996</v>
      </c>
      <c r="X161" t="s">
        <v>128</v>
      </c>
      <c r="Y161" t="s">
        <v>397</v>
      </c>
      <c r="Z161">
        <v>4.16</v>
      </c>
      <c r="AA161" t="s">
        <v>128</v>
      </c>
      <c r="AB161" t="s">
        <v>397</v>
      </c>
      <c r="AC161">
        <v>4.45</v>
      </c>
      <c r="AD161" t="s">
        <v>128</v>
      </c>
      <c r="AE161" t="s">
        <v>397</v>
      </c>
      <c r="AF161">
        <v>4.51</v>
      </c>
      <c r="AG161" t="s">
        <v>128</v>
      </c>
      <c r="AH161" t="s">
        <v>397</v>
      </c>
      <c r="AI161">
        <v>4.42</v>
      </c>
      <c r="AJ161" t="s">
        <v>128</v>
      </c>
      <c r="AK161" t="s">
        <v>397</v>
      </c>
      <c r="AL161">
        <v>4.2300000000000004</v>
      </c>
      <c r="AM161" t="s">
        <v>128</v>
      </c>
      <c r="AN161" t="s">
        <v>397</v>
      </c>
      <c r="AO161">
        <v>4.17</v>
      </c>
      <c r="AP161" t="s">
        <v>128</v>
      </c>
      <c r="AQ161" t="s">
        <v>397</v>
      </c>
      <c r="AR161">
        <v>4.3499999999999996</v>
      </c>
      <c r="AS161" t="s">
        <v>128</v>
      </c>
      <c r="AT161" t="s">
        <v>397</v>
      </c>
      <c r="AU161">
        <v>4.3499999999999996</v>
      </c>
      <c r="AV161" t="s">
        <v>128</v>
      </c>
      <c r="AW161" t="s">
        <v>397</v>
      </c>
      <c r="AX161">
        <v>4.29</v>
      </c>
      <c r="AY161" t="s">
        <v>128</v>
      </c>
      <c r="AZ161" t="s">
        <v>397</v>
      </c>
      <c r="BA161">
        <v>4.1900000000000004</v>
      </c>
      <c r="BB161" t="s">
        <v>128</v>
      </c>
      <c r="BC161" t="s">
        <v>397</v>
      </c>
      <c r="BD161">
        <v>4.6500000000000004</v>
      </c>
      <c r="BE161" t="s">
        <v>128</v>
      </c>
      <c r="BF161" t="s">
        <v>397</v>
      </c>
      <c r="BG161">
        <v>5.67</v>
      </c>
      <c r="BH161" t="s">
        <v>128</v>
      </c>
      <c r="BI161" t="s">
        <v>397</v>
      </c>
      <c r="BJ161">
        <v>5.65</v>
      </c>
      <c r="BK161" t="s">
        <v>128</v>
      </c>
      <c r="BL161" t="s">
        <v>344</v>
      </c>
      <c r="BM161">
        <v>1.9</v>
      </c>
      <c r="BN161" t="s">
        <v>236</v>
      </c>
      <c r="BO161" t="s">
        <v>344</v>
      </c>
      <c r="BP161">
        <v>1.91</v>
      </c>
      <c r="BQ161" t="s">
        <v>236</v>
      </c>
      <c r="BR161" t="s">
        <v>344</v>
      </c>
      <c r="BS161">
        <v>1.93</v>
      </c>
      <c r="BT161" t="s">
        <v>236</v>
      </c>
      <c r="BU161" t="s">
        <v>344</v>
      </c>
      <c r="BV161">
        <v>1.96</v>
      </c>
      <c r="BW161" t="s">
        <v>236</v>
      </c>
      <c r="BX161" t="s">
        <v>344</v>
      </c>
      <c r="BY161">
        <v>2.06</v>
      </c>
      <c r="BZ161" t="s">
        <v>236</v>
      </c>
      <c r="CA161" t="s">
        <v>455</v>
      </c>
      <c r="CB161">
        <v>2.15</v>
      </c>
      <c r="CC161" t="s">
        <v>903</v>
      </c>
      <c r="CD161" t="s">
        <v>344</v>
      </c>
      <c r="CE161">
        <v>2.04</v>
      </c>
      <c r="CF161" t="s">
        <v>236</v>
      </c>
      <c r="CG161" t="s">
        <v>344</v>
      </c>
      <c r="CH161">
        <v>2.0699999999999998</v>
      </c>
      <c r="CI161" t="s">
        <v>236</v>
      </c>
      <c r="CJ161" t="s">
        <v>344</v>
      </c>
      <c r="CK161">
        <v>2.1</v>
      </c>
      <c r="CL161" t="s">
        <v>236</v>
      </c>
      <c r="CM161" t="s">
        <v>344</v>
      </c>
      <c r="CN161">
        <v>2.14</v>
      </c>
      <c r="CO161" t="s">
        <v>236</v>
      </c>
      <c r="CP161" t="s">
        <v>344</v>
      </c>
      <c r="CQ161">
        <v>2.12</v>
      </c>
      <c r="CR161" t="s">
        <v>236</v>
      </c>
      <c r="CS161" t="s">
        <v>344</v>
      </c>
      <c r="CT161">
        <v>2.08</v>
      </c>
      <c r="CU161" t="s">
        <v>236</v>
      </c>
      <c r="CV161" t="s">
        <v>344</v>
      </c>
      <c r="CW161">
        <v>2.0499999999999998</v>
      </c>
      <c r="CX161" t="s">
        <v>236</v>
      </c>
      <c r="CY161" t="s">
        <v>344</v>
      </c>
      <c r="CZ161">
        <v>2.09</v>
      </c>
      <c r="DA161" t="s">
        <v>236</v>
      </c>
      <c r="DB161" t="s">
        <v>344</v>
      </c>
      <c r="DC161">
        <v>2.06</v>
      </c>
      <c r="DD161" t="s">
        <v>236</v>
      </c>
      <c r="DE161" t="s">
        <v>344</v>
      </c>
      <c r="DF161">
        <v>2.08</v>
      </c>
      <c r="DG161" t="s">
        <v>236</v>
      </c>
      <c r="DH161" t="s">
        <v>344</v>
      </c>
      <c r="DI161">
        <v>2.06</v>
      </c>
      <c r="DJ161" t="s">
        <v>236</v>
      </c>
      <c r="DK161" t="s">
        <v>674</v>
      </c>
      <c r="DL161">
        <v>12.54</v>
      </c>
      <c r="DM161" t="s">
        <v>499</v>
      </c>
      <c r="DN161" t="s">
        <v>674</v>
      </c>
      <c r="DO161">
        <v>12.54</v>
      </c>
      <c r="DP161" t="s">
        <v>499</v>
      </c>
      <c r="DQ161" t="s">
        <v>674</v>
      </c>
      <c r="DR161">
        <v>12.54</v>
      </c>
      <c r="DS161" t="s">
        <v>499</v>
      </c>
      <c r="DT161" t="s">
        <v>238</v>
      </c>
      <c r="DU161">
        <v>39.39</v>
      </c>
      <c r="DV161" t="s">
        <v>94</v>
      </c>
      <c r="DW161" t="s">
        <v>238</v>
      </c>
      <c r="DX161">
        <v>38.299999999999997</v>
      </c>
      <c r="DY161" t="s">
        <v>94</v>
      </c>
      <c r="DZ161" t="s">
        <v>238</v>
      </c>
      <c r="EA161">
        <v>38.06</v>
      </c>
      <c r="EB161" t="s">
        <v>94</v>
      </c>
      <c r="EC161" t="s">
        <v>238</v>
      </c>
      <c r="ED161">
        <v>37.5</v>
      </c>
      <c r="EE161" t="s">
        <v>94</v>
      </c>
      <c r="EF161" t="s">
        <v>238</v>
      </c>
      <c r="EG161">
        <v>37.42</v>
      </c>
      <c r="EH161" t="s">
        <v>94</v>
      </c>
      <c r="EI161" t="s">
        <v>238</v>
      </c>
      <c r="EJ161">
        <v>38.14</v>
      </c>
      <c r="EK161" t="s">
        <v>94</v>
      </c>
    </row>
    <row r="162" spans="1:141">
      <c r="A162" t="s">
        <v>397</v>
      </c>
      <c r="B162">
        <v>4</v>
      </c>
      <c r="C162" t="s">
        <v>128</v>
      </c>
      <c r="D162" t="s">
        <v>397</v>
      </c>
      <c r="E162">
        <v>3.92</v>
      </c>
      <c r="F162" t="s">
        <v>128</v>
      </c>
      <c r="G162" t="s">
        <v>237</v>
      </c>
      <c r="H162">
        <v>1.34</v>
      </c>
      <c r="I162" t="s">
        <v>113</v>
      </c>
      <c r="J162" t="s">
        <v>237</v>
      </c>
      <c r="K162">
        <v>1.32</v>
      </c>
      <c r="L162" t="s">
        <v>113</v>
      </c>
      <c r="M162" t="s">
        <v>237</v>
      </c>
      <c r="N162">
        <v>1.28</v>
      </c>
      <c r="O162" t="s">
        <v>113</v>
      </c>
      <c r="P162" t="s">
        <v>344</v>
      </c>
      <c r="Q162">
        <v>2.42</v>
      </c>
      <c r="R162" t="s">
        <v>236</v>
      </c>
      <c r="S162" t="s">
        <v>237</v>
      </c>
      <c r="T162">
        <v>1.25</v>
      </c>
      <c r="U162" t="s">
        <v>113</v>
      </c>
      <c r="V162" t="s">
        <v>237</v>
      </c>
      <c r="W162">
        <v>1.23</v>
      </c>
      <c r="X162" t="s">
        <v>113</v>
      </c>
      <c r="Y162" t="s">
        <v>237</v>
      </c>
      <c r="Z162">
        <v>1.27</v>
      </c>
      <c r="AA162" t="s">
        <v>113</v>
      </c>
      <c r="AB162" t="s">
        <v>237</v>
      </c>
      <c r="AC162">
        <v>1.27</v>
      </c>
      <c r="AD162" t="s">
        <v>113</v>
      </c>
      <c r="AE162" t="s">
        <v>237</v>
      </c>
      <c r="AF162">
        <v>1.26</v>
      </c>
      <c r="AG162" t="s">
        <v>113</v>
      </c>
      <c r="AH162" t="s">
        <v>237</v>
      </c>
      <c r="AI162">
        <v>1.26</v>
      </c>
      <c r="AJ162" t="s">
        <v>113</v>
      </c>
      <c r="AK162" t="s">
        <v>237</v>
      </c>
      <c r="AL162">
        <v>1.24</v>
      </c>
      <c r="AM162" t="s">
        <v>113</v>
      </c>
      <c r="AN162" t="s">
        <v>237</v>
      </c>
      <c r="AO162">
        <v>1.21</v>
      </c>
      <c r="AP162" t="s">
        <v>113</v>
      </c>
      <c r="AQ162" t="s">
        <v>237</v>
      </c>
      <c r="AR162">
        <v>1.25</v>
      </c>
      <c r="AS162" t="s">
        <v>113</v>
      </c>
      <c r="AT162" t="s">
        <v>237</v>
      </c>
      <c r="AU162">
        <v>1.26</v>
      </c>
      <c r="AV162" t="s">
        <v>113</v>
      </c>
      <c r="AW162" t="s">
        <v>237</v>
      </c>
      <c r="AX162">
        <v>1.3</v>
      </c>
      <c r="AY162" t="s">
        <v>113</v>
      </c>
      <c r="AZ162" t="s">
        <v>237</v>
      </c>
      <c r="BA162">
        <v>1.26</v>
      </c>
      <c r="BB162" t="s">
        <v>113</v>
      </c>
      <c r="BC162" t="s">
        <v>237</v>
      </c>
      <c r="BD162">
        <v>1.27</v>
      </c>
      <c r="BE162" t="s">
        <v>113</v>
      </c>
      <c r="BF162" t="s">
        <v>237</v>
      </c>
      <c r="BG162">
        <v>1.25</v>
      </c>
      <c r="BH162" t="s">
        <v>113</v>
      </c>
      <c r="BI162" t="s">
        <v>237</v>
      </c>
      <c r="BJ162">
        <v>1.26</v>
      </c>
      <c r="BK162" t="s">
        <v>113</v>
      </c>
      <c r="BL162" t="s">
        <v>674</v>
      </c>
      <c r="BM162">
        <v>12.54</v>
      </c>
      <c r="BN162" t="s">
        <v>499</v>
      </c>
      <c r="BO162" t="s">
        <v>674</v>
      </c>
      <c r="BP162">
        <v>12.54</v>
      </c>
      <c r="BQ162" t="s">
        <v>499</v>
      </c>
      <c r="BR162" t="s">
        <v>674</v>
      </c>
      <c r="BS162">
        <v>12.54</v>
      </c>
      <c r="BT162" t="s">
        <v>499</v>
      </c>
      <c r="BU162" t="s">
        <v>674</v>
      </c>
      <c r="BV162">
        <v>12.54</v>
      </c>
      <c r="BW162" t="s">
        <v>499</v>
      </c>
      <c r="BX162" t="s">
        <v>674</v>
      </c>
      <c r="BY162">
        <v>12.54</v>
      </c>
      <c r="BZ162" t="s">
        <v>499</v>
      </c>
      <c r="CA162" t="s">
        <v>458</v>
      </c>
      <c r="CB162">
        <v>76.56</v>
      </c>
      <c r="CC162" t="s">
        <v>63</v>
      </c>
      <c r="CD162" t="s">
        <v>674</v>
      </c>
      <c r="CE162">
        <v>12.54</v>
      </c>
      <c r="CF162" t="s">
        <v>499</v>
      </c>
      <c r="CG162" t="s">
        <v>674</v>
      </c>
      <c r="CH162">
        <v>12.54</v>
      </c>
      <c r="CI162" t="s">
        <v>499</v>
      </c>
      <c r="CJ162" t="s">
        <v>674</v>
      </c>
      <c r="CK162">
        <v>12.54</v>
      </c>
      <c r="CL162" t="s">
        <v>499</v>
      </c>
      <c r="CM162" t="s">
        <v>674</v>
      </c>
      <c r="CN162">
        <v>12.54</v>
      </c>
      <c r="CO162" t="s">
        <v>499</v>
      </c>
      <c r="CP162" t="s">
        <v>674</v>
      </c>
      <c r="CQ162">
        <v>12.54</v>
      </c>
      <c r="CR162" t="s">
        <v>499</v>
      </c>
      <c r="CS162" t="s">
        <v>674</v>
      </c>
      <c r="CT162">
        <v>12.54</v>
      </c>
      <c r="CU162" t="s">
        <v>499</v>
      </c>
      <c r="CV162" t="s">
        <v>674</v>
      </c>
      <c r="CW162">
        <v>12.54</v>
      </c>
      <c r="CX162" t="s">
        <v>499</v>
      </c>
      <c r="CY162" t="s">
        <v>674</v>
      </c>
      <c r="CZ162">
        <v>12.54</v>
      </c>
      <c r="DA162" t="s">
        <v>499</v>
      </c>
      <c r="DB162" t="s">
        <v>674</v>
      </c>
      <c r="DC162">
        <v>12.54</v>
      </c>
      <c r="DD162" t="s">
        <v>499</v>
      </c>
      <c r="DE162" t="s">
        <v>674</v>
      </c>
      <c r="DF162">
        <v>12.54</v>
      </c>
      <c r="DG162" t="s">
        <v>499</v>
      </c>
      <c r="DH162" t="s">
        <v>674</v>
      </c>
      <c r="DI162">
        <v>12.54</v>
      </c>
      <c r="DJ162" t="s">
        <v>499</v>
      </c>
      <c r="DK162" t="s">
        <v>397</v>
      </c>
      <c r="DL162">
        <v>5.01</v>
      </c>
      <c r="DM162" t="s">
        <v>128</v>
      </c>
      <c r="DN162" t="s">
        <v>397</v>
      </c>
      <c r="DO162">
        <v>4.9400000000000004</v>
      </c>
      <c r="DP162" t="s">
        <v>128</v>
      </c>
      <c r="DQ162" t="s">
        <v>397</v>
      </c>
      <c r="DR162">
        <v>5.38</v>
      </c>
      <c r="DS162" t="s">
        <v>128</v>
      </c>
      <c r="DT162" t="s">
        <v>378</v>
      </c>
      <c r="DU162">
        <v>26.7</v>
      </c>
      <c r="DV162" t="s">
        <v>67</v>
      </c>
      <c r="DW162" t="s">
        <v>378</v>
      </c>
      <c r="DX162">
        <v>26.61</v>
      </c>
      <c r="DY162" t="s">
        <v>67</v>
      </c>
      <c r="DZ162" t="s">
        <v>378</v>
      </c>
      <c r="EA162">
        <v>26.94</v>
      </c>
      <c r="EB162" t="s">
        <v>67</v>
      </c>
      <c r="EC162" t="s">
        <v>378</v>
      </c>
      <c r="ED162">
        <v>26.95</v>
      </c>
      <c r="EE162" t="s">
        <v>67</v>
      </c>
      <c r="EF162" t="s">
        <v>378</v>
      </c>
      <c r="EG162">
        <v>27.3</v>
      </c>
      <c r="EH162" t="s">
        <v>67</v>
      </c>
      <c r="EI162" t="s">
        <v>378</v>
      </c>
      <c r="EJ162">
        <v>28.61</v>
      </c>
      <c r="EK162" t="s">
        <v>67</v>
      </c>
    </row>
    <row r="163" spans="1:141">
      <c r="A163" t="s">
        <v>237</v>
      </c>
      <c r="B163">
        <v>1.41</v>
      </c>
      <c r="C163" t="s">
        <v>113</v>
      </c>
      <c r="D163" t="s">
        <v>237</v>
      </c>
      <c r="E163">
        <v>1.33</v>
      </c>
      <c r="F163" t="s">
        <v>113</v>
      </c>
      <c r="G163" t="s">
        <v>238</v>
      </c>
      <c r="H163">
        <v>39.51</v>
      </c>
      <c r="I163" t="s">
        <v>94</v>
      </c>
      <c r="J163" t="s">
        <v>238</v>
      </c>
      <c r="K163">
        <v>39.299999999999997</v>
      </c>
      <c r="L163" t="s">
        <v>94</v>
      </c>
      <c r="M163" t="s">
        <v>238</v>
      </c>
      <c r="N163">
        <v>38.82</v>
      </c>
      <c r="O163" t="s">
        <v>94</v>
      </c>
      <c r="P163" t="s">
        <v>674</v>
      </c>
      <c r="Q163">
        <v>12.54</v>
      </c>
      <c r="R163" t="s">
        <v>499</v>
      </c>
      <c r="S163" t="s">
        <v>238</v>
      </c>
      <c r="T163">
        <v>38.6</v>
      </c>
      <c r="U163" t="s">
        <v>94</v>
      </c>
      <c r="V163" t="s">
        <v>238</v>
      </c>
      <c r="W163">
        <v>37.200000000000003</v>
      </c>
      <c r="X163" t="s">
        <v>94</v>
      </c>
      <c r="Y163" t="s">
        <v>238</v>
      </c>
      <c r="Z163">
        <v>38.25</v>
      </c>
      <c r="AA163" t="s">
        <v>94</v>
      </c>
      <c r="AB163" t="s">
        <v>238</v>
      </c>
      <c r="AC163">
        <v>38</v>
      </c>
      <c r="AD163" t="s">
        <v>94</v>
      </c>
      <c r="AE163" t="s">
        <v>238</v>
      </c>
      <c r="AF163">
        <v>37.700000000000003</v>
      </c>
      <c r="AG163" t="s">
        <v>94</v>
      </c>
      <c r="AH163" t="s">
        <v>238</v>
      </c>
      <c r="AI163">
        <v>37.5</v>
      </c>
      <c r="AJ163" t="s">
        <v>94</v>
      </c>
      <c r="AK163" t="s">
        <v>238</v>
      </c>
      <c r="AL163">
        <v>38.200000000000003</v>
      </c>
      <c r="AM163" t="s">
        <v>94</v>
      </c>
      <c r="AN163" t="s">
        <v>238</v>
      </c>
      <c r="AO163">
        <v>38.07</v>
      </c>
      <c r="AP163" t="s">
        <v>94</v>
      </c>
      <c r="AQ163" t="s">
        <v>238</v>
      </c>
      <c r="AR163">
        <v>40.01</v>
      </c>
      <c r="AS163" t="s">
        <v>94</v>
      </c>
      <c r="AT163" t="s">
        <v>238</v>
      </c>
      <c r="AU163">
        <v>40.6</v>
      </c>
      <c r="AV163" t="s">
        <v>94</v>
      </c>
      <c r="AW163" t="s">
        <v>238</v>
      </c>
      <c r="AX163">
        <v>39.6</v>
      </c>
      <c r="AY163" t="s">
        <v>94</v>
      </c>
      <c r="AZ163" t="s">
        <v>238</v>
      </c>
      <c r="BA163">
        <v>41.1</v>
      </c>
      <c r="BB163" t="s">
        <v>94</v>
      </c>
      <c r="BC163" t="s">
        <v>238</v>
      </c>
      <c r="BD163">
        <v>40.71</v>
      </c>
      <c r="BE163" t="s">
        <v>94</v>
      </c>
      <c r="BF163" t="s">
        <v>238</v>
      </c>
      <c r="BG163">
        <v>40.03</v>
      </c>
      <c r="BH163" t="s">
        <v>94</v>
      </c>
      <c r="BI163" t="s">
        <v>238</v>
      </c>
      <c r="BJ163">
        <v>40.22</v>
      </c>
      <c r="BK163" t="s">
        <v>94</v>
      </c>
      <c r="BL163" t="s">
        <v>397</v>
      </c>
      <c r="BM163">
        <v>5.63</v>
      </c>
      <c r="BN163" t="s">
        <v>128</v>
      </c>
      <c r="BO163" t="s">
        <v>397</v>
      </c>
      <c r="BP163">
        <v>5.94</v>
      </c>
      <c r="BQ163" t="s">
        <v>128</v>
      </c>
      <c r="BR163" t="s">
        <v>397</v>
      </c>
      <c r="BS163">
        <v>5.9</v>
      </c>
      <c r="BT163" t="s">
        <v>128</v>
      </c>
      <c r="BU163" t="s">
        <v>397</v>
      </c>
      <c r="BV163">
        <v>5.9</v>
      </c>
      <c r="BW163" t="s">
        <v>128</v>
      </c>
      <c r="BX163" t="s">
        <v>397</v>
      </c>
      <c r="BY163">
        <v>6.1</v>
      </c>
      <c r="BZ163" t="s">
        <v>128</v>
      </c>
      <c r="CA163" t="s">
        <v>402</v>
      </c>
      <c r="CB163">
        <v>24.51</v>
      </c>
      <c r="CC163" t="s">
        <v>90</v>
      </c>
      <c r="CD163" t="s">
        <v>397</v>
      </c>
      <c r="CE163">
        <v>5.98</v>
      </c>
      <c r="CF163" t="s">
        <v>128</v>
      </c>
      <c r="CG163" t="s">
        <v>397</v>
      </c>
      <c r="CH163">
        <v>6</v>
      </c>
      <c r="CI163" t="s">
        <v>128</v>
      </c>
      <c r="CJ163" t="s">
        <v>397</v>
      </c>
      <c r="CK163">
        <v>6.12</v>
      </c>
      <c r="CL163" t="s">
        <v>128</v>
      </c>
      <c r="CM163" t="s">
        <v>397</v>
      </c>
      <c r="CN163">
        <v>6.01</v>
      </c>
      <c r="CO163" t="s">
        <v>128</v>
      </c>
      <c r="CP163" t="s">
        <v>397</v>
      </c>
      <c r="CQ163">
        <v>5.82</v>
      </c>
      <c r="CR163" t="s">
        <v>128</v>
      </c>
      <c r="CS163" t="s">
        <v>397</v>
      </c>
      <c r="CT163">
        <v>5.78</v>
      </c>
      <c r="CU163" t="s">
        <v>128</v>
      </c>
      <c r="CV163" t="s">
        <v>397</v>
      </c>
      <c r="CW163">
        <v>5.62</v>
      </c>
      <c r="CX163" t="s">
        <v>128</v>
      </c>
      <c r="CY163" t="s">
        <v>397</v>
      </c>
      <c r="CZ163">
        <v>5.72</v>
      </c>
      <c r="DA163" t="s">
        <v>128</v>
      </c>
      <c r="DB163" t="s">
        <v>397</v>
      </c>
      <c r="DC163">
        <v>5.42</v>
      </c>
      <c r="DD163" t="s">
        <v>128</v>
      </c>
      <c r="DE163" t="s">
        <v>397</v>
      </c>
      <c r="DF163">
        <v>5.41</v>
      </c>
      <c r="DG163" t="s">
        <v>128</v>
      </c>
      <c r="DH163" t="s">
        <v>397</v>
      </c>
      <c r="DI163">
        <v>4.87</v>
      </c>
      <c r="DJ163" t="s">
        <v>128</v>
      </c>
      <c r="DK163" t="s">
        <v>237</v>
      </c>
      <c r="DL163">
        <v>1.1399999999999999</v>
      </c>
      <c r="DM163" t="s">
        <v>113</v>
      </c>
      <c r="DN163" t="s">
        <v>237</v>
      </c>
      <c r="DO163">
        <v>1.1499999999999999</v>
      </c>
      <c r="DP163" t="s">
        <v>113</v>
      </c>
      <c r="DQ163" t="s">
        <v>237</v>
      </c>
      <c r="DR163">
        <v>1.25</v>
      </c>
      <c r="DS163" t="s">
        <v>113</v>
      </c>
      <c r="DT163" t="s">
        <v>239</v>
      </c>
      <c r="DU163">
        <v>29.51</v>
      </c>
      <c r="DV163" t="s">
        <v>75</v>
      </c>
      <c r="DW163" t="s">
        <v>239</v>
      </c>
      <c r="DX163">
        <v>28.02</v>
      </c>
      <c r="DY163" t="s">
        <v>75</v>
      </c>
      <c r="DZ163" t="s">
        <v>239</v>
      </c>
      <c r="EA163">
        <v>28.03</v>
      </c>
      <c r="EB163" t="s">
        <v>75</v>
      </c>
      <c r="EC163" t="s">
        <v>239</v>
      </c>
      <c r="ED163">
        <v>28</v>
      </c>
      <c r="EE163" t="s">
        <v>75</v>
      </c>
      <c r="EF163" t="s">
        <v>239</v>
      </c>
      <c r="EG163">
        <v>29</v>
      </c>
      <c r="EH163" t="s">
        <v>75</v>
      </c>
      <c r="EI163" t="s">
        <v>239</v>
      </c>
      <c r="EJ163">
        <v>28.4</v>
      </c>
      <c r="EK163" t="s">
        <v>75</v>
      </c>
    </row>
    <row r="164" spans="1:141">
      <c r="A164" t="s">
        <v>238</v>
      </c>
      <c r="B164">
        <v>40.130000000000003</v>
      </c>
      <c r="C164" t="s">
        <v>94</v>
      </c>
      <c r="D164" t="s">
        <v>238</v>
      </c>
      <c r="E164">
        <v>39.29</v>
      </c>
      <c r="F164" t="s">
        <v>94</v>
      </c>
      <c r="G164" t="s">
        <v>378</v>
      </c>
      <c r="H164">
        <v>28.51</v>
      </c>
      <c r="I164" t="s">
        <v>67</v>
      </c>
      <c r="J164" t="s">
        <v>378</v>
      </c>
      <c r="K164">
        <v>28.8</v>
      </c>
      <c r="L164" t="s">
        <v>67</v>
      </c>
      <c r="M164" t="s">
        <v>378</v>
      </c>
      <c r="N164">
        <v>28.5</v>
      </c>
      <c r="O164" t="s">
        <v>67</v>
      </c>
      <c r="P164" t="s">
        <v>397</v>
      </c>
      <c r="Q164">
        <v>3.58</v>
      </c>
      <c r="R164" t="s">
        <v>128</v>
      </c>
      <c r="S164" t="s">
        <v>378</v>
      </c>
      <c r="T164">
        <v>29.08</v>
      </c>
      <c r="U164" t="s">
        <v>67</v>
      </c>
      <c r="V164" t="s">
        <v>378</v>
      </c>
      <c r="W164">
        <v>28.79</v>
      </c>
      <c r="X164" t="s">
        <v>67</v>
      </c>
      <c r="Y164" t="s">
        <v>378</v>
      </c>
      <c r="Z164">
        <v>28.84</v>
      </c>
      <c r="AA164" t="s">
        <v>67</v>
      </c>
      <c r="AB164" t="s">
        <v>378</v>
      </c>
      <c r="AC164">
        <v>29.05</v>
      </c>
      <c r="AD164" t="s">
        <v>67</v>
      </c>
      <c r="AE164" t="s">
        <v>378</v>
      </c>
      <c r="AF164">
        <v>29.15</v>
      </c>
      <c r="AG164" t="s">
        <v>67</v>
      </c>
      <c r="AH164" t="s">
        <v>378</v>
      </c>
      <c r="AI164">
        <v>29.15</v>
      </c>
      <c r="AJ164" t="s">
        <v>67</v>
      </c>
      <c r="AK164" t="s">
        <v>378</v>
      </c>
      <c r="AL164">
        <v>29.7</v>
      </c>
      <c r="AM164" t="s">
        <v>67</v>
      </c>
      <c r="AN164" t="s">
        <v>378</v>
      </c>
      <c r="AO164">
        <v>27.99</v>
      </c>
      <c r="AP164" t="s">
        <v>67</v>
      </c>
      <c r="AQ164" t="s">
        <v>378</v>
      </c>
      <c r="AR164">
        <v>28.99</v>
      </c>
      <c r="AS164" t="s">
        <v>67</v>
      </c>
      <c r="AT164" t="s">
        <v>378</v>
      </c>
      <c r="AU164">
        <v>29.02</v>
      </c>
      <c r="AV164" t="s">
        <v>67</v>
      </c>
      <c r="AW164" t="s">
        <v>378</v>
      </c>
      <c r="AX164">
        <v>29.04</v>
      </c>
      <c r="AY164" t="s">
        <v>67</v>
      </c>
      <c r="AZ164" t="s">
        <v>378</v>
      </c>
      <c r="BA164">
        <v>28.25</v>
      </c>
      <c r="BB164" t="s">
        <v>67</v>
      </c>
      <c r="BC164" t="s">
        <v>378</v>
      </c>
      <c r="BD164">
        <v>28.5</v>
      </c>
      <c r="BE164" t="s">
        <v>67</v>
      </c>
      <c r="BF164" t="s">
        <v>378</v>
      </c>
      <c r="BG164">
        <v>28</v>
      </c>
      <c r="BH164" t="s">
        <v>67</v>
      </c>
      <c r="BI164" t="s">
        <v>378</v>
      </c>
      <c r="BJ164">
        <v>28.89</v>
      </c>
      <c r="BK164" t="s">
        <v>67</v>
      </c>
      <c r="BL164" t="s">
        <v>237</v>
      </c>
      <c r="BM164">
        <v>1.24</v>
      </c>
      <c r="BN164" t="s">
        <v>113</v>
      </c>
      <c r="BO164" t="s">
        <v>237</v>
      </c>
      <c r="BP164">
        <v>1.24</v>
      </c>
      <c r="BQ164" t="s">
        <v>113</v>
      </c>
      <c r="BR164" t="s">
        <v>237</v>
      </c>
      <c r="BS164">
        <v>1.26</v>
      </c>
      <c r="BT164" t="s">
        <v>113</v>
      </c>
      <c r="BU164" t="s">
        <v>237</v>
      </c>
      <c r="BV164">
        <v>1.25</v>
      </c>
      <c r="BW164" t="s">
        <v>113</v>
      </c>
      <c r="BX164" t="s">
        <v>237</v>
      </c>
      <c r="BY164">
        <v>1.23</v>
      </c>
      <c r="BZ164" t="s">
        <v>113</v>
      </c>
      <c r="CA164" t="s">
        <v>344</v>
      </c>
      <c r="CB164">
        <v>2.0499999999999998</v>
      </c>
      <c r="CC164" t="s">
        <v>236</v>
      </c>
      <c r="CD164" t="s">
        <v>237</v>
      </c>
      <c r="CE164">
        <v>1.23</v>
      </c>
      <c r="CF164" t="s">
        <v>113</v>
      </c>
      <c r="CG164" t="s">
        <v>237</v>
      </c>
      <c r="CH164">
        <v>1.22</v>
      </c>
      <c r="CI164" t="s">
        <v>113</v>
      </c>
      <c r="CJ164" t="s">
        <v>237</v>
      </c>
      <c r="CK164">
        <v>1.21</v>
      </c>
      <c r="CL164" t="s">
        <v>113</v>
      </c>
      <c r="CM164" t="s">
        <v>237</v>
      </c>
      <c r="CN164">
        <v>1.21</v>
      </c>
      <c r="CO164" t="s">
        <v>113</v>
      </c>
      <c r="CP164" t="s">
        <v>237</v>
      </c>
      <c r="CQ164">
        <v>1.19</v>
      </c>
      <c r="CR164" t="s">
        <v>113</v>
      </c>
      <c r="CS164" t="s">
        <v>237</v>
      </c>
      <c r="CT164">
        <v>1.18</v>
      </c>
      <c r="CU164" t="s">
        <v>113</v>
      </c>
      <c r="CV164" t="s">
        <v>237</v>
      </c>
      <c r="CW164">
        <v>1.1499999999999999</v>
      </c>
      <c r="CX164" t="s">
        <v>113</v>
      </c>
      <c r="CY164" t="s">
        <v>237</v>
      </c>
      <c r="CZ164">
        <v>1.1399999999999999</v>
      </c>
      <c r="DA164" t="s">
        <v>113</v>
      </c>
      <c r="DB164" t="s">
        <v>237</v>
      </c>
      <c r="DC164">
        <v>1.17</v>
      </c>
      <c r="DD164" t="s">
        <v>113</v>
      </c>
      <c r="DE164" t="s">
        <v>237</v>
      </c>
      <c r="DF164">
        <v>1.1599999999999999</v>
      </c>
      <c r="DG164" t="s">
        <v>113</v>
      </c>
      <c r="DH164" t="s">
        <v>237</v>
      </c>
      <c r="DI164">
        <v>1.1499999999999999</v>
      </c>
      <c r="DJ164" t="s">
        <v>113</v>
      </c>
      <c r="DK164" t="s">
        <v>238</v>
      </c>
      <c r="DL164">
        <v>39.700000000000003</v>
      </c>
      <c r="DM164" t="s">
        <v>94</v>
      </c>
      <c r="DN164" t="s">
        <v>238</v>
      </c>
      <c r="DO164">
        <v>39.99</v>
      </c>
      <c r="DP164" t="s">
        <v>94</v>
      </c>
      <c r="DQ164" t="s">
        <v>238</v>
      </c>
      <c r="DR164">
        <v>43.11</v>
      </c>
      <c r="DS164" t="s">
        <v>94</v>
      </c>
      <c r="DT164" t="s">
        <v>400</v>
      </c>
      <c r="DU164">
        <v>27.59</v>
      </c>
      <c r="DV164" t="s">
        <v>36</v>
      </c>
      <c r="DW164" t="s">
        <v>400</v>
      </c>
      <c r="DX164">
        <v>26.85</v>
      </c>
      <c r="DY164" t="s">
        <v>36</v>
      </c>
      <c r="DZ164" t="s">
        <v>400</v>
      </c>
      <c r="EA164">
        <v>26.66</v>
      </c>
      <c r="EB164" t="s">
        <v>36</v>
      </c>
      <c r="EC164" t="s">
        <v>400</v>
      </c>
      <c r="ED164">
        <v>26.41</v>
      </c>
      <c r="EE164" t="s">
        <v>36</v>
      </c>
      <c r="EF164" t="s">
        <v>400</v>
      </c>
      <c r="EG164">
        <v>27.08</v>
      </c>
      <c r="EH164" t="s">
        <v>36</v>
      </c>
      <c r="EI164" t="s">
        <v>400</v>
      </c>
      <c r="EJ164">
        <v>28.03</v>
      </c>
      <c r="EK164" t="s">
        <v>36</v>
      </c>
    </row>
    <row r="165" spans="1:141">
      <c r="A165" t="s">
        <v>378</v>
      </c>
      <c r="B165">
        <v>28.5</v>
      </c>
      <c r="C165" t="s">
        <v>67</v>
      </c>
      <c r="D165" t="s">
        <v>378</v>
      </c>
      <c r="E165">
        <v>28.26</v>
      </c>
      <c r="F165" t="s">
        <v>67</v>
      </c>
      <c r="G165" t="s">
        <v>239</v>
      </c>
      <c r="H165">
        <v>30</v>
      </c>
      <c r="I165" t="s">
        <v>75</v>
      </c>
      <c r="J165" t="s">
        <v>239</v>
      </c>
      <c r="K165">
        <v>29.56</v>
      </c>
      <c r="L165" t="s">
        <v>75</v>
      </c>
      <c r="M165" t="s">
        <v>239</v>
      </c>
      <c r="N165">
        <v>28.6</v>
      </c>
      <c r="O165" t="s">
        <v>75</v>
      </c>
      <c r="P165" t="s">
        <v>237</v>
      </c>
      <c r="Q165">
        <v>1.26</v>
      </c>
      <c r="R165" t="s">
        <v>113</v>
      </c>
      <c r="S165" t="s">
        <v>239</v>
      </c>
      <c r="T165">
        <v>29.28</v>
      </c>
      <c r="U165" t="s">
        <v>75</v>
      </c>
      <c r="V165" t="s">
        <v>239</v>
      </c>
      <c r="W165">
        <v>28</v>
      </c>
      <c r="X165" t="s">
        <v>75</v>
      </c>
      <c r="Y165" t="s">
        <v>239</v>
      </c>
      <c r="Z165">
        <v>28.35</v>
      </c>
      <c r="AA165" t="s">
        <v>75</v>
      </c>
      <c r="AB165" t="s">
        <v>239</v>
      </c>
      <c r="AC165">
        <v>28.33</v>
      </c>
      <c r="AD165" t="s">
        <v>75</v>
      </c>
      <c r="AE165" t="s">
        <v>239</v>
      </c>
      <c r="AF165">
        <v>29.53</v>
      </c>
      <c r="AG165" t="s">
        <v>75</v>
      </c>
      <c r="AH165" t="s">
        <v>239</v>
      </c>
      <c r="AI165">
        <v>30.17</v>
      </c>
      <c r="AJ165" t="s">
        <v>75</v>
      </c>
      <c r="AK165" t="s">
        <v>239</v>
      </c>
      <c r="AL165">
        <v>29.66</v>
      </c>
      <c r="AM165" t="s">
        <v>75</v>
      </c>
      <c r="AN165" t="s">
        <v>239</v>
      </c>
      <c r="AO165">
        <v>28.46</v>
      </c>
      <c r="AP165" t="s">
        <v>75</v>
      </c>
      <c r="AQ165" t="s">
        <v>239</v>
      </c>
      <c r="AR165">
        <v>29.85</v>
      </c>
      <c r="AS165" t="s">
        <v>75</v>
      </c>
      <c r="AT165" t="s">
        <v>239</v>
      </c>
      <c r="AU165">
        <v>29.82</v>
      </c>
      <c r="AV165" t="s">
        <v>75</v>
      </c>
      <c r="AW165" t="s">
        <v>239</v>
      </c>
      <c r="AX165">
        <v>29.82</v>
      </c>
      <c r="AY165" t="s">
        <v>75</v>
      </c>
      <c r="AZ165" t="s">
        <v>239</v>
      </c>
      <c r="BA165">
        <v>29.5</v>
      </c>
      <c r="BB165" t="s">
        <v>75</v>
      </c>
      <c r="BC165" t="s">
        <v>239</v>
      </c>
      <c r="BD165">
        <v>31.33</v>
      </c>
      <c r="BE165" t="s">
        <v>75</v>
      </c>
      <c r="BF165" t="s">
        <v>239</v>
      </c>
      <c r="BG165">
        <v>28.85</v>
      </c>
      <c r="BH165" t="s">
        <v>75</v>
      </c>
      <c r="BI165" t="s">
        <v>239</v>
      </c>
      <c r="BJ165">
        <v>29</v>
      </c>
      <c r="BK165" t="s">
        <v>75</v>
      </c>
      <c r="BL165" t="s">
        <v>238</v>
      </c>
      <c r="BM165">
        <v>39.700000000000003</v>
      </c>
      <c r="BN165" t="s">
        <v>94</v>
      </c>
      <c r="BO165" t="s">
        <v>238</v>
      </c>
      <c r="BP165">
        <v>39.42</v>
      </c>
      <c r="BQ165" t="s">
        <v>94</v>
      </c>
      <c r="BR165" t="s">
        <v>238</v>
      </c>
      <c r="BS165">
        <v>40.03</v>
      </c>
      <c r="BT165" t="s">
        <v>94</v>
      </c>
      <c r="BU165" t="s">
        <v>238</v>
      </c>
      <c r="BV165">
        <v>40.479999999999997</v>
      </c>
      <c r="BW165" t="s">
        <v>94</v>
      </c>
      <c r="BX165" t="s">
        <v>238</v>
      </c>
      <c r="BY165">
        <v>40.36</v>
      </c>
      <c r="BZ165" t="s">
        <v>94</v>
      </c>
      <c r="CA165" t="s">
        <v>674</v>
      </c>
      <c r="CB165">
        <v>12.54</v>
      </c>
      <c r="CC165" t="s">
        <v>499</v>
      </c>
      <c r="CD165" t="s">
        <v>238</v>
      </c>
      <c r="CE165">
        <v>41.17</v>
      </c>
      <c r="CF165" t="s">
        <v>94</v>
      </c>
      <c r="CG165" t="s">
        <v>238</v>
      </c>
      <c r="CH165">
        <v>41.17</v>
      </c>
      <c r="CI165" t="s">
        <v>94</v>
      </c>
      <c r="CJ165" t="s">
        <v>238</v>
      </c>
      <c r="CK165">
        <v>40.71</v>
      </c>
      <c r="CL165" t="s">
        <v>94</v>
      </c>
      <c r="CM165" t="s">
        <v>238</v>
      </c>
      <c r="CN165">
        <v>40.49</v>
      </c>
      <c r="CO165" t="s">
        <v>94</v>
      </c>
      <c r="CP165" t="s">
        <v>238</v>
      </c>
      <c r="CQ165">
        <v>40.11</v>
      </c>
      <c r="CR165" t="s">
        <v>94</v>
      </c>
      <c r="CS165" t="s">
        <v>238</v>
      </c>
      <c r="CT165">
        <v>40.43</v>
      </c>
      <c r="CU165" t="s">
        <v>94</v>
      </c>
      <c r="CV165" t="s">
        <v>238</v>
      </c>
      <c r="CW165">
        <v>40.75</v>
      </c>
      <c r="CX165" t="s">
        <v>94</v>
      </c>
      <c r="CY165" t="s">
        <v>238</v>
      </c>
      <c r="CZ165">
        <v>42.18</v>
      </c>
      <c r="DA165" t="s">
        <v>94</v>
      </c>
      <c r="DB165" t="s">
        <v>238</v>
      </c>
      <c r="DC165">
        <v>42.75</v>
      </c>
      <c r="DD165" t="s">
        <v>94</v>
      </c>
      <c r="DE165" t="s">
        <v>238</v>
      </c>
      <c r="DF165">
        <v>42.56</v>
      </c>
      <c r="DG165" t="s">
        <v>94</v>
      </c>
      <c r="DH165" t="s">
        <v>238</v>
      </c>
      <c r="DI165">
        <v>40.36</v>
      </c>
      <c r="DJ165" t="s">
        <v>94</v>
      </c>
      <c r="DK165" t="s">
        <v>378</v>
      </c>
      <c r="DL165">
        <v>28.4</v>
      </c>
      <c r="DM165" t="s">
        <v>67</v>
      </c>
      <c r="DN165" t="s">
        <v>378</v>
      </c>
      <c r="DO165">
        <v>28</v>
      </c>
      <c r="DP165" t="s">
        <v>67</v>
      </c>
      <c r="DQ165" t="s">
        <v>378</v>
      </c>
      <c r="DR165">
        <v>27</v>
      </c>
      <c r="DS165" t="s">
        <v>67</v>
      </c>
      <c r="DT165" t="s">
        <v>240</v>
      </c>
      <c r="DU165">
        <v>43.61</v>
      </c>
      <c r="DV165" t="s">
        <v>241</v>
      </c>
      <c r="DW165" t="s">
        <v>240</v>
      </c>
      <c r="DX165">
        <v>43.5</v>
      </c>
      <c r="DY165" t="s">
        <v>241</v>
      </c>
      <c r="DZ165" t="s">
        <v>240</v>
      </c>
      <c r="EA165">
        <v>45.2</v>
      </c>
      <c r="EB165" t="s">
        <v>241</v>
      </c>
      <c r="EC165" t="s">
        <v>240</v>
      </c>
      <c r="ED165">
        <v>48.3</v>
      </c>
      <c r="EE165" t="s">
        <v>241</v>
      </c>
      <c r="EF165" t="s">
        <v>240</v>
      </c>
      <c r="EG165">
        <v>54.1</v>
      </c>
      <c r="EH165" t="s">
        <v>241</v>
      </c>
      <c r="EI165" t="s">
        <v>240</v>
      </c>
      <c r="EJ165">
        <v>52.57</v>
      </c>
      <c r="EK165" t="s">
        <v>241</v>
      </c>
    </row>
    <row r="166" spans="1:141">
      <c r="A166" t="s">
        <v>239</v>
      </c>
      <c r="B166">
        <v>30.1</v>
      </c>
      <c r="C166" t="s">
        <v>75</v>
      </c>
      <c r="D166" t="s">
        <v>239</v>
      </c>
      <c r="E166">
        <v>29.56</v>
      </c>
      <c r="F166" t="s">
        <v>75</v>
      </c>
      <c r="G166" t="s">
        <v>400</v>
      </c>
      <c r="H166">
        <v>29.33</v>
      </c>
      <c r="I166" t="s">
        <v>36</v>
      </c>
      <c r="J166" t="s">
        <v>400</v>
      </c>
      <c r="K166">
        <v>29.45</v>
      </c>
      <c r="L166" t="s">
        <v>36</v>
      </c>
      <c r="M166" t="s">
        <v>400</v>
      </c>
      <c r="N166">
        <v>29.24</v>
      </c>
      <c r="O166" t="s">
        <v>36</v>
      </c>
      <c r="P166" t="s">
        <v>238</v>
      </c>
      <c r="Q166">
        <v>38.700000000000003</v>
      </c>
      <c r="R166" t="s">
        <v>94</v>
      </c>
      <c r="S166" t="s">
        <v>400</v>
      </c>
      <c r="T166">
        <v>28.5</v>
      </c>
      <c r="U166" t="s">
        <v>36</v>
      </c>
      <c r="V166" t="s">
        <v>400</v>
      </c>
      <c r="W166">
        <v>26.67</v>
      </c>
      <c r="X166" t="s">
        <v>36</v>
      </c>
      <c r="Y166" t="s">
        <v>400</v>
      </c>
      <c r="Z166">
        <v>27.22</v>
      </c>
      <c r="AA166" t="s">
        <v>36</v>
      </c>
      <c r="AB166" t="s">
        <v>400</v>
      </c>
      <c r="AC166">
        <v>26.9</v>
      </c>
      <c r="AD166" t="s">
        <v>36</v>
      </c>
      <c r="AE166" t="s">
        <v>400</v>
      </c>
      <c r="AF166">
        <v>26.62</v>
      </c>
      <c r="AG166" t="s">
        <v>36</v>
      </c>
      <c r="AH166" t="s">
        <v>400</v>
      </c>
      <c r="AI166">
        <v>26.93</v>
      </c>
      <c r="AJ166" t="s">
        <v>36</v>
      </c>
      <c r="AK166" t="s">
        <v>400</v>
      </c>
      <c r="AL166">
        <v>26.42</v>
      </c>
      <c r="AM166" t="s">
        <v>36</v>
      </c>
      <c r="AN166" t="s">
        <v>400</v>
      </c>
      <c r="AO166">
        <v>26.55</v>
      </c>
      <c r="AP166" t="s">
        <v>36</v>
      </c>
      <c r="AQ166" t="s">
        <v>400</v>
      </c>
      <c r="AR166">
        <v>28.37</v>
      </c>
      <c r="AS166" t="s">
        <v>36</v>
      </c>
      <c r="AT166" t="s">
        <v>400</v>
      </c>
      <c r="AU166">
        <v>27.81</v>
      </c>
      <c r="AV166" t="s">
        <v>36</v>
      </c>
      <c r="AW166" t="s">
        <v>400</v>
      </c>
      <c r="AX166">
        <v>29.94</v>
      </c>
      <c r="AY166" t="s">
        <v>36</v>
      </c>
      <c r="AZ166" t="s">
        <v>400</v>
      </c>
      <c r="BA166">
        <v>28.98</v>
      </c>
      <c r="BB166" t="s">
        <v>36</v>
      </c>
      <c r="BC166" t="s">
        <v>400</v>
      </c>
      <c r="BD166">
        <v>28.78</v>
      </c>
      <c r="BE166" t="s">
        <v>36</v>
      </c>
      <c r="BF166" t="s">
        <v>400</v>
      </c>
      <c r="BG166">
        <v>27.6</v>
      </c>
      <c r="BH166" t="s">
        <v>36</v>
      </c>
      <c r="BI166" t="s">
        <v>400</v>
      </c>
      <c r="BJ166">
        <v>27.93</v>
      </c>
      <c r="BK166" t="s">
        <v>36</v>
      </c>
      <c r="BL166" t="s">
        <v>378</v>
      </c>
      <c r="BM166">
        <v>28</v>
      </c>
      <c r="BN166" t="s">
        <v>67</v>
      </c>
      <c r="BO166" t="s">
        <v>378</v>
      </c>
      <c r="BP166">
        <v>28.01</v>
      </c>
      <c r="BQ166" t="s">
        <v>67</v>
      </c>
      <c r="BR166" t="s">
        <v>378</v>
      </c>
      <c r="BS166">
        <v>28.9</v>
      </c>
      <c r="BT166" t="s">
        <v>67</v>
      </c>
      <c r="BU166" t="s">
        <v>378</v>
      </c>
      <c r="BV166">
        <v>27.01</v>
      </c>
      <c r="BW166" t="s">
        <v>67</v>
      </c>
      <c r="BX166" t="s">
        <v>378</v>
      </c>
      <c r="BY166">
        <v>27.66</v>
      </c>
      <c r="BZ166" t="s">
        <v>67</v>
      </c>
      <c r="CA166" t="s">
        <v>397</v>
      </c>
      <c r="CB166">
        <v>6.05</v>
      </c>
      <c r="CC166" t="s">
        <v>128</v>
      </c>
      <c r="CD166" t="s">
        <v>378</v>
      </c>
      <c r="CE166">
        <v>27.45</v>
      </c>
      <c r="CF166" t="s">
        <v>67</v>
      </c>
      <c r="CG166" t="s">
        <v>378</v>
      </c>
      <c r="CH166">
        <v>27.44</v>
      </c>
      <c r="CI166" t="s">
        <v>67</v>
      </c>
      <c r="CJ166" t="s">
        <v>378</v>
      </c>
      <c r="CK166">
        <v>27.17</v>
      </c>
      <c r="CL166" t="s">
        <v>67</v>
      </c>
      <c r="CM166" t="s">
        <v>378</v>
      </c>
      <c r="CN166">
        <v>27.2</v>
      </c>
      <c r="CO166" t="s">
        <v>67</v>
      </c>
      <c r="CP166" t="s">
        <v>378</v>
      </c>
      <c r="CQ166">
        <v>27.7</v>
      </c>
      <c r="CR166" t="s">
        <v>67</v>
      </c>
      <c r="CS166" t="s">
        <v>378</v>
      </c>
      <c r="CT166">
        <v>27.07</v>
      </c>
      <c r="CU166" t="s">
        <v>67</v>
      </c>
      <c r="CV166" t="s">
        <v>378</v>
      </c>
      <c r="CW166">
        <v>27.17</v>
      </c>
      <c r="CX166" t="s">
        <v>67</v>
      </c>
      <c r="CY166" t="s">
        <v>378</v>
      </c>
      <c r="CZ166">
        <v>27.2</v>
      </c>
      <c r="DA166" t="s">
        <v>67</v>
      </c>
      <c r="DB166" t="s">
        <v>378</v>
      </c>
      <c r="DC166">
        <v>27.1</v>
      </c>
      <c r="DD166" t="s">
        <v>67</v>
      </c>
      <c r="DE166" t="s">
        <v>378</v>
      </c>
      <c r="DF166">
        <v>27.14</v>
      </c>
      <c r="DG166" t="s">
        <v>67</v>
      </c>
      <c r="DH166" t="s">
        <v>378</v>
      </c>
      <c r="DI166">
        <v>28</v>
      </c>
      <c r="DJ166" t="s">
        <v>67</v>
      </c>
      <c r="DK166" t="s">
        <v>239</v>
      </c>
      <c r="DL166">
        <v>27.2</v>
      </c>
      <c r="DM166" t="s">
        <v>75</v>
      </c>
      <c r="DN166" t="s">
        <v>239</v>
      </c>
      <c r="DO166">
        <v>27.2</v>
      </c>
      <c r="DP166" t="s">
        <v>75</v>
      </c>
      <c r="DQ166" t="s">
        <v>239</v>
      </c>
      <c r="DR166">
        <v>30.5</v>
      </c>
      <c r="DS166" t="s">
        <v>75</v>
      </c>
      <c r="DT166" t="s">
        <v>242</v>
      </c>
      <c r="DU166">
        <v>211.51</v>
      </c>
      <c r="DV166" t="s">
        <v>243</v>
      </c>
      <c r="DW166" t="s">
        <v>242</v>
      </c>
      <c r="DX166">
        <v>240.46</v>
      </c>
      <c r="DY166" t="s">
        <v>243</v>
      </c>
      <c r="DZ166" t="s">
        <v>242</v>
      </c>
      <c r="EA166">
        <v>243.25</v>
      </c>
      <c r="EB166" t="s">
        <v>243</v>
      </c>
      <c r="EC166" t="s">
        <v>242</v>
      </c>
      <c r="ED166">
        <v>229.99</v>
      </c>
      <c r="EE166" t="s">
        <v>243</v>
      </c>
      <c r="EF166" t="s">
        <v>242</v>
      </c>
      <c r="EG166">
        <v>235</v>
      </c>
      <c r="EH166" t="s">
        <v>243</v>
      </c>
      <c r="EI166" t="s">
        <v>242</v>
      </c>
      <c r="EJ166">
        <v>232.86</v>
      </c>
      <c r="EK166" t="s">
        <v>243</v>
      </c>
    </row>
    <row r="167" spans="1:141">
      <c r="A167" t="s">
        <v>400</v>
      </c>
      <c r="B167">
        <v>29.89</v>
      </c>
      <c r="C167" t="s">
        <v>36</v>
      </c>
      <c r="D167" t="s">
        <v>400</v>
      </c>
      <c r="E167">
        <v>29.06</v>
      </c>
      <c r="F167" t="s">
        <v>36</v>
      </c>
      <c r="G167" t="s">
        <v>240</v>
      </c>
      <c r="H167">
        <v>37.1</v>
      </c>
      <c r="I167" t="s">
        <v>241</v>
      </c>
      <c r="J167" t="s">
        <v>240</v>
      </c>
      <c r="K167">
        <v>40</v>
      </c>
      <c r="L167" t="s">
        <v>241</v>
      </c>
      <c r="M167" t="s">
        <v>240</v>
      </c>
      <c r="N167">
        <v>40.78</v>
      </c>
      <c r="O167" t="s">
        <v>241</v>
      </c>
      <c r="P167" t="s">
        <v>378</v>
      </c>
      <c r="Q167">
        <v>28.99</v>
      </c>
      <c r="R167" t="s">
        <v>67</v>
      </c>
      <c r="S167" t="s">
        <v>240</v>
      </c>
      <c r="T167">
        <v>40.18</v>
      </c>
      <c r="U167" t="s">
        <v>241</v>
      </c>
      <c r="V167" t="s">
        <v>240</v>
      </c>
      <c r="W167">
        <v>40.4</v>
      </c>
      <c r="X167" t="s">
        <v>241</v>
      </c>
      <c r="Y167" t="s">
        <v>240</v>
      </c>
      <c r="Z167">
        <v>44.84</v>
      </c>
      <c r="AA167" t="s">
        <v>241</v>
      </c>
      <c r="AB167" t="s">
        <v>240</v>
      </c>
      <c r="AC167">
        <v>45.11</v>
      </c>
      <c r="AD167" t="s">
        <v>241</v>
      </c>
      <c r="AE167" t="s">
        <v>240</v>
      </c>
      <c r="AF167">
        <v>45.57</v>
      </c>
      <c r="AG167" t="s">
        <v>241</v>
      </c>
      <c r="AH167" t="s">
        <v>240</v>
      </c>
      <c r="AI167">
        <v>46</v>
      </c>
      <c r="AJ167" t="s">
        <v>241</v>
      </c>
      <c r="AK167" t="s">
        <v>240</v>
      </c>
      <c r="AL167">
        <v>44.35</v>
      </c>
      <c r="AM167" t="s">
        <v>241</v>
      </c>
      <c r="AN167" t="s">
        <v>240</v>
      </c>
      <c r="AO167">
        <v>42.65</v>
      </c>
      <c r="AP167" t="s">
        <v>241</v>
      </c>
      <c r="AQ167" t="s">
        <v>240</v>
      </c>
      <c r="AR167">
        <v>43</v>
      </c>
      <c r="AS167" t="s">
        <v>241</v>
      </c>
      <c r="AT167" t="s">
        <v>240</v>
      </c>
      <c r="AU167">
        <v>43.4</v>
      </c>
      <c r="AV167" t="s">
        <v>241</v>
      </c>
      <c r="AW167" t="s">
        <v>240</v>
      </c>
      <c r="AX167">
        <v>43</v>
      </c>
      <c r="AY167" t="s">
        <v>241</v>
      </c>
      <c r="AZ167" t="s">
        <v>240</v>
      </c>
      <c r="BA167">
        <v>44.19</v>
      </c>
      <c r="BB167" t="s">
        <v>241</v>
      </c>
      <c r="BC167" t="s">
        <v>240</v>
      </c>
      <c r="BD167">
        <v>43.7</v>
      </c>
      <c r="BE167" t="s">
        <v>241</v>
      </c>
      <c r="BF167" t="s">
        <v>240</v>
      </c>
      <c r="BG167">
        <v>42.3</v>
      </c>
      <c r="BH167" t="s">
        <v>241</v>
      </c>
      <c r="BI167" t="s">
        <v>240</v>
      </c>
      <c r="BJ167">
        <v>43.59</v>
      </c>
      <c r="BK167" t="s">
        <v>241</v>
      </c>
      <c r="BL167" t="s">
        <v>239</v>
      </c>
      <c r="BM167">
        <v>27.07</v>
      </c>
      <c r="BN167" t="s">
        <v>75</v>
      </c>
      <c r="BO167" t="s">
        <v>239</v>
      </c>
      <c r="BP167">
        <v>26.52</v>
      </c>
      <c r="BQ167" t="s">
        <v>75</v>
      </c>
      <c r="BR167" t="s">
        <v>239</v>
      </c>
      <c r="BS167">
        <v>26.94</v>
      </c>
      <c r="BT167" t="s">
        <v>75</v>
      </c>
      <c r="BU167" t="s">
        <v>239</v>
      </c>
      <c r="BV167">
        <v>27</v>
      </c>
      <c r="BW167" t="s">
        <v>75</v>
      </c>
      <c r="BX167" t="s">
        <v>239</v>
      </c>
      <c r="BY167">
        <v>27.72</v>
      </c>
      <c r="BZ167" t="s">
        <v>75</v>
      </c>
      <c r="CA167" t="s">
        <v>237</v>
      </c>
      <c r="CB167">
        <v>1.24</v>
      </c>
      <c r="CC167" t="s">
        <v>113</v>
      </c>
      <c r="CD167" t="s">
        <v>239</v>
      </c>
      <c r="CE167">
        <v>28</v>
      </c>
      <c r="CF167" t="s">
        <v>75</v>
      </c>
      <c r="CG167" t="s">
        <v>239</v>
      </c>
      <c r="CH167">
        <v>27.99</v>
      </c>
      <c r="CI167" t="s">
        <v>75</v>
      </c>
      <c r="CJ167" t="s">
        <v>239</v>
      </c>
      <c r="CK167">
        <v>27.77</v>
      </c>
      <c r="CL167" t="s">
        <v>75</v>
      </c>
      <c r="CM167" t="s">
        <v>239</v>
      </c>
      <c r="CN167">
        <v>29.5</v>
      </c>
      <c r="CO167" t="s">
        <v>75</v>
      </c>
      <c r="CP167" t="s">
        <v>239</v>
      </c>
      <c r="CQ167">
        <v>29.85</v>
      </c>
      <c r="CR167" t="s">
        <v>75</v>
      </c>
      <c r="CS167" t="s">
        <v>239</v>
      </c>
      <c r="CT167">
        <v>29.2</v>
      </c>
      <c r="CU167" t="s">
        <v>75</v>
      </c>
      <c r="CV167" t="s">
        <v>239</v>
      </c>
      <c r="CW167">
        <v>28.07</v>
      </c>
      <c r="CX167" t="s">
        <v>75</v>
      </c>
      <c r="CY167" t="s">
        <v>239</v>
      </c>
      <c r="CZ167">
        <v>28.7</v>
      </c>
      <c r="DA167" t="s">
        <v>75</v>
      </c>
      <c r="DB167" t="s">
        <v>239</v>
      </c>
      <c r="DC167">
        <v>27.8</v>
      </c>
      <c r="DD167" t="s">
        <v>75</v>
      </c>
      <c r="DE167" t="s">
        <v>239</v>
      </c>
      <c r="DF167">
        <v>27.68</v>
      </c>
      <c r="DG167" t="s">
        <v>75</v>
      </c>
      <c r="DH167" t="s">
        <v>239</v>
      </c>
      <c r="DI167">
        <v>27.63</v>
      </c>
      <c r="DJ167" t="s">
        <v>75</v>
      </c>
      <c r="DK167" t="s">
        <v>400</v>
      </c>
      <c r="DL167">
        <v>26.25</v>
      </c>
      <c r="DM167" t="s">
        <v>36</v>
      </c>
      <c r="DN167" t="s">
        <v>400</v>
      </c>
      <c r="DO167">
        <v>26.12</v>
      </c>
      <c r="DP167" t="s">
        <v>36</v>
      </c>
      <c r="DQ167" t="s">
        <v>400</v>
      </c>
      <c r="DR167">
        <v>27.86</v>
      </c>
      <c r="DS167" t="s">
        <v>36</v>
      </c>
      <c r="DT167" t="s">
        <v>532</v>
      </c>
      <c r="DU167">
        <v>5.78</v>
      </c>
      <c r="DV167" t="s">
        <v>132</v>
      </c>
      <c r="DW167" t="s">
        <v>532</v>
      </c>
      <c r="DX167">
        <v>5.78</v>
      </c>
      <c r="DY167" t="s">
        <v>132</v>
      </c>
      <c r="DZ167" t="s">
        <v>532</v>
      </c>
      <c r="EA167">
        <v>5.78</v>
      </c>
      <c r="EB167" t="s">
        <v>132</v>
      </c>
      <c r="EC167" t="s">
        <v>532</v>
      </c>
      <c r="ED167">
        <v>5.78</v>
      </c>
      <c r="EE167" t="s">
        <v>132</v>
      </c>
      <c r="EF167" t="s">
        <v>532</v>
      </c>
      <c r="EG167">
        <v>5.78</v>
      </c>
      <c r="EH167" t="s">
        <v>132</v>
      </c>
      <c r="EI167" t="s">
        <v>532</v>
      </c>
      <c r="EJ167">
        <v>5.78</v>
      </c>
      <c r="EK167" t="s">
        <v>132</v>
      </c>
    </row>
    <row r="168" spans="1:141">
      <c r="A168" t="s">
        <v>240</v>
      </c>
      <c r="B168">
        <v>37.15</v>
      </c>
      <c r="C168" t="s">
        <v>241</v>
      </c>
      <c r="D168" t="s">
        <v>240</v>
      </c>
      <c r="E168">
        <v>38.5</v>
      </c>
      <c r="F168" t="s">
        <v>241</v>
      </c>
      <c r="G168" t="s">
        <v>242</v>
      </c>
      <c r="H168">
        <v>189.99</v>
      </c>
      <c r="I168" t="s">
        <v>243</v>
      </c>
      <c r="J168" t="s">
        <v>242</v>
      </c>
      <c r="K168">
        <v>189</v>
      </c>
      <c r="L168" t="s">
        <v>243</v>
      </c>
      <c r="M168" t="s">
        <v>242</v>
      </c>
      <c r="N168">
        <v>192</v>
      </c>
      <c r="O168" t="s">
        <v>243</v>
      </c>
      <c r="P168" t="s">
        <v>239</v>
      </c>
      <c r="Q168">
        <v>28.29</v>
      </c>
      <c r="R168" t="s">
        <v>75</v>
      </c>
      <c r="S168" t="s">
        <v>242</v>
      </c>
      <c r="T168">
        <v>180.52</v>
      </c>
      <c r="U168" t="s">
        <v>243</v>
      </c>
      <c r="V168" t="s">
        <v>242</v>
      </c>
      <c r="W168">
        <v>165.9</v>
      </c>
      <c r="X168" t="s">
        <v>243</v>
      </c>
      <c r="Y168" t="s">
        <v>242</v>
      </c>
      <c r="Z168">
        <v>169.7</v>
      </c>
      <c r="AA168" t="s">
        <v>243</v>
      </c>
      <c r="AB168" t="s">
        <v>242</v>
      </c>
      <c r="AC168">
        <v>166.12</v>
      </c>
      <c r="AD168" t="s">
        <v>243</v>
      </c>
      <c r="AE168" t="s">
        <v>242</v>
      </c>
      <c r="AF168">
        <v>170.77</v>
      </c>
      <c r="AG168" t="s">
        <v>243</v>
      </c>
      <c r="AH168" t="s">
        <v>242</v>
      </c>
      <c r="AI168">
        <v>170</v>
      </c>
      <c r="AJ168" t="s">
        <v>243</v>
      </c>
      <c r="AK168" t="s">
        <v>242</v>
      </c>
      <c r="AL168">
        <v>169.33</v>
      </c>
      <c r="AM168" t="s">
        <v>243</v>
      </c>
      <c r="AN168" t="s">
        <v>242</v>
      </c>
      <c r="AO168">
        <v>170</v>
      </c>
      <c r="AP168" t="s">
        <v>243</v>
      </c>
      <c r="AQ168" t="s">
        <v>242</v>
      </c>
      <c r="AR168">
        <v>170</v>
      </c>
      <c r="AS168" t="s">
        <v>243</v>
      </c>
      <c r="AT168" t="s">
        <v>242</v>
      </c>
      <c r="AU168">
        <v>168.03</v>
      </c>
      <c r="AV168" t="s">
        <v>243</v>
      </c>
      <c r="AW168" t="s">
        <v>242</v>
      </c>
      <c r="AX168">
        <v>169.76</v>
      </c>
      <c r="AY168" t="s">
        <v>243</v>
      </c>
      <c r="AZ168" t="s">
        <v>242</v>
      </c>
      <c r="BA168">
        <v>169</v>
      </c>
      <c r="BB168" t="s">
        <v>243</v>
      </c>
      <c r="BC168" t="s">
        <v>242</v>
      </c>
      <c r="BD168">
        <v>167.9</v>
      </c>
      <c r="BE168" t="s">
        <v>243</v>
      </c>
      <c r="BF168" t="s">
        <v>242</v>
      </c>
      <c r="BG168">
        <v>166.98</v>
      </c>
      <c r="BH168" t="s">
        <v>243</v>
      </c>
      <c r="BI168" t="s">
        <v>242</v>
      </c>
      <c r="BJ168">
        <v>167</v>
      </c>
      <c r="BK168" t="s">
        <v>243</v>
      </c>
      <c r="BL168" t="s">
        <v>400</v>
      </c>
      <c r="BM168">
        <v>27.29</v>
      </c>
      <c r="BN168" t="s">
        <v>36</v>
      </c>
      <c r="BO168" t="s">
        <v>400</v>
      </c>
      <c r="BP168">
        <v>26.95</v>
      </c>
      <c r="BQ168" t="s">
        <v>36</v>
      </c>
      <c r="BR168" t="s">
        <v>400</v>
      </c>
      <c r="BS168">
        <v>27.25</v>
      </c>
      <c r="BT168" t="s">
        <v>36</v>
      </c>
      <c r="BU168" t="s">
        <v>400</v>
      </c>
      <c r="BV168">
        <v>26.97</v>
      </c>
      <c r="BW168" t="s">
        <v>36</v>
      </c>
      <c r="BX168" t="s">
        <v>400</v>
      </c>
      <c r="BY168">
        <v>27.02</v>
      </c>
      <c r="BZ168" t="s">
        <v>36</v>
      </c>
      <c r="CA168" t="s">
        <v>238</v>
      </c>
      <c r="CB168">
        <v>40.9</v>
      </c>
      <c r="CC168" t="s">
        <v>94</v>
      </c>
      <c r="CD168" t="s">
        <v>400</v>
      </c>
      <c r="CE168">
        <v>27.69</v>
      </c>
      <c r="CF168" t="s">
        <v>36</v>
      </c>
      <c r="CG168" t="s">
        <v>400</v>
      </c>
      <c r="CH168">
        <v>27.89</v>
      </c>
      <c r="CI168" t="s">
        <v>36</v>
      </c>
      <c r="CJ168" t="s">
        <v>400</v>
      </c>
      <c r="CK168">
        <v>27.56</v>
      </c>
      <c r="CL168" t="s">
        <v>36</v>
      </c>
      <c r="CM168" t="s">
        <v>400</v>
      </c>
      <c r="CN168">
        <v>27.25</v>
      </c>
      <c r="CO168" t="s">
        <v>36</v>
      </c>
      <c r="CP168" t="s">
        <v>400</v>
      </c>
      <c r="CQ168">
        <v>26.75</v>
      </c>
      <c r="CR168" t="s">
        <v>36</v>
      </c>
      <c r="CS168" t="s">
        <v>400</v>
      </c>
      <c r="CT168">
        <v>26.85</v>
      </c>
      <c r="CU168" t="s">
        <v>36</v>
      </c>
      <c r="CV168" t="s">
        <v>400</v>
      </c>
      <c r="CW168">
        <v>26.53</v>
      </c>
      <c r="CX168" t="s">
        <v>36</v>
      </c>
      <c r="CY168" t="s">
        <v>400</v>
      </c>
      <c r="CZ168">
        <v>26.7</v>
      </c>
      <c r="DA168" t="s">
        <v>36</v>
      </c>
      <c r="DB168" t="s">
        <v>400</v>
      </c>
      <c r="DC168">
        <v>26.63</v>
      </c>
      <c r="DD168" t="s">
        <v>36</v>
      </c>
      <c r="DE168" t="s">
        <v>400</v>
      </c>
      <c r="DF168">
        <v>26.76</v>
      </c>
      <c r="DG168" t="s">
        <v>36</v>
      </c>
      <c r="DH168" t="s">
        <v>400</v>
      </c>
      <c r="DI168">
        <v>26.5</v>
      </c>
      <c r="DJ168" t="s">
        <v>36</v>
      </c>
      <c r="DK168" t="s">
        <v>240</v>
      </c>
      <c r="DL168">
        <v>42.41</v>
      </c>
      <c r="DM168" t="s">
        <v>241</v>
      </c>
      <c r="DN168" t="s">
        <v>240</v>
      </c>
      <c r="DO168">
        <v>42.21</v>
      </c>
      <c r="DP168" t="s">
        <v>241</v>
      </c>
      <c r="DQ168" t="s">
        <v>240</v>
      </c>
      <c r="DR168">
        <v>44.5</v>
      </c>
      <c r="DS168" t="s">
        <v>241</v>
      </c>
      <c r="DT168" t="s">
        <v>646</v>
      </c>
      <c r="DU168">
        <v>4.54</v>
      </c>
      <c r="DV168" t="s">
        <v>117</v>
      </c>
      <c r="DW168" t="s">
        <v>646</v>
      </c>
      <c r="DX168">
        <v>4.54</v>
      </c>
      <c r="DY168" t="s">
        <v>117</v>
      </c>
      <c r="DZ168" t="s">
        <v>646</v>
      </c>
      <c r="EA168">
        <v>4.54</v>
      </c>
      <c r="EB168" t="s">
        <v>117</v>
      </c>
      <c r="EC168" t="s">
        <v>646</v>
      </c>
      <c r="ED168">
        <v>4.32</v>
      </c>
      <c r="EE168" t="s">
        <v>117</v>
      </c>
      <c r="EF168" t="s">
        <v>646</v>
      </c>
      <c r="EG168">
        <v>4.32</v>
      </c>
      <c r="EH168" t="s">
        <v>117</v>
      </c>
      <c r="EI168" t="s">
        <v>646</v>
      </c>
      <c r="EJ168">
        <v>3.91</v>
      </c>
      <c r="EK168" t="s">
        <v>117</v>
      </c>
    </row>
    <row r="169" spans="1:141">
      <c r="A169" t="s">
        <v>242</v>
      </c>
      <c r="B169">
        <v>190</v>
      </c>
      <c r="C169" t="s">
        <v>243</v>
      </c>
      <c r="D169" t="s">
        <v>242</v>
      </c>
      <c r="E169">
        <v>187</v>
      </c>
      <c r="F169" t="s">
        <v>243</v>
      </c>
      <c r="G169" t="s">
        <v>532</v>
      </c>
      <c r="H169">
        <v>5.51</v>
      </c>
      <c r="I169" t="s">
        <v>132</v>
      </c>
      <c r="J169" t="s">
        <v>532</v>
      </c>
      <c r="K169">
        <v>5.51</v>
      </c>
      <c r="L169" t="s">
        <v>132</v>
      </c>
      <c r="M169" t="s">
        <v>532</v>
      </c>
      <c r="N169">
        <v>5.5</v>
      </c>
      <c r="O169" t="s">
        <v>132</v>
      </c>
      <c r="P169" t="s">
        <v>400</v>
      </c>
      <c r="Q169">
        <v>28.95</v>
      </c>
      <c r="R169" t="s">
        <v>36</v>
      </c>
      <c r="S169" t="s">
        <v>532</v>
      </c>
      <c r="T169">
        <v>5.5</v>
      </c>
      <c r="U169" t="s">
        <v>132</v>
      </c>
      <c r="V169" t="s">
        <v>532</v>
      </c>
      <c r="W169">
        <v>5.5</v>
      </c>
      <c r="X169" t="s">
        <v>132</v>
      </c>
      <c r="Y169" t="s">
        <v>532</v>
      </c>
      <c r="Z169">
        <v>5.5</v>
      </c>
      <c r="AA169" t="s">
        <v>132</v>
      </c>
      <c r="AB169" t="s">
        <v>532</v>
      </c>
      <c r="AC169">
        <v>5.5</v>
      </c>
      <c r="AD169" t="s">
        <v>132</v>
      </c>
      <c r="AE169" t="s">
        <v>532</v>
      </c>
      <c r="AF169">
        <v>5.5</v>
      </c>
      <c r="AG169" t="s">
        <v>132</v>
      </c>
      <c r="AH169" t="s">
        <v>532</v>
      </c>
      <c r="AI169">
        <v>5.5</v>
      </c>
      <c r="AJ169" t="s">
        <v>132</v>
      </c>
      <c r="AK169" t="s">
        <v>532</v>
      </c>
      <c r="AL169">
        <v>5.5</v>
      </c>
      <c r="AM169" t="s">
        <v>132</v>
      </c>
      <c r="AN169" t="s">
        <v>532</v>
      </c>
      <c r="AO169">
        <v>5.5</v>
      </c>
      <c r="AP169" t="s">
        <v>132</v>
      </c>
      <c r="AQ169" t="s">
        <v>532</v>
      </c>
      <c r="AR169">
        <v>5.5</v>
      </c>
      <c r="AS169" t="s">
        <v>132</v>
      </c>
      <c r="AT169" t="s">
        <v>532</v>
      </c>
      <c r="AU169">
        <v>5.5</v>
      </c>
      <c r="AV169" t="s">
        <v>132</v>
      </c>
      <c r="AW169" t="s">
        <v>532</v>
      </c>
      <c r="AX169">
        <v>5.5</v>
      </c>
      <c r="AY169" t="s">
        <v>132</v>
      </c>
      <c r="AZ169" t="s">
        <v>532</v>
      </c>
      <c r="BA169">
        <v>5.51</v>
      </c>
      <c r="BB169" t="s">
        <v>132</v>
      </c>
      <c r="BC169" t="s">
        <v>532</v>
      </c>
      <c r="BD169">
        <v>5.51</v>
      </c>
      <c r="BE169" t="s">
        <v>132</v>
      </c>
      <c r="BF169" t="s">
        <v>532</v>
      </c>
      <c r="BG169">
        <v>5.51</v>
      </c>
      <c r="BH169" t="s">
        <v>132</v>
      </c>
      <c r="BI169" t="s">
        <v>532</v>
      </c>
      <c r="BJ169">
        <v>5.51</v>
      </c>
      <c r="BK169" t="s">
        <v>132</v>
      </c>
      <c r="BL169" t="s">
        <v>240</v>
      </c>
      <c r="BM169">
        <v>41</v>
      </c>
      <c r="BN169" t="s">
        <v>241</v>
      </c>
      <c r="BO169" t="s">
        <v>240</v>
      </c>
      <c r="BP169">
        <v>41.05</v>
      </c>
      <c r="BQ169" t="s">
        <v>241</v>
      </c>
      <c r="BR169" t="s">
        <v>240</v>
      </c>
      <c r="BS169">
        <v>42.65</v>
      </c>
      <c r="BT169" t="s">
        <v>241</v>
      </c>
      <c r="BU169" t="s">
        <v>240</v>
      </c>
      <c r="BV169">
        <v>43.9</v>
      </c>
      <c r="BW169" t="s">
        <v>241</v>
      </c>
      <c r="BX169" t="s">
        <v>240</v>
      </c>
      <c r="BY169">
        <v>42.5</v>
      </c>
      <c r="BZ169" t="s">
        <v>241</v>
      </c>
      <c r="CA169" t="s">
        <v>378</v>
      </c>
      <c r="CB169">
        <v>27.5</v>
      </c>
      <c r="CC169" t="s">
        <v>67</v>
      </c>
      <c r="CD169" t="s">
        <v>240</v>
      </c>
      <c r="CE169">
        <v>42.85</v>
      </c>
      <c r="CF169" t="s">
        <v>241</v>
      </c>
      <c r="CG169" t="s">
        <v>240</v>
      </c>
      <c r="CH169">
        <v>42.69</v>
      </c>
      <c r="CI169" t="s">
        <v>241</v>
      </c>
      <c r="CJ169" t="s">
        <v>240</v>
      </c>
      <c r="CK169">
        <v>42.99</v>
      </c>
      <c r="CL169" t="s">
        <v>241</v>
      </c>
      <c r="CM169" t="s">
        <v>240</v>
      </c>
      <c r="CN169">
        <v>42.9</v>
      </c>
      <c r="CO169" t="s">
        <v>241</v>
      </c>
      <c r="CP169" t="s">
        <v>240</v>
      </c>
      <c r="CQ169">
        <v>43.55</v>
      </c>
      <c r="CR169" t="s">
        <v>241</v>
      </c>
      <c r="CS169" t="s">
        <v>240</v>
      </c>
      <c r="CT169">
        <v>45.22</v>
      </c>
      <c r="CU169" t="s">
        <v>241</v>
      </c>
      <c r="CV169" t="s">
        <v>240</v>
      </c>
      <c r="CW169">
        <v>42.75</v>
      </c>
      <c r="CX169" t="s">
        <v>241</v>
      </c>
      <c r="CY169" t="s">
        <v>240</v>
      </c>
      <c r="CZ169">
        <v>43.05</v>
      </c>
      <c r="DA169" t="s">
        <v>241</v>
      </c>
      <c r="DB169" t="s">
        <v>240</v>
      </c>
      <c r="DC169">
        <v>44.99</v>
      </c>
      <c r="DD169" t="s">
        <v>241</v>
      </c>
      <c r="DE169" t="s">
        <v>240</v>
      </c>
      <c r="DF169">
        <v>43.98</v>
      </c>
      <c r="DG169" t="s">
        <v>241</v>
      </c>
      <c r="DH169" t="s">
        <v>240</v>
      </c>
      <c r="DI169">
        <v>44.74</v>
      </c>
      <c r="DJ169" t="s">
        <v>241</v>
      </c>
      <c r="DK169" t="s">
        <v>242</v>
      </c>
      <c r="DL169">
        <v>173</v>
      </c>
      <c r="DM169" t="s">
        <v>243</v>
      </c>
      <c r="DN169" t="s">
        <v>242</v>
      </c>
      <c r="DO169">
        <v>170.5</v>
      </c>
      <c r="DP169" t="s">
        <v>243</v>
      </c>
      <c r="DQ169" t="s">
        <v>242</v>
      </c>
      <c r="DR169">
        <v>179.98</v>
      </c>
      <c r="DS169" t="s">
        <v>243</v>
      </c>
      <c r="DT169" t="s">
        <v>325</v>
      </c>
      <c r="DU169">
        <v>2.2000000000000002</v>
      </c>
      <c r="DV169" t="s">
        <v>465</v>
      </c>
      <c r="DW169" t="s">
        <v>325</v>
      </c>
      <c r="DX169">
        <v>2.2000000000000002</v>
      </c>
      <c r="DY169" t="s">
        <v>465</v>
      </c>
      <c r="DZ169" t="s">
        <v>325</v>
      </c>
      <c r="EA169">
        <v>2.2000000000000002</v>
      </c>
      <c r="EB169" t="s">
        <v>465</v>
      </c>
      <c r="EC169" t="s">
        <v>325</v>
      </c>
      <c r="ED169">
        <v>2.2000000000000002</v>
      </c>
      <c r="EE169" t="s">
        <v>465</v>
      </c>
      <c r="EF169" t="s">
        <v>325</v>
      </c>
      <c r="EG169">
        <v>2.2000000000000002</v>
      </c>
      <c r="EH169" t="s">
        <v>465</v>
      </c>
      <c r="EI169" t="s">
        <v>325</v>
      </c>
      <c r="EJ169">
        <v>2.31</v>
      </c>
      <c r="EK169" t="s">
        <v>465</v>
      </c>
    </row>
    <row r="170" spans="1:141">
      <c r="A170" t="s">
        <v>532</v>
      </c>
      <c r="B170">
        <v>5.51</v>
      </c>
      <c r="C170" t="s">
        <v>132</v>
      </c>
      <c r="D170" t="s">
        <v>532</v>
      </c>
      <c r="E170">
        <v>5.51</v>
      </c>
      <c r="F170" t="s">
        <v>132</v>
      </c>
      <c r="G170" t="s">
        <v>646</v>
      </c>
      <c r="H170">
        <v>6.14</v>
      </c>
      <c r="I170" t="s">
        <v>117</v>
      </c>
      <c r="J170" t="s">
        <v>646</v>
      </c>
      <c r="K170">
        <v>5.53</v>
      </c>
      <c r="L170" t="s">
        <v>117</v>
      </c>
      <c r="M170" t="s">
        <v>646</v>
      </c>
      <c r="N170">
        <v>4.9800000000000004</v>
      </c>
      <c r="O170" t="s">
        <v>117</v>
      </c>
      <c r="P170" t="s">
        <v>240</v>
      </c>
      <c r="Q170">
        <v>39.08</v>
      </c>
      <c r="R170" t="s">
        <v>241</v>
      </c>
      <c r="S170" t="s">
        <v>646</v>
      </c>
      <c r="T170">
        <v>4.9800000000000004</v>
      </c>
      <c r="U170" t="s">
        <v>117</v>
      </c>
      <c r="V170" t="s">
        <v>646</v>
      </c>
      <c r="W170">
        <v>4.9800000000000004</v>
      </c>
      <c r="X170" t="s">
        <v>117</v>
      </c>
      <c r="Y170" t="s">
        <v>646</v>
      </c>
      <c r="Z170">
        <v>4.9800000000000004</v>
      </c>
      <c r="AA170" t="s">
        <v>117</v>
      </c>
      <c r="AB170" t="s">
        <v>646</v>
      </c>
      <c r="AC170">
        <v>4.9800000000000004</v>
      </c>
      <c r="AD170" t="s">
        <v>117</v>
      </c>
      <c r="AE170" t="s">
        <v>646</v>
      </c>
      <c r="AF170">
        <v>4.9800000000000004</v>
      </c>
      <c r="AG170" t="s">
        <v>117</v>
      </c>
      <c r="AH170" t="s">
        <v>646</v>
      </c>
      <c r="AI170">
        <v>4.49</v>
      </c>
      <c r="AJ170" t="s">
        <v>117</v>
      </c>
      <c r="AK170" t="s">
        <v>646</v>
      </c>
      <c r="AL170">
        <v>4.49</v>
      </c>
      <c r="AM170" t="s">
        <v>117</v>
      </c>
      <c r="AN170" t="s">
        <v>646</v>
      </c>
      <c r="AO170">
        <v>4.49</v>
      </c>
      <c r="AP170" t="s">
        <v>117</v>
      </c>
      <c r="AQ170" t="s">
        <v>646</v>
      </c>
      <c r="AR170">
        <v>4.49</v>
      </c>
      <c r="AS170" t="s">
        <v>117</v>
      </c>
      <c r="AT170" t="s">
        <v>646</v>
      </c>
      <c r="AU170">
        <v>4.54</v>
      </c>
      <c r="AV170" t="s">
        <v>117</v>
      </c>
      <c r="AW170" t="s">
        <v>646</v>
      </c>
      <c r="AX170">
        <v>4.0999999999999996</v>
      </c>
      <c r="AY170" t="s">
        <v>117</v>
      </c>
      <c r="AZ170" t="s">
        <v>646</v>
      </c>
      <c r="BA170">
        <v>3.96</v>
      </c>
      <c r="BB170" t="s">
        <v>117</v>
      </c>
      <c r="BC170" t="s">
        <v>646</v>
      </c>
      <c r="BD170">
        <v>3.34</v>
      </c>
      <c r="BE170" t="s">
        <v>117</v>
      </c>
      <c r="BF170" t="s">
        <v>646</v>
      </c>
      <c r="BG170">
        <v>3.2</v>
      </c>
      <c r="BH170" t="s">
        <v>117</v>
      </c>
      <c r="BI170" t="s">
        <v>646</v>
      </c>
      <c r="BJ170">
        <v>3.5</v>
      </c>
      <c r="BK170" t="s">
        <v>117</v>
      </c>
      <c r="BL170" t="s">
        <v>242</v>
      </c>
      <c r="BM170">
        <v>167.5</v>
      </c>
      <c r="BN170" t="s">
        <v>243</v>
      </c>
      <c r="BO170" t="s">
        <v>242</v>
      </c>
      <c r="BP170">
        <v>170</v>
      </c>
      <c r="BQ170" t="s">
        <v>243</v>
      </c>
      <c r="BR170" t="s">
        <v>242</v>
      </c>
      <c r="BS170">
        <v>170</v>
      </c>
      <c r="BT170" t="s">
        <v>243</v>
      </c>
      <c r="BU170" t="s">
        <v>242</v>
      </c>
      <c r="BV170">
        <v>163.05000000000001</v>
      </c>
      <c r="BW170" t="s">
        <v>243</v>
      </c>
      <c r="BX170" t="s">
        <v>242</v>
      </c>
      <c r="BY170">
        <v>168.7</v>
      </c>
      <c r="BZ170" t="s">
        <v>243</v>
      </c>
      <c r="CA170" t="s">
        <v>239</v>
      </c>
      <c r="CB170">
        <v>27.7</v>
      </c>
      <c r="CC170" t="s">
        <v>75</v>
      </c>
      <c r="CD170" t="s">
        <v>242</v>
      </c>
      <c r="CE170">
        <v>166.7</v>
      </c>
      <c r="CF170" t="s">
        <v>243</v>
      </c>
      <c r="CG170" t="s">
        <v>242</v>
      </c>
      <c r="CH170">
        <v>167.88</v>
      </c>
      <c r="CI170" t="s">
        <v>243</v>
      </c>
      <c r="CJ170" t="s">
        <v>242</v>
      </c>
      <c r="CK170">
        <v>164.6</v>
      </c>
      <c r="CL170" t="s">
        <v>243</v>
      </c>
      <c r="CM170" t="s">
        <v>242</v>
      </c>
      <c r="CN170">
        <v>163.05000000000001</v>
      </c>
      <c r="CO170" t="s">
        <v>243</v>
      </c>
      <c r="CP170" t="s">
        <v>242</v>
      </c>
      <c r="CQ170">
        <v>165</v>
      </c>
      <c r="CR170" t="s">
        <v>243</v>
      </c>
      <c r="CS170" t="s">
        <v>242</v>
      </c>
      <c r="CT170">
        <v>165.45</v>
      </c>
      <c r="CU170" t="s">
        <v>243</v>
      </c>
      <c r="CV170" t="s">
        <v>242</v>
      </c>
      <c r="CW170">
        <v>163.66</v>
      </c>
      <c r="CX170" t="s">
        <v>243</v>
      </c>
      <c r="CY170" t="s">
        <v>242</v>
      </c>
      <c r="CZ170">
        <v>169.98</v>
      </c>
      <c r="DA170" t="s">
        <v>243</v>
      </c>
      <c r="DB170" t="s">
        <v>242</v>
      </c>
      <c r="DC170">
        <v>174.43</v>
      </c>
      <c r="DD170" t="s">
        <v>243</v>
      </c>
      <c r="DE170" t="s">
        <v>242</v>
      </c>
      <c r="DF170">
        <v>171.62</v>
      </c>
      <c r="DG170" t="s">
        <v>243</v>
      </c>
      <c r="DH170" t="s">
        <v>242</v>
      </c>
      <c r="DI170">
        <v>179.5</v>
      </c>
      <c r="DJ170" t="s">
        <v>243</v>
      </c>
      <c r="DK170" t="s">
        <v>532</v>
      </c>
      <c r="DL170">
        <v>5.51</v>
      </c>
      <c r="DM170" t="s">
        <v>132</v>
      </c>
      <c r="DN170" t="s">
        <v>532</v>
      </c>
      <c r="DO170">
        <v>5.51</v>
      </c>
      <c r="DP170" t="s">
        <v>132</v>
      </c>
      <c r="DQ170" t="s">
        <v>532</v>
      </c>
      <c r="DR170">
        <v>5.78</v>
      </c>
      <c r="DS170" t="s">
        <v>132</v>
      </c>
      <c r="DT170" t="s">
        <v>390</v>
      </c>
      <c r="DU170">
        <v>0.41</v>
      </c>
      <c r="DV170" t="s">
        <v>244</v>
      </c>
      <c r="DW170" t="s">
        <v>390</v>
      </c>
      <c r="DX170">
        <v>0.44</v>
      </c>
      <c r="DY170" t="s">
        <v>244</v>
      </c>
      <c r="DZ170" t="s">
        <v>390</v>
      </c>
      <c r="EA170">
        <v>0.43</v>
      </c>
      <c r="EB170" t="s">
        <v>244</v>
      </c>
      <c r="EC170" t="s">
        <v>390</v>
      </c>
      <c r="ED170">
        <v>0.48</v>
      </c>
      <c r="EE170" t="s">
        <v>244</v>
      </c>
      <c r="EF170" t="s">
        <v>390</v>
      </c>
      <c r="EG170">
        <v>0.47</v>
      </c>
      <c r="EH170" t="s">
        <v>244</v>
      </c>
      <c r="EI170" t="s">
        <v>390</v>
      </c>
      <c r="EJ170">
        <v>0.47</v>
      </c>
      <c r="EK170" t="s">
        <v>244</v>
      </c>
    </row>
    <row r="171" spans="1:141">
      <c r="A171" t="s">
        <v>646</v>
      </c>
      <c r="B171">
        <v>6.18</v>
      </c>
      <c r="C171" t="s">
        <v>117</v>
      </c>
      <c r="D171" t="s">
        <v>646</v>
      </c>
      <c r="E171">
        <v>6.79</v>
      </c>
      <c r="F171" t="s">
        <v>117</v>
      </c>
      <c r="G171" t="s">
        <v>325</v>
      </c>
      <c r="H171">
        <v>2.2000000000000002</v>
      </c>
      <c r="I171" t="s">
        <v>465</v>
      </c>
      <c r="J171" t="s">
        <v>325</v>
      </c>
      <c r="K171">
        <v>2.2000000000000002</v>
      </c>
      <c r="L171" t="s">
        <v>465</v>
      </c>
      <c r="M171" t="s">
        <v>325</v>
      </c>
      <c r="N171">
        <v>2.2000000000000002</v>
      </c>
      <c r="O171" t="s">
        <v>465</v>
      </c>
      <c r="P171" t="s">
        <v>242</v>
      </c>
      <c r="Q171">
        <v>186.85</v>
      </c>
      <c r="R171" t="s">
        <v>243</v>
      </c>
      <c r="S171" t="s">
        <v>325</v>
      </c>
      <c r="T171">
        <v>2.2000000000000002</v>
      </c>
      <c r="U171" t="s">
        <v>465</v>
      </c>
      <c r="V171" t="s">
        <v>325</v>
      </c>
      <c r="W171">
        <v>2.2000000000000002</v>
      </c>
      <c r="X171" t="s">
        <v>465</v>
      </c>
      <c r="Y171" t="s">
        <v>325</v>
      </c>
      <c r="Z171">
        <v>2.2000000000000002</v>
      </c>
      <c r="AA171" t="s">
        <v>465</v>
      </c>
      <c r="AB171" t="s">
        <v>325</v>
      </c>
      <c r="AC171">
        <v>2.2000000000000002</v>
      </c>
      <c r="AD171" t="s">
        <v>465</v>
      </c>
      <c r="AE171" t="s">
        <v>325</v>
      </c>
      <c r="AF171">
        <v>2.2000000000000002</v>
      </c>
      <c r="AG171" t="s">
        <v>465</v>
      </c>
      <c r="AH171" t="s">
        <v>325</v>
      </c>
      <c r="AI171">
        <v>2.2000000000000002</v>
      </c>
      <c r="AJ171" t="s">
        <v>465</v>
      </c>
      <c r="AK171" t="s">
        <v>325</v>
      </c>
      <c r="AL171">
        <v>2.2000000000000002</v>
      </c>
      <c r="AM171" t="s">
        <v>465</v>
      </c>
      <c r="AN171" t="s">
        <v>325</v>
      </c>
      <c r="AO171">
        <v>2.2000000000000002</v>
      </c>
      <c r="AP171" t="s">
        <v>465</v>
      </c>
      <c r="AQ171" t="s">
        <v>325</v>
      </c>
      <c r="AR171">
        <v>2.2000000000000002</v>
      </c>
      <c r="AS171" t="s">
        <v>465</v>
      </c>
      <c r="AT171" t="s">
        <v>325</v>
      </c>
      <c r="AU171">
        <v>2.2000000000000002</v>
      </c>
      <c r="AV171" t="s">
        <v>465</v>
      </c>
      <c r="AW171" t="s">
        <v>325</v>
      </c>
      <c r="AX171">
        <v>2.2000000000000002</v>
      </c>
      <c r="AY171" t="s">
        <v>465</v>
      </c>
      <c r="AZ171" t="s">
        <v>325</v>
      </c>
      <c r="BA171">
        <v>2.2000000000000002</v>
      </c>
      <c r="BB171" t="s">
        <v>465</v>
      </c>
      <c r="BC171" t="s">
        <v>325</v>
      </c>
      <c r="BD171">
        <v>2.2000000000000002</v>
      </c>
      <c r="BE171" t="s">
        <v>465</v>
      </c>
      <c r="BF171" t="s">
        <v>325</v>
      </c>
      <c r="BG171">
        <v>2.2000000000000002</v>
      </c>
      <c r="BH171" t="s">
        <v>465</v>
      </c>
      <c r="BI171" t="s">
        <v>325</v>
      </c>
      <c r="BJ171">
        <v>2.2000000000000002</v>
      </c>
      <c r="BK171" t="s">
        <v>465</v>
      </c>
      <c r="BL171" t="s">
        <v>532</v>
      </c>
      <c r="BM171">
        <v>5.51</v>
      </c>
      <c r="BN171" t="s">
        <v>132</v>
      </c>
      <c r="BO171" t="s">
        <v>532</v>
      </c>
      <c r="BP171">
        <v>5.51</v>
      </c>
      <c r="BQ171" t="s">
        <v>132</v>
      </c>
      <c r="BR171" t="s">
        <v>532</v>
      </c>
      <c r="BS171">
        <v>5.51</v>
      </c>
      <c r="BT171" t="s">
        <v>132</v>
      </c>
      <c r="BU171" t="s">
        <v>532</v>
      </c>
      <c r="BV171">
        <v>5.51</v>
      </c>
      <c r="BW171" t="s">
        <v>132</v>
      </c>
      <c r="BX171" t="s">
        <v>532</v>
      </c>
      <c r="BY171">
        <v>5.51</v>
      </c>
      <c r="BZ171" t="s">
        <v>132</v>
      </c>
      <c r="CA171" t="s">
        <v>400</v>
      </c>
      <c r="CB171">
        <v>28</v>
      </c>
      <c r="CC171" t="s">
        <v>36</v>
      </c>
      <c r="CD171" t="s">
        <v>532</v>
      </c>
      <c r="CE171">
        <v>5.51</v>
      </c>
      <c r="CF171" t="s">
        <v>132</v>
      </c>
      <c r="CG171" t="s">
        <v>532</v>
      </c>
      <c r="CH171">
        <v>5.51</v>
      </c>
      <c r="CI171" t="s">
        <v>132</v>
      </c>
      <c r="CJ171" t="s">
        <v>532</v>
      </c>
      <c r="CK171">
        <v>5.51</v>
      </c>
      <c r="CL171" t="s">
        <v>132</v>
      </c>
      <c r="CM171" t="s">
        <v>532</v>
      </c>
      <c r="CN171">
        <v>5.51</v>
      </c>
      <c r="CO171" t="s">
        <v>132</v>
      </c>
      <c r="CP171" t="s">
        <v>532</v>
      </c>
      <c r="CQ171">
        <v>5.51</v>
      </c>
      <c r="CR171" t="s">
        <v>132</v>
      </c>
      <c r="CS171" t="s">
        <v>532</v>
      </c>
      <c r="CT171">
        <v>5.51</v>
      </c>
      <c r="CU171" t="s">
        <v>132</v>
      </c>
      <c r="CV171" t="s">
        <v>532</v>
      </c>
      <c r="CW171">
        <v>5.51</v>
      </c>
      <c r="CX171" t="s">
        <v>132</v>
      </c>
      <c r="CY171" t="s">
        <v>532</v>
      </c>
      <c r="CZ171">
        <v>5.51</v>
      </c>
      <c r="DA171" t="s">
        <v>132</v>
      </c>
      <c r="DB171" t="s">
        <v>532</v>
      </c>
      <c r="DC171">
        <v>5.51</v>
      </c>
      <c r="DD171" t="s">
        <v>132</v>
      </c>
      <c r="DE171" t="s">
        <v>532</v>
      </c>
      <c r="DF171">
        <v>5.51</v>
      </c>
      <c r="DG171" t="s">
        <v>132</v>
      </c>
      <c r="DH171" t="s">
        <v>532</v>
      </c>
      <c r="DI171">
        <v>5.51</v>
      </c>
      <c r="DJ171" t="s">
        <v>132</v>
      </c>
      <c r="DK171" t="s">
        <v>646</v>
      </c>
      <c r="DL171">
        <v>3.2</v>
      </c>
      <c r="DM171" t="s">
        <v>117</v>
      </c>
      <c r="DN171" t="s">
        <v>646</v>
      </c>
      <c r="DO171">
        <v>3.2</v>
      </c>
      <c r="DP171" t="s">
        <v>117</v>
      </c>
      <c r="DQ171" t="s">
        <v>646</v>
      </c>
      <c r="DR171">
        <v>4.54</v>
      </c>
      <c r="DS171" t="s">
        <v>117</v>
      </c>
      <c r="DT171" t="s">
        <v>339</v>
      </c>
      <c r="DU171">
        <v>0.32</v>
      </c>
      <c r="DV171" t="s">
        <v>245</v>
      </c>
      <c r="DW171" t="s">
        <v>339</v>
      </c>
      <c r="DX171">
        <v>0.32</v>
      </c>
      <c r="DY171" t="s">
        <v>245</v>
      </c>
      <c r="DZ171" t="s">
        <v>339</v>
      </c>
      <c r="EA171">
        <v>0.33</v>
      </c>
      <c r="EB171" t="s">
        <v>245</v>
      </c>
      <c r="EC171" t="s">
        <v>339</v>
      </c>
      <c r="ED171">
        <v>0.31</v>
      </c>
      <c r="EE171" t="s">
        <v>245</v>
      </c>
      <c r="EF171" t="s">
        <v>339</v>
      </c>
      <c r="EG171">
        <v>0.35</v>
      </c>
      <c r="EH171" t="s">
        <v>245</v>
      </c>
      <c r="EI171" t="s">
        <v>339</v>
      </c>
      <c r="EJ171">
        <v>0.35</v>
      </c>
      <c r="EK171" t="s">
        <v>245</v>
      </c>
    </row>
    <row r="172" spans="1:141">
      <c r="A172" t="s">
        <v>325</v>
      </c>
      <c r="B172">
        <v>2.2000000000000002</v>
      </c>
      <c r="C172" t="s">
        <v>465</v>
      </c>
      <c r="D172" t="s">
        <v>325</v>
      </c>
      <c r="E172">
        <v>2.2000000000000002</v>
      </c>
      <c r="F172" t="s">
        <v>465</v>
      </c>
      <c r="G172" t="s">
        <v>390</v>
      </c>
      <c r="H172">
        <v>0.34</v>
      </c>
      <c r="I172" t="s">
        <v>244</v>
      </c>
      <c r="J172" t="s">
        <v>390</v>
      </c>
      <c r="K172">
        <v>0.34</v>
      </c>
      <c r="L172" t="s">
        <v>244</v>
      </c>
      <c r="M172" t="s">
        <v>390</v>
      </c>
      <c r="N172">
        <v>0.34</v>
      </c>
      <c r="O172" t="s">
        <v>244</v>
      </c>
      <c r="P172" t="s">
        <v>532</v>
      </c>
      <c r="Q172">
        <v>5.5</v>
      </c>
      <c r="R172" t="s">
        <v>132</v>
      </c>
      <c r="S172" t="s">
        <v>390</v>
      </c>
      <c r="T172">
        <v>0.34</v>
      </c>
      <c r="U172" t="s">
        <v>244</v>
      </c>
      <c r="V172" t="s">
        <v>390</v>
      </c>
      <c r="W172">
        <v>0.34</v>
      </c>
      <c r="X172" t="s">
        <v>244</v>
      </c>
      <c r="Y172" t="s">
        <v>390</v>
      </c>
      <c r="Z172">
        <v>0.34</v>
      </c>
      <c r="AA172" t="s">
        <v>244</v>
      </c>
      <c r="AB172" t="s">
        <v>390</v>
      </c>
      <c r="AC172">
        <v>0.35</v>
      </c>
      <c r="AD172" t="s">
        <v>244</v>
      </c>
      <c r="AE172" t="s">
        <v>390</v>
      </c>
      <c r="AF172">
        <v>0.36</v>
      </c>
      <c r="AG172" t="s">
        <v>244</v>
      </c>
      <c r="AH172" t="s">
        <v>390</v>
      </c>
      <c r="AI172">
        <v>0.36</v>
      </c>
      <c r="AJ172" t="s">
        <v>244</v>
      </c>
      <c r="AK172" t="s">
        <v>390</v>
      </c>
      <c r="AL172">
        <v>0.36</v>
      </c>
      <c r="AM172" t="s">
        <v>244</v>
      </c>
      <c r="AN172" t="s">
        <v>390</v>
      </c>
      <c r="AO172">
        <v>0.36</v>
      </c>
      <c r="AP172" t="s">
        <v>244</v>
      </c>
      <c r="AQ172" t="s">
        <v>390</v>
      </c>
      <c r="AR172">
        <v>0.41</v>
      </c>
      <c r="AS172" t="s">
        <v>244</v>
      </c>
      <c r="AT172" t="s">
        <v>390</v>
      </c>
      <c r="AU172">
        <v>0.45</v>
      </c>
      <c r="AV172" t="s">
        <v>244</v>
      </c>
      <c r="AW172" t="s">
        <v>390</v>
      </c>
      <c r="AX172">
        <v>0.43</v>
      </c>
      <c r="AY172" t="s">
        <v>244</v>
      </c>
      <c r="AZ172" t="s">
        <v>390</v>
      </c>
      <c r="BA172">
        <v>0.42</v>
      </c>
      <c r="BB172" t="s">
        <v>244</v>
      </c>
      <c r="BC172" t="s">
        <v>390</v>
      </c>
      <c r="BD172">
        <v>0.41</v>
      </c>
      <c r="BE172" t="s">
        <v>244</v>
      </c>
      <c r="BF172" t="s">
        <v>390</v>
      </c>
      <c r="BG172">
        <v>0.41</v>
      </c>
      <c r="BH172" t="s">
        <v>244</v>
      </c>
      <c r="BI172" t="s">
        <v>390</v>
      </c>
      <c r="BJ172">
        <v>0.43</v>
      </c>
      <c r="BK172" t="s">
        <v>244</v>
      </c>
      <c r="BL172" t="s">
        <v>646</v>
      </c>
      <c r="BM172">
        <v>3.45</v>
      </c>
      <c r="BN172" t="s">
        <v>117</v>
      </c>
      <c r="BO172" t="s">
        <v>646</v>
      </c>
      <c r="BP172">
        <v>3.33</v>
      </c>
      <c r="BQ172" t="s">
        <v>117</v>
      </c>
      <c r="BR172" t="s">
        <v>646</v>
      </c>
      <c r="BS172">
        <v>3.26</v>
      </c>
      <c r="BT172" t="s">
        <v>117</v>
      </c>
      <c r="BU172" t="s">
        <v>646</v>
      </c>
      <c r="BV172">
        <v>3.38</v>
      </c>
      <c r="BW172" t="s">
        <v>117</v>
      </c>
      <c r="BX172" t="s">
        <v>646</v>
      </c>
      <c r="BY172">
        <v>3.3</v>
      </c>
      <c r="BZ172" t="s">
        <v>117</v>
      </c>
      <c r="CA172" t="s">
        <v>240</v>
      </c>
      <c r="CB172">
        <v>42</v>
      </c>
      <c r="CC172" t="s">
        <v>241</v>
      </c>
      <c r="CD172" t="s">
        <v>646</v>
      </c>
      <c r="CE172">
        <v>3.2</v>
      </c>
      <c r="CF172" t="s">
        <v>117</v>
      </c>
      <c r="CG172" t="s">
        <v>646</v>
      </c>
      <c r="CH172">
        <v>3.2</v>
      </c>
      <c r="CI172" t="s">
        <v>117</v>
      </c>
      <c r="CJ172" t="s">
        <v>646</v>
      </c>
      <c r="CK172">
        <v>3.2</v>
      </c>
      <c r="CL172" t="s">
        <v>117</v>
      </c>
      <c r="CM172" t="s">
        <v>646</v>
      </c>
      <c r="CN172">
        <v>3.2</v>
      </c>
      <c r="CO172" t="s">
        <v>117</v>
      </c>
      <c r="CP172" t="s">
        <v>646</v>
      </c>
      <c r="CQ172">
        <v>3.2</v>
      </c>
      <c r="CR172" t="s">
        <v>117</v>
      </c>
      <c r="CS172" t="s">
        <v>646</v>
      </c>
      <c r="CT172">
        <v>3.2</v>
      </c>
      <c r="CU172" t="s">
        <v>117</v>
      </c>
      <c r="CV172" t="s">
        <v>646</v>
      </c>
      <c r="CW172">
        <v>3.2</v>
      </c>
      <c r="CX172" t="s">
        <v>117</v>
      </c>
      <c r="CY172" t="s">
        <v>646</v>
      </c>
      <c r="CZ172">
        <v>3.2</v>
      </c>
      <c r="DA172" t="s">
        <v>117</v>
      </c>
      <c r="DB172" t="s">
        <v>646</v>
      </c>
      <c r="DC172">
        <v>3.2</v>
      </c>
      <c r="DD172" t="s">
        <v>117</v>
      </c>
      <c r="DE172" t="s">
        <v>646</v>
      </c>
      <c r="DF172">
        <v>3.2</v>
      </c>
      <c r="DG172" t="s">
        <v>117</v>
      </c>
      <c r="DH172" t="s">
        <v>646</v>
      </c>
      <c r="DI172">
        <v>3.2</v>
      </c>
      <c r="DJ172" t="s">
        <v>117</v>
      </c>
      <c r="DK172" t="s">
        <v>325</v>
      </c>
      <c r="DL172">
        <v>2.2000000000000002</v>
      </c>
      <c r="DM172" t="s">
        <v>465</v>
      </c>
      <c r="DN172" t="s">
        <v>325</v>
      </c>
      <c r="DO172">
        <v>2.2000000000000002</v>
      </c>
      <c r="DP172" t="s">
        <v>465</v>
      </c>
      <c r="DQ172" t="s">
        <v>325</v>
      </c>
      <c r="DR172">
        <v>2.2000000000000002</v>
      </c>
      <c r="DS172" t="s">
        <v>465</v>
      </c>
      <c r="DT172" t="s">
        <v>346</v>
      </c>
      <c r="DU172">
        <v>17.559999999999999</v>
      </c>
      <c r="DV172" t="s">
        <v>91</v>
      </c>
      <c r="DW172" t="s">
        <v>346</v>
      </c>
      <c r="DX172">
        <v>17.7</v>
      </c>
      <c r="DY172" t="s">
        <v>91</v>
      </c>
      <c r="DZ172" t="s">
        <v>346</v>
      </c>
      <c r="EA172">
        <v>17.399999999999999</v>
      </c>
      <c r="EB172" t="s">
        <v>91</v>
      </c>
      <c r="EC172" t="s">
        <v>346</v>
      </c>
      <c r="ED172">
        <v>17.93</v>
      </c>
      <c r="EE172" t="s">
        <v>91</v>
      </c>
      <c r="EF172" t="s">
        <v>346</v>
      </c>
      <c r="EG172">
        <v>19.39</v>
      </c>
      <c r="EH172" t="s">
        <v>91</v>
      </c>
      <c r="EI172" t="s">
        <v>346</v>
      </c>
      <c r="EJ172">
        <v>19.45</v>
      </c>
      <c r="EK172" t="s">
        <v>91</v>
      </c>
    </row>
    <row r="173" spans="1:141">
      <c r="A173" t="s">
        <v>390</v>
      </c>
      <c r="B173">
        <v>0.36</v>
      </c>
      <c r="C173" t="s">
        <v>244</v>
      </c>
      <c r="D173" t="s">
        <v>390</v>
      </c>
      <c r="E173">
        <v>0.35</v>
      </c>
      <c r="F173" t="s">
        <v>244</v>
      </c>
      <c r="G173" t="s">
        <v>339</v>
      </c>
      <c r="H173">
        <v>0.38</v>
      </c>
      <c r="I173" t="s">
        <v>245</v>
      </c>
      <c r="J173" t="s">
        <v>339</v>
      </c>
      <c r="K173">
        <v>0.37</v>
      </c>
      <c r="L173" t="s">
        <v>245</v>
      </c>
      <c r="M173" t="s">
        <v>339</v>
      </c>
      <c r="N173">
        <v>0.37</v>
      </c>
      <c r="O173" t="s">
        <v>245</v>
      </c>
      <c r="P173" t="s">
        <v>646</v>
      </c>
      <c r="Q173">
        <v>4.9800000000000004</v>
      </c>
      <c r="R173" t="s">
        <v>117</v>
      </c>
      <c r="S173" t="s">
        <v>339</v>
      </c>
      <c r="T173">
        <v>0.37</v>
      </c>
      <c r="U173" t="s">
        <v>245</v>
      </c>
      <c r="V173" t="s">
        <v>339</v>
      </c>
      <c r="W173">
        <v>0.37</v>
      </c>
      <c r="X173" t="s">
        <v>245</v>
      </c>
      <c r="Y173" t="s">
        <v>339</v>
      </c>
      <c r="Z173">
        <v>0.36</v>
      </c>
      <c r="AA173" t="s">
        <v>245</v>
      </c>
      <c r="AB173" t="s">
        <v>339</v>
      </c>
      <c r="AC173">
        <v>0.36</v>
      </c>
      <c r="AD173" t="s">
        <v>245</v>
      </c>
      <c r="AE173" t="s">
        <v>339</v>
      </c>
      <c r="AF173">
        <v>0.35</v>
      </c>
      <c r="AG173" t="s">
        <v>245</v>
      </c>
      <c r="AH173" t="s">
        <v>339</v>
      </c>
      <c r="AI173">
        <v>0.36</v>
      </c>
      <c r="AJ173" t="s">
        <v>245</v>
      </c>
      <c r="AK173" t="s">
        <v>339</v>
      </c>
      <c r="AL173">
        <v>0.35</v>
      </c>
      <c r="AM173" t="s">
        <v>245</v>
      </c>
      <c r="AN173" t="s">
        <v>339</v>
      </c>
      <c r="AO173">
        <v>0.36</v>
      </c>
      <c r="AP173" t="s">
        <v>245</v>
      </c>
      <c r="AQ173" t="s">
        <v>339</v>
      </c>
      <c r="AR173">
        <v>0.37</v>
      </c>
      <c r="AS173" t="s">
        <v>245</v>
      </c>
      <c r="AT173" t="s">
        <v>339</v>
      </c>
      <c r="AU173">
        <v>0.36</v>
      </c>
      <c r="AV173" t="s">
        <v>245</v>
      </c>
      <c r="AW173" t="s">
        <v>339</v>
      </c>
      <c r="AX173">
        <v>0.36</v>
      </c>
      <c r="AY173" t="s">
        <v>245</v>
      </c>
      <c r="AZ173" t="s">
        <v>339</v>
      </c>
      <c r="BA173">
        <v>0.34</v>
      </c>
      <c r="BB173" t="s">
        <v>245</v>
      </c>
      <c r="BC173" t="s">
        <v>339</v>
      </c>
      <c r="BD173">
        <v>0.36</v>
      </c>
      <c r="BE173" t="s">
        <v>245</v>
      </c>
      <c r="BF173" t="s">
        <v>339</v>
      </c>
      <c r="BG173">
        <v>0.35</v>
      </c>
      <c r="BH173" t="s">
        <v>245</v>
      </c>
      <c r="BI173" t="s">
        <v>339</v>
      </c>
      <c r="BJ173">
        <v>0.35</v>
      </c>
      <c r="BK173" t="s">
        <v>245</v>
      </c>
      <c r="BL173" t="s">
        <v>325</v>
      </c>
      <c r="BM173">
        <v>2.2000000000000002</v>
      </c>
      <c r="BN173" t="s">
        <v>465</v>
      </c>
      <c r="BO173" t="s">
        <v>325</v>
      </c>
      <c r="BP173">
        <v>2.2000000000000002</v>
      </c>
      <c r="BQ173" t="s">
        <v>465</v>
      </c>
      <c r="BR173" t="s">
        <v>325</v>
      </c>
      <c r="BS173">
        <v>2.2000000000000002</v>
      </c>
      <c r="BT173" t="s">
        <v>465</v>
      </c>
      <c r="BU173" t="s">
        <v>325</v>
      </c>
      <c r="BV173">
        <v>2.2000000000000002</v>
      </c>
      <c r="BW173" t="s">
        <v>465</v>
      </c>
      <c r="BX173" t="s">
        <v>325</v>
      </c>
      <c r="BY173">
        <v>2.2000000000000002</v>
      </c>
      <c r="BZ173" t="s">
        <v>465</v>
      </c>
      <c r="CA173" t="s">
        <v>242</v>
      </c>
      <c r="CB173">
        <v>168.83</v>
      </c>
      <c r="CC173" t="s">
        <v>243</v>
      </c>
      <c r="CD173" t="s">
        <v>325</v>
      </c>
      <c r="CE173">
        <v>2.2000000000000002</v>
      </c>
      <c r="CF173" t="s">
        <v>465</v>
      </c>
      <c r="CG173" t="s">
        <v>325</v>
      </c>
      <c r="CH173">
        <v>2.2000000000000002</v>
      </c>
      <c r="CI173" t="s">
        <v>465</v>
      </c>
      <c r="CJ173" t="s">
        <v>325</v>
      </c>
      <c r="CK173">
        <v>2.2000000000000002</v>
      </c>
      <c r="CL173" t="s">
        <v>465</v>
      </c>
      <c r="CM173" t="s">
        <v>325</v>
      </c>
      <c r="CN173">
        <v>2.2000000000000002</v>
      </c>
      <c r="CO173" t="s">
        <v>465</v>
      </c>
      <c r="CP173" t="s">
        <v>325</v>
      </c>
      <c r="CQ173">
        <v>2.0099999999999998</v>
      </c>
      <c r="CR173" t="s">
        <v>465</v>
      </c>
      <c r="CS173" t="s">
        <v>325</v>
      </c>
      <c r="CT173">
        <v>2.0099999999999998</v>
      </c>
      <c r="CU173" t="s">
        <v>465</v>
      </c>
      <c r="CV173" t="s">
        <v>325</v>
      </c>
      <c r="CW173">
        <v>2.13</v>
      </c>
      <c r="CX173" t="s">
        <v>465</v>
      </c>
      <c r="CY173" t="s">
        <v>325</v>
      </c>
      <c r="CZ173">
        <v>2.13</v>
      </c>
      <c r="DA173" t="s">
        <v>465</v>
      </c>
      <c r="DB173" t="s">
        <v>325</v>
      </c>
      <c r="DC173">
        <v>2.2000000000000002</v>
      </c>
      <c r="DD173" t="s">
        <v>465</v>
      </c>
      <c r="DE173" t="s">
        <v>325</v>
      </c>
      <c r="DF173">
        <v>2.2000000000000002</v>
      </c>
      <c r="DG173" t="s">
        <v>465</v>
      </c>
      <c r="DH173" t="s">
        <v>325</v>
      </c>
      <c r="DI173">
        <v>2.2000000000000002</v>
      </c>
      <c r="DJ173" t="s">
        <v>465</v>
      </c>
      <c r="DK173" t="s">
        <v>390</v>
      </c>
      <c r="DL173">
        <v>0.35</v>
      </c>
      <c r="DM173" t="s">
        <v>244</v>
      </c>
      <c r="DN173" t="s">
        <v>390</v>
      </c>
      <c r="DO173">
        <v>0.35</v>
      </c>
      <c r="DP173" t="s">
        <v>244</v>
      </c>
      <c r="DQ173" t="s">
        <v>390</v>
      </c>
      <c r="DR173">
        <v>0.4</v>
      </c>
      <c r="DS173" t="s">
        <v>244</v>
      </c>
      <c r="DT173" t="s">
        <v>364</v>
      </c>
      <c r="DU173">
        <v>71.17</v>
      </c>
      <c r="DV173" t="s">
        <v>477</v>
      </c>
      <c r="DW173" t="s">
        <v>364</v>
      </c>
      <c r="DX173">
        <v>72.05</v>
      </c>
      <c r="DY173" t="s">
        <v>477</v>
      </c>
      <c r="DZ173" t="s">
        <v>364</v>
      </c>
      <c r="EA173">
        <v>74.63</v>
      </c>
      <c r="EB173" t="s">
        <v>477</v>
      </c>
      <c r="EC173" t="s">
        <v>364</v>
      </c>
      <c r="ED173">
        <v>72.900000000000006</v>
      </c>
      <c r="EE173" t="s">
        <v>477</v>
      </c>
      <c r="EF173" t="s">
        <v>364</v>
      </c>
      <c r="EG173">
        <v>77</v>
      </c>
      <c r="EH173" t="s">
        <v>477</v>
      </c>
      <c r="EI173" t="s">
        <v>364</v>
      </c>
      <c r="EJ173">
        <v>77.89</v>
      </c>
      <c r="EK173" t="s">
        <v>477</v>
      </c>
    </row>
    <row r="174" spans="1:141">
      <c r="A174" t="s">
        <v>339</v>
      </c>
      <c r="B174">
        <v>0.38</v>
      </c>
      <c r="C174" t="s">
        <v>245</v>
      </c>
      <c r="D174" t="s">
        <v>339</v>
      </c>
      <c r="E174">
        <v>0.38</v>
      </c>
      <c r="F174" t="s">
        <v>245</v>
      </c>
      <c r="G174" t="s">
        <v>346</v>
      </c>
      <c r="H174">
        <v>25.43</v>
      </c>
      <c r="I174" t="s">
        <v>91</v>
      </c>
      <c r="J174" t="s">
        <v>346</v>
      </c>
      <c r="K174">
        <v>25.19</v>
      </c>
      <c r="L174" t="s">
        <v>91</v>
      </c>
      <c r="M174" t="s">
        <v>346</v>
      </c>
      <c r="N174">
        <v>24.6</v>
      </c>
      <c r="O174" t="s">
        <v>91</v>
      </c>
      <c r="P174" t="s">
        <v>325</v>
      </c>
      <c r="Q174">
        <v>2.2000000000000002</v>
      </c>
      <c r="R174" t="s">
        <v>465</v>
      </c>
      <c r="S174" t="s">
        <v>346</v>
      </c>
      <c r="T174">
        <v>24.01</v>
      </c>
      <c r="U174" t="s">
        <v>91</v>
      </c>
      <c r="V174" t="s">
        <v>346</v>
      </c>
      <c r="W174">
        <v>24.6</v>
      </c>
      <c r="X174" t="s">
        <v>91</v>
      </c>
      <c r="Y174" t="s">
        <v>346</v>
      </c>
      <c r="Z174">
        <v>25.14</v>
      </c>
      <c r="AA174" t="s">
        <v>91</v>
      </c>
      <c r="AB174" t="s">
        <v>346</v>
      </c>
      <c r="AC174">
        <v>25.74</v>
      </c>
      <c r="AD174" t="s">
        <v>91</v>
      </c>
      <c r="AE174" t="s">
        <v>346</v>
      </c>
      <c r="AF174">
        <v>26.02</v>
      </c>
      <c r="AG174" t="s">
        <v>91</v>
      </c>
      <c r="AH174" t="s">
        <v>346</v>
      </c>
      <c r="AI174">
        <v>25.46</v>
      </c>
      <c r="AJ174" t="s">
        <v>91</v>
      </c>
      <c r="AK174" t="s">
        <v>346</v>
      </c>
      <c r="AL174">
        <v>25</v>
      </c>
      <c r="AM174" t="s">
        <v>91</v>
      </c>
      <c r="AN174" t="s">
        <v>346</v>
      </c>
      <c r="AO174">
        <v>24</v>
      </c>
      <c r="AP174" t="s">
        <v>91</v>
      </c>
      <c r="AQ174" t="s">
        <v>346</v>
      </c>
      <c r="AR174">
        <v>23.86</v>
      </c>
      <c r="AS174" t="s">
        <v>91</v>
      </c>
      <c r="AT174" t="s">
        <v>346</v>
      </c>
      <c r="AU174">
        <v>23.55</v>
      </c>
      <c r="AV174" t="s">
        <v>91</v>
      </c>
      <c r="AW174" t="s">
        <v>346</v>
      </c>
      <c r="AX174">
        <v>25.17</v>
      </c>
      <c r="AY174" t="s">
        <v>91</v>
      </c>
      <c r="AZ174" t="s">
        <v>346</v>
      </c>
      <c r="BA174">
        <v>24.5</v>
      </c>
      <c r="BB174" t="s">
        <v>91</v>
      </c>
      <c r="BC174" t="s">
        <v>346</v>
      </c>
      <c r="BD174">
        <v>24.16</v>
      </c>
      <c r="BE174" t="s">
        <v>91</v>
      </c>
      <c r="BF174" t="s">
        <v>346</v>
      </c>
      <c r="BG174">
        <v>25</v>
      </c>
      <c r="BH174" t="s">
        <v>91</v>
      </c>
      <c r="BI174" t="s">
        <v>346</v>
      </c>
      <c r="BJ174">
        <v>24</v>
      </c>
      <c r="BK174" t="s">
        <v>91</v>
      </c>
      <c r="BL174" t="s">
        <v>390</v>
      </c>
      <c r="BM174">
        <v>0.41</v>
      </c>
      <c r="BN174" t="s">
        <v>244</v>
      </c>
      <c r="BO174" t="s">
        <v>390</v>
      </c>
      <c r="BP174">
        <v>0.43</v>
      </c>
      <c r="BQ174" t="s">
        <v>244</v>
      </c>
      <c r="BR174" t="s">
        <v>390</v>
      </c>
      <c r="BS174">
        <v>0.43</v>
      </c>
      <c r="BT174" t="s">
        <v>244</v>
      </c>
      <c r="BU174" t="s">
        <v>390</v>
      </c>
      <c r="BV174">
        <v>0.43</v>
      </c>
      <c r="BW174" t="s">
        <v>244</v>
      </c>
      <c r="BX174" t="s">
        <v>390</v>
      </c>
      <c r="BY174">
        <v>0.42</v>
      </c>
      <c r="BZ174" t="s">
        <v>244</v>
      </c>
      <c r="CA174" t="s">
        <v>532</v>
      </c>
      <c r="CB174">
        <v>5.51</v>
      </c>
      <c r="CC174" t="s">
        <v>132</v>
      </c>
      <c r="CD174" t="s">
        <v>390</v>
      </c>
      <c r="CE174">
        <v>0.41</v>
      </c>
      <c r="CF174" t="s">
        <v>244</v>
      </c>
      <c r="CG174" t="s">
        <v>390</v>
      </c>
      <c r="CH174">
        <v>0.42</v>
      </c>
      <c r="CI174" t="s">
        <v>244</v>
      </c>
      <c r="CJ174" t="s">
        <v>390</v>
      </c>
      <c r="CK174">
        <v>0.42</v>
      </c>
      <c r="CL174" t="s">
        <v>244</v>
      </c>
      <c r="CM174" t="s">
        <v>390</v>
      </c>
      <c r="CN174">
        <v>0.41</v>
      </c>
      <c r="CO174" t="s">
        <v>244</v>
      </c>
      <c r="CP174" t="s">
        <v>390</v>
      </c>
      <c r="CQ174">
        <v>0.4</v>
      </c>
      <c r="CR174" t="s">
        <v>244</v>
      </c>
      <c r="CS174" t="s">
        <v>390</v>
      </c>
      <c r="CT174">
        <v>0.4</v>
      </c>
      <c r="CU174" t="s">
        <v>244</v>
      </c>
      <c r="CV174" t="s">
        <v>390</v>
      </c>
      <c r="CW174">
        <v>0.4</v>
      </c>
      <c r="CX174" t="s">
        <v>244</v>
      </c>
      <c r="CY174" t="s">
        <v>390</v>
      </c>
      <c r="CZ174">
        <v>0.38</v>
      </c>
      <c r="DA174" t="s">
        <v>244</v>
      </c>
      <c r="DB174" t="s">
        <v>390</v>
      </c>
      <c r="DC174">
        <v>0.38</v>
      </c>
      <c r="DD174" t="s">
        <v>244</v>
      </c>
      <c r="DE174" t="s">
        <v>390</v>
      </c>
      <c r="DF174">
        <v>0.38</v>
      </c>
      <c r="DG174" t="s">
        <v>244</v>
      </c>
      <c r="DH174" t="s">
        <v>390</v>
      </c>
      <c r="DI174">
        <v>0.34</v>
      </c>
      <c r="DJ174" t="s">
        <v>244</v>
      </c>
      <c r="DK174" t="s">
        <v>339</v>
      </c>
      <c r="DL174">
        <v>0.26</v>
      </c>
      <c r="DM174" t="s">
        <v>245</v>
      </c>
      <c r="DN174" t="s">
        <v>339</v>
      </c>
      <c r="DO174">
        <v>0.24</v>
      </c>
      <c r="DP174" t="s">
        <v>245</v>
      </c>
      <c r="DQ174" t="s">
        <v>339</v>
      </c>
      <c r="DR174">
        <v>0.24</v>
      </c>
      <c r="DS174" t="s">
        <v>245</v>
      </c>
      <c r="DT174" t="s">
        <v>246</v>
      </c>
      <c r="DU174">
        <v>77.989999999999995</v>
      </c>
      <c r="DV174" t="s">
        <v>247</v>
      </c>
      <c r="DW174" t="s">
        <v>246</v>
      </c>
      <c r="DX174">
        <v>76</v>
      </c>
      <c r="DY174" t="s">
        <v>247</v>
      </c>
      <c r="DZ174" t="s">
        <v>246</v>
      </c>
      <c r="EA174">
        <v>77.5</v>
      </c>
      <c r="EB174" t="s">
        <v>247</v>
      </c>
      <c r="EC174" t="s">
        <v>246</v>
      </c>
      <c r="ED174">
        <v>75.42</v>
      </c>
      <c r="EE174" t="s">
        <v>247</v>
      </c>
      <c r="EF174" t="s">
        <v>246</v>
      </c>
      <c r="EG174">
        <v>74.58</v>
      </c>
      <c r="EH174" t="s">
        <v>247</v>
      </c>
      <c r="EI174" t="s">
        <v>246</v>
      </c>
      <c r="EJ174">
        <v>81.349999999999994</v>
      </c>
      <c r="EK174" t="s">
        <v>247</v>
      </c>
    </row>
    <row r="175" spans="1:141">
      <c r="A175" t="s">
        <v>346</v>
      </c>
      <c r="B175">
        <v>24.72</v>
      </c>
      <c r="C175" t="s">
        <v>91</v>
      </c>
      <c r="D175" t="s">
        <v>346</v>
      </c>
      <c r="E175">
        <v>26.87</v>
      </c>
      <c r="F175" t="s">
        <v>91</v>
      </c>
      <c r="G175" t="s">
        <v>364</v>
      </c>
      <c r="H175">
        <v>60.95</v>
      </c>
      <c r="I175" t="s">
        <v>477</v>
      </c>
      <c r="J175" t="s">
        <v>364</v>
      </c>
      <c r="K175">
        <v>59</v>
      </c>
      <c r="L175" t="s">
        <v>477</v>
      </c>
      <c r="M175" t="s">
        <v>364</v>
      </c>
      <c r="N175">
        <v>58</v>
      </c>
      <c r="O175" t="s">
        <v>477</v>
      </c>
      <c r="P175" t="s">
        <v>390</v>
      </c>
      <c r="Q175">
        <v>0.34</v>
      </c>
      <c r="R175" t="s">
        <v>244</v>
      </c>
      <c r="S175" t="s">
        <v>364</v>
      </c>
      <c r="T175">
        <v>59</v>
      </c>
      <c r="U175" t="s">
        <v>477</v>
      </c>
      <c r="V175" t="s">
        <v>364</v>
      </c>
      <c r="W175">
        <v>58</v>
      </c>
      <c r="X175" t="s">
        <v>477</v>
      </c>
      <c r="Y175" t="s">
        <v>364</v>
      </c>
      <c r="Z175">
        <v>58.66</v>
      </c>
      <c r="AA175" t="s">
        <v>477</v>
      </c>
      <c r="AB175" t="s">
        <v>364</v>
      </c>
      <c r="AC175">
        <v>59</v>
      </c>
      <c r="AD175" t="s">
        <v>477</v>
      </c>
      <c r="AE175" t="s">
        <v>364</v>
      </c>
      <c r="AF175">
        <v>58.41</v>
      </c>
      <c r="AG175" t="s">
        <v>477</v>
      </c>
      <c r="AH175" t="s">
        <v>364</v>
      </c>
      <c r="AI175">
        <v>58</v>
      </c>
      <c r="AJ175" t="s">
        <v>477</v>
      </c>
      <c r="AK175" t="s">
        <v>364</v>
      </c>
      <c r="AL175">
        <v>57.3</v>
      </c>
      <c r="AM175" t="s">
        <v>477</v>
      </c>
      <c r="AN175" t="s">
        <v>364</v>
      </c>
      <c r="AO175">
        <v>57.5</v>
      </c>
      <c r="AP175" t="s">
        <v>477</v>
      </c>
      <c r="AQ175" t="s">
        <v>364</v>
      </c>
      <c r="AR175">
        <v>57.8</v>
      </c>
      <c r="AS175" t="s">
        <v>477</v>
      </c>
      <c r="AT175" t="s">
        <v>364</v>
      </c>
      <c r="AU175">
        <v>62</v>
      </c>
      <c r="AV175" t="s">
        <v>477</v>
      </c>
      <c r="AW175" t="s">
        <v>364</v>
      </c>
      <c r="AX175">
        <v>59</v>
      </c>
      <c r="AY175" t="s">
        <v>477</v>
      </c>
      <c r="AZ175" t="s">
        <v>364</v>
      </c>
      <c r="BA175">
        <v>59</v>
      </c>
      <c r="BB175" t="s">
        <v>477</v>
      </c>
      <c r="BC175" t="s">
        <v>364</v>
      </c>
      <c r="BD175">
        <v>56.89</v>
      </c>
      <c r="BE175" t="s">
        <v>477</v>
      </c>
      <c r="BF175" t="s">
        <v>364</v>
      </c>
      <c r="BG175">
        <v>57.2</v>
      </c>
      <c r="BH175" t="s">
        <v>477</v>
      </c>
      <c r="BI175" t="s">
        <v>364</v>
      </c>
      <c r="BJ175">
        <v>56</v>
      </c>
      <c r="BK175" t="s">
        <v>477</v>
      </c>
      <c r="BL175" t="s">
        <v>339</v>
      </c>
      <c r="BM175">
        <v>0.34</v>
      </c>
      <c r="BN175" t="s">
        <v>245</v>
      </c>
      <c r="BO175" t="s">
        <v>339</v>
      </c>
      <c r="BP175">
        <v>0.34</v>
      </c>
      <c r="BQ175" t="s">
        <v>245</v>
      </c>
      <c r="BR175" t="s">
        <v>339</v>
      </c>
      <c r="BS175">
        <v>0.34</v>
      </c>
      <c r="BT175" t="s">
        <v>245</v>
      </c>
      <c r="BU175" t="s">
        <v>339</v>
      </c>
      <c r="BV175">
        <v>0.34</v>
      </c>
      <c r="BW175" t="s">
        <v>245</v>
      </c>
      <c r="BX175" t="s">
        <v>339</v>
      </c>
      <c r="BY175">
        <v>0.34</v>
      </c>
      <c r="BZ175" t="s">
        <v>245</v>
      </c>
      <c r="CA175" t="s">
        <v>646</v>
      </c>
      <c r="CB175">
        <v>3.24</v>
      </c>
      <c r="CC175" t="s">
        <v>117</v>
      </c>
      <c r="CD175" t="s">
        <v>339</v>
      </c>
      <c r="CE175">
        <v>0.34</v>
      </c>
      <c r="CF175" t="s">
        <v>245</v>
      </c>
      <c r="CG175" t="s">
        <v>339</v>
      </c>
      <c r="CH175">
        <v>0.34</v>
      </c>
      <c r="CI175" t="s">
        <v>245</v>
      </c>
      <c r="CJ175" t="s">
        <v>339</v>
      </c>
      <c r="CK175">
        <v>0.34</v>
      </c>
      <c r="CL175" t="s">
        <v>245</v>
      </c>
      <c r="CM175" t="s">
        <v>339</v>
      </c>
      <c r="CN175">
        <v>0.34</v>
      </c>
      <c r="CO175" t="s">
        <v>245</v>
      </c>
      <c r="CP175" t="s">
        <v>339</v>
      </c>
      <c r="CQ175">
        <v>0.34</v>
      </c>
      <c r="CR175" t="s">
        <v>245</v>
      </c>
      <c r="CS175" t="s">
        <v>339</v>
      </c>
      <c r="CT175">
        <v>0.32</v>
      </c>
      <c r="CU175" t="s">
        <v>245</v>
      </c>
      <c r="CV175" t="s">
        <v>339</v>
      </c>
      <c r="CW175">
        <v>0.28999999999999998</v>
      </c>
      <c r="CX175" t="s">
        <v>245</v>
      </c>
      <c r="CY175" t="s">
        <v>339</v>
      </c>
      <c r="CZ175">
        <v>0.28999999999999998</v>
      </c>
      <c r="DA175" t="s">
        <v>245</v>
      </c>
      <c r="DB175" t="s">
        <v>339</v>
      </c>
      <c r="DC175">
        <v>0.28999999999999998</v>
      </c>
      <c r="DD175" t="s">
        <v>245</v>
      </c>
      <c r="DE175" t="s">
        <v>339</v>
      </c>
      <c r="DF175">
        <v>0.28000000000000003</v>
      </c>
      <c r="DG175" t="s">
        <v>245</v>
      </c>
      <c r="DH175" t="s">
        <v>339</v>
      </c>
      <c r="DI175">
        <v>0.27</v>
      </c>
      <c r="DJ175" t="s">
        <v>245</v>
      </c>
      <c r="DK175" t="s">
        <v>346</v>
      </c>
      <c r="DL175">
        <v>26.06</v>
      </c>
      <c r="DM175" t="s">
        <v>91</v>
      </c>
      <c r="DN175" t="s">
        <v>346</v>
      </c>
      <c r="DO175">
        <v>26.06</v>
      </c>
      <c r="DP175" t="s">
        <v>91</v>
      </c>
      <c r="DQ175" t="s">
        <v>346</v>
      </c>
      <c r="DR175">
        <v>26.11</v>
      </c>
      <c r="DS175" t="s">
        <v>91</v>
      </c>
      <c r="DT175" t="s">
        <v>248</v>
      </c>
      <c r="DU175">
        <v>1.79</v>
      </c>
      <c r="DV175" t="s">
        <v>249</v>
      </c>
      <c r="DW175" t="s">
        <v>248</v>
      </c>
      <c r="DX175">
        <v>1.76</v>
      </c>
      <c r="DY175" t="s">
        <v>249</v>
      </c>
      <c r="DZ175" t="s">
        <v>248</v>
      </c>
      <c r="EA175">
        <v>1.72</v>
      </c>
      <c r="EB175" t="s">
        <v>249</v>
      </c>
      <c r="EC175" t="s">
        <v>248</v>
      </c>
      <c r="ED175">
        <v>1.67</v>
      </c>
      <c r="EE175" t="s">
        <v>249</v>
      </c>
      <c r="EF175" t="s">
        <v>248</v>
      </c>
      <c r="EG175">
        <v>1.56</v>
      </c>
      <c r="EH175" t="s">
        <v>249</v>
      </c>
      <c r="EI175" t="s">
        <v>248</v>
      </c>
      <c r="EJ175">
        <v>1.66</v>
      </c>
      <c r="EK175" t="s">
        <v>249</v>
      </c>
    </row>
    <row r="176" spans="1:141">
      <c r="A176" t="s">
        <v>364</v>
      </c>
      <c r="B176">
        <v>59.72</v>
      </c>
      <c r="C176" t="s">
        <v>477</v>
      </c>
      <c r="D176" t="s">
        <v>364</v>
      </c>
      <c r="E176">
        <v>59.7</v>
      </c>
      <c r="F176" t="s">
        <v>477</v>
      </c>
      <c r="G176" t="s">
        <v>246</v>
      </c>
      <c r="H176">
        <v>52.72</v>
      </c>
      <c r="I176" t="s">
        <v>247</v>
      </c>
      <c r="J176" t="s">
        <v>246</v>
      </c>
      <c r="K176">
        <v>53</v>
      </c>
      <c r="L176" t="s">
        <v>247</v>
      </c>
      <c r="M176" t="s">
        <v>246</v>
      </c>
      <c r="N176">
        <v>52.25</v>
      </c>
      <c r="O176" t="s">
        <v>247</v>
      </c>
      <c r="P176" t="s">
        <v>339</v>
      </c>
      <c r="Q176">
        <v>0.37</v>
      </c>
      <c r="R176" t="s">
        <v>245</v>
      </c>
      <c r="S176" t="s">
        <v>246</v>
      </c>
      <c r="T176">
        <v>51.99</v>
      </c>
      <c r="U176" t="s">
        <v>247</v>
      </c>
      <c r="V176" t="s">
        <v>246</v>
      </c>
      <c r="W176">
        <v>52.14</v>
      </c>
      <c r="X176" t="s">
        <v>247</v>
      </c>
      <c r="Y176" t="s">
        <v>246</v>
      </c>
      <c r="Z176">
        <v>52.61</v>
      </c>
      <c r="AA176" t="s">
        <v>247</v>
      </c>
      <c r="AB176" t="s">
        <v>246</v>
      </c>
      <c r="AC176">
        <v>51.7</v>
      </c>
      <c r="AD176" t="s">
        <v>247</v>
      </c>
      <c r="AE176" t="s">
        <v>246</v>
      </c>
      <c r="AF176">
        <v>50.9</v>
      </c>
      <c r="AG176" t="s">
        <v>247</v>
      </c>
      <c r="AH176" t="s">
        <v>246</v>
      </c>
      <c r="AI176">
        <v>51.35</v>
      </c>
      <c r="AJ176" t="s">
        <v>247</v>
      </c>
      <c r="AK176" t="s">
        <v>246</v>
      </c>
      <c r="AL176">
        <v>50.42</v>
      </c>
      <c r="AM176" t="s">
        <v>247</v>
      </c>
      <c r="AN176" t="s">
        <v>246</v>
      </c>
      <c r="AO176">
        <v>48.35</v>
      </c>
      <c r="AP176" t="s">
        <v>247</v>
      </c>
      <c r="AQ176" t="s">
        <v>246</v>
      </c>
      <c r="AR176">
        <v>50.9</v>
      </c>
      <c r="AS176" t="s">
        <v>247</v>
      </c>
      <c r="AT176" t="s">
        <v>246</v>
      </c>
      <c r="AU176">
        <v>51.12</v>
      </c>
      <c r="AV176" t="s">
        <v>247</v>
      </c>
      <c r="AW176" t="s">
        <v>246</v>
      </c>
      <c r="AX176">
        <v>56.39</v>
      </c>
      <c r="AY176" t="s">
        <v>247</v>
      </c>
      <c r="AZ176" t="s">
        <v>246</v>
      </c>
      <c r="BA176">
        <v>60.06</v>
      </c>
      <c r="BB176" t="s">
        <v>247</v>
      </c>
      <c r="BC176" t="s">
        <v>246</v>
      </c>
      <c r="BD176">
        <v>58.22</v>
      </c>
      <c r="BE176" t="s">
        <v>247</v>
      </c>
      <c r="BF176" t="s">
        <v>246</v>
      </c>
      <c r="BG176">
        <v>60.03</v>
      </c>
      <c r="BH176" t="s">
        <v>247</v>
      </c>
      <c r="BI176" t="s">
        <v>246</v>
      </c>
      <c r="BJ176">
        <v>59.94</v>
      </c>
      <c r="BK176" t="s">
        <v>247</v>
      </c>
      <c r="BL176" t="s">
        <v>346</v>
      </c>
      <c r="BM176">
        <v>23.14</v>
      </c>
      <c r="BN176" t="s">
        <v>91</v>
      </c>
      <c r="BO176" t="s">
        <v>346</v>
      </c>
      <c r="BP176">
        <v>22.42</v>
      </c>
      <c r="BQ176" t="s">
        <v>91</v>
      </c>
      <c r="BR176" t="s">
        <v>346</v>
      </c>
      <c r="BS176">
        <v>22.46</v>
      </c>
      <c r="BT176" t="s">
        <v>91</v>
      </c>
      <c r="BU176" t="s">
        <v>346</v>
      </c>
      <c r="BV176">
        <v>22.87</v>
      </c>
      <c r="BW176" t="s">
        <v>91</v>
      </c>
      <c r="BX176" t="s">
        <v>346</v>
      </c>
      <c r="BY176">
        <v>24.24</v>
      </c>
      <c r="BZ176" t="s">
        <v>91</v>
      </c>
      <c r="CA176" t="s">
        <v>325</v>
      </c>
      <c r="CB176">
        <v>2.2000000000000002</v>
      </c>
      <c r="CC176" t="s">
        <v>465</v>
      </c>
      <c r="CD176" t="s">
        <v>346</v>
      </c>
      <c r="CE176">
        <v>24.35</v>
      </c>
      <c r="CF176" t="s">
        <v>91</v>
      </c>
      <c r="CG176" t="s">
        <v>346</v>
      </c>
      <c r="CH176">
        <v>23.28</v>
      </c>
      <c r="CI176" t="s">
        <v>91</v>
      </c>
      <c r="CJ176" t="s">
        <v>346</v>
      </c>
      <c r="CK176">
        <v>23.66</v>
      </c>
      <c r="CL176" t="s">
        <v>91</v>
      </c>
      <c r="CM176" t="s">
        <v>346</v>
      </c>
      <c r="CN176">
        <v>23.28</v>
      </c>
      <c r="CO176" t="s">
        <v>91</v>
      </c>
      <c r="CP176" t="s">
        <v>346</v>
      </c>
      <c r="CQ176">
        <v>24.27</v>
      </c>
      <c r="CR176" t="s">
        <v>91</v>
      </c>
      <c r="CS176" t="s">
        <v>346</v>
      </c>
      <c r="CT176">
        <v>24.38</v>
      </c>
      <c r="CU176" t="s">
        <v>91</v>
      </c>
      <c r="CV176" t="s">
        <v>346</v>
      </c>
      <c r="CW176">
        <v>24</v>
      </c>
      <c r="CX176" t="s">
        <v>91</v>
      </c>
      <c r="CY176" t="s">
        <v>346</v>
      </c>
      <c r="CZ176">
        <v>23.32</v>
      </c>
      <c r="DA176" t="s">
        <v>91</v>
      </c>
      <c r="DB176" t="s">
        <v>346</v>
      </c>
      <c r="DC176">
        <v>24.4</v>
      </c>
      <c r="DD176" t="s">
        <v>91</v>
      </c>
      <c r="DE176" t="s">
        <v>346</v>
      </c>
      <c r="DF176">
        <v>25</v>
      </c>
      <c r="DG176" t="s">
        <v>91</v>
      </c>
      <c r="DH176" t="s">
        <v>346</v>
      </c>
      <c r="DI176">
        <v>24.97</v>
      </c>
      <c r="DJ176" t="s">
        <v>91</v>
      </c>
      <c r="DK176" t="s">
        <v>364</v>
      </c>
      <c r="DL176">
        <v>62</v>
      </c>
      <c r="DM176" t="s">
        <v>477</v>
      </c>
      <c r="DN176" t="s">
        <v>364</v>
      </c>
      <c r="DO176">
        <v>60.66</v>
      </c>
      <c r="DP176" t="s">
        <v>477</v>
      </c>
      <c r="DQ176" t="s">
        <v>364</v>
      </c>
      <c r="DR176">
        <v>73.150000000000006</v>
      </c>
      <c r="DS176" t="s">
        <v>477</v>
      </c>
      <c r="DT176" t="s">
        <v>418</v>
      </c>
      <c r="DU176">
        <v>21.15</v>
      </c>
      <c r="DV176" t="s">
        <v>50</v>
      </c>
      <c r="DW176" t="s">
        <v>418</v>
      </c>
      <c r="DX176">
        <v>20.45</v>
      </c>
      <c r="DY176" t="s">
        <v>50</v>
      </c>
      <c r="DZ176" t="s">
        <v>418</v>
      </c>
      <c r="EA176">
        <v>20.78</v>
      </c>
      <c r="EB176" t="s">
        <v>50</v>
      </c>
      <c r="EC176" t="s">
        <v>418</v>
      </c>
      <c r="ED176">
        <v>21</v>
      </c>
      <c r="EE176" t="s">
        <v>50</v>
      </c>
      <c r="EF176" t="s">
        <v>418</v>
      </c>
      <c r="EG176">
        <v>31.31</v>
      </c>
      <c r="EH176" t="s">
        <v>50</v>
      </c>
      <c r="EI176" t="s">
        <v>418</v>
      </c>
      <c r="EJ176">
        <v>34.74</v>
      </c>
      <c r="EK176" t="s">
        <v>50</v>
      </c>
    </row>
    <row r="177" spans="1:141">
      <c r="A177" t="s">
        <v>246</v>
      </c>
      <c r="B177">
        <v>54</v>
      </c>
      <c r="C177" t="s">
        <v>247</v>
      </c>
      <c r="D177" t="s">
        <v>246</v>
      </c>
      <c r="E177">
        <v>52.79</v>
      </c>
      <c r="F177" t="s">
        <v>247</v>
      </c>
      <c r="G177" t="s">
        <v>248</v>
      </c>
      <c r="H177">
        <v>1.42</v>
      </c>
      <c r="I177" t="s">
        <v>249</v>
      </c>
      <c r="J177" t="s">
        <v>248</v>
      </c>
      <c r="K177">
        <v>1.47</v>
      </c>
      <c r="L177" t="s">
        <v>249</v>
      </c>
      <c r="M177" t="s">
        <v>248</v>
      </c>
      <c r="N177">
        <v>1.46</v>
      </c>
      <c r="O177" t="s">
        <v>249</v>
      </c>
      <c r="P177" t="s">
        <v>346</v>
      </c>
      <c r="Q177">
        <v>24.49</v>
      </c>
      <c r="R177" t="s">
        <v>91</v>
      </c>
      <c r="S177" t="s">
        <v>248</v>
      </c>
      <c r="T177">
        <v>1.43</v>
      </c>
      <c r="U177" t="s">
        <v>249</v>
      </c>
      <c r="V177" t="s">
        <v>248</v>
      </c>
      <c r="W177">
        <v>1.36</v>
      </c>
      <c r="X177" t="s">
        <v>249</v>
      </c>
      <c r="Y177" t="s">
        <v>248</v>
      </c>
      <c r="Z177">
        <v>1.46</v>
      </c>
      <c r="AA177" t="s">
        <v>249</v>
      </c>
      <c r="AB177" t="s">
        <v>248</v>
      </c>
      <c r="AC177">
        <v>1.45</v>
      </c>
      <c r="AD177" t="s">
        <v>249</v>
      </c>
      <c r="AE177" t="s">
        <v>248</v>
      </c>
      <c r="AF177">
        <v>1.44</v>
      </c>
      <c r="AG177" t="s">
        <v>249</v>
      </c>
      <c r="AH177" t="s">
        <v>248</v>
      </c>
      <c r="AI177">
        <v>1.49</v>
      </c>
      <c r="AJ177" t="s">
        <v>249</v>
      </c>
      <c r="AK177" t="s">
        <v>248</v>
      </c>
      <c r="AL177">
        <v>1.56</v>
      </c>
      <c r="AM177" t="s">
        <v>249</v>
      </c>
      <c r="AN177" t="s">
        <v>248</v>
      </c>
      <c r="AO177">
        <v>1.52</v>
      </c>
      <c r="AP177" t="s">
        <v>249</v>
      </c>
      <c r="AQ177" t="s">
        <v>248</v>
      </c>
      <c r="AR177">
        <v>1.58</v>
      </c>
      <c r="AS177" t="s">
        <v>249</v>
      </c>
      <c r="AT177" t="s">
        <v>248</v>
      </c>
      <c r="AU177">
        <v>1.57</v>
      </c>
      <c r="AV177" t="s">
        <v>249</v>
      </c>
      <c r="AW177" t="s">
        <v>248</v>
      </c>
      <c r="AX177">
        <v>1.59</v>
      </c>
      <c r="AY177" t="s">
        <v>249</v>
      </c>
      <c r="AZ177" t="s">
        <v>248</v>
      </c>
      <c r="BA177">
        <v>1.64</v>
      </c>
      <c r="BB177" t="s">
        <v>249</v>
      </c>
      <c r="BC177" t="s">
        <v>248</v>
      </c>
      <c r="BD177">
        <v>1.74</v>
      </c>
      <c r="BE177" t="s">
        <v>249</v>
      </c>
      <c r="BF177" t="s">
        <v>248</v>
      </c>
      <c r="BG177">
        <v>1.73</v>
      </c>
      <c r="BH177" t="s">
        <v>249</v>
      </c>
      <c r="BI177" t="s">
        <v>248</v>
      </c>
      <c r="BJ177">
        <v>1.74</v>
      </c>
      <c r="BK177" t="s">
        <v>249</v>
      </c>
      <c r="BL177" t="s">
        <v>364</v>
      </c>
      <c r="BM177">
        <v>57</v>
      </c>
      <c r="BN177" t="s">
        <v>477</v>
      </c>
      <c r="BO177" t="s">
        <v>364</v>
      </c>
      <c r="BP177">
        <v>56.1</v>
      </c>
      <c r="BQ177" t="s">
        <v>477</v>
      </c>
      <c r="BR177" t="s">
        <v>364</v>
      </c>
      <c r="BS177">
        <v>56</v>
      </c>
      <c r="BT177" t="s">
        <v>477</v>
      </c>
      <c r="BU177" t="s">
        <v>364</v>
      </c>
      <c r="BV177">
        <v>56</v>
      </c>
      <c r="BW177" t="s">
        <v>477</v>
      </c>
      <c r="BX177" t="s">
        <v>364</v>
      </c>
      <c r="BY177">
        <v>56</v>
      </c>
      <c r="BZ177" t="s">
        <v>477</v>
      </c>
      <c r="CA177" t="s">
        <v>390</v>
      </c>
      <c r="CB177">
        <v>0.42</v>
      </c>
      <c r="CC177" t="s">
        <v>244</v>
      </c>
      <c r="CD177" t="s">
        <v>364</v>
      </c>
      <c r="CE177">
        <v>56.1</v>
      </c>
      <c r="CF177" t="s">
        <v>477</v>
      </c>
      <c r="CG177" t="s">
        <v>364</v>
      </c>
      <c r="CH177">
        <v>55</v>
      </c>
      <c r="CI177" t="s">
        <v>477</v>
      </c>
      <c r="CJ177" t="s">
        <v>364</v>
      </c>
      <c r="CK177">
        <v>56.89</v>
      </c>
      <c r="CL177" t="s">
        <v>477</v>
      </c>
      <c r="CM177" t="s">
        <v>364</v>
      </c>
      <c r="CN177">
        <v>57.6</v>
      </c>
      <c r="CO177" t="s">
        <v>477</v>
      </c>
      <c r="CP177" t="s">
        <v>364</v>
      </c>
      <c r="CQ177">
        <v>56.9</v>
      </c>
      <c r="CR177" t="s">
        <v>477</v>
      </c>
      <c r="CS177" t="s">
        <v>364</v>
      </c>
      <c r="CT177">
        <v>56.5</v>
      </c>
      <c r="CU177" t="s">
        <v>477</v>
      </c>
      <c r="CV177" t="s">
        <v>364</v>
      </c>
      <c r="CW177">
        <v>56.5</v>
      </c>
      <c r="CX177" t="s">
        <v>477</v>
      </c>
      <c r="CY177" t="s">
        <v>364</v>
      </c>
      <c r="CZ177">
        <v>58.4</v>
      </c>
      <c r="DA177" t="s">
        <v>477</v>
      </c>
      <c r="DB177" t="s">
        <v>364</v>
      </c>
      <c r="DC177">
        <v>58.4</v>
      </c>
      <c r="DD177" t="s">
        <v>477</v>
      </c>
      <c r="DE177" t="s">
        <v>364</v>
      </c>
      <c r="DF177">
        <v>58.12</v>
      </c>
      <c r="DG177" t="s">
        <v>477</v>
      </c>
      <c r="DH177" t="s">
        <v>364</v>
      </c>
      <c r="DI177">
        <v>60.5</v>
      </c>
      <c r="DJ177" t="s">
        <v>477</v>
      </c>
      <c r="DK177" t="s">
        <v>246</v>
      </c>
      <c r="DL177">
        <v>74.02</v>
      </c>
      <c r="DM177" t="s">
        <v>247</v>
      </c>
      <c r="DN177" t="s">
        <v>246</v>
      </c>
      <c r="DO177">
        <v>71.5</v>
      </c>
      <c r="DP177" t="s">
        <v>247</v>
      </c>
      <c r="DQ177" t="s">
        <v>246</v>
      </c>
      <c r="DR177">
        <v>79.709999999999994</v>
      </c>
      <c r="DS177" t="s">
        <v>247</v>
      </c>
      <c r="DT177" t="s">
        <v>313</v>
      </c>
      <c r="DU177">
        <v>8.1300000000000008</v>
      </c>
      <c r="DV177" t="s">
        <v>250</v>
      </c>
      <c r="DW177" t="s">
        <v>313</v>
      </c>
      <c r="DX177">
        <v>7.83</v>
      </c>
      <c r="DY177" t="s">
        <v>250</v>
      </c>
      <c r="DZ177" t="s">
        <v>313</v>
      </c>
      <c r="EA177">
        <v>8.17</v>
      </c>
      <c r="EB177" t="s">
        <v>250</v>
      </c>
      <c r="EC177" t="s">
        <v>313</v>
      </c>
      <c r="ED177">
        <v>8.02</v>
      </c>
      <c r="EE177" t="s">
        <v>250</v>
      </c>
      <c r="EF177" t="s">
        <v>313</v>
      </c>
      <c r="EG177">
        <v>8.15</v>
      </c>
      <c r="EH177" t="s">
        <v>250</v>
      </c>
      <c r="EI177" t="s">
        <v>313</v>
      </c>
      <c r="EJ177">
        <v>8.9499999999999993</v>
      </c>
      <c r="EK177" t="s">
        <v>250</v>
      </c>
    </row>
    <row r="178" spans="1:141">
      <c r="A178" t="s">
        <v>248</v>
      </c>
      <c r="B178">
        <v>1.41</v>
      </c>
      <c r="C178" t="s">
        <v>249</v>
      </c>
      <c r="D178" t="s">
        <v>248</v>
      </c>
      <c r="E178">
        <v>1.4</v>
      </c>
      <c r="F178" t="s">
        <v>249</v>
      </c>
      <c r="G178" t="s">
        <v>418</v>
      </c>
      <c r="H178">
        <v>22.5</v>
      </c>
      <c r="I178" t="s">
        <v>50</v>
      </c>
      <c r="J178" t="s">
        <v>418</v>
      </c>
      <c r="K178">
        <v>23.52</v>
      </c>
      <c r="L178" t="s">
        <v>50</v>
      </c>
      <c r="M178" t="s">
        <v>418</v>
      </c>
      <c r="N178">
        <v>22.36</v>
      </c>
      <c r="O178" t="s">
        <v>50</v>
      </c>
      <c r="P178" t="s">
        <v>364</v>
      </c>
      <c r="Q178">
        <v>58.25</v>
      </c>
      <c r="R178" t="s">
        <v>477</v>
      </c>
      <c r="S178" t="s">
        <v>418</v>
      </c>
      <c r="T178">
        <v>22.57</v>
      </c>
      <c r="U178" t="s">
        <v>50</v>
      </c>
      <c r="V178" t="s">
        <v>418</v>
      </c>
      <c r="W178">
        <v>21.5</v>
      </c>
      <c r="X178" t="s">
        <v>50</v>
      </c>
      <c r="Y178" t="s">
        <v>418</v>
      </c>
      <c r="Z178">
        <v>22.33</v>
      </c>
      <c r="AA178" t="s">
        <v>50</v>
      </c>
      <c r="AB178" t="s">
        <v>418</v>
      </c>
      <c r="AC178">
        <v>22.3</v>
      </c>
      <c r="AD178" t="s">
        <v>50</v>
      </c>
      <c r="AE178" t="s">
        <v>418</v>
      </c>
      <c r="AF178">
        <v>22.15</v>
      </c>
      <c r="AG178" t="s">
        <v>50</v>
      </c>
      <c r="AH178" t="s">
        <v>418</v>
      </c>
      <c r="AI178">
        <v>21.81</v>
      </c>
      <c r="AJ178" t="s">
        <v>50</v>
      </c>
      <c r="AK178" t="s">
        <v>418</v>
      </c>
      <c r="AL178">
        <v>21.4</v>
      </c>
      <c r="AM178" t="s">
        <v>50</v>
      </c>
      <c r="AN178" t="s">
        <v>418</v>
      </c>
      <c r="AO178">
        <v>21.48</v>
      </c>
      <c r="AP178" t="s">
        <v>50</v>
      </c>
      <c r="AQ178" t="s">
        <v>418</v>
      </c>
      <c r="AR178">
        <v>22.04</v>
      </c>
      <c r="AS178" t="s">
        <v>50</v>
      </c>
      <c r="AT178" t="s">
        <v>418</v>
      </c>
      <c r="AU178">
        <v>22.5</v>
      </c>
      <c r="AV178" t="s">
        <v>50</v>
      </c>
      <c r="AW178" t="s">
        <v>418</v>
      </c>
      <c r="AX178">
        <v>24.3</v>
      </c>
      <c r="AY178" t="s">
        <v>50</v>
      </c>
      <c r="AZ178" t="s">
        <v>418</v>
      </c>
      <c r="BA178">
        <v>23.08</v>
      </c>
      <c r="BB178" t="s">
        <v>50</v>
      </c>
      <c r="BC178" t="s">
        <v>418</v>
      </c>
      <c r="BD178">
        <v>23.8</v>
      </c>
      <c r="BE178" t="s">
        <v>50</v>
      </c>
      <c r="BF178" t="s">
        <v>418</v>
      </c>
      <c r="BG178">
        <v>23.2</v>
      </c>
      <c r="BH178" t="s">
        <v>50</v>
      </c>
      <c r="BI178" t="s">
        <v>418</v>
      </c>
      <c r="BJ178">
        <v>23.04</v>
      </c>
      <c r="BK178" t="s">
        <v>50</v>
      </c>
      <c r="BL178" t="s">
        <v>246</v>
      </c>
      <c r="BM178">
        <v>55.97</v>
      </c>
      <c r="BN178" t="s">
        <v>247</v>
      </c>
      <c r="BO178" t="s">
        <v>246</v>
      </c>
      <c r="BP178">
        <v>56</v>
      </c>
      <c r="BQ178" t="s">
        <v>247</v>
      </c>
      <c r="BR178" t="s">
        <v>246</v>
      </c>
      <c r="BS178">
        <v>57.78</v>
      </c>
      <c r="BT178" t="s">
        <v>247</v>
      </c>
      <c r="BU178" t="s">
        <v>246</v>
      </c>
      <c r="BV178">
        <v>57.99</v>
      </c>
      <c r="BW178" t="s">
        <v>247</v>
      </c>
      <c r="BX178" t="s">
        <v>246</v>
      </c>
      <c r="BY178">
        <v>58</v>
      </c>
      <c r="BZ178" t="s">
        <v>247</v>
      </c>
      <c r="CA178" t="s">
        <v>339</v>
      </c>
      <c r="CB178">
        <v>0.34</v>
      </c>
      <c r="CC178" t="s">
        <v>245</v>
      </c>
      <c r="CD178" t="s">
        <v>246</v>
      </c>
      <c r="CE178">
        <v>59.01</v>
      </c>
      <c r="CF178" t="s">
        <v>247</v>
      </c>
      <c r="CG178" t="s">
        <v>246</v>
      </c>
      <c r="CH178">
        <v>61</v>
      </c>
      <c r="CI178" t="s">
        <v>247</v>
      </c>
      <c r="CJ178" t="s">
        <v>246</v>
      </c>
      <c r="CK178">
        <v>60.14</v>
      </c>
      <c r="CL178" t="s">
        <v>247</v>
      </c>
      <c r="CM178" t="s">
        <v>246</v>
      </c>
      <c r="CN178">
        <v>59.43</v>
      </c>
      <c r="CO178" t="s">
        <v>247</v>
      </c>
      <c r="CP178" t="s">
        <v>246</v>
      </c>
      <c r="CQ178">
        <v>59.26</v>
      </c>
      <c r="CR178" t="s">
        <v>247</v>
      </c>
      <c r="CS178" t="s">
        <v>246</v>
      </c>
      <c r="CT178">
        <v>60</v>
      </c>
      <c r="CU178" t="s">
        <v>247</v>
      </c>
      <c r="CV178" t="s">
        <v>246</v>
      </c>
      <c r="CW178">
        <v>60.16</v>
      </c>
      <c r="CX178" t="s">
        <v>247</v>
      </c>
      <c r="CY178" t="s">
        <v>246</v>
      </c>
      <c r="CZ178">
        <v>71.3</v>
      </c>
      <c r="DA178" t="s">
        <v>247</v>
      </c>
      <c r="DB178" t="s">
        <v>246</v>
      </c>
      <c r="DC178">
        <v>83.96</v>
      </c>
      <c r="DD178" t="s">
        <v>247</v>
      </c>
      <c r="DE178" t="s">
        <v>246</v>
      </c>
      <c r="DF178">
        <v>80.12</v>
      </c>
      <c r="DG178" t="s">
        <v>247</v>
      </c>
      <c r="DH178" t="s">
        <v>246</v>
      </c>
      <c r="DI178">
        <v>79.959999999999994</v>
      </c>
      <c r="DJ178" t="s">
        <v>247</v>
      </c>
      <c r="DK178" t="s">
        <v>248</v>
      </c>
      <c r="DL178">
        <v>1.75</v>
      </c>
      <c r="DM178" t="s">
        <v>249</v>
      </c>
      <c r="DN178" t="s">
        <v>248</v>
      </c>
      <c r="DO178">
        <v>1.73</v>
      </c>
      <c r="DP178" t="s">
        <v>249</v>
      </c>
      <c r="DQ178" t="s">
        <v>248</v>
      </c>
      <c r="DR178">
        <v>1.79</v>
      </c>
      <c r="DS178" t="s">
        <v>249</v>
      </c>
      <c r="DT178" t="s">
        <v>251</v>
      </c>
      <c r="DU178">
        <v>0.13</v>
      </c>
      <c r="DV178" t="s">
        <v>116</v>
      </c>
      <c r="DW178" t="s">
        <v>251</v>
      </c>
      <c r="DX178">
        <v>0.14000000000000001</v>
      </c>
      <c r="DY178" t="s">
        <v>116</v>
      </c>
      <c r="DZ178" t="s">
        <v>251</v>
      </c>
      <c r="EA178">
        <v>0.13</v>
      </c>
      <c r="EB178" t="s">
        <v>116</v>
      </c>
      <c r="EC178" t="s">
        <v>251</v>
      </c>
      <c r="ED178">
        <v>0.13</v>
      </c>
      <c r="EE178" t="s">
        <v>116</v>
      </c>
      <c r="EF178" t="s">
        <v>251</v>
      </c>
      <c r="EG178">
        <v>0.13</v>
      </c>
      <c r="EH178" t="s">
        <v>116</v>
      </c>
      <c r="EI178" t="s">
        <v>251</v>
      </c>
      <c r="EJ178">
        <v>0.13</v>
      </c>
      <c r="EK178" t="s">
        <v>116</v>
      </c>
    </row>
    <row r="179" spans="1:141">
      <c r="A179" t="s">
        <v>418</v>
      </c>
      <c r="B179">
        <v>24.2</v>
      </c>
      <c r="C179" t="s">
        <v>50</v>
      </c>
      <c r="D179" t="s">
        <v>418</v>
      </c>
      <c r="E179">
        <v>22.9</v>
      </c>
      <c r="F179" t="s">
        <v>50</v>
      </c>
      <c r="G179" t="s">
        <v>313</v>
      </c>
      <c r="H179">
        <v>8.17</v>
      </c>
      <c r="I179" t="s">
        <v>250</v>
      </c>
      <c r="J179" t="s">
        <v>313</v>
      </c>
      <c r="K179">
        <v>8.0500000000000007</v>
      </c>
      <c r="L179" t="s">
        <v>250</v>
      </c>
      <c r="M179" t="s">
        <v>313</v>
      </c>
      <c r="N179">
        <v>7.89</v>
      </c>
      <c r="O179" t="s">
        <v>250</v>
      </c>
      <c r="P179" t="s">
        <v>246</v>
      </c>
      <c r="Q179">
        <v>52.03</v>
      </c>
      <c r="R179" t="s">
        <v>247</v>
      </c>
      <c r="S179" t="s">
        <v>313</v>
      </c>
      <c r="T179">
        <v>8.11</v>
      </c>
      <c r="U179" t="s">
        <v>250</v>
      </c>
      <c r="V179" t="s">
        <v>313</v>
      </c>
      <c r="W179">
        <v>8.11</v>
      </c>
      <c r="X179" t="s">
        <v>250</v>
      </c>
      <c r="Y179" t="s">
        <v>313</v>
      </c>
      <c r="Z179">
        <v>8.3000000000000007</v>
      </c>
      <c r="AA179" t="s">
        <v>250</v>
      </c>
      <c r="AB179" t="s">
        <v>313</v>
      </c>
      <c r="AC179">
        <v>8.0299999999999994</v>
      </c>
      <c r="AD179" t="s">
        <v>250</v>
      </c>
      <c r="AE179" t="s">
        <v>313</v>
      </c>
      <c r="AF179">
        <v>8.01</v>
      </c>
      <c r="AG179" t="s">
        <v>250</v>
      </c>
      <c r="AH179" t="s">
        <v>313</v>
      </c>
      <c r="AI179">
        <v>7.81</v>
      </c>
      <c r="AJ179" t="s">
        <v>250</v>
      </c>
      <c r="AK179" t="s">
        <v>313</v>
      </c>
      <c r="AL179">
        <v>7.39</v>
      </c>
      <c r="AM179" t="s">
        <v>250</v>
      </c>
      <c r="AN179" t="s">
        <v>313</v>
      </c>
      <c r="AO179">
        <v>7.33</v>
      </c>
      <c r="AP179" t="s">
        <v>250</v>
      </c>
      <c r="AQ179" t="s">
        <v>313</v>
      </c>
      <c r="AR179">
        <v>7.42</v>
      </c>
      <c r="AS179" t="s">
        <v>250</v>
      </c>
      <c r="AT179" t="s">
        <v>313</v>
      </c>
      <c r="AU179">
        <v>7.28</v>
      </c>
      <c r="AV179" t="s">
        <v>250</v>
      </c>
      <c r="AW179" t="s">
        <v>313</v>
      </c>
      <c r="AX179">
        <v>7.29</v>
      </c>
      <c r="AY179" t="s">
        <v>250</v>
      </c>
      <c r="AZ179" t="s">
        <v>313</v>
      </c>
      <c r="BA179">
        <v>7.31</v>
      </c>
      <c r="BB179" t="s">
        <v>250</v>
      </c>
      <c r="BC179" t="s">
        <v>313</v>
      </c>
      <c r="BD179">
        <v>7.4</v>
      </c>
      <c r="BE179" t="s">
        <v>250</v>
      </c>
      <c r="BF179" t="s">
        <v>313</v>
      </c>
      <c r="BG179">
        <v>7.31</v>
      </c>
      <c r="BH179" t="s">
        <v>250</v>
      </c>
      <c r="BI179" t="s">
        <v>313</v>
      </c>
      <c r="BJ179">
        <v>7.21</v>
      </c>
      <c r="BK179" t="s">
        <v>250</v>
      </c>
      <c r="BL179" t="s">
        <v>248</v>
      </c>
      <c r="BM179">
        <v>1.62</v>
      </c>
      <c r="BN179" t="s">
        <v>249</v>
      </c>
      <c r="BO179" t="s">
        <v>248</v>
      </c>
      <c r="BP179">
        <v>1.65</v>
      </c>
      <c r="BQ179" t="s">
        <v>249</v>
      </c>
      <c r="BR179" t="s">
        <v>248</v>
      </c>
      <c r="BS179">
        <v>1.68</v>
      </c>
      <c r="BT179" t="s">
        <v>249</v>
      </c>
      <c r="BU179" t="s">
        <v>248</v>
      </c>
      <c r="BV179">
        <v>1.67</v>
      </c>
      <c r="BW179" t="s">
        <v>249</v>
      </c>
      <c r="BX179" t="s">
        <v>248</v>
      </c>
      <c r="BY179">
        <v>1.72</v>
      </c>
      <c r="BZ179" t="s">
        <v>249</v>
      </c>
      <c r="CA179" t="s">
        <v>346</v>
      </c>
      <c r="CB179">
        <v>22.86</v>
      </c>
      <c r="CC179" t="s">
        <v>91</v>
      </c>
      <c r="CD179" t="s">
        <v>248</v>
      </c>
      <c r="CE179">
        <v>1.71</v>
      </c>
      <c r="CF179" t="s">
        <v>249</v>
      </c>
      <c r="CG179" t="s">
        <v>248</v>
      </c>
      <c r="CH179">
        <v>1.73</v>
      </c>
      <c r="CI179" t="s">
        <v>249</v>
      </c>
      <c r="CJ179" t="s">
        <v>248</v>
      </c>
      <c r="CK179">
        <v>1.73</v>
      </c>
      <c r="CL179" t="s">
        <v>249</v>
      </c>
      <c r="CM179" t="s">
        <v>248</v>
      </c>
      <c r="CN179">
        <v>1.71</v>
      </c>
      <c r="CO179" t="s">
        <v>249</v>
      </c>
      <c r="CP179" t="s">
        <v>248</v>
      </c>
      <c r="CQ179">
        <v>1.77</v>
      </c>
      <c r="CR179" t="s">
        <v>249</v>
      </c>
      <c r="CS179" t="s">
        <v>248</v>
      </c>
      <c r="CT179">
        <v>1.77</v>
      </c>
      <c r="CU179" t="s">
        <v>249</v>
      </c>
      <c r="CV179" t="s">
        <v>248</v>
      </c>
      <c r="CW179">
        <v>1.75</v>
      </c>
      <c r="CX179" t="s">
        <v>249</v>
      </c>
      <c r="CY179" t="s">
        <v>248</v>
      </c>
      <c r="CZ179">
        <v>1.75</v>
      </c>
      <c r="DA179" t="s">
        <v>249</v>
      </c>
      <c r="DB179" t="s">
        <v>248</v>
      </c>
      <c r="DC179">
        <v>1.88</v>
      </c>
      <c r="DD179" t="s">
        <v>249</v>
      </c>
      <c r="DE179" t="s">
        <v>248</v>
      </c>
      <c r="DF179">
        <v>1.86</v>
      </c>
      <c r="DG179" t="s">
        <v>249</v>
      </c>
      <c r="DH179" t="s">
        <v>248</v>
      </c>
      <c r="DI179">
        <v>1.8</v>
      </c>
      <c r="DJ179" t="s">
        <v>249</v>
      </c>
      <c r="DK179" t="s">
        <v>418</v>
      </c>
      <c r="DL179">
        <v>20.170000000000002</v>
      </c>
      <c r="DM179" t="s">
        <v>50</v>
      </c>
      <c r="DN179" t="s">
        <v>418</v>
      </c>
      <c r="DO179">
        <v>19.29</v>
      </c>
      <c r="DP179" t="s">
        <v>50</v>
      </c>
      <c r="DQ179" t="s">
        <v>418</v>
      </c>
      <c r="DR179">
        <v>21.23</v>
      </c>
      <c r="DS179" t="s">
        <v>50</v>
      </c>
      <c r="DT179" t="s">
        <v>351</v>
      </c>
      <c r="DU179">
        <v>22</v>
      </c>
      <c r="DV179" t="s">
        <v>471</v>
      </c>
      <c r="DW179" t="s">
        <v>351</v>
      </c>
      <c r="DX179">
        <v>22</v>
      </c>
      <c r="DY179" t="s">
        <v>471</v>
      </c>
      <c r="DZ179" t="s">
        <v>351</v>
      </c>
      <c r="EA179">
        <v>22</v>
      </c>
      <c r="EB179" t="s">
        <v>471</v>
      </c>
      <c r="EC179" t="s">
        <v>351</v>
      </c>
      <c r="ED179">
        <v>22</v>
      </c>
      <c r="EE179" t="s">
        <v>471</v>
      </c>
      <c r="EF179" t="s">
        <v>351</v>
      </c>
      <c r="EG179">
        <v>20.6</v>
      </c>
      <c r="EH179" t="s">
        <v>471</v>
      </c>
      <c r="EI179" t="s">
        <v>351</v>
      </c>
      <c r="EJ179">
        <v>23.4</v>
      </c>
      <c r="EK179" t="s">
        <v>471</v>
      </c>
    </row>
    <row r="180" spans="1:141">
      <c r="A180" t="s">
        <v>313</v>
      </c>
      <c r="B180">
        <v>8.25</v>
      </c>
      <c r="C180" t="s">
        <v>250</v>
      </c>
      <c r="D180" t="s">
        <v>313</v>
      </c>
      <c r="E180">
        <v>8.0500000000000007</v>
      </c>
      <c r="F180" t="s">
        <v>250</v>
      </c>
      <c r="G180" t="s">
        <v>251</v>
      </c>
      <c r="H180">
        <v>0.15</v>
      </c>
      <c r="I180" t="s">
        <v>116</v>
      </c>
      <c r="J180" t="s">
        <v>251</v>
      </c>
      <c r="K180">
        <v>0.14000000000000001</v>
      </c>
      <c r="L180" t="s">
        <v>116</v>
      </c>
      <c r="M180" t="s">
        <v>251</v>
      </c>
      <c r="N180">
        <v>0.14000000000000001</v>
      </c>
      <c r="O180" t="s">
        <v>116</v>
      </c>
      <c r="P180" t="s">
        <v>248</v>
      </c>
      <c r="Q180">
        <v>1.41</v>
      </c>
      <c r="R180" t="s">
        <v>249</v>
      </c>
      <c r="S180" t="s">
        <v>251</v>
      </c>
      <c r="T180">
        <v>0.15</v>
      </c>
      <c r="U180" t="s">
        <v>116</v>
      </c>
      <c r="V180" t="s">
        <v>251</v>
      </c>
      <c r="W180">
        <v>0.14000000000000001</v>
      </c>
      <c r="X180" t="s">
        <v>116</v>
      </c>
      <c r="Y180" t="s">
        <v>251</v>
      </c>
      <c r="Z180">
        <v>0.14000000000000001</v>
      </c>
      <c r="AA180" t="s">
        <v>116</v>
      </c>
      <c r="AB180" t="s">
        <v>251</v>
      </c>
      <c r="AC180">
        <v>0.14000000000000001</v>
      </c>
      <c r="AD180" t="s">
        <v>116</v>
      </c>
      <c r="AE180" t="s">
        <v>251</v>
      </c>
      <c r="AF180">
        <v>0.14000000000000001</v>
      </c>
      <c r="AG180" t="s">
        <v>116</v>
      </c>
      <c r="AH180" t="s">
        <v>251</v>
      </c>
      <c r="AI180">
        <v>0.14000000000000001</v>
      </c>
      <c r="AJ180" t="s">
        <v>116</v>
      </c>
      <c r="AK180" t="s">
        <v>251</v>
      </c>
      <c r="AL180">
        <v>0.14000000000000001</v>
      </c>
      <c r="AM180" t="s">
        <v>116</v>
      </c>
      <c r="AN180" t="s">
        <v>251</v>
      </c>
      <c r="AO180">
        <v>0.14000000000000001</v>
      </c>
      <c r="AP180" t="s">
        <v>116</v>
      </c>
      <c r="AQ180" t="s">
        <v>251</v>
      </c>
      <c r="AR180">
        <v>0.14000000000000001</v>
      </c>
      <c r="AS180" t="s">
        <v>116</v>
      </c>
      <c r="AT180" t="s">
        <v>251</v>
      </c>
      <c r="AU180">
        <v>0.15</v>
      </c>
      <c r="AV180" t="s">
        <v>116</v>
      </c>
      <c r="AW180" t="s">
        <v>251</v>
      </c>
      <c r="AX180">
        <v>0.14000000000000001</v>
      </c>
      <c r="AY180" t="s">
        <v>116</v>
      </c>
      <c r="AZ180" t="s">
        <v>251</v>
      </c>
      <c r="BA180">
        <v>0.15</v>
      </c>
      <c r="BB180" t="s">
        <v>116</v>
      </c>
      <c r="BC180" t="s">
        <v>251</v>
      </c>
      <c r="BD180">
        <v>0.15</v>
      </c>
      <c r="BE180" t="s">
        <v>116</v>
      </c>
      <c r="BF180" t="s">
        <v>251</v>
      </c>
      <c r="BG180">
        <v>0.14000000000000001</v>
      </c>
      <c r="BH180" t="s">
        <v>116</v>
      </c>
      <c r="BI180" t="s">
        <v>251</v>
      </c>
      <c r="BJ180">
        <v>0.14000000000000001</v>
      </c>
      <c r="BK180" t="s">
        <v>116</v>
      </c>
      <c r="BL180" t="s">
        <v>418</v>
      </c>
      <c r="BM180">
        <v>22.31</v>
      </c>
      <c r="BN180" t="s">
        <v>50</v>
      </c>
      <c r="BO180" t="s">
        <v>418</v>
      </c>
      <c r="BP180">
        <v>21.69</v>
      </c>
      <c r="BQ180" t="s">
        <v>50</v>
      </c>
      <c r="BR180" t="s">
        <v>418</v>
      </c>
      <c r="BS180">
        <v>22.5</v>
      </c>
      <c r="BT180" t="s">
        <v>50</v>
      </c>
      <c r="BU180" t="s">
        <v>418</v>
      </c>
      <c r="BV180">
        <v>22.4</v>
      </c>
      <c r="BW180" t="s">
        <v>50</v>
      </c>
      <c r="BX180" t="s">
        <v>418</v>
      </c>
      <c r="BY180">
        <v>22.47</v>
      </c>
      <c r="BZ180" t="s">
        <v>50</v>
      </c>
      <c r="CA180" t="s">
        <v>364</v>
      </c>
      <c r="CB180">
        <v>56.89</v>
      </c>
      <c r="CC180" t="s">
        <v>477</v>
      </c>
      <c r="CD180" t="s">
        <v>418</v>
      </c>
      <c r="CE180">
        <v>23.31</v>
      </c>
      <c r="CF180" t="s">
        <v>50</v>
      </c>
      <c r="CG180" t="s">
        <v>418</v>
      </c>
      <c r="CH180">
        <v>23.07</v>
      </c>
      <c r="CI180" t="s">
        <v>50</v>
      </c>
      <c r="CJ180" t="s">
        <v>418</v>
      </c>
      <c r="CK180">
        <v>23.31</v>
      </c>
      <c r="CL180" t="s">
        <v>50</v>
      </c>
      <c r="CM180" t="s">
        <v>418</v>
      </c>
      <c r="CN180">
        <v>22.72</v>
      </c>
      <c r="CO180" t="s">
        <v>50</v>
      </c>
      <c r="CP180" t="s">
        <v>418</v>
      </c>
      <c r="CQ180">
        <v>23.4</v>
      </c>
      <c r="CR180" t="s">
        <v>50</v>
      </c>
      <c r="CS180" t="s">
        <v>418</v>
      </c>
      <c r="CT180">
        <v>23.12</v>
      </c>
      <c r="CU180" t="s">
        <v>50</v>
      </c>
      <c r="CV180" t="s">
        <v>418</v>
      </c>
      <c r="CW180">
        <v>23.03</v>
      </c>
      <c r="CX180" t="s">
        <v>50</v>
      </c>
      <c r="CY180" t="s">
        <v>418</v>
      </c>
      <c r="CZ180">
        <v>22.7</v>
      </c>
      <c r="DA180" t="s">
        <v>50</v>
      </c>
      <c r="DB180" t="s">
        <v>418</v>
      </c>
      <c r="DC180">
        <v>22.48</v>
      </c>
      <c r="DD180" t="s">
        <v>50</v>
      </c>
      <c r="DE180" t="s">
        <v>418</v>
      </c>
      <c r="DF180">
        <v>22.23</v>
      </c>
      <c r="DG180" t="s">
        <v>50</v>
      </c>
      <c r="DH180" t="s">
        <v>418</v>
      </c>
      <c r="DI180">
        <v>21.02</v>
      </c>
      <c r="DJ180" t="s">
        <v>50</v>
      </c>
      <c r="DK180" t="s">
        <v>313</v>
      </c>
      <c r="DL180">
        <v>7.1</v>
      </c>
      <c r="DM180" t="s">
        <v>250</v>
      </c>
      <c r="DN180" t="s">
        <v>313</v>
      </c>
      <c r="DO180">
        <v>6.94</v>
      </c>
      <c r="DP180" t="s">
        <v>250</v>
      </c>
      <c r="DQ180" t="s">
        <v>313</v>
      </c>
      <c r="DR180">
        <v>8.4600000000000009</v>
      </c>
      <c r="DS180" t="s">
        <v>250</v>
      </c>
      <c r="DT180" t="s">
        <v>406</v>
      </c>
      <c r="DU180">
        <v>5.32</v>
      </c>
      <c r="DV180" t="s">
        <v>108</v>
      </c>
      <c r="DW180" t="s">
        <v>406</v>
      </c>
      <c r="DX180">
        <v>4.99</v>
      </c>
      <c r="DY180" t="s">
        <v>108</v>
      </c>
      <c r="DZ180" t="s">
        <v>406</v>
      </c>
      <c r="EA180">
        <v>5.18</v>
      </c>
      <c r="EB180" t="s">
        <v>108</v>
      </c>
      <c r="EC180" t="s">
        <v>406</v>
      </c>
      <c r="ED180">
        <v>4.8099999999999996</v>
      </c>
      <c r="EE180" t="s">
        <v>108</v>
      </c>
      <c r="EF180" t="s">
        <v>406</v>
      </c>
      <c r="EG180">
        <v>4.9000000000000004</v>
      </c>
      <c r="EH180" t="s">
        <v>108</v>
      </c>
      <c r="EI180" t="s">
        <v>406</v>
      </c>
      <c r="EJ180">
        <v>5.28</v>
      </c>
      <c r="EK180" t="s">
        <v>108</v>
      </c>
    </row>
    <row r="181" spans="1:141">
      <c r="A181" t="s">
        <v>251</v>
      </c>
      <c r="B181">
        <v>0.15</v>
      </c>
      <c r="C181" t="s">
        <v>116</v>
      </c>
      <c r="D181" t="s">
        <v>251</v>
      </c>
      <c r="E181">
        <v>0.15</v>
      </c>
      <c r="F181" t="s">
        <v>116</v>
      </c>
      <c r="G181" t="s">
        <v>351</v>
      </c>
      <c r="H181">
        <v>22.5</v>
      </c>
      <c r="I181" t="s">
        <v>471</v>
      </c>
      <c r="J181" t="s">
        <v>351</v>
      </c>
      <c r="K181">
        <v>22.5</v>
      </c>
      <c r="L181" t="s">
        <v>471</v>
      </c>
      <c r="M181" t="s">
        <v>351</v>
      </c>
      <c r="N181">
        <v>22.1</v>
      </c>
      <c r="O181" t="s">
        <v>471</v>
      </c>
      <c r="P181" t="s">
        <v>418</v>
      </c>
      <c r="Q181">
        <v>22.46</v>
      </c>
      <c r="R181" t="s">
        <v>50</v>
      </c>
      <c r="S181" t="s">
        <v>351</v>
      </c>
      <c r="T181">
        <v>21.03</v>
      </c>
      <c r="U181" t="s">
        <v>471</v>
      </c>
      <c r="V181" t="s">
        <v>351</v>
      </c>
      <c r="W181">
        <v>21.05</v>
      </c>
      <c r="X181" t="s">
        <v>471</v>
      </c>
      <c r="Y181" t="s">
        <v>351</v>
      </c>
      <c r="Z181">
        <v>21.05</v>
      </c>
      <c r="AA181" t="s">
        <v>471</v>
      </c>
      <c r="AB181" t="s">
        <v>351</v>
      </c>
      <c r="AC181">
        <v>21</v>
      </c>
      <c r="AD181" t="s">
        <v>471</v>
      </c>
      <c r="AE181" t="s">
        <v>351</v>
      </c>
      <c r="AF181">
        <v>21</v>
      </c>
      <c r="AG181" t="s">
        <v>471</v>
      </c>
      <c r="AH181" t="s">
        <v>351</v>
      </c>
      <c r="AI181">
        <v>21</v>
      </c>
      <c r="AJ181" t="s">
        <v>471</v>
      </c>
      <c r="AK181" t="s">
        <v>351</v>
      </c>
      <c r="AL181">
        <v>21</v>
      </c>
      <c r="AM181" t="s">
        <v>471</v>
      </c>
      <c r="AN181" t="s">
        <v>351</v>
      </c>
      <c r="AO181">
        <v>20.5</v>
      </c>
      <c r="AP181" t="s">
        <v>471</v>
      </c>
      <c r="AQ181" t="s">
        <v>351</v>
      </c>
      <c r="AR181">
        <v>20.100000000000001</v>
      </c>
      <c r="AS181" t="s">
        <v>471</v>
      </c>
      <c r="AT181" t="s">
        <v>351</v>
      </c>
      <c r="AU181">
        <v>20.100000000000001</v>
      </c>
      <c r="AV181" t="s">
        <v>471</v>
      </c>
      <c r="AW181" t="s">
        <v>351</v>
      </c>
      <c r="AX181">
        <v>20.100000000000001</v>
      </c>
      <c r="AY181" t="s">
        <v>471</v>
      </c>
      <c r="AZ181" t="s">
        <v>351</v>
      </c>
      <c r="BA181">
        <v>20.100000000000001</v>
      </c>
      <c r="BB181" t="s">
        <v>471</v>
      </c>
      <c r="BC181" t="s">
        <v>351</v>
      </c>
      <c r="BD181">
        <v>20</v>
      </c>
      <c r="BE181" t="s">
        <v>471</v>
      </c>
      <c r="BF181" t="s">
        <v>351</v>
      </c>
      <c r="BG181">
        <v>20.5</v>
      </c>
      <c r="BH181" t="s">
        <v>471</v>
      </c>
      <c r="BI181" t="s">
        <v>351</v>
      </c>
      <c r="BJ181">
        <v>20.5</v>
      </c>
      <c r="BK181" t="s">
        <v>471</v>
      </c>
      <c r="BL181" t="s">
        <v>313</v>
      </c>
      <c r="BM181">
        <v>6.99</v>
      </c>
      <c r="BN181" t="s">
        <v>250</v>
      </c>
      <c r="BO181" t="s">
        <v>313</v>
      </c>
      <c r="BP181">
        <v>7</v>
      </c>
      <c r="BQ181" t="s">
        <v>250</v>
      </c>
      <c r="BR181" t="s">
        <v>313</v>
      </c>
      <c r="BS181">
        <v>7.14</v>
      </c>
      <c r="BT181" t="s">
        <v>250</v>
      </c>
      <c r="BU181" t="s">
        <v>313</v>
      </c>
      <c r="BV181">
        <v>7.1</v>
      </c>
      <c r="BW181" t="s">
        <v>250</v>
      </c>
      <c r="BX181" t="s">
        <v>313</v>
      </c>
      <c r="BY181">
        <v>7.66</v>
      </c>
      <c r="BZ181" t="s">
        <v>250</v>
      </c>
      <c r="CA181" t="s">
        <v>246</v>
      </c>
      <c r="CB181">
        <v>57.8</v>
      </c>
      <c r="CC181" t="s">
        <v>247</v>
      </c>
      <c r="CD181" t="s">
        <v>313</v>
      </c>
      <c r="CE181">
        <v>7.43</v>
      </c>
      <c r="CF181" t="s">
        <v>250</v>
      </c>
      <c r="CG181" t="s">
        <v>313</v>
      </c>
      <c r="CH181">
        <v>7.36</v>
      </c>
      <c r="CI181" t="s">
        <v>250</v>
      </c>
      <c r="CJ181" t="s">
        <v>313</v>
      </c>
      <c r="CK181">
        <v>7.65</v>
      </c>
      <c r="CL181" t="s">
        <v>250</v>
      </c>
      <c r="CM181" t="s">
        <v>313</v>
      </c>
      <c r="CN181">
        <v>7.4</v>
      </c>
      <c r="CO181" t="s">
        <v>250</v>
      </c>
      <c r="CP181" t="s">
        <v>313</v>
      </c>
      <c r="CQ181">
        <v>7.22</v>
      </c>
      <c r="CR181" t="s">
        <v>250</v>
      </c>
      <c r="CS181" t="s">
        <v>313</v>
      </c>
      <c r="CT181">
        <v>7.51</v>
      </c>
      <c r="CU181" t="s">
        <v>250</v>
      </c>
      <c r="CV181" t="s">
        <v>313</v>
      </c>
      <c r="CW181">
        <v>7.35</v>
      </c>
      <c r="CX181" t="s">
        <v>250</v>
      </c>
      <c r="CY181" t="s">
        <v>313</v>
      </c>
      <c r="CZ181">
        <v>7.4</v>
      </c>
      <c r="DA181" t="s">
        <v>250</v>
      </c>
      <c r="DB181" t="s">
        <v>313</v>
      </c>
      <c r="DC181">
        <v>7.54</v>
      </c>
      <c r="DD181" t="s">
        <v>250</v>
      </c>
      <c r="DE181" t="s">
        <v>313</v>
      </c>
      <c r="DF181">
        <v>7.74</v>
      </c>
      <c r="DG181" t="s">
        <v>250</v>
      </c>
      <c r="DH181" t="s">
        <v>313</v>
      </c>
      <c r="DI181">
        <v>7.78</v>
      </c>
      <c r="DJ181" t="s">
        <v>250</v>
      </c>
      <c r="DK181" t="s">
        <v>251</v>
      </c>
      <c r="DL181">
        <v>0.13</v>
      </c>
      <c r="DM181" t="s">
        <v>116</v>
      </c>
      <c r="DN181" t="s">
        <v>251</v>
      </c>
      <c r="DO181">
        <v>0.13</v>
      </c>
      <c r="DP181" t="s">
        <v>116</v>
      </c>
      <c r="DQ181" t="s">
        <v>251</v>
      </c>
      <c r="DR181">
        <v>0.14000000000000001</v>
      </c>
      <c r="DS181" t="s">
        <v>116</v>
      </c>
      <c r="DT181" t="s">
        <v>429</v>
      </c>
      <c r="DU181">
        <v>50</v>
      </c>
      <c r="DV181" t="s">
        <v>488</v>
      </c>
      <c r="DW181" t="s">
        <v>429</v>
      </c>
      <c r="DX181">
        <v>51</v>
      </c>
      <c r="DY181" t="s">
        <v>488</v>
      </c>
      <c r="DZ181" t="s">
        <v>429</v>
      </c>
      <c r="EA181">
        <v>50</v>
      </c>
      <c r="EB181" t="s">
        <v>488</v>
      </c>
      <c r="EC181" t="s">
        <v>429</v>
      </c>
      <c r="ED181">
        <v>50</v>
      </c>
      <c r="EE181" t="s">
        <v>488</v>
      </c>
      <c r="EF181" t="s">
        <v>429</v>
      </c>
      <c r="EG181">
        <v>50</v>
      </c>
      <c r="EH181" t="s">
        <v>488</v>
      </c>
      <c r="EI181" t="s">
        <v>429</v>
      </c>
      <c r="EJ181">
        <v>50</v>
      </c>
      <c r="EK181" t="s">
        <v>488</v>
      </c>
    </row>
    <row r="182" spans="1:141">
      <c r="A182" t="s">
        <v>351</v>
      </c>
      <c r="B182">
        <v>22.5</v>
      </c>
      <c r="C182" t="s">
        <v>471</v>
      </c>
      <c r="D182" t="s">
        <v>351</v>
      </c>
      <c r="E182">
        <v>22.5</v>
      </c>
      <c r="F182" t="s">
        <v>471</v>
      </c>
      <c r="G182" t="s">
        <v>406</v>
      </c>
      <c r="H182">
        <v>3.89</v>
      </c>
      <c r="I182" t="s">
        <v>108</v>
      </c>
      <c r="J182" t="s">
        <v>406</v>
      </c>
      <c r="K182">
        <v>3.94</v>
      </c>
      <c r="L182" t="s">
        <v>108</v>
      </c>
      <c r="M182" t="s">
        <v>406</v>
      </c>
      <c r="N182">
        <v>3.86</v>
      </c>
      <c r="O182" t="s">
        <v>108</v>
      </c>
      <c r="P182" t="s">
        <v>313</v>
      </c>
      <c r="Q182">
        <v>8.19</v>
      </c>
      <c r="R182" t="s">
        <v>250</v>
      </c>
      <c r="S182" t="s">
        <v>406</v>
      </c>
      <c r="T182">
        <v>3.86</v>
      </c>
      <c r="U182" t="s">
        <v>108</v>
      </c>
      <c r="V182" t="s">
        <v>406</v>
      </c>
      <c r="W182">
        <v>3.75</v>
      </c>
      <c r="X182" t="s">
        <v>108</v>
      </c>
      <c r="Y182" t="s">
        <v>406</v>
      </c>
      <c r="Z182">
        <v>3.83</v>
      </c>
      <c r="AA182" t="s">
        <v>108</v>
      </c>
      <c r="AB182" t="s">
        <v>406</v>
      </c>
      <c r="AC182">
        <v>3.78</v>
      </c>
      <c r="AD182" t="s">
        <v>108</v>
      </c>
      <c r="AE182" t="s">
        <v>406</v>
      </c>
      <c r="AF182">
        <v>3.75</v>
      </c>
      <c r="AG182" t="s">
        <v>108</v>
      </c>
      <c r="AH182" t="s">
        <v>406</v>
      </c>
      <c r="AI182">
        <v>3.76</v>
      </c>
      <c r="AJ182" t="s">
        <v>108</v>
      </c>
      <c r="AK182" t="s">
        <v>406</v>
      </c>
      <c r="AL182">
        <v>3.71</v>
      </c>
      <c r="AM182" t="s">
        <v>108</v>
      </c>
      <c r="AN182" t="s">
        <v>406</v>
      </c>
      <c r="AO182">
        <v>3.58</v>
      </c>
      <c r="AP182" t="s">
        <v>108</v>
      </c>
      <c r="AQ182" t="s">
        <v>406</v>
      </c>
      <c r="AR182">
        <v>3.68</v>
      </c>
      <c r="AS182" t="s">
        <v>108</v>
      </c>
      <c r="AT182" t="s">
        <v>406</v>
      </c>
      <c r="AU182">
        <v>3.71</v>
      </c>
      <c r="AV182" t="s">
        <v>108</v>
      </c>
      <c r="AW182" t="s">
        <v>406</v>
      </c>
      <c r="AX182">
        <v>3.74</v>
      </c>
      <c r="AY182" t="s">
        <v>108</v>
      </c>
      <c r="AZ182" t="s">
        <v>406</v>
      </c>
      <c r="BA182">
        <v>3.7</v>
      </c>
      <c r="BB182" t="s">
        <v>108</v>
      </c>
      <c r="BC182" t="s">
        <v>406</v>
      </c>
      <c r="BD182">
        <v>3.77</v>
      </c>
      <c r="BE182" t="s">
        <v>108</v>
      </c>
      <c r="BF182" t="s">
        <v>406</v>
      </c>
      <c r="BG182">
        <v>3.76</v>
      </c>
      <c r="BH182" t="s">
        <v>108</v>
      </c>
      <c r="BI182" t="s">
        <v>406</v>
      </c>
      <c r="BJ182">
        <v>3.74</v>
      </c>
      <c r="BK182" t="s">
        <v>108</v>
      </c>
      <c r="BL182" t="s">
        <v>251</v>
      </c>
      <c r="BM182">
        <v>0.14000000000000001</v>
      </c>
      <c r="BN182" t="s">
        <v>116</v>
      </c>
      <c r="BO182" t="s">
        <v>251</v>
      </c>
      <c r="BP182">
        <v>0.14000000000000001</v>
      </c>
      <c r="BQ182" t="s">
        <v>116</v>
      </c>
      <c r="BR182" t="s">
        <v>251</v>
      </c>
      <c r="BS182">
        <v>0.14000000000000001</v>
      </c>
      <c r="BT182" t="s">
        <v>116</v>
      </c>
      <c r="BU182" t="s">
        <v>251</v>
      </c>
      <c r="BV182">
        <v>0.14000000000000001</v>
      </c>
      <c r="BW182" t="s">
        <v>116</v>
      </c>
      <c r="BX182" t="s">
        <v>251</v>
      </c>
      <c r="BY182">
        <v>0.14000000000000001</v>
      </c>
      <c r="BZ182" t="s">
        <v>116</v>
      </c>
      <c r="CA182" t="s">
        <v>248</v>
      </c>
      <c r="CB182">
        <v>1.7</v>
      </c>
      <c r="CC182" t="s">
        <v>249</v>
      </c>
      <c r="CD182" t="s">
        <v>251</v>
      </c>
      <c r="CE182">
        <v>0.14000000000000001</v>
      </c>
      <c r="CF182" t="s">
        <v>116</v>
      </c>
      <c r="CG182" t="s">
        <v>251</v>
      </c>
      <c r="CH182">
        <v>0.14000000000000001</v>
      </c>
      <c r="CI182" t="s">
        <v>116</v>
      </c>
      <c r="CJ182" t="s">
        <v>251</v>
      </c>
      <c r="CK182">
        <v>0.14000000000000001</v>
      </c>
      <c r="CL182" t="s">
        <v>116</v>
      </c>
      <c r="CM182" t="s">
        <v>251</v>
      </c>
      <c r="CN182">
        <v>0.14000000000000001</v>
      </c>
      <c r="CO182" t="s">
        <v>116</v>
      </c>
      <c r="CP182" t="s">
        <v>251</v>
      </c>
      <c r="CQ182">
        <v>0.14000000000000001</v>
      </c>
      <c r="CR182" t="s">
        <v>116</v>
      </c>
      <c r="CS182" t="s">
        <v>251</v>
      </c>
      <c r="CT182">
        <v>0.14000000000000001</v>
      </c>
      <c r="CU182" t="s">
        <v>116</v>
      </c>
      <c r="CV182" t="s">
        <v>251</v>
      </c>
      <c r="CW182">
        <v>0.14000000000000001</v>
      </c>
      <c r="CX182" t="s">
        <v>116</v>
      </c>
      <c r="CY182" t="s">
        <v>251</v>
      </c>
      <c r="CZ182">
        <v>0.13</v>
      </c>
      <c r="DA182" t="s">
        <v>116</v>
      </c>
      <c r="DB182" t="s">
        <v>251</v>
      </c>
      <c r="DC182">
        <v>0.13</v>
      </c>
      <c r="DD182" t="s">
        <v>116</v>
      </c>
      <c r="DE182" t="s">
        <v>251</v>
      </c>
      <c r="DF182">
        <v>0.13</v>
      </c>
      <c r="DG182" t="s">
        <v>116</v>
      </c>
      <c r="DH182" t="s">
        <v>251</v>
      </c>
      <c r="DI182">
        <v>0.13</v>
      </c>
      <c r="DJ182" t="s">
        <v>116</v>
      </c>
      <c r="DK182" t="s">
        <v>351</v>
      </c>
      <c r="DL182">
        <v>22.98</v>
      </c>
      <c r="DM182" t="s">
        <v>471</v>
      </c>
      <c r="DN182" t="s">
        <v>351</v>
      </c>
      <c r="DO182">
        <v>22.9</v>
      </c>
      <c r="DP182" t="s">
        <v>471</v>
      </c>
      <c r="DQ182" t="s">
        <v>351</v>
      </c>
      <c r="DR182">
        <v>20.51</v>
      </c>
      <c r="DS182" t="s">
        <v>471</v>
      </c>
      <c r="DT182" t="s">
        <v>527</v>
      </c>
      <c r="DU182">
        <v>5.62</v>
      </c>
      <c r="DV182" t="s">
        <v>6</v>
      </c>
      <c r="DW182" t="s">
        <v>527</v>
      </c>
      <c r="DX182">
        <v>5.62</v>
      </c>
      <c r="DY182" t="s">
        <v>6</v>
      </c>
      <c r="DZ182" t="s">
        <v>527</v>
      </c>
      <c r="EA182">
        <v>5.62</v>
      </c>
      <c r="EB182" t="s">
        <v>6</v>
      </c>
      <c r="EC182" t="s">
        <v>527</v>
      </c>
      <c r="ED182">
        <v>5.62</v>
      </c>
      <c r="EE182" t="s">
        <v>6</v>
      </c>
      <c r="EF182" t="s">
        <v>527</v>
      </c>
      <c r="EG182">
        <v>5.62</v>
      </c>
      <c r="EH182" t="s">
        <v>6</v>
      </c>
      <c r="EI182" t="s">
        <v>527</v>
      </c>
      <c r="EJ182">
        <v>5.62</v>
      </c>
      <c r="EK182" t="s">
        <v>6</v>
      </c>
    </row>
    <row r="183" spans="1:141">
      <c r="A183" t="s">
        <v>406</v>
      </c>
      <c r="B183">
        <v>3.98</v>
      </c>
      <c r="C183" t="s">
        <v>108</v>
      </c>
      <c r="D183" t="s">
        <v>406</v>
      </c>
      <c r="E183">
        <v>3.89</v>
      </c>
      <c r="F183" t="s">
        <v>108</v>
      </c>
      <c r="G183" t="s">
        <v>672</v>
      </c>
      <c r="H183">
        <v>15.19</v>
      </c>
      <c r="I183" t="s">
        <v>700</v>
      </c>
      <c r="J183" t="s">
        <v>672</v>
      </c>
      <c r="K183">
        <v>15.19</v>
      </c>
      <c r="L183" t="s">
        <v>700</v>
      </c>
      <c r="M183" t="s">
        <v>672</v>
      </c>
      <c r="N183">
        <v>15.19</v>
      </c>
      <c r="O183" t="s">
        <v>700</v>
      </c>
      <c r="P183" t="s">
        <v>251</v>
      </c>
      <c r="Q183">
        <v>0.14000000000000001</v>
      </c>
      <c r="R183" t="s">
        <v>116</v>
      </c>
      <c r="S183" t="s">
        <v>672</v>
      </c>
      <c r="T183">
        <v>15.19</v>
      </c>
      <c r="U183" t="s">
        <v>700</v>
      </c>
      <c r="V183" t="s">
        <v>672</v>
      </c>
      <c r="W183">
        <v>15.19</v>
      </c>
      <c r="X183" t="s">
        <v>700</v>
      </c>
      <c r="Y183" t="s">
        <v>672</v>
      </c>
      <c r="Z183">
        <v>15.19</v>
      </c>
      <c r="AA183" t="s">
        <v>700</v>
      </c>
      <c r="AB183" t="s">
        <v>672</v>
      </c>
      <c r="AC183">
        <v>15.19</v>
      </c>
      <c r="AD183" t="s">
        <v>700</v>
      </c>
      <c r="AE183" t="s">
        <v>672</v>
      </c>
      <c r="AF183">
        <v>15.19</v>
      </c>
      <c r="AG183" t="s">
        <v>700</v>
      </c>
      <c r="AH183" t="s">
        <v>672</v>
      </c>
      <c r="AI183">
        <v>15.19</v>
      </c>
      <c r="AJ183" t="s">
        <v>700</v>
      </c>
      <c r="AK183" t="s">
        <v>672</v>
      </c>
      <c r="AL183">
        <v>15.19</v>
      </c>
      <c r="AM183" t="s">
        <v>700</v>
      </c>
      <c r="AN183" t="s">
        <v>672</v>
      </c>
      <c r="AO183">
        <v>15.19</v>
      </c>
      <c r="AP183" t="s">
        <v>700</v>
      </c>
      <c r="AQ183" t="s">
        <v>672</v>
      </c>
      <c r="AR183">
        <v>15.19</v>
      </c>
      <c r="AS183" t="s">
        <v>700</v>
      </c>
      <c r="AT183" t="s">
        <v>672</v>
      </c>
      <c r="AU183">
        <v>15.19</v>
      </c>
      <c r="AV183" t="s">
        <v>700</v>
      </c>
      <c r="AW183" t="s">
        <v>672</v>
      </c>
      <c r="AX183">
        <v>15.19</v>
      </c>
      <c r="AY183" t="s">
        <v>700</v>
      </c>
      <c r="AZ183" t="s">
        <v>672</v>
      </c>
      <c r="BA183">
        <v>15.19</v>
      </c>
      <c r="BB183" t="s">
        <v>700</v>
      </c>
      <c r="BC183" t="s">
        <v>672</v>
      </c>
      <c r="BD183">
        <v>15.19</v>
      </c>
      <c r="BE183" t="s">
        <v>700</v>
      </c>
      <c r="BF183" t="s">
        <v>672</v>
      </c>
      <c r="BG183">
        <v>15.19</v>
      </c>
      <c r="BH183" t="s">
        <v>700</v>
      </c>
      <c r="BI183" t="s">
        <v>672</v>
      </c>
      <c r="BJ183">
        <v>15.19</v>
      </c>
      <c r="BK183" t="s">
        <v>700</v>
      </c>
      <c r="BL183" t="s">
        <v>351</v>
      </c>
      <c r="BM183">
        <v>21</v>
      </c>
      <c r="BN183" t="s">
        <v>471</v>
      </c>
      <c r="BO183" t="s">
        <v>351</v>
      </c>
      <c r="BP183">
        <v>21</v>
      </c>
      <c r="BQ183" t="s">
        <v>471</v>
      </c>
      <c r="BR183" t="s">
        <v>351</v>
      </c>
      <c r="BS183">
        <v>21</v>
      </c>
      <c r="BT183" t="s">
        <v>471</v>
      </c>
      <c r="BU183" t="s">
        <v>351</v>
      </c>
      <c r="BV183">
        <v>22</v>
      </c>
      <c r="BW183" t="s">
        <v>471</v>
      </c>
      <c r="BX183" t="s">
        <v>351</v>
      </c>
      <c r="BY183">
        <v>22</v>
      </c>
      <c r="BZ183" t="s">
        <v>471</v>
      </c>
      <c r="CA183" t="s">
        <v>418</v>
      </c>
      <c r="CB183">
        <v>23</v>
      </c>
      <c r="CC183" t="s">
        <v>50</v>
      </c>
      <c r="CD183" t="s">
        <v>351</v>
      </c>
      <c r="CE183">
        <v>20</v>
      </c>
      <c r="CF183" t="s">
        <v>471</v>
      </c>
      <c r="CG183" t="s">
        <v>351</v>
      </c>
      <c r="CH183">
        <v>20</v>
      </c>
      <c r="CI183" t="s">
        <v>471</v>
      </c>
      <c r="CJ183" t="s">
        <v>351</v>
      </c>
      <c r="CK183">
        <v>22.8</v>
      </c>
      <c r="CL183" t="s">
        <v>471</v>
      </c>
      <c r="CM183" t="s">
        <v>351</v>
      </c>
      <c r="CN183">
        <v>22.8</v>
      </c>
      <c r="CO183" t="s">
        <v>471</v>
      </c>
      <c r="CP183" t="s">
        <v>351</v>
      </c>
      <c r="CQ183">
        <v>23.3</v>
      </c>
      <c r="CR183" t="s">
        <v>471</v>
      </c>
      <c r="CS183" t="s">
        <v>351</v>
      </c>
      <c r="CT183">
        <v>23</v>
      </c>
      <c r="CU183" t="s">
        <v>471</v>
      </c>
      <c r="CV183" t="s">
        <v>351</v>
      </c>
      <c r="CW183">
        <v>22.9</v>
      </c>
      <c r="CX183" t="s">
        <v>471</v>
      </c>
      <c r="CY183" t="s">
        <v>351</v>
      </c>
      <c r="CZ183">
        <v>22.9</v>
      </c>
      <c r="DA183" t="s">
        <v>471</v>
      </c>
      <c r="DB183" t="s">
        <v>351</v>
      </c>
      <c r="DC183">
        <v>22</v>
      </c>
      <c r="DD183" t="s">
        <v>471</v>
      </c>
      <c r="DE183" t="s">
        <v>351</v>
      </c>
      <c r="DF183">
        <v>22</v>
      </c>
      <c r="DG183" t="s">
        <v>471</v>
      </c>
      <c r="DH183" t="s">
        <v>351</v>
      </c>
      <c r="DI183">
        <v>22</v>
      </c>
      <c r="DJ183" t="s">
        <v>471</v>
      </c>
      <c r="DK183" t="s">
        <v>406</v>
      </c>
      <c r="DL183">
        <v>3.62</v>
      </c>
      <c r="DM183" t="s">
        <v>108</v>
      </c>
      <c r="DN183" t="s">
        <v>406</v>
      </c>
      <c r="DO183">
        <v>3.78</v>
      </c>
      <c r="DP183" t="s">
        <v>108</v>
      </c>
      <c r="DQ183" t="s">
        <v>406</v>
      </c>
      <c r="DR183">
        <v>3.92</v>
      </c>
      <c r="DS183" t="s">
        <v>108</v>
      </c>
      <c r="DT183" t="s">
        <v>252</v>
      </c>
      <c r="DU183">
        <v>3.05</v>
      </c>
      <c r="DV183" t="s">
        <v>122</v>
      </c>
      <c r="DW183" t="s">
        <v>252</v>
      </c>
      <c r="DX183">
        <v>3.82</v>
      </c>
      <c r="DY183" t="s">
        <v>122</v>
      </c>
      <c r="DZ183" t="s">
        <v>252</v>
      </c>
      <c r="EA183">
        <v>3.75</v>
      </c>
      <c r="EB183" t="s">
        <v>122</v>
      </c>
      <c r="EC183" t="s">
        <v>252</v>
      </c>
      <c r="ED183">
        <v>3.31</v>
      </c>
      <c r="EE183" t="s">
        <v>122</v>
      </c>
      <c r="EF183" t="s">
        <v>252</v>
      </c>
      <c r="EG183">
        <v>3.03</v>
      </c>
      <c r="EH183" t="s">
        <v>122</v>
      </c>
      <c r="EI183" t="s">
        <v>252</v>
      </c>
      <c r="EJ183">
        <v>2.98</v>
      </c>
      <c r="EK183" t="s">
        <v>122</v>
      </c>
    </row>
    <row r="184" spans="1:141">
      <c r="A184" t="s">
        <v>672</v>
      </c>
      <c r="B184">
        <v>15.19</v>
      </c>
      <c r="C184" t="s">
        <v>700</v>
      </c>
      <c r="D184" t="s">
        <v>672</v>
      </c>
      <c r="E184">
        <v>15.19</v>
      </c>
      <c r="F184" t="s">
        <v>700</v>
      </c>
      <c r="G184" t="s">
        <v>429</v>
      </c>
      <c r="H184">
        <v>50</v>
      </c>
      <c r="I184" t="s">
        <v>488</v>
      </c>
      <c r="J184" t="s">
        <v>429</v>
      </c>
      <c r="K184">
        <v>50</v>
      </c>
      <c r="L184" t="s">
        <v>488</v>
      </c>
      <c r="M184" t="s">
        <v>429</v>
      </c>
      <c r="N184">
        <v>51</v>
      </c>
      <c r="O184" t="s">
        <v>488</v>
      </c>
      <c r="P184" t="s">
        <v>351</v>
      </c>
      <c r="Q184">
        <v>22.1</v>
      </c>
      <c r="R184" t="s">
        <v>471</v>
      </c>
      <c r="S184" t="s">
        <v>429</v>
      </c>
      <c r="T184">
        <v>32.1</v>
      </c>
      <c r="U184" t="s">
        <v>488</v>
      </c>
      <c r="V184" t="s">
        <v>429</v>
      </c>
      <c r="W184">
        <v>32.1</v>
      </c>
      <c r="X184" t="s">
        <v>488</v>
      </c>
      <c r="Y184" t="s">
        <v>429</v>
      </c>
      <c r="Z184">
        <v>32.1</v>
      </c>
      <c r="AA184" t="s">
        <v>488</v>
      </c>
      <c r="AB184" t="s">
        <v>429</v>
      </c>
      <c r="AC184">
        <v>50</v>
      </c>
      <c r="AD184" t="s">
        <v>488</v>
      </c>
      <c r="AE184" t="s">
        <v>429</v>
      </c>
      <c r="AF184">
        <v>49.5</v>
      </c>
      <c r="AG184" t="s">
        <v>488</v>
      </c>
      <c r="AH184" t="s">
        <v>429</v>
      </c>
      <c r="AI184">
        <v>49.5</v>
      </c>
      <c r="AJ184" t="s">
        <v>488</v>
      </c>
      <c r="AK184" t="s">
        <v>429</v>
      </c>
      <c r="AL184">
        <v>49.5</v>
      </c>
      <c r="AM184" t="s">
        <v>488</v>
      </c>
      <c r="AN184" t="s">
        <v>429</v>
      </c>
      <c r="AO184">
        <v>49</v>
      </c>
      <c r="AP184" t="s">
        <v>488</v>
      </c>
      <c r="AQ184" t="s">
        <v>429</v>
      </c>
      <c r="AR184">
        <v>49</v>
      </c>
      <c r="AS184" t="s">
        <v>488</v>
      </c>
      <c r="AT184" t="s">
        <v>429</v>
      </c>
      <c r="AU184">
        <v>49</v>
      </c>
      <c r="AV184" t="s">
        <v>488</v>
      </c>
      <c r="AW184" t="s">
        <v>429</v>
      </c>
      <c r="AX184">
        <v>49</v>
      </c>
      <c r="AY184" t="s">
        <v>488</v>
      </c>
      <c r="AZ184" t="s">
        <v>429</v>
      </c>
      <c r="BA184">
        <v>49</v>
      </c>
      <c r="BB184" t="s">
        <v>488</v>
      </c>
      <c r="BC184" t="s">
        <v>429</v>
      </c>
      <c r="BD184">
        <v>49.9</v>
      </c>
      <c r="BE184" t="s">
        <v>488</v>
      </c>
      <c r="BF184" t="s">
        <v>429</v>
      </c>
      <c r="BG184">
        <v>48.99</v>
      </c>
      <c r="BH184" t="s">
        <v>488</v>
      </c>
      <c r="BI184" t="s">
        <v>429</v>
      </c>
      <c r="BJ184">
        <v>48.99</v>
      </c>
      <c r="BK184" t="s">
        <v>488</v>
      </c>
      <c r="BL184" t="s">
        <v>406</v>
      </c>
      <c r="BM184">
        <v>3.68</v>
      </c>
      <c r="BN184" t="s">
        <v>108</v>
      </c>
      <c r="BO184" t="s">
        <v>406</v>
      </c>
      <c r="BP184">
        <v>3.62</v>
      </c>
      <c r="BQ184" t="s">
        <v>108</v>
      </c>
      <c r="BR184" t="s">
        <v>406</v>
      </c>
      <c r="BS184">
        <v>3.67</v>
      </c>
      <c r="BT184" t="s">
        <v>108</v>
      </c>
      <c r="BU184" t="s">
        <v>406</v>
      </c>
      <c r="BV184">
        <v>3.64</v>
      </c>
      <c r="BW184" t="s">
        <v>108</v>
      </c>
      <c r="BX184" t="s">
        <v>406</v>
      </c>
      <c r="BY184">
        <v>3.63</v>
      </c>
      <c r="BZ184" t="s">
        <v>108</v>
      </c>
      <c r="CA184" t="s">
        <v>313</v>
      </c>
      <c r="CB184">
        <v>7.49</v>
      </c>
      <c r="CC184" t="s">
        <v>250</v>
      </c>
      <c r="CD184" t="s">
        <v>406</v>
      </c>
      <c r="CE184">
        <v>3.65</v>
      </c>
      <c r="CF184" t="s">
        <v>108</v>
      </c>
      <c r="CG184" t="s">
        <v>406</v>
      </c>
      <c r="CH184">
        <v>3.63</v>
      </c>
      <c r="CI184" t="s">
        <v>108</v>
      </c>
      <c r="CJ184" t="s">
        <v>406</v>
      </c>
      <c r="CK184">
        <v>3.63</v>
      </c>
      <c r="CL184" t="s">
        <v>108</v>
      </c>
      <c r="CM184" t="s">
        <v>406</v>
      </c>
      <c r="CN184">
        <v>3.59</v>
      </c>
      <c r="CO184" t="s">
        <v>108</v>
      </c>
      <c r="CP184" t="s">
        <v>406</v>
      </c>
      <c r="CQ184">
        <v>3.6</v>
      </c>
      <c r="CR184" t="s">
        <v>108</v>
      </c>
      <c r="CS184" t="s">
        <v>406</v>
      </c>
      <c r="CT184">
        <v>3.61</v>
      </c>
      <c r="CU184" t="s">
        <v>108</v>
      </c>
      <c r="CV184" t="s">
        <v>406</v>
      </c>
      <c r="CW184">
        <v>3.55</v>
      </c>
      <c r="CX184" t="s">
        <v>108</v>
      </c>
      <c r="CY184" t="s">
        <v>406</v>
      </c>
      <c r="CZ184">
        <v>3.69</v>
      </c>
      <c r="DA184" t="s">
        <v>108</v>
      </c>
      <c r="DB184" t="s">
        <v>406</v>
      </c>
      <c r="DC184">
        <v>3.62</v>
      </c>
      <c r="DD184" t="s">
        <v>108</v>
      </c>
      <c r="DE184" t="s">
        <v>406</v>
      </c>
      <c r="DF184">
        <v>3.62</v>
      </c>
      <c r="DG184" t="s">
        <v>108</v>
      </c>
      <c r="DH184" t="s">
        <v>406</v>
      </c>
      <c r="DI184">
        <v>3.85</v>
      </c>
      <c r="DJ184" t="s">
        <v>108</v>
      </c>
      <c r="DK184" t="s">
        <v>672</v>
      </c>
      <c r="DL184">
        <v>15.19</v>
      </c>
      <c r="DM184" t="s">
        <v>700</v>
      </c>
      <c r="DN184" t="s">
        <v>672</v>
      </c>
      <c r="DO184">
        <v>15.19</v>
      </c>
      <c r="DP184" t="s">
        <v>700</v>
      </c>
      <c r="DQ184" t="s">
        <v>672</v>
      </c>
      <c r="DR184">
        <v>15.19</v>
      </c>
      <c r="DS184" t="s">
        <v>700</v>
      </c>
      <c r="DT184" t="s">
        <v>363</v>
      </c>
      <c r="DU184">
        <v>47.69</v>
      </c>
      <c r="DV184" t="s">
        <v>65</v>
      </c>
      <c r="DW184" t="s">
        <v>363</v>
      </c>
      <c r="DX184">
        <v>46.05</v>
      </c>
      <c r="DY184" t="s">
        <v>65</v>
      </c>
      <c r="DZ184" t="s">
        <v>363</v>
      </c>
      <c r="EA184">
        <v>46.5</v>
      </c>
      <c r="EB184" t="s">
        <v>65</v>
      </c>
      <c r="EC184" t="s">
        <v>363</v>
      </c>
      <c r="ED184">
        <v>45</v>
      </c>
      <c r="EE184" t="s">
        <v>65</v>
      </c>
      <c r="EF184" t="s">
        <v>363</v>
      </c>
      <c r="EG184">
        <v>52.14</v>
      </c>
      <c r="EH184" t="s">
        <v>65</v>
      </c>
      <c r="EI184" t="s">
        <v>363</v>
      </c>
      <c r="EJ184">
        <v>51.87</v>
      </c>
      <c r="EK184" t="s">
        <v>65</v>
      </c>
    </row>
    <row r="185" spans="1:141">
      <c r="A185" t="s">
        <v>429</v>
      </c>
      <c r="B185">
        <v>50</v>
      </c>
      <c r="C185" t="s">
        <v>488</v>
      </c>
      <c r="D185" t="s">
        <v>429</v>
      </c>
      <c r="E185">
        <v>50</v>
      </c>
      <c r="F185" t="s">
        <v>488</v>
      </c>
      <c r="G185" t="s">
        <v>654</v>
      </c>
      <c r="H185">
        <v>344.28</v>
      </c>
      <c r="I185" t="s">
        <v>686</v>
      </c>
      <c r="J185" t="s">
        <v>654</v>
      </c>
      <c r="K185">
        <v>344.28</v>
      </c>
      <c r="L185" t="s">
        <v>686</v>
      </c>
      <c r="M185" t="s">
        <v>654</v>
      </c>
      <c r="N185">
        <v>344.28</v>
      </c>
      <c r="O185" t="s">
        <v>686</v>
      </c>
      <c r="P185" t="s">
        <v>406</v>
      </c>
      <c r="Q185">
        <v>3.85</v>
      </c>
      <c r="R185" t="s">
        <v>108</v>
      </c>
      <c r="S185" t="s">
        <v>654</v>
      </c>
      <c r="T185">
        <v>344.28</v>
      </c>
      <c r="U185" t="s">
        <v>686</v>
      </c>
      <c r="V185" t="s">
        <v>654</v>
      </c>
      <c r="W185">
        <v>344.28</v>
      </c>
      <c r="X185" t="s">
        <v>686</v>
      </c>
      <c r="Y185" t="s">
        <v>654</v>
      </c>
      <c r="Z185">
        <v>344.28</v>
      </c>
      <c r="AA185" t="s">
        <v>686</v>
      </c>
      <c r="AB185" t="s">
        <v>654</v>
      </c>
      <c r="AC185">
        <v>344.28</v>
      </c>
      <c r="AD185" t="s">
        <v>686</v>
      </c>
      <c r="AE185" t="s">
        <v>654</v>
      </c>
      <c r="AF185">
        <v>344.28</v>
      </c>
      <c r="AG185" t="s">
        <v>686</v>
      </c>
      <c r="AH185" t="s">
        <v>654</v>
      </c>
      <c r="AI185">
        <v>344.28</v>
      </c>
      <c r="AJ185" t="s">
        <v>686</v>
      </c>
      <c r="AK185" t="s">
        <v>654</v>
      </c>
      <c r="AL185">
        <v>344.28</v>
      </c>
      <c r="AM185" t="s">
        <v>686</v>
      </c>
      <c r="AN185" t="s">
        <v>654</v>
      </c>
      <c r="AO185">
        <v>344.28</v>
      </c>
      <c r="AP185" t="s">
        <v>686</v>
      </c>
      <c r="AQ185" t="s">
        <v>654</v>
      </c>
      <c r="AR185">
        <v>344.28</v>
      </c>
      <c r="AS185" t="s">
        <v>686</v>
      </c>
      <c r="AT185" t="s">
        <v>654</v>
      </c>
      <c r="AU185">
        <v>344.28</v>
      </c>
      <c r="AV185" t="s">
        <v>686</v>
      </c>
      <c r="AW185" t="s">
        <v>654</v>
      </c>
      <c r="AX185">
        <v>344.28</v>
      </c>
      <c r="AY185" t="s">
        <v>686</v>
      </c>
      <c r="AZ185" t="s">
        <v>654</v>
      </c>
      <c r="BA185">
        <v>344.28</v>
      </c>
      <c r="BB185" t="s">
        <v>686</v>
      </c>
      <c r="BC185" t="s">
        <v>654</v>
      </c>
      <c r="BD185">
        <v>344.28</v>
      </c>
      <c r="BE185" t="s">
        <v>686</v>
      </c>
      <c r="BF185" t="s">
        <v>654</v>
      </c>
      <c r="BG185">
        <v>344.28</v>
      </c>
      <c r="BH185" t="s">
        <v>686</v>
      </c>
      <c r="BI185" t="s">
        <v>654</v>
      </c>
      <c r="BJ185">
        <v>344.28</v>
      </c>
      <c r="BK185" t="s">
        <v>686</v>
      </c>
      <c r="BL185" t="s">
        <v>672</v>
      </c>
      <c r="BM185">
        <v>15.19</v>
      </c>
      <c r="BN185" t="s">
        <v>700</v>
      </c>
      <c r="BO185" t="s">
        <v>672</v>
      </c>
      <c r="BP185">
        <v>15.19</v>
      </c>
      <c r="BQ185" t="s">
        <v>700</v>
      </c>
      <c r="BR185" t="s">
        <v>672</v>
      </c>
      <c r="BS185">
        <v>15.19</v>
      </c>
      <c r="BT185" t="s">
        <v>700</v>
      </c>
      <c r="BU185" t="s">
        <v>672</v>
      </c>
      <c r="BV185">
        <v>15.19</v>
      </c>
      <c r="BW185" t="s">
        <v>700</v>
      </c>
      <c r="BX185" t="s">
        <v>672</v>
      </c>
      <c r="BY185">
        <v>15.19</v>
      </c>
      <c r="BZ185" t="s">
        <v>700</v>
      </c>
      <c r="CA185" t="s">
        <v>251</v>
      </c>
      <c r="CB185">
        <v>0.14000000000000001</v>
      </c>
      <c r="CC185" t="s">
        <v>116</v>
      </c>
      <c r="CD185" t="s">
        <v>672</v>
      </c>
      <c r="CE185">
        <v>15.19</v>
      </c>
      <c r="CF185" t="s">
        <v>700</v>
      </c>
      <c r="CG185" t="s">
        <v>672</v>
      </c>
      <c r="CH185">
        <v>15.19</v>
      </c>
      <c r="CI185" t="s">
        <v>700</v>
      </c>
      <c r="CJ185" t="s">
        <v>672</v>
      </c>
      <c r="CK185">
        <v>15.19</v>
      </c>
      <c r="CL185" t="s">
        <v>700</v>
      </c>
      <c r="CM185" t="s">
        <v>672</v>
      </c>
      <c r="CN185">
        <v>15.19</v>
      </c>
      <c r="CO185" t="s">
        <v>700</v>
      </c>
      <c r="CP185" t="s">
        <v>672</v>
      </c>
      <c r="CQ185">
        <v>15.19</v>
      </c>
      <c r="CR185" t="s">
        <v>700</v>
      </c>
      <c r="CS185" t="s">
        <v>672</v>
      </c>
      <c r="CT185">
        <v>15.19</v>
      </c>
      <c r="CU185" t="s">
        <v>700</v>
      </c>
      <c r="CV185" t="s">
        <v>672</v>
      </c>
      <c r="CW185">
        <v>15.19</v>
      </c>
      <c r="CX185" t="s">
        <v>700</v>
      </c>
      <c r="CY185" t="s">
        <v>672</v>
      </c>
      <c r="CZ185">
        <v>15.19</v>
      </c>
      <c r="DA185" t="s">
        <v>700</v>
      </c>
      <c r="DB185" t="s">
        <v>672</v>
      </c>
      <c r="DC185">
        <v>15.19</v>
      </c>
      <c r="DD185" t="s">
        <v>700</v>
      </c>
      <c r="DE185" t="s">
        <v>672</v>
      </c>
      <c r="DF185">
        <v>15.19</v>
      </c>
      <c r="DG185" t="s">
        <v>700</v>
      </c>
      <c r="DH185" t="s">
        <v>672</v>
      </c>
      <c r="DI185">
        <v>15.19</v>
      </c>
      <c r="DJ185" t="s">
        <v>700</v>
      </c>
      <c r="DK185" t="s">
        <v>429</v>
      </c>
      <c r="DL185">
        <v>50</v>
      </c>
      <c r="DM185" t="s">
        <v>488</v>
      </c>
      <c r="DN185" t="s">
        <v>429</v>
      </c>
      <c r="DO185">
        <v>55</v>
      </c>
      <c r="DP185" t="s">
        <v>488</v>
      </c>
      <c r="DQ185" t="s">
        <v>429</v>
      </c>
      <c r="DR185">
        <v>50</v>
      </c>
      <c r="DS185" t="s">
        <v>488</v>
      </c>
      <c r="DT185" t="s">
        <v>359</v>
      </c>
      <c r="DU185">
        <v>8.4</v>
      </c>
      <c r="DV185" t="s">
        <v>79</v>
      </c>
      <c r="DW185" t="s">
        <v>359</v>
      </c>
      <c r="DX185">
        <v>8.6199999999999992</v>
      </c>
      <c r="DY185" t="s">
        <v>79</v>
      </c>
      <c r="DZ185" t="s">
        <v>359</v>
      </c>
      <c r="EA185">
        <v>7.91</v>
      </c>
      <c r="EB185" t="s">
        <v>79</v>
      </c>
      <c r="EC185" t="s">
        <v>359</v>
      </c>
      <c r="ED185">
        <v>7.95</v>
      </c>
      <c r="EE185" t="s">
        <v>79</v>
      </c>
      <c r="EF185" t="s">
        <v>359</v>
      </c>
      <c r="EG185">
        <v>7.75</v>
      </c>
      <c r="EH185" t="s">
        <v>79</v>
      </c>
      <c r="EI185" t="s">
        <v>359</v>
      </c>
      <c r="EJ185">
        <v>7.56</v>
      </c>
      <c r="EK185" t="s">
        <v>79</v>
      </c>
    </row>
    <row r="186" spans="1:141">
      <c r="A186" t="s">
        <v>654</v>
      </c>
      <c r="B186">
        <v>344.28</v>
      </c>
      <c r="C186" t="s">
        <v>686</v>
      </c>
      <c r="D186" t="s">
        <v>654</v>
      </c>
      <c r="E186">
        <v>344.28</v>
      </c>
      <c r="F186" t="s">
        <v>686</v>
      </c>
      <c r="G186" t="s">
        <v>527</v>
      </c>
      <c r="H186">
        <v>3.85</v>
      </c>
      <c r="I186" t="s">
        <v>6</v>
      </c>
      <c r="J186" t="s">
        <v>527</v>
      </c>
      <c r="K186">
        <v>3.85</v>
      </c>
      <c r="L186" t="s">
        <v>6</v>
      </c>
      <c r="M186" t="s">
        <v>527</v>
      </c>
      <c r="N186">
        <v>3.85</v>
      </c>
      <c r="O186" t="s">
        <v>6</v>
      </c>
      <c r="P186" t="s">
        <v>672</v>
      </c>
      <c r="Q186">
        <v>15.19</v>
      </c>
      <c r="R186" t="s">
        <v>700</v>
      </c>
      <c r="S186" t="s">
        <v>527</v>
      </c>
      <c r="T186">
        <v>3.85</v>
      </c>
      <c r="U186" t="s">
        <v>6</v>
      </c>
      <c r="V186" t="s">
        <v>527</v>
      </c>
      <c r="W186">
        <v>3.8</v>
      </c>
      <c r="X186" t="s">
        <v>6</v>
      </c>
      <c r="Y186" t="s">
        <v>527</v>
      </c>
      <c r="Z186">
        <v>3.8</v>
      </c>
      <c r="AA186" t="s">
        <v>6</v>
      </c>
      <c r="AB186" t="s">
        <v>527</v>
      </c>
      <c r="AC186">
        <v>3.8</v>
      </c>
      <c r="AD186" t="s">
        <v>6</v>
      </c>
      <c r="AE186" t="s">
        <v>527</v>
      </c>
      <c r="AF186">
        <v>3.8</v>
      </c>
      <c r="AG186" t="s">
        <v>6</v>
      </c>
      <c r="AH186" t="s">
        <v>527</v>
      </c>
      <c r="AI186">
        <v>3.8</v>
      </c>
      <c r="AJ186" t="s">
        <v>6</v>
      </c>
      <c r="AK186" t="s">
        <v>527</v>
      </c>
      <c r="AL186">
        <v>3.8</v>
      </c>
      <c r="AM186" t="s">
        <v>6</v>
      </c>
      <c r="AN186" t="s">
        <v>527</v>
      </c>
      <c r="AO186">
        <v>3.8</v>
      </c>
      <c r="AP186" t="s">
        <v>6</v>
      </c>
      <c r="AQ186" t="s">
        <v>527</v>
      </c>
      <c r="AR186">
        <v>3.8</v>
      </c>
      <c r="AS186" t="s">
        <v>6</v>
      </c>
      <c r="AT186" t="s">
        <v>527</v>
      </c>
      <c r="AU186">
        <v>3.8</v>
      </c>
      <c r="AV186" t="s">
        <v>6</v>
      </c>
      <c r="AW186" t="s">
        <v>527</v>
      </c>
      <c r="AX186">
        <v>3.8</v>
      </c>
      <c r="AY186" t="s">
        <v>6</v>
      </c>
      <c r="AZ186" t="s">
        <v>527</v>
      </c>
      <c r="BA186">
        <v>3.8</v>
      </c>
      <c r="BB186" t="s">
        <v>6</v>
      </c>
      <c r="BC186" t="s">
        <v>527</v>
      </c>
      <c r="BD186">
        <v>3.8</v>
      </c>
      <c r="BE186" t="s">
        <v>6</v>
      </c>
      <c r="BF186" t="s">
        <v>527</v>
      </c>
      <c r="BG186">
        <v>3.8</v>
      </c>
      <c r="BH186" t="s">
        <v>6</v>
      </c>
      <c r="BI186" t="s">
        <v>527</v>
      </c>
      <c r="BJ186">
        <v>3.8</v>
      </c>
      <c r="BK186" t="s">
        <v>6</v>
      </c>
      <c r="BL186" t="s">
        <v>429</v>
      </c>
      <c r="BM186">
        <v>50.1</v>
      </c>
      <c r="BN186" t="s">
        <v>488</v>
      </c>
      <c r="BO186" t="s">
        <v>429</v>
      </c>
      <c r="BP186">
        <v>50.2</v>
      </c>
      <c r="BQ186" t="s">
        <v>488</v>
      </c>
      <c r="BR186" t="s">
        <v>429</v>
      </c>
      <c r="BS186">
        <v>50.2</v>
      </c>
      <c r="BT186" t="s">
        <v>488</v>
      </c>
      <c r="BU186" t="s">
        <v>429</v>
      </c>
      <c r="BV186">
        <v>50.2</v>
      </c>
      <c r="BW186" t="s">
        <v>488</v>
      </c>
      <c r="BX186" t="s">
        <v>429</v>
      </c>
      <c r="BY186">
        <v>50.2</v>
      </c>
      <c r="BZ186" t="s">
        <v>488</v>
      </c>
      <c r="CA186" t="s">
        <v>351</v>
      </c>
      <c r="CB186">
        <v>20</v>
      </c>
      <c r="CC186" t="s">
        <v>471</v>
      </c>
      <c r="CD186" t="s">
        <v>429</v>
      </c>
      <c r="CE186">
        <v>54</v>
      </c>
      <c r="CF186" t="s">
        <v>488</v>
      </c>
      <c r="CG186" t="s">
        <v>429</v>
      </c>
      <c r="CH186">
        <v>54</v>
      </c>
      <c r="CI186" t="s">
        <v>488</v>
      </c>
      <c r="CJ186" t="s">
        <v>429</v>
      </c>
      <c r="CK186">
        <v>54</v>
      </c>
      <c r="CL186" t="s">
        <v>488</v>
      </c>
      <c r="CM186" t="s">
        <v>429</v>
      </c>
      <c r="CN186">
        <v>54</v>
      </c>
      <c r="CO186" t="s">
        <v>488</v>
      </c>
      <c r="CP186" t="s">
        <v>429</v>
      </c>
      <c r="CQ186">
        <v>54</v>
      </c>
      <c r="CR186" t="s">
        <v>488</v>
      </c>
      <c r="CS186" t="s">
        <v>429</v>
      </c>
      <c r="CT186">
        <v>54</v>
      </c>
      <c r="CU186" t="s">
        <v>488</v>
      </c>
      <c r="CV186" t="s">
        <v>429</v>
      </c>
      <c r="CW186">
        <v>54</v>
      </c>
      <c r="CX186" t="s">
        <v>488</v>
      </c>
      <c r="CY186" t="s">
        <v>429</v>
      </c>
      <c r="CZ186">
        <v>54</v>
      </c>
      <c r="DA186" t="s">
        <v>488</v>
      </c>
      <c r="DB186" t="s">
        <v>429</v>
      </c>
      <c r="DC186">
        <v>54</v>
      </c>
      <c r="DD186" t="s">
        <v>488</v>
      </c>
      <c r="DE186" t="s">
        <v>429</v>
      </c>
      <c r="DF186">
        <v>54</v>
      </c>
      <c r="DG186" t="s">
        <v>488</v>
      </c>
      <c r="DH186" t="s">
        <v>429</v>
      </c>
      <c r="DI186">
        <v>50</v>
      </c>
      <c r="DJ186" t="s">
        <v>488</v>
      </c>
      <c r="DK186" t="s">
        <v>654</v>
      </c>
      <c r="DL186">
        <v>344.28</v>
      </c>
      <c r="DM186" t="s">
        <v>686</v>
      </c>
      <c r="DN186" t="s">
        <v>654</v>
      </c>
      <c r="DO186">
        <v>344.28</v>
      </c>
      <c r="DP186" t="s">
        <v>686</v>
      </c>
      <c r="DQ186" t="s">
        <v>654</v>
      </c>
      <c r="DR186">
        <v>344.28</v>
      </c>
      <c r="DS186" t="s">
        <v>686</v>
      </c>
      <c r="DT186" t="s">
        <v>253</v>
      </c>
      <c r="DU186">
        <v>47.86</v>
      </c>
      <c r="DV186" t="s">
        <v>254</v>
      </c>
      <c r="DW186" t="s">
        <v>253</v>
      </c>
      <c r="DX186">
        <v>46.1</v>
      </c>
      <c r="DY186" t="s">
        <v>254</v>
      </c>
      <c r="DZ186" t="s">
        <v>253</v>
      </c>
      <c r="EA186">
        <v>47.5</v>
      </c>
      <c r="EB186" t="s">
        <v>254</v>
      </c>
      <c r="EC186" t="s">
        <v>253</v>
      </c>
      <c r="ED186">
        <v>47.57</v>
      </c>
      <c r="EE186" t="s">
        <v>254</v>
      </c>
      <c r="EF186" t="s">
        <v>253</v>
      </c>
      <c r="EG186">
        <v>48.32</v>
      </c>
      <c r="EH186" t="s">
        <v>254</v>
      </c>
      <c r="EI186" t="s">
        <v>253</v>
      </c>
      <c r="EJ186">
        <v>57.76</v>
      </c>
      <c r="EK186" t="s">
        <v>254</v>
      </c>
    </row>
    <row r="187" spans="1:141">
      <c r="A187" t="s">
        <v>527</v>
      </c>
      <c r="B187">
        <v>3.85</v>
      </c>
      <c r="C187" t="s">
        <v>6</v>
      </c>
      <c r="D187" t="s">
        <v>527</v>
      </c>
      <c r="E187">
        <v>3.85</v>
      </c>
      <c r="F187" t="s">
        <v>6</v>
      </c>
      <c r="G187" t="s">
        <v>252</v>
      </c>
      <c r="H187">
        <v>2.27</v>
      </c>
      <c r="I187" t="s">
        <v>122</v>
      </c>
      <c r="J187" t="s">
        <v>252</v>
      </c>
      <c r="K187">
        <v>2.2599999999999998</v>
      </c>
      <c r="L187" t="s">
        <v>122</v>
      </c>
      <c r="M187" t="s">
        <v>252</v>
      </c>
      <c r="N187">
        <v>2.35</v>
      </c>
      <c r="O187" t="s">
        <v>122</v>
      </c>
      <c r="P187" t="s">
        <v>429</v>
      </c>
      <c r="Q187">
        <v>51</v>
      </c>
      <c r="R187" t="s">
        <v>488</v>
      </c>
      <c r="S187" t="s">
        <v>252</v>
      </c>
      <c r="T187">
        <v>2.35</v>
      </c>
      <c r="U187" t="s">
        <v>122</v>
      </c>
      <c r="V187" t="s">
        <v>252</v>
      </c>
      <c r="W187">
        <v>2.11</v>
      </c>
      <c r="X187" t="s">
        <v>122</v>
      </c>
      <c r="Y187" t="s">
        <v>252</v>
      </c>
      <c r="Z187">
        <v>2.2200000000000002</v>
      </c>
      <c r="AA187" t="s">
        <v>122</v>
      </c>
      <c r="AB187" t="s">
        <v>252</v>
      </c>
      <c r="AC187">
        <v>2.21</v>
      </c>
      <c r="AD187" t="s">
        <v>122</v>
      </c>
      <c r="AE187" t="s">
        <v>252</v>
      </c>
      <c r="AF187">
        <v>2.29</v>
      </c>
      <c r="AG187" t="s">
        <v>122</v>
      </c>
      <c r="AH187" t="s">
        <v>252</v>
      </c>
      <c r="AI187">
        <v>2.2599999999999998</v>
      </c>
      <c r="AJ187" t="s">
        <v>122</v>
      </c>
      <c r="AK187" t="s">
        <v>252</v>
      </c>
      <c r="AL187">
        <v>2.21</v>
      </c>
      <c r="AM187" t="s">
        <v>122</v>
      </c>
      <c r="AN187" t="s">
        <v>252</v>
      </c>
      <c r="AO187">
        <v>2.19</v>
      </c>
      <c r="AP187" t="s">
        <v>122</v>
      </c>
      <c r="AQ187" t="s">
        <v>252</v>
      </c>
      <c r="AR187">
        <v>2.23</v>
      </c>
      <c r="AS187" t="s">
        <v>122</v>
      </c>
      <c r="AT187" t="s">
        <v>252</v>
      </c>
      <c r="AU187">
        <v>2.2599999999999998</v>
      </c>
      <c r="AV187" t="s">
        <v>122</v>
      </c>
      <c r="AW187" t="s">
        <v>252</v>
      </c>
      <c r="AX187">
        <v>2.35</v>
      </c>
      <c r="AY187" t="s">
        <v>122</v>
      </c>
      <c r="AZ187" t="s">
        <v>252</v>
      </c>
      <c r="BA187">
        <v>2.23</v>
      </c>
      <c r="BB187" t="s">
        <v>122</v>
      </c>
      <c r="BC187" t="s">
        <v>252</v>
      </c>
      <c r="BD187">
        <v>2.5499999999999998</v>
      </c>
      <c r="BE187" t="s">
        <v>122</v>
      </c>
      <c r="BF187" t="s">
        <v>252</v>
      </c>
      <c r="BG187">
        <v>2.4500000000000002</v>
      </c>
      <c r="BH187" t="s">
        <v>122</v>
      </c>
      <c r="BI187" t="s">
        <v>252</v>
      </c>
      <c r="BJ187">
        <v>2.4</v>
      </c>
      <c r="BK187" t="s">
        <v>122</v>
      </c>
      <c r="BL187" t="s">
        <v>654</v>
      </c>
      <c r="BM187">
        <v>344.28</v>
      </c>
      <c r="BN187" t="s">
        <v>686</v>
      </c>
      <c r="BO187" t="s">
        <v>654</v>
      </c>
      <c r="BP187">
        <v>344.28</v>
      </c>
      <c r="BQ187" t="s">
        <v>686</v>
      </c>
      <c r="BR187" t="s">
        <v>654</v>
      </c>
      <c r="BS187">
        <v>344.28</v>
      </c>
      <c r="BT187" t="s">
        <v>686</v>
      </c>
      <c r="BU187" t="s">
        <v>654</v>
      </c>
      <c r="BV187">
        <v>344.28</v>
      </c>
      <c r="BW187" t="s">
        <v>686</v>
      </c>
      <c r="BX187" t="s">
        <v>654</v>
      </c>
      <c r="BY187">
        <v>344.28</v>
      </c>
      <c r="BZ187" t="s">
        <v>686</v>
      </c>
      <c r="CA187" t="s">
        <v>406</v>
      </c>
      <c r="CB187">
        <v>3.63</v>
      </c>
      <c r="CC187" t="s">
        <v>108</v>
      </c>
      <c r="CD187" t="s">
        <v>654</v>
      </c>
      <c r="CE187">
        <v>344.28</v>
      </c>
      <c r="CF187" t="s">
        <v>686</v>
      </c>
      <c r="CG187" t="s">
        <v>654</v>
      </c>
      <c r="CH187">
        <v>344.28</v>
      </c>
      <c r="CI187" t="s">
        <v>686</v>
      </c>
      <c r="CJ187" t="s">
        <v>654</v>
      </c>
      <c r="CK187">
        <v>344.28</v>
      </c>
      <c r="CL187" t="s">
        <v>686</v>
      </c>
      <c r="CM187" t="s">
        <v>654</v>
      </c>
      <c r="CN187">
        <v>344.28</v>
      </c>
      <c r="CO187" t="s">
        <v>686</v>
      </c>
      <c r="CP187" t="s">
        <v>654</v>
      </c>
      <c r="CQ187">
        <v>344.28</v>
      </c>
      <c r="CR187" t="s">
        <v>686</v>
      </c>
      <c r="CS187" t="s">
        <v>654</v>
      </c>
      <c r="CT187">
        <v>344.28</v>
      </c>
      <c r="CU187" t="s">
        <v>686</v>
      </c>
      <c r="CV187" t="s">
        <v>654</v>
      </c>
      <c r="CW187">
        <v>344.28</v>
      </c>
      <c r="CX187" t="s">
        <v>686</v>
      </c>
      <c r="CY187" t="s">
        <v>654</v>
      </c>
      <c r="CZ187">
        <v>344.28</v>
      </c>
      <c r="DA187" t="s">
        <v>686</v>
      </c>
      <c r="DB187" t="s">
        <v>654</v>
      </c>
      <c r="DC187">
        <v>344.28</v>
      </c>
      <c r="DD187" t="s">
        <v>686</v>
      </c>
      <c r="DE187" t="s">
        <v>654</v>
      </c>
      <c r="DF187">
        <v>344.28</v>
      </c>
      <c r="DG187" t="s">
        <v>686</v>
      </c>
      <c r="DH187" t="s">
        <v>654</v>
      </c>
      <c r="DI187">
        <v>344.28</v>
      </c>
      <c r="DJ187" t="s">
        <v>686</v>
      </c>
      <c r="DK187" t="s">
        <v>527</v>
      </c>
      <c r="DL187">
        <v>3.8</v>
      </c>
      <c r="DM187" t="s">
        <v>6</v>
      </c>
      <c r="DN187" t="s">
        <v>527</v>
      </c>
      <c r="DO187">
        <v>3.8</v>
      </c>
      <c r="DP187" t="s">
        <v>6</v>
      </c>
      <c r="DQ187" t="s">
        <v>527</v>
      </c>
      <c r="DR187">
        <v>5.62</v>
      </c>
      <c r="DS187" t="s">
        <v>6</v>
      </c>
      <c r="DT187" t="s">
        <v>415</v>
      </c>
      <c r="DU187">
        <v>11.3</v>
      </c>
      <c r="DV187" t="s">
        <v>78</v>
      </c>
      <c r="DW187" t="s">
        <v>415</v>
      </c>
      <c r="DX187">
        <v>10.61</v>
      </c>
      <c r="DY187" t="s">
        <v>78</v>
      </c>
      <c r="DZ187" t="s">
        <v>415</v>
      </c>
      <c r="EA187">
        <v>11.32</v>
      </c>
      <c r="EB187" t="s">
        <v>78</v>
      </c>
      <c r="EC187" t="s">
        <v>415</v>
      </c>
      <c r="ED187">
        <v>10.63</v>
      </c>
      <c r="EE187" t="s">
        <v>78</v>
      </c>
      <c r="EF187" t="s">
        <v>415</v>
      </c>
      <c r="EG187">
        <v>9.91</v>
      </c>
      <c r="EH187" t="s">
        <v>78</v>
      </c>
      <c r="EI187" t="s">
        <v>415</v>
      </c>
      <c r="EJ187">
        <v>10.07</v>
      </c>
      <c r="EK187" t="s">
        <v>78</v>
      </c>
    </row>
    <row r="188" spans="1:141">
      <c r="A188" t="s">
        <v>252</v>
      </c>
      <c r="B188">
        <v>2.35</v>
      </c>
      <c r="C188" t="s">
        <v>122</v>
      </c>
      <c r="D188" t="s">
        <v>252</v>
      </c>
      <c r="E188">
        <v>2.31</v>
      </c>
      <c r="F188" t="s">
        <v>122</v>
      </c>
      <c r="G188" t="s">
        <v>363</v>
      </c>
      <c r="H188">
        <v>66</v>
      </c>
      <c r="I188" t="s">
        <v>65</v>
      </c>
      <c r="J188" t="s">
        <v>363</v>
      </c>
      <c r="K188">
        <v>65</v>
      </c>
      <c r="L188" t="s">
        <v>65</v>
      </c>
      <c r="M188" t="s">
        <v>363</v>
      </c>
      <c r="N188">
        <v>62.53</v>
      </c>
      <c r="O188" t="s">
        <v>65</v>
      </c>
      <c r="P188" t="s">
        <v>654</v>
      </c>
      <c r="Q188">
        <v>344.28</v>
      </c>
      <c r="R188" t="s">
        <v>686</v>
      </c>
      <c r="S188" t="s">
        <v>363</v>
      </c>
      <c r="T188">
        <v>55.21</v>
      </c>
      <c r="U188" t="s">
        <v>65</v>
      </c>
      <c r="V188" t="s">
        <v>363</v>
      </c>
      <c r="W188">
        <v>47.43</v>
      </c>
      <c r="X188" t="s">
        <v>65</v>
      </c>
      <c r="Y188" t="s">
        <v>363</v>
      </c>
      <c r="Z188">
        <v>47.76</v>
      </c>
      <c r="AA188" t="s">
        <v>65</v>
      </c>
      <c r="AB188" t="s">
        <v>363</v>
      </c>
      <c r="AC188">
        <v>49.26</v>
      </c>
      <c r="AD188" t="s">
        <v>65</v>
      </c>
      <c r="AE188" t="s">
        <v>363</v>
      </c>
      <c r="AF188">
        <v>50.49</v>
      </c>
      <c r="AG188" t="s">
        <v>65</v>
      </c>
      <c r="AH188" t="s">
        <v>363</v>
      </c>
      <c r="AI188">
        <v>48.8</v>
      </c>
      <c r="AJ188" t="s">
        <v>65</v>
      </c>
      <c r="AK188" t="s">
        <v>363</v>
      </c>
      <c r="AL188">
        <v>48.65</v>
      </c>
      <c r="AM188" t="s">
        <v>65</v>
      </c>
      <c r="AN188" t="s">
        <v>363</v>
      </c>
      <c r="AO188">
        <v>47.12</v>
      </c>
      <c r="AP188" t="s">
        <v>65</v>
      </c>
      <c r="AQ188" t="s">
        <v>363</v>
      </c>
      <c r="AR188">
        <v>47.45</v>
      </c>
      <c r="AS188" t="s">
        <v>65</v>
      </c>
      <c r="AT188" t="s">
        <v>363</v>
      </c>
      <c r="AU188">
        <v>47.39</v>
      </c>
      <c r="AV188" t="s">
        <v>65</v>
      </c>
      <c r="AW188" t="s">
        <v>363</v>
      </c>
      <c r="AX188">
        <v>47.99</v>
      </c>
      <c r="AY188" t="s">
        <v>65</v>
      </c>
      <c r="AZ188" t="s">
        <v>363</v>
      </c>
      <c r="BA188">
        <v>48.45</v>
      </c>
      <c r="BB188" t="s">
        <v>65</v>
      </c>
      <c r="BC188" t="s">
        <v>363</v>
      </c>
      <c r="BD188">
        <v>47.77</v>
      </c>
      <c r="BE188" t="s">
        <v>65</v>
      </c>
      <c r="BF188" t="s">
        <v>363</v>
      </c>
      <c r="BG188">
        <v>47</v>
      </c>
      <c r="BH188" t="s">
        <v>65</v>
      </c>
      <c r="BI188" t="s">
        <v>363</v>
      </c>
      <c r="BJ188">
        <v>47.05</v>
      </c>
      <c r="BK188" t="s">
        <v>65</v>
      </c>
      <c r="BL188" t="s">
        <v>527</v>
      </c>
      <c r="BM188">
        <v>3.8</v>
      </c>
      <c r="BN188" t="s">
        <v>6</v>
      </c>
      <c r="BO188" t="s">
        <v>527</v>
      </c>
      <c r="BP188">
        <v>3.8</v>
      </c>
      <c r="BQ188" t="s">
        <v>6</v>
      </c>
      <c r="BR188" t="s">
        <v>527</v>
      </c>
      <c r="BS188">
        <v>3.8</v>
      </c>
      <c r="BT188" t="s">
        <v>6</v>
      </c>
      <c r="BU188" t="s">
        <v>527</v>
      </c>
      <c r="BV188">
        <v>3.8</v>
      </c>
      <c r="BW188" t="s">
        <v>6</v>
      </c>
      <c r="BX188" t="s">
        <v>527</v>
      </c>
      <c r="BY188">
        <v>3.8</v>
      </c>
      <c r="BZ188" t="s">
        <v>6</v>
      </c>
      <c r="CA188" t="s">
        <v>672</v>
      </c>
      <c r="CB188">
        <v>15.19</v>
      </c>
      <c r="CC188" t="s">
        <v>700</v>
      </c>
      <c r="CD188" t="s">
        <v>527</v>
      </c>
      <c r="CE188">
        <v>3.8</v>
      </c>
      <c r="CF188" t="s">
        <v>6</v>
      </c>
      <c r="CG188" t="s">
        <v>527</v>
      </c>
      <c r="CH188">
        <v>3.8</v>
      </c>
      <c r="CI188" t="s">
        <v>6</v>
      </c>
      <c r="CJ188" t="s">
        <v>527</v>
      </c>
      <c r="CK188">
        <v>3.8</v>
      </c>
      <c r="CL188" t="s">
        <v>6</v>
      </c>
      <c r="CM188" t="s">
        <v>527</v>
      </c>
      <c r="CN188">
        <v>3.8</v>
      </c>
      <c r="CO188" t="s">
        <v>6</v>
      </c>
      <c r="CP188" t="s">
        <v>527</v>
      </c>
      <c r="CQ188">
        <v>3.8</v>
      </c>
      <c r="CR188" t="s">
        <v>6</v>
      </c>
      <c r="CS188" t="s">
        <v>527</v>
      </c>
      <c r="CT188">
        <v>3.8</v>
      </c>
      <c r="CU188" t="s">
        <v>6</v>
      </c>
      <c r="CV188" t="s">
        <v>527</v>
      </c>
      <c r="CW188">
        <v>3.8</v>
      </c>
      <c r="CX188" t="s">
        <v>6</v>
      </c>
      <c r="CY188" t="s">
        <v>527</v>
      </c>
      <c r="CZ188">
        <v>3.8</v>
      </c>
      <c r="DA188" t="s">
        <v>6</v>
      </c>
      <c r="DB188" t="s">
        <v>527</v>
      </c>
      <c r="DC188">
        <v>3.8</v>
      </c>
      <c r="DD188" t="s">
        <v>6</v>
      </c>
      <c r="DE188" t="s">
        <v>527</v>
      </c>
      <c r="DF188">
        <v>3.8</v>
      </c>
      <c r="DG188" t="s">
        <v>6</v>
      </c>
      <c r="DH188" t="s">
        <v>527</v>
      </c>
      <c r="DI188">
        <v>3.8</v>
      </c>
      <c r="DJ188" t="s">
        <v>6</v>
      </c>
      <c r="DK188" t="s">
        <v>252</v>
      </c>
      <c r="DL188">
        <v>2.95</v>
      </c>
      <c r="DM188" t="s">
        <v>122</v>
      </c>
      <c r="DN188" t="s">
        <v>252</v>
      </c>
      <c r="DO188">
        <v>2.95</v>
      </c>
      <c r="DP188" t="s">
        <v>122</v>
      </c>
      <c r="DQ188" t="s">
        <v>252</v>
      </c>
      <c r="DR188">
        <v>3.13</v>
      </c>
      <c r="DS188" t="s">
        <v>122</v>
      </c>
      <c r="DT188" t="s">
        <v>255</v>
      </c>
      <c r="DU188">
        <v>62.29</v>
      </c>
      <c r="DV188" t="s">
        <v>80</v>
      </c>
      <c r="DW188" t="s">
        <v>255</v>
      </c>
      <c r="DX188">
        <v>61.99</v>
      </c>
      <c r="DY188" t="s">
        <v>80</v>
      </c>
      <c r="DZ188" t="s">
        <v>255</v>
      </c>
      <c r="EA188">
        <v>63.51</v>
      </c>
      <c r="EB188" t="s">
        <v>80</v>
      </c>
      <c r="EC188" t="s">
        <v>255</v>
      </c>
      <c r="ED188">
        <v>65.52</v>
      </c>
      <c r="EE188" t="s">
        <v>80</v>
      </c>
      <c r="EF188" t="s">
        <v>255</v>
      </c>
      <c r="EG188">
        <v>58.47</v>
      </c>
      <c r="EH188" t="s">
        <v>80</v>
      </c>
      <c r="EI188" t="s">
        <v>255</v>
      </c>
      <c r="EJ188">
        <v>59</v>
      </c>
      <c r="EK188" t="s">
        <v>80</v>
      </c>
    </row>
    <row r="189" spans="1:141">
      <c r="A189" t="s">
        <v>363</v>
      </c>
      <c r="B189">
        <v>67.14</v>
      </c>
      <c r="C189" t="s">
        <v>65</v>
      </c>
      <c r="D189" t="s">
        <v>363</v>
      </c>
      <c r="E189">
        <v>66.510000000000005</v>
      </c>
      <c r="F189" t="s">
        <v>65</v>
      </c>
      <c r="G189" t="s">
        <v>359</v>
      </c>
      <c r="H189">
        <v>8.9499999999999993</v>
      </c>
      <c r="I189" t="s">
        <v>79</v>
      </c>
      <c r="J189" t="s">
        <v>359</v>
      </c>
      <c r="K189">
        <v>9.09</v>
      </c>
      <c r="L189" t="s">
        <v>79</v>
      </c>
      <c r="M189" t="s">
        <v>359</v>
      </c>
      <c r="N189">
        <v>8.75</v>
      </c>
      <c r="O189" t="s">
        <v>79</v>
      </c>
      <c r="P189" t="s">
        <v>527</v>
      </c>
      <c r="Q189">
        <v>3.85</v>
      </c>
      <c r="R189" t="s">
        <v>6</v>
      </c>
      <c r="S189" t="s">
        <v>359</v>
      </c>
      <c r="T189">
        <v>8.6999999999999993</v>
      </c>
      <c r="U189" t="s">
        <v>79</v>
      </c>
      <c r="V189" t="s">
        <v>359</v>
      </c>
      <c r="W189">
        <v>8.9</v>
      </c>
      <c r="X189" t="s">
        <v>79</v>
      </c>
      <c r="Y189" t="s">
        <v>359</v>
      </c>
      <c r="Z189">
        <v>8</v>
      </c>
      <c r="AA189" t="s">
        <v>79</v>
      </c>
      <c r="AB189" t="s">
        <v>359</v>
      </c>
      <c r="AC189">
        <v>8.81</v>
      </c>
      <c r="AD189" t="s">
        <v>79</v>
      </c>
      <c r="AE189" t="s">
        <v>359</v>
      </c>
      <c r="AF189">
        <v>9.1</v>
      </c>
      <c r="AG189" t="s">
        <v>79</v>
      </c>
      <c r="AH189" t="s">
        <v>359</v>
      </c>
      <c r="AI189">
        <v>8.4499999999999993</v>
      </c>
      <c r="AJ189" t="s">
        <v>79</v>
      </c>
      <c r="AK189" t="s">
        <v>359</v>
      </c>
      <c r="AL189">
        <v>8.4499999999999993</v>
      </c>
      <c r="AM189" t="s">
        <v>79</v>
      </c>
      <c r="AN189" t="s">
        <v>359</v>
      </c>
      <c r="AO189">
        <v>8.08</v>
      </c>
      <c r="AP189" t="s">
        <v>79</v>
      </c>
      <c r="AQ189" t="s">
        <v>359</v>
      </c>
      <c r="AR189">
        <v>8.0399999999999991</v>
      </c>
      <c r="AS189" t="s">
        <v>79</v>
      </c>
      <c r="AT189" t="s">
        <v>359</v>
      </c>
      <c r="AU189">
        <v>8.1199999999999992</v>
      </c>
      <c r="AV189" t="s">
        <v>79</v>
      </c>
      <c r="AW189" t="s">
        <v>359</v>
      </c>
      <c r="AX189">
        <v>8.2899999999999991</v>
      </c>
      <c r="AY189" t="s">
        <v>79</v>
      </c>
      <c r="AZ189" t="s">
        <v>359</v>
      </c>
      <c r="BA189">
        <v>8.3800000000000008</v>
      </c>
      <c r="BB189" t="s">
        <v>79</v>
      </c>
      <c r="BC189" t="s">
        <v>359</v>
      </c>
      <c r="BD189">
        <v>8.5299999999999994</v>
      </c>
      <c r="BE189" t="s">
        <v>79</v>
      </c>
      <c r="BF189" t="s">
        <v>359</v>
      </c>
      <c r="BG189">
        <v>8.6</v>
      </c>
      <c r="BH189" t="s">
        <v>79</v>
      </c>
      <c r="BI189" t="s">
        <v>359</v>
      </c>
      <c r="BJ189">
        <v>8.3000000000000007</v>
      </c>
      <c r="BK189" t="s">
        <v>79</v>
      </c>
      <c r="BL189" t="s">
        <v>252</v>
      </c>
      <c r="BM189">
        <v>2.3199999999999998</v>
      </c>
      <c r="BN189" t="s">
        <v>122</v>
      </c>
      <c r="BO189" t="s">
        <v>252</v>
      </c>
      <c r="BP189">
        <v>2.29</v>
      </c>
      <c r="BQ189" t="s">
        <v>122</v>
      </c>
      <c r="BR189" t="s">
        <v>252</v>
      </c>
      <c r="BS189">
        <v>2.36</v>
      </c>
      <c r="BT189" t="s">
        <v>122</v>
      </c>
      <c r="BU189" t="s">
        <v>252</v>
      </c>
      <c r="BV189">
        <v>2.3199999999999998</v>
      </c>
      <c r="BW189" t="s">
        <v>122</v>
      </c>
      <c r="BX189" t="s">
        <v>252</v>
      </c>
      <c r="BY189">
        <v>2.2999999999999998</v>
      </c>
      <c r="BZ189" t="s">
        <v>122</v>
      </c>
      <c r="CA189" t="s">
        <v>429</v>
      </c>
      <c r="CB189">
        <v>54</v>
      </c>
      <c r="CC189" t="s">
        <v>488</v>
      </c>
      <c r="CD189" t="s">
        <v>252</v>
      </c>
      <c r="CE189">
        <v>2.29</v>
      </c>
      <c r="CF189" t="s">
        <v>122</v>
      </c>
      <c r="CG189" t="s">
        <v>252</v>
      </c>
      <c r="CH189">
        <v>2.38</v>
      </c>
      <c r="CI189" t="s">
        <v>122</v>
      </c>
      <c r="CJ189" t="s">
        <v>252</v>
      </c>
      <c r="CK189">
        <v>2.38</v>
      </c>
      <c r="CL189" t="s">
        <v>122</v>
      </c>
      <c r="CM189" t="s">
        <v>252</v>
      </c>
      <c r="CN189">
        <v>2.35</v>
      </c>
      <c r="CO189" t="s">
        <v>122</v>
      </c>
      <c r="CP189" t="s">
        <v>252</v>
      </c>
      <c r="CQ189">
        <v>2.37</v>
      </c>
      <c r="CR189" t="s">
        <v>122</v>
      </c>
      <c r="CS189" t="s">
        <v>252</v>
      </c>
      <c r="CT189">
        <v>2.35</v>
      </c>
      <c r="CU189" t="s">
        <v>122</v>
      </c>
      <c r="CV189" t="s">
        <v>252</v>
      </c>
      <c r="CW189">
        <v>2.3199999999999998</v>
      </c>
      <c r="CX189" t="s">
        <v>122</v>
      </c>
      <c r="CY189" t="s">
        <v>252</v>
      </c>
      <c r="CZ189">
        <v>2.3199999999999998</v>
      </c>
      <c r="DA189" t="s">
        <v>122</v>
      </c>
      <c r="DB189" t="s">
        <v>252</v>
      </c>
      <c r="DC189">
        <v>2.33</v>
      </c>
      <c r="DD189" t="s">
        <v>122</v>
      </c>
      <c r="DE189" t="s">
        <v>252</v>
      </c>
      <c r="DF189">
        <v>2.29</v>
      </c>
      <c r="DG189" t="s">
        <v>122</v>
      </c>
      <c r="DH189" t="s">
        <v>252</v>
      </c>
      <c r="DI189">
        <v>2.95</v>
      </c>
      <c r="DJ189" t="s">
        <v>122</v>
      </c>
      <c r="DK189" t="s">
        <v>363</v>
      </c>
      <c r="DL189">
        <v>45.11</v>
      </c>
      <c r="DM189" t="s">
        <v>65</v>
      </c>
      <c r="DN189" t="s">
        <v>363</v>
      </c>
      <c r="DO189">
        <v>44.76</v>
      </c>
      <c r="DP189" t="s">
        <v>65</v>
      </c>
      <c r="DQ189" t="s">
        <v>363</v>
      </c>
      <c r="DR189">
        <v>47.66</v>
      </c>
      <c r="DS189" t="s">
        <v>65</v>
      </c>
      <c r="DT189" t="s">
        <v>362</v>
      </c>
      <c r="DU189">
        <v>106</v>
      </c>
      <c r="DV189" t="s">
        <v>42</v>
      </c>
      <c r="DW189" t="s">
        <v>362</v>
      </c>
      <c r="DX189">
        <v>103.99</v>
      </c>
      <c r="DY189" t="s">
        <v>42</v>
      </c>
      <c r="DZ189" t="s">
        <v>362</v>
      </c>
      <c r="EA189">
        <v>104.99</v>
      </c>
      <c r="EB189" t="s">
        <v>42</v>
      </c>
      <c r="EC189" t="s">
        <v>362</v>
      </c>
      <c r="ED189">
        <v>123.99</v>
      </c>
      <c r="EE189" t="s">
        <v>42</v>
      </c>
      <c r="EF189" t="s">
        <v>362</v>
      </c>
      <c r="EG189">
        <v>111.7</v>
      </c>
      <c r="EH189" t="s">
        <v>42</v>
      </c>
      <c r="EI189" t="s">
        <v>362</v>
      </c>
      <c r="EJ189">
        <v>115</v>
      </c>
      <c r="EK189" t="s">
        <v>42</v>
      </c>
    </row>
    <row r="190" spans="1:141">
      <c r="A190" t="s">
        <v>359</v>
      </c>
      <c r="B190">
        <v>9</v>
      </c>
      <c r="C190" t="s">
        <v>79</v>
      </c>
      <c r="D190" t="s">
        <v>359</v>
      </c>
      <c r="E190">
        <v>8.99</v>
      </c>
      <c r="F190" t="s">
        <v>79</v>
      </c>
      <c r="G190" t="s">
        <v>253</v>
      </c>
      <c r="H190">
        <v>55.83</v>
      </c>
      <c r="I190" t="s">
        <v>254</v>
      </c>
      <c r="J190" t="s">
        <v>253</v>
      </c>
      <c r="K190">
        <v>54.83</v>
      </c>
      <c r="L190" t="s">
        <v>254</v>
      </c>
      <c r="M190" t="s">
        <v>253</v>
      </c>
      <c r="N190">
        <v>53.79</v>
      </c>
      <c r="O190" t="s">
        <v>254</v>
      </c>
      <c r="P190" t="s">
        <v>252</v>
      </c>
      <c r="Q190">
        <v>2.31</v>
      </c>
      <c r="R190" t="s">
        <v>122</v>
      </c>
      <c r="S190" t="s">
        <v>253</v>
      </c>
      <c r="T190">
        <v>52.47</v>
      </c>
      <c r="U190" t="s">
        <v>254</v>
      </c>
      <c r="V190" t="s">
        <v>253</v>
      </c>
      <c r="W190">
        <v>52.3</v>
      </c>
      <c r="X190" t="s">
        <v>254</v>
      </c>
      <c r="Y190" t="s">
        <v>253</v>
      </c>
      <c r="Z190">
        <v>53.14</v>
      </c>
      <c r="AA190" t="s">
        <v>254</v>
      </c>
      <c r="AB190" t="s">
        <v>253</v>
      </c>
      <c r="AC190">
        <v>56.06</v>
      </c>
      <c r="AD190" t="s">
        <v>254</v>
      </c>
      <c r="AE190" t="s">
        <v>253</v>
      </c>
      <c r="AF190">
        <v>55.16</v>
      </c>
      <c r="AG190" t="s">
        <v>254</v>
      </c>
      <c r="AH190" t="s">
        <v>253</v>
      </c>
      <c r="AI190">
        <v>53.71</v>
      </c>
      <c r="AJ190" t="s">
        <v>254</v>
      </c>
      <c r="AK190" t="s">
        <v>253</v>
      </c>
      <c r="AL190">
        <v>52.67</v>
      </c>
      <c r="AM190" t="s">
        <v>254</v>
      </c>
      <c r="AN190" t="s">
        <v>253</v>
      </c>
      <c r="AO190">
        <v>51.07</v>
      </c>
      <c r="AP190" t="s">
        <v>254</v>
      </c>
      <c r="AQ190" t="s">
        <v>253</v>
      </c>
      <c r="AR190">
        <v>52.4</v>
      </c>
      <c r="AS190" t="s">
        <v>254</v>
      </c>
      <c r="AT190" t="s">
        <v>253</v>
      </c>
      <c r="AU190">
        <v>52.5</v>
      </c>
      <c r="AV190" t="s">
        <v>254</v>
      </c>
      <c r="AW190" t="s">
        <v>253</v>
      </c>
      <c r="AX190">
        <v>52.83</v>
      </c>
      <c r="AY190" t="s">
        <v>254</v>
      </c>
      <c r="AZ190" t="s">
        <v>253</v>
      </c>
      <c r="BA190">
        <v>53.57</v>
      </c>
      <c r="BB190" t="s">
        <v>254</v>
      </c>
      <c r="BC190" t="s">
        <v>253</v>
      </c>
      <c r="BD190">
        <v>53.17</v>
      </c>
      <c r="BE190" t="s">
        <v>254</v>
      </c>
      <c r="BF190" t="s">
        <v>253</v>
      </c>
      <c r="BG190">
        <v>52.37</v>
      </c>
      <c r="BH190" t="s">
        <v>254</v>
      </c>
      <c r="BI190" t="s">
        <v>253</v>
      </c>
      <c r="BJ190">
        <v>52.08</v>
      </c>
      <c r="BK190" t="s">
        <v>254</v>
      </c>
      <c r="BL190" t="s">
        <v>363</v>
      </c>
      <c r="BM190">
        <v>45.9</v>
      </c>
      <c r="BN190" t="s">
        <v>65</v>
      </c>
      <c r="BO190" t="s">
        <v>363</v>
      </c>
      <c r="BP190">
        <v>44.93</v>
      </c>
      <c r="BQ190" t="s">
        <v>65</v>
      </c>
      <c r="BR190" t="s">
        <v>363</v>
      </c>
      <c r="BS190">
        <v>44</v>
      </c>
      <c r="BT190" t="s">
        <v>65</v>
      </c>
      <c r="BU190" t="s">
        <v>363</v>
      </c>
      <c r="BV190">
        <v>44.17</v>
      </c>
      <c r="BW190" t="s">
        <v>65</v>
      </c>
      <c r="BX190" t="s">
        <v>363</v>
      </c>
      <c r="BY190">
        <v>43.75</v>
      </c>
      <c r="BZ190" t="s">
        <v>65</v>
      </c>
      <c r="CA190" t="s">
        <v>654</v>
      </c>
      <c r="CB190">
        <v>344.28</v>
      </c>
      <c r="CC190" t="s">
        <v>686</v>
      </c>
      <c r="CD190" t="s">
        <v>363</v>
      </c>
      <c r="CE190">
        <v>45.94</v>
      </c>
      <c r="CF190" t="s">
        <v>65</v>
      </c>
      <c r="CG190" t="s">
        <v>363</v>
      </c>
      <c r="CH190">
        <v>45.5</v>
      </c>
      <c r="CI190" t="s">
        <v>65</v>
      </c>
      <c r="CJ190" t="s">
        <v>363</v>
      </c>
      <c r="CK190">
        <v>45.4</v>
      </c>
      <c r="CL190" t="s">
        <v>65</v>
      </c>
      <c r="CM190" t="s">
        <v>363</v>
      </c>
      <c r="CN190">
        <v>45.3</v>
      </c>
      <c r="CO190" t="s">
        <v>65</v>
      </c>
      <c r="CP190" t="s">
        <v>363</v>
      </c>
      <c r="CQ190">
        <v>45.94</v>
      </c>
      <c r="CR190" t="s">
        <v>65</v>
      </c>
      <c r="CS190" t="s">
        <v>363</v>
      </c>
      <c r="CT190">
        <v>45.5</v>
      </c>
      <c r="CU190" t="s">
        <v>65</v>
      </c>
      <c r="CV190" t="s">
        <v>363</v>
      </c>
      <c r="CW190">
        <v>45.1</v>
      </c>
      <c r="CX190" t="s">
        <v>65</v>
      </c>
      <c r="CY190" t="s">
        <v>363</v>
      </c>
      <c r="CZ190">
        <v>45.01</v>
      </c>
      <c r="DA190" t="s">
        <v>65</v>
      </c>
      <c r="DB190" t="s">
        <v>363</v>
      </c>
      <c r="DC190">
        <v>45.6</v>
      </c>
      <c r="DD190" t="s">
        <v>65</v>
      </c>
      <c r="DE190" t="s">
        <v>363</v>
      </c>
      <c r="DF190">
        <v>46.89</v>
      </c>
      <c r="DG190" t="s">
        <v>65</v>
      </c>
      <c r="DH190" t="s">
        <v>363</v>
      </c>
      <c r="DI190">
        <v>47.84</v>
      </c>
      <c r="DJ190" t="s">
        <v>65</v>
      </c>
      <c r="DK190" t="s">
        <v>359</v>
      </c>
      <c r="DL190">
        <v>8.5</v>
      </c>
      <c r="DM190" t="s">
        <v>79</v>
      </c>
      <c r="DN190" t="s">
        <v>359</v>
      </c>
      <c r="DO190">
        <v>8.33</v>
      </c>
      <c r="DP190" t="s">
        <v>79</v>
      </c>
      <c r="DQ190" t="s">
        <v>359</v>
      </c>
      <c r="DR190">
        <v>8.84</v>
      </c>
      <c r="DS190" t="s">
        <v>79</v>
      </c>
      <c r="DT190" t="s">
        <v>411</v>
      </c>
      <c r="DU190">
        <v>1.58</v>
      </c>
      <c r="DV190" t="s">
        <v>256</v>
      </c>
      <c r="DW190" t="s">
        <v>411</v>
      </c>
      <c r="DX190">
        <v>1.56</v>
      </c>
      <c r="DY190" t="s">
        <v>256</v>
      </c>
      <c r="DZ190" t="s">
        <v>411</v>
      </c>
      <c r="EA190">
        <v>1.58</v>
      </c>
      <c r="EB190" t="s">
        <v>256</v>
      </c>
      <c r="EC190" t="s">
        <v>411</v>
      </c>
      <c r="ED190">
        <v>1.56</v>
      </c>
      <c r="EE190" t="s">
        <v>256</v>
      </c>
      <c r="EF190" t="s">
        <v>411</v>
      </c>
      <c r="EG190">
        <v>4.3499999999999996</v>
      </c>
      <c r="EH190" t="s">
        <v>256</v>
      </c>
      <c r="EI190" t="s">
        <v>411</v>
      </c>
      <c r="EJ190">
        <v>5.03</v>
      </c>
      <c r="EK190" t="s">
        <v>256</v>
      </c>
    </row>
    <row r="191" spans="1:141">
      <c r="A191" t="s">
        <v>253</v>
      </c>
      <c r="B191">
        <v>56.06</v>
      </c>
      <c r="C191" t="s">
        <v>254</v>
      </c>
      <c r="D191" t="s">
        <v>253</v>
      </c>
      <c r="E191">
        <v>54.43</v>
      </c>
      <c r="F191" t="s">
        <v>254</v>
      </c>
      <c r="G191" t="s">
        <v>653</v>
      </c>
      <c r="H191">
        <v>0.4</v>
      </c>
      <c r="I191" t="s">
        <v>685</v>
      </c>
      <c r="J191" t="s">
        <v>653</v>
      </c>
      <c r="K191">
        <v>0.4</v>
      </c>
      <c r="L191" t="s">
        <v>685</v>
      </c>
      <c r="M191" t="s">
        <v>653</v>
      </c>
      <c r="N191">
        <v>0.4</v>
      </c>
      <c r="O191" t="s">
        <v>685</v>
      </c>
      <c r="P191" t="s">
        <v>363</v>
      </c>
      <c r="Q191">
        <v>65.5</v>
      </c>
      <c r="R191" t="s">
        <v>65</v>
      </c>
      <c r="S191" t="s">
        <v>653</v>
      </c>
      <c r="T191">
        <v>0.4</v>
      </c>
      <c r="U191" t="s">
        <v>685</v>
      </c>
      <c r="V191" t="s">
        <v>653</v>
      </c>
      <c r="W191">
        <v>0.4</v>
      </c>
      <c r="X191" t="s">
        <v>685</v>
      </c>
      <c r="Y191" t="s">
        <v>653</v>
      </c>
      <c r="Z191">
        <v>0.4</v>
      </c>
      <c r="AA191" t="s">
        <v>685</v>
      </c>
      <c r="AB191" t="s">
        <v>653</v>
      </c>
      <c r="AC191">
        <v>0.4</v>
      </c>
      <c r="AD191" t="s">
        <v>685</v>
      </c>
      <c r="AE191" t="s">
        <v>653</v>
      </c>
      <c r="AF191">
        <v>0.4</v>
      </c>
      <c r="AG191" t="s">
        <v>685</v>
      </c>
      <c r="AH191" t="s">
        <v>653</v>
      </c>
      <c r="AI191">
        <v>0.4</v>
      </c>
      <c r="AJ191" t="s">
        <v>685</v>
      </c>
      <c r="AK191" t="s">
        <v>653</v>
      </c>
      <c r="AL191">
        <v>0.4</v>
      </c>
      <c r="AM191" t="s">
        <v>685</v>
      </c>
      <c r="AN191" t="s">
        <v>653</v>
      </c>
      <c r="AO191">
        <v>0.4</v>
      </c>
      <c r="AP191" t="s">
        <v>685</v>
      </c>
      <c r="AQ191" t="s">
        <v>653</v>
      </c>
      <c r="AR191">
        <v>0.4</v>
      </c>
      <c r="AS191" t="s">
        <v>685</v>
      </c>
      <c r="AT191" t="s">
        <v>653</v>
      </c>
      <c r="AU191">
        <v>0.4</v>
      </c>
      <c r="AV191" t="s">
        <v>685</v>
      </c>
      <c r="AW191" t="s">
        <v>653</v>
      </c>
      <c r="AX191">
        <v>0.4</v>
      </c>
      <c r="AY191" t="s">
        <v>685</v>
      </c>
      <c r="AZ191" t="s">
        <v>653</v>
      </c>
      <c r="BA191">
        <v>0.4</v>
      </c>
      <c r="BB191" t="s">
        <v>685</v>
      </c>
      <c r="BC191" t="s">
        <v>653</v>
      </c>
      <c r="BD191">
        <v>0.4</v>
      </c>
      <c r="BE191" t="s">
        <v>685</v>
      </c>
      <c r="BF191" t="s">
        <v>653</v>
      </c>
      <c r="BG191">
        <v>0.4</v>
      </c>
      <c r="BH191" t="s">
        <v>685</v>
      </c>
      <c r="BI191" t="s">
        <v>653</v>
      </c>
      <c r="BJ191">
        <v>0.4</v>
      </c>
      <c r="BK191" t="s">
        <v>685</v>
      </c>
      <c r="BL191" t="s">
        <v>359</v>
      </c>
      <c r="BM191">
        <v>8.31</v>
      </c>
      <c r="BN191" t="s">
        <v>79</v>
      </c>
      <c r="BO191" t="s">
        <v>359</v>
      </c>
      <c r="BP191">
        <v>8.34</v>
      </c>
      <c r="BQ191" t="s">
        <v>79</v>
      </c>
      <c r="BR191" t="s">
        <v>359</v>
      </c>
      <c r="BS191">
        <v>8.6999999999999993</v>
      </c>
      <c r="BT191" t="s">
        <v>79</v>
      </c>
      <c r="BU191" t="s">
        <v>359</v>
      </c>
      <c r="BV191">
        <v>8.51</v>
      </c>
      <c r="BW191" t="s">
        <v>79</v>
      </c>
      <c r="BX191" t="s">
        <v>359</v>
      </c>
      <c r="BY191">
        <v>8.5</v>
      </c>
      <c r="BZ191" t="s">
        <v>79</v>
      </c>
      <c r="CA191" t="s">
        <v>527</v>
      </c>
      <c r="CB191">
        <v>3.8</v>
      </c>
      <c r="CC191" t="s">
        <v>6</v>
      </c>
      <c r="CD191" t="s">
        <v>359</v>
      </c>
      <c r="CE191">
        <v>8.69</v>
      </c>
      <c r="CF191" t="s">
        <v>79</v>
      </c>
      <c r="CG191" t="s">
        <v>359</v>
      </c>
      <c r="CH191">
        <v>8.5</v>
      </c>
      <c r="CI191" t="s">
        <v>79</v>
      </c>
      <c r="CJ191" t="s">
        <v>359</v>
      </c>
      <c r="CK191">
        <v>8.52</v>
      </c>
      <c r="CL191" t="s">
        <v>79</v>
      </c>
      <c r="CM191" t="s">
        <v>359</v>
      </c>
      <c r="CN191">
        <v>8.65</v>
      </c>
      <c r="CO191" t="s">
        <v>79</v>
      </c>
      <c r="CP191" t="s">
        <v>359</v>
      </c>
      <c r="CQ191">
        <v>8.67</v>
      </c>
      <c r="CR191" t="s">
        <v>79</v>
      </c>
      <c r="CS191" t="s">
        <v>359</v>
      </c>
      <c r="CT191">
        <v>8.56</v>
      </c>
      <c r="CU191" t="s">
        <v>79</v>
      </c>
      <c r="CV191" t="s">
        <v>359</v>
      </c>
      <c r="CW191">
        <v>8.58</v>
      </c>
      <c r="CX191" t="s">
        <v>79</v>
      </c>
      <c r="CY191" t="s">
        <v>359</v>
      </c>
      <c r="CZ191">
        <v>8.64</v>
      </c>
      <c r="DA191" t="s">
        <v>79</v>
      </c>
      <c r="DB191" t="s">
        <v>359</v>
      </c>
      <c r="DC191">
        <v>8.66</v>
      </c>
      <c r="DD191" t="s">
        <v>79</v>
      </c>
      <c r="DE191" t="s">
        <v>359</v>
      </c>
      <c r="DF191">
        <v>8.51</v>
      </c>
      <c r="DG191" t="s">
        <v>79</v>
      </c>
      <c r="DH191" t="s">
        <v>359</v>
      </c>
      <c r="DI191">
        <v>8.5</v>
      </c>
      <c r="DJ191" t="s">
        <v>79</v>
      </c>
      <c r="DK191" t="s">
        <v>253</v>
      </c>
      <c r="DL191">
        <v>46.65</v>
      </c>
      <c r="DM191" t="s">
        <v>254</v>
      </c>
      <c r="DN191" t="s">
        <v>253</v>
      </c>
      <c r="DO191">
        <v>46.05</v>
      </c>
      <c r="DP191" t="s">
        <v>254</v>
      </c>
      <c r="DQ191" t="s">
        <v>253</v>
      </c>
      <c r="DR191">
        <v>49.44</v>
      </c>
      <c r="DS191" t="s">
        <v>254</v>
      </c>
      <c r="DT191" t="s">
        <v>414</v>
      </c>
      <c r="DU191">
        <v>0.49</v>
      </c>
      <c r="DV191" t="s">
        <v>257</v>
      </c>
      <c r="DW191" t="s">
        <v>414</v>
      </c>
      <c r="DX191">
        <v>0.48</v>
      </c>
      <c r="DY191" t="s">
        <v>257</v>
      </c>
      <c r="DZ191" t="s">
        <v>414</v>
      </c>
      <c r="EA191">
        <v>0.51</v>
      </c>
      <c r="EB191" t="s">
        <v>257</v>
      </c>
      <c r="EC191" t="s">
        <v>414</v>
      </c>
      <c r="ED191">
        <v>0.5</v>
      </c>
      <c r="EE191" t="s">
        <v>257</v>
      </c>
      <c r="EF191" t="s">
        <v>414</v>
      </c>
      <c r="EG191">
        <v>0.62</v>
      </c>
      <c r="EH191" t="s">
        <v>257</v>
      </c>
      <c r="EI191" t="s">
        <v>414</v>
      </c>
      <c r="EJ191">
        <v>0.62</v>
      </c>
      <c r="EK191" t="s">
        <v>257</v>
      </c>
    </row>
    <row r="192" spans="1:141">
      <c r="A192" t="s">
        <v>653</v>
      </c>
      <c r="B192">
        <v>0.4</v>
      </c>
      <c r="C192" t="s">
        <v>685</v>
      </c>
      <c r="D192" t="s">
        <v>653</v>
      </c>
      <c r="E192">
        <v>0.4</v>
      </c>
      <c r="F192" t="s">
        <v>685</v>
      </c>
      <c r="G192" t="s">
        <v>415</v>
      </c>
      <c r="H192">
        <v>9.34</v>
      </c>
      <c r="I192" t="s">
        <v>78</v>
      </c>
      <c r="J192" t="s">
        <v>415</v>
      </c>
      <c r="K192">
        <v>9.4600000000000009</v>
      </c>
      <c r="L192" t="s">
        <v>78</v>
      </c>
      <c r="M192" t="s">
        <v>415</v>
      </c>
      <c r="N192">
        <v>9.16</v>
      </c>
      <c r="O192" t="s">
        <v>78</v>
      </c>
      <c r="P192" t="s">
        <v>359</v>
      </c>
      <c r="Q192">
        <v>9</v>
      </c>
      <c r="R192" t="s">
        <v>79</v>
      </c>
      <c r="S192" t="s">
        <v>415</v>
      </c>
      <c r="T192">
        <v>9.07</v>
      </c>
      <c r="U192" t="s">
        <v>78</v>
      </c>
      <c r="V192" t="s">
        <v>415</v>
      </c>
      <c r="W192">
        <v>8.75</v>
      </c>
      <c r="X192" t="s">
        <v>78</v>
      </c>
      <c r="Y192" t="s">
        <v>415</v>
      </c>
      <c r="Z192">
        <v>8.84</v>
      </c>
      <c r="AA192" t="s">
        <v>78</v>
      </c>
      <c r="AB192" t="s">
        <v>415</v>
      </c>
      <c r="AC192">
        <v>8.84</v>
      </c>
      <c r="AD192" t="s">
        <v>78</v>
      </c>
      <c r="AE192" t="s">
        <v>415</v>
      </c>
      <c r="AF192">
        <v>8.69</v>
      </c>
      <c r="AG192" t="s">
        <v>78</v>
      </c>
      <c r="AH192" t="s">
        <v>415</v>
      </c>
      <c r="AI192">
        <v>8.5500000000000007</v>
      </c>
      <c r="AJ192" t="s">
        <v>78</v>
      </c>
      <c r="AK192" t="s">
        <v>415</v>
      </c>
      <c r="AL192">
        <v>8.5</v>
      </c>
      <c r="AM192" t="s">
        <v>78</v>
      </c>
      <c r="AN192" t="s">
        <v>415</v>
      </c>
      <c r="AO192">
        <v>7.8</v>
      </c>
      <c r="AP192" t="s">
        <v>78</v>
      </c>
      <c r="AQ192" t="s">
        <v>415</v>
      </c>
      <c r="AR192">
        <v>8.07</v>
      </c>
      <c r="AS192" t="s">
        <v>78</v>
      </c>
      <c r="AT192" t="s">
        <v>415</v>
      </c>
      <c r="AU192">
        <v>8.0399999999999991</v>
      </c>
      <c r="AV192" t="s">
        <v>78</v>
      </c>
      <c r="AW192" t="s">
        <v>415</v>
      </c>
      <c r="AX192">
        <v>8.34</v>
      </c>
      <c r="AY192" t="s">
        <v>78</v>
      </c>
      <c r="AZ192" t="s">
        <v>415</v>
      </c>
      <c r="BA192">
        <v>8.42</v>
      </c>
      <c r="BB192" t="s">
        <v>78</v>
      </c>
      <c r="BC192" t="s">
        <v>415</v>
      </c>
      <c r="BD192">
        <v>7.9</v>
      </c>
      <c r="BE192" t="s">
        <v>78</v>
      </c>
      <c r="BF192" t="s">
        <v>415</v>
      </c>
      <c r="BG192">
        <v>7.72</v>
      </c>
      <c r="BH192" t="s">
        <v>78</v>
      </c>
      <c r="BI192" t="s">
        <v>415</v>
      </c>
      <c r="BJ192">
        <v>7.8</v>
      </c>
      <c r="BK192" t="s">
        <v>78</v>
      </c>
      <c r="BL192" t="s">
        <v>253</v>
      </c>
      <c r="BM192">
        <v>50.1</v>
      </c>
      <c r="BN192" t="s">
        <v>254</v>
      </c>
      <c r="BO192" t="s">
        <v>253</v>
      </c>
      <c r="BP192">
        <v>49.14</v>
      </c>
      <c r="BQ192" t="s">
        <v>254</v>
      </c>
      <c r="BR192" t="s">
        <v>253</v>
      </c>
      <c r="BS192">
        <v>49.7</v>
      </c>
      <c r="BT192" t="s">
        <v>254</v>
      </c>
      <c r="BU192" t="s">
        <v>253</v>
      </c>
      <c r="BV192">
        <v>49.25</v>
      </c>
      <c r="BW192" t="s">
        <v>254</v>
      </c>
      <c r="BX192" t="s">
        <v>253</v>
      </c>
      <c r="BY192">
        <v>49.2</v>
      </c>
      <c r="BZ192" t="s">
        <v>254</v>
      </c>
      <c r="CA192" t="s">
        <v>252</v>
      </c>
      <c r="CB192">
        <v>2.2999999999999998</v>
      </c>
      <c r="CC192" t="s">
        <v>122</v>
      </c>
      <c r="CD192" t="s">
        <v>253</v>
      </c>
      <c r="CE192">
        <v>49.2</v>
      </c>
      <c r="CF192" t="s">
        <v>254</v>
      </c>
      <c r="CG192" t="s">
        <v>253</v>
      </c>
      <c r="CH192">
        <v>48.85</v>
      </c>
      <c r="CI192" t="s">
        <v>254</v>
      </c>
      <c r="CJ192" t="s">
        <v>253</v>
      </c>
      <c r="CK192">
        <v>47.12</v>
      </c>
      <c r="CL192" t="s">
        <v>254</v>
      </c>
      <c r="CM192" t="s">
        <v>253</v>
      </c>
      <c r="CN192">
        <v>46.24</v>
      </c>
      <c r="CO192" t="s">
        <v>254</v>
      </c>
      <c r="CP192" t="s">
        <v>253</v>
      </c>
      <c r="CQ192">
        <v>45.92</v>
      </c>
      <c r="CR192" t="s">
        <v>254</v>
      </c>
      <c r="CS192" t="s">
        <v>253</v>
      </c>
      <c r="CT192">
        <v>45.18</v>
      </c>
      <c r="CU192" t="s">
        <v>254</v>
      </c>
      <c r="CV192" t="s">
        <v>253</v>
      </c>
      <c r="CW192">
        <v>44.66</v>
      </c>
      <c r="CX192" t="s">
        <v>254</v>
      </c>
      <c r="CY192" t="s">
        <v>253</v>
      </c>
      <c r="CZ192">
        <v>49.4</v>
      </c>
      <c r="DA192" t="s">
        <v>254</v>
      </c>
      <c r="DB192" t="s">
        <v>253</v>
      </c>
      <c r="DC192">
        <v>52.95</v>
      </c>
      <c r="DD192" t="s">
        <v>254</v>
      </c>
      <c r="DE192" t="s">
        <v>253</v>
      </c>
      <c r="DF192">
        <v>52.42</v>
      </c>
      <c r="DG192" t="s">
        <v>254</v>
      </c>
      <c r="DH192" t="s">
        <v>253</v>
      </c>
      <c r="DI192">
        <v>48.17</v>
      </c>
      <c r="DJ192" t="s">
        <v>254</v>
      </c>
      <c r="DK192" t="s">
        <v>653</v>
      </c>
      <c r="DL192">
        <v>0.4</v>
      </c>
      <c r="DM192" t="s">
        <v>685</v>
      </c>
      <c r="DN192" t="s">
        <v>653</v>
      </c>
      <c r="DO192">
        <v>0.4</v>
      </c>
      <c r="DP192" t="s">
        <v>685</v>
      </c>
      <c r="DQ192" t="s">
        <v>653</v>
      </c>
      <c r="DR192">
        <v>0.4</v>
      </c>
      <c r="DS192" t="s">
        <v>685</v>
      </c>
      <c r="DT192" t="s">
        <v>433</v>
      </c>
      <c r="DU192">
        <v>0.75</v>
      </c>
      <c r="DV192" t="s">
        <v>258</v>
      </c>
      <c r="DW192" t="s">
        <v>433</v>
      </c>
      <c r="DX192">
        <v>0.75</v>
      </c>
      <c r="DY192" t="s">
        <v>258</v>
      </c>
      <c r="DZ192" t="s">
        <v>433</v>
      </c>
      <c r="EA192">
        <v>0.79</v>
      </c>
      <c r="EB192" t="s">
        <v>258</v>
      </c>
      <c r="EC192" t="s">
        <v>433</v>
      </c>
      <c r="ED192">
        <v>0.84</v>
      </c>
      <c r="EE192" t="s">
        <v>258</v>
      </c>
      <c r="EF192" t="s">
        <v>433</v>
      </c>
      <c r="EG192">
        <v>1.03</v>
      </c>
      <c r="EH192" t="s">
        <v>258</v>
      </c>
      <c r="EI192" t="s">
        <v>433</v>
      </c>
      <c r="EJ192">
        <v>1.1499999999999999</v>
      </c>
      <c r="EK192" t="s">
        <v>258</v>
      </c>
    </row>
    <row r="193" spans="1:141">
      <c r="A193" t="s">
        <v>415</v>
      </c>
      <c r="B193">
        <v>9.3000000000000007</v>
      </c>
      <c r="C193" t="s">
        <v>78</v>
      </c>
      <c r="D193" t="s">
        <v>415</v>
      </c>
      <c r="E193">
        <v>9.08</v>
      </c>
      <c r="F193" t="s">
        <v>78</v>
      </c>
      <c r="G193" t="s">
        <v>255</v>
      </c>
      <c r="H193">
        <v>61.23</v>
      </c>
      <c r="I193" t="s">
        <v>80</v>
      </c>
      <c r="J193" t="s">
        <v>255</v>
      </c>
      <c r="K193">
        <v>61</v>
      </c>
      <c r="L193" t="s">
        <v>80</v>
      </c>
      <c r="M193" t="s">
        <v>255</v>
      </c>
      <c r="N193">
        <v>59.21</v>
      </c>
      <c r="O193" t="s">
        <v>80</v>
      </c>
      <c r="P193" t="s">
        <v>253</v>
      </c>
      <c r="Q193">
        <v>53.62</v>
      </c>
      <c r="R193" t="s">
        <v>254</v>
      </c>
      <c r="S193" t="s">
        <v>255</v>
      </c>
      <c r="T193">
        <v>59.05</v>
      </c>
      <c r="U193" t="s">
        <v>80</v>
      </c>
      <c r="V193" t="s">
        <v>255</v>
      </c>
      <c r="W193">
        <v>59.03</v>
      </c>
      <c r="X193" t="s">
        <v>80</v>
      </c>
      <c r="Y193" t="s">
        <v>255</v>
      </c>
      <c r="Z193">
        <v>60.62</v>
      </c>
      <c r="AA193" t="s">
        <v>80</v>
      </c>
      <c r="AB193" t="s">
        <v>255</v>
      </c>
      <c r="AC193">
        <v>60.55</v>
      </c>
      <c r="AD193" t="s">
        <v>80</v>
      </c>
      <c r="AE193" t="s">
        <v>255</v>
      </c>
      <c r="AF193">
        <v>58.8</v>
      </c>
      <c r="AG193" t="s">
        <v>80</v>
      </c>
      <c r="AH193" t="s">
        <v>255</v>
      </c>
      <c r="AI193">
        <v>57.4</v>
      </c>
      <c r="AJ193" t="s">
        <v>80</v>
      </c>
      <c r="AK193" t="s">
        <v>255</v>
      </c>
      <c r="AL193">
        <v>55.53</v>
      </c>
      <c r="AM193" t="s">
        <v>80</v>
      </c>
      <c r="AN193" t="s">
        <v>255</v>
      </c>
      <c r="AO193">
        <v>52.4</v>
      </c>
      <c r="AP193" t="s">
        <v>80</v>
      </c>
      <c r="AQ193" t="s">
        <v>255</v>
      </c>
      <c r="AR193">
        <v>54.9</v>
      </c>
      <c r="AS193" t="s">
        <v>80</v>
      </c>
      <c r="AT193" t="s">
        <v>255</v>
      </c>
      <c r="AU193">
        <v>61.94</v>
      </c>
      <c r="AV193" t="s">
        <v>80</v>
      </c>
      <c r="AW193" t="s">
        <v>255</v>
      </c>
      <c r="AX193">
        <v>61</v>
      </c>
      <c r="AY193" t="s">
        <v>80</v>
      </c>
      <c r="AZ193" t="s">
        <v>255</v>
      </c>
      <c r="BA193">
        <v>64.05</v>
      </c>
      <c r="BB193" t="s">
        <v>80</v>
      </c>
      <c r="BC193" t="s">
        <v>255</v>
      </c>
      <c r="BD193">
        <v>61.8</v>
      </c>
      <c r="BE193" t="s">
        <v>80</v>
      </c>
      <c r="BF193" t="s">
        <v>255</v>
      </c>
      <c r="BG193">
        <v>62.66</v>
      </c>
      <c r="BH193" t="s">
        <v>80</v>
      </c>
      <c r="BI193" t="s">
        <v>255</v>
      </c>
      <c r="BJ193">
        <v>62.01</v>
      </c>
      <c r="BK193" t="s">
        <v>80</v>
      </c>
      <c r="BL193" t="s">
        <v>653</v>
      </c>
      <c r="BM193">
        <v>0.4</v>
      </c>
      <c r="BN193" t="s">
        <v>685</v>
      </c>
      <c r="BO193" t="s">
        <v>653</v>
      </c>
      <c r="BP193">
        <v>0.4</v>
      </c>
      <c r="BQ193" t="s">
        <v>685</v>
      </c>
      <c r="BR193" t="s">
        <v>653</v>
      </c>
      <c r="BS193">
        <v>0.4</v>
      </c>
      <c r="BT193" t="s">
        <v>685</v>
      </c>
      <c r="BU193" t="s">
        <v>653</v>
      </c>
      <c r="BV193">
        <v>0.4</v>
      </c>
      <c r="BW193" t="s">
        <v>685</v>
      </c>
      <c r="BX193" t="s">
        <v>653</v>
      </c>
      <c r="BY193">
        <v>0.4</v>
      </c>
      <c r="BZ193" t="s">
        <v>685</v>
      </c>
      <c r="CA193" t="s">
        <v>363</v>
      </c>
      <c r="CB193">
        <v>45.74</v>
      </c>
      <c r="CC193" t="s">
        <v>65</v>
      </c>
      <c r="CD193" t="s">
        <v>653</v>
      </c>
      <c r="CE193">
        <v>0.4</v>
      </c>
      <c r="CF193" t="s">
        <v>685</v>
      </c>
      <c r="CG193" t="s">
        <v>653</v>
      </c>
      <c r="CH193">
        <v>0.4</v>
      </c>
      <c r="CI193" t="s">
        <v>685</v>
      </c>
      <c r="CJ193" t="s">
        <v>653</v>
      </c>
      <c r="CK193">
        <v>0.4</v>
      </c>
      <c r="CL193" t="s">
        <v>685</v>
      </c>
      <c r="CM193" t="s">
        <v>653</v>
      </c>
      <c r="CN193">
        <v>0.4</v>
      </c>
      <c r="CO193" t="s">
        <v>685</v>
      </c>
      <c r="CP193" t="s">
        <v>653</v>
      </c>
      <c r="CQ193">
        <v>0.4</v>
      </c>
      <c r="CR193" t="s">
        <v>685</v>
      </c>
      <c r="CS193" t="s">
        <v>653</v>
      </c>
      <c r="CT193">
        <v>0.4</v>
      </c>
      <c r="CU193" t="s">
        <v>685</v>
      </c>
      <c r="CV193" t="s">
        <v>653</v>
      </c>
      <c r="CW193">
        <v>0.4</v>
      </c>
      <c r="CX193" t="s">
        <v>685</v>
      </c>
      <c r="CY193" t="s">
        <v>653</v>
      </c>
      <c r="CZ193">
        <v>0.4</v>
      </c>
      <c r="DA193" t="s">
        <v>685</v>
      </c>
      <c r="DB193" t="s">
        <v>653</v>
      </c>
      <c r="DC193">
        <v>0.4</v>
      </c>
      <c r="DD193" t="s">
        <v>685</v>
      </c>
      <c r="DE193" t="s">
        <v>653</v>
      </c>
      <c r="DF193">
        <v>0.4</v>
      </c>
      <c r="DG193" t="s">
        <v>685</v>
      </c>
      <c r="DH193" t="s">
        <v>653</v>
      </c>
      <c r="DI193">
        <v>0.4</v>
      </c>
      <c r="DJ193" t="s">
        <v>685</v>
      </c>
      <c r="DK193" t="s">
        <v>415</v>
      </c>
      <c r="DL193">
        <v>10.65</v>
      </c>
      <c r="DM193" t="s">
        <v>78</v>
      </c>
      <c r="DN193" t="s">
        <v>415</v>
      </c>
      <c r="DO193">
        <v>11.87</v>
      </c>
      <c r="DP193" t="s">
        <v>78</v>
      </c>
      <c r="DQ193" t="s">
        <v>415</v>
      </c>
      <c r="DR193">
        <v>12.51</v>
      </c>
      <c r="DS193" t="s">
        <v>78</v>
      </c>
      <c r="DT193" t="s">
        <v>328</v>
      </c>
      <c r="DU193">
        <v>18.100000000000001</v>
      </c>
      <c r="DV193" t="s">
        <v>74</v>
      </c>
      <c r="DW193" t="s">
        <v>328</v>
      </c>
      <c r="DX193">
        <v>18.02</v>
      </c>
      <c r="DY193" t="s">
        <v>74</v>
      </c>
      <c r="DZ193" t="s">
        <v>328</v>
      </c>
      <c r="EA193">
        <v>18.05</v>
      </c>
      <c r="EB193" t="s">
        <v>74</v>
      </c>
      <c r="EC193" t="s">
        <v>328</v>
      </c>
      <c r="ED193">
        <v>18.77</v>
      </c>
      <c r="EE193" t="s">
        <v>74</v>
      </c>
      <c r="EF193" t="s">
        <v>328</v>
      </c>
      <c r="EG193">
        <v>22.5</v>
      </c>
      <c r="EH193" t="s">
        <v>74</v>
      </c>
      <c r="EI193" t="s">
        <v>328</v>
      </c>
      <c r="EJ193">
        <v>22.56</v>
      </c>
      <c r="EK193" t="s">
        <v>74</v>
      </c>
    </row>
    <row r="194" spans="1:141">
      <c r="A194" t="s">
        <v>255</v>
      </c>
      <c r="B194">
        <v>63.42</v>
      </c>
      <c r="C194" t="s">
        <v>80</v>
      </c>
      <c r="D194" t="s">
        <v>255</v>
      </c>
      <c r="E194">
        <v>61.32</v>
      </c>
      <c r="F194" t="s">
        <v>80</v>
      </c>
      <c r="G194" t="s">
        <v>362</v>
      </c>
      <c r="H194">
        <v>100.35</v>
      </c>
      <c r="I194" t="s">
        <v>42</v>
      </c>
      <c r="J194" t="s">
        <v>362</v>
      </c>
      <c r="K194">
        <v>101</v>
      </c>
      <c r="L194" t="s">
        <v>42</v>
      </c>
      <c r="M194" t="s">
        <v>362</v>
      </c>
      <c r="N194">
        <v>104.2</v>
      </c>
      <c r="O194" t="s">
        <v>42</v>
      </c>
      <c r="P194" t="s">
        <v>653</v>
      </c>
      <c r="Q194">
        <v>0.4</v>
      </c>
      <c r="R194" t="s">
        <v>685</v>
      </c>
      <c r="S194" t="s">
        <v>362</v>
      </c>
      <c r="T194">
        <v>103.29</v>
      </c>
      <c r="U194" t="s">
        <v>42</v>
      </c>
      <c r="V194" t="s">
        <v>362</v>
      </c>
      <c r="W194">
        <v>100</v>
      </c>
      <c r="X194" t="s">
        <v>42</v>
      </c>
      <c r="Y194" t="s">
        <v>362</v>
      </c>
      <c r="Z194">
        <v>101.99</v>
      </c>
      <c r="AA194" t="s">
        <v>42</v>
      </c>
      <c r="AB194" t="s">
        <v>362</v>
      </c>
      <c r="AC194">
        <v>102.49</v>
      </c>
      <c r="AD194" t="s">
        <v>42</v>
      </c>
      <c r="AE194" t="s">
        <v>362</v>
      </c>
      <c r="AF194">
        <v>100.11</v>
      </c>
      <c r="AG194" t="s">
        <v>42</v>
      </c>
      <c r="AH194" t="s">
        <v>362</v>
      </c>
      <c r="AI194">
        <v>103</v>
      </c>
      <c r="AJ194" t="s">
        <v>42</v>
      </c>
      <c r="AK194" t="s">
        <v>362</v>
      </c>
      <c r="AL194">
        <v>100</v>
      </c>
      <c r="AM194" t="s">
        <v>42</v>
      </c>
      <c r="AN194" t="s">
        <v>362</v>
      </c>
      <c r="AO194">
        <v>100.75</v>
      </c>
      <c r="AP194" t="s">
        <v>42</v>
      </c>
      <c r="AQ194" t="s">
        <v>362</v>
      </c>
      <c r="AR194">
        <v>102.38</v>
      </c>
      <c r="AS194" t="s">
        <v>42</v>
      </c>
      <c r="AT194" t="s">
        <v>362</v>
      </c>
      <c r="AU194">
        <v>101</v>
      </c>
      <c r="AV194" t="s">
        <v>42</v>
      </c>
      <c r="AW194" t="s">
        <v>362</v>
      </c>
      <c r="AX194">
        <v>101.13</v>
      </c>
      <c r="AY194" t="s">
        <v>42</v>
      </c>
      <c r="AZ194" t="s">
        <v>362</v>
      </c>
      <c r="BA194">
        <v>102.19</v>
      </c>
      <c r="BB194" t="s">
        <v>42</v>
      </c>
      <c r="BC194" t="s">
        <v>362</v>
      </c>
      <c r="BD194">
        <v>102.6</v>
      </c>
      <c r="BE194" t="s">
        <v>42</v>
      </c>
      <c r="BF194" t="s">
        <v>362</v>
      </c>
      <c r="BG194">
        <v>100.52</v>
      </c>
      <c r="BH194" t="s">
        <v>42</v>
      </c>
      <c r="BI194" t="s">
        <v>362</v>
      </c>
      <c r="BJ194">
        <v>102.9</v>
      </c>
      <c r="BK194" t="s">
        <v>42</v>
      </c>
      <c r="BL194" t="s">
        <v>415</v>
      </c>
      <c r="BM194">
        <v>7.61</v>
      </c>
      <c r="BN194" t="s">
        <v>78</v>
      </c>
      <c r="BO194" t="s">
        <v>415</v>
      </c>
      <c r="BP194">
        <v>7.4</v>
      </c>
      <c r="BQ194" t="s">
        <v>78</v>
      </c>
      <c r="BR194" t="s">
        <v>415</v>
      </c>
      <c r="BS194">
        <v>7.5</v>
      </c>
      <c r="BT194" t="s">
        <v>78</v>
      </c>
      <c r="BU194" t="s">
        <v>415</v>
      </c>
      <c r="BV194">
        <v>7.44</v>
      </c>
      <c r="BW194" t="s">
        <v>78</v>
      </c>
      <c r="BX194" t="s">
        <v>415</v>
      </c>
      <c r="BY194">
        <v>7.52</v>
      </c>
      <c r="BZ194" t="s">
        <v>78</v>
      </c>
      <c r="CA194" t="s">
        <v>359</v>
      </c>
      <c r="CB194">
        <v>8.5</v>
      </c>
      <c r="CC194" t="s">
        <v>79</v>
      </c>
      <c r="CD194" t="s">
        <v>415</v>
      </c>
      <c r="CE194">
        <v>7.51</v>
      </c>
      <c r="CF194" t="s">
        <v>78</v>
      </c>
      <c r="CG194" t="s">
        <v>415</v>
      </c>
      <c r="CH194">
        <v>7.46</v>
      </c>
      <c r="CI194" t="s">
        <v>78</v>
      </c>
      <c r="CJ194" t="s">
        <v>415</v>
      </c>
      <c r="CK194">
        <v>7.44</v>
      </c>
      <c r="CL194" t="s">
        <v>78</v>
      </c>
      <c r="CM194" t="s">
        <v>415</v>
      </c>
      <c r="CN194">
        <v>7.38</v>
      </c>
      <c r="CO194" t="s">
        <v>78</v>
      </c>
      <c r="CP194" t="s">
        <v>415</v>
      </c>
      <c r="CQ194">
        <v>7.59</v>
      </c>
      <c r="CR194" t="s">
        <v>78</v>
      </c>
      <c r="CS194" t="s">
        <v>415</v>
      </c>
      <c r="CT194">
        <v>7.86</v>
      </c>
      <c r="CU194" t="s">
        <v>78</v>
      </c>
      <c r="CV194" t="s">
        <v>415</v>
      </c>
      <c r="CW194">
        <v>7.77</v>
      </c>
      <c r="CX194" t="s">
        <v>78</v>
      </c>
      <c r="CY194" t="s">
        <v>415</v>
      </c>
      <c r="CZ194">
        <v>7.81</v>
      </c>
      <c r="DA194" t="s">
        <v>78</v>
      </c>
      <c r="DB194" t="s">
        <v>415</v>
      </c>
      <c r="DC194">
        <v>7.6</v>
      </c>
      <c r="DD194" t="s">
        <v>78</v>
      </c>
      <c r="DE194" t="s">
        <v>415</v>
      </c>
      <c r="DF194">
        <v>8</v>
      </c>
      <c r="DG194" t="s">
        <v>78</v>
      </c>
      <c r="DH194" t="s">
        <v>415</v>
      </c>
      <c r="DI194">
        <v>11.25</v>
      </c>
      <c r="DJ194" t="s">
        <v>78</v>
      </c>
      <c r="DK194" t="s">
        <v>255</v>
      </c>
      <c r="DL194">
        <v>63.54</v>
      </c>
      <c r="DM194" t="s">
        <v>80</v>
      </c>
      <c r="DN194" t="s">
        <v>255</v>
      </c>
      <c r="DO194">
        <v>63</v>
      </c>
      <c r="DP194" t="s">
        <v>80</v>
      </c>
      <c r="DQ194" t="s">
        <v>255</v>
      </c>
      <c r="DR194">
        <v>63.6</v>
      </c>
      <c r="DS194" t="s">
        <v>80</v>
      </c>
      <c r="DT194" t="s">
        <v>442</v>
      </c>
      <c r="DU194">
        <v>268</v>
      </c>
      <c r="DV194" t="s">
        <v>259</v>
      </c>
      <c r="DW194" t="s">
        <v>442</v>
      </c>
      <c r="DX194">
        <v>258.27999999999997</v>
      </c>
      <c r="DY194" t="s">
        <v>259</v>
      </c>
      <c r="DZ194" t="s">
        <v>442</v>
      </c>
      <c r="EA194">
        <v>256.52999999999997</v>
      </c>
      <c r="EB194" t="s">
        <v>259</v>
      </c>
      <c r="EC194" t="s">
        <v>442</v>
      </c>
      <c r="ED194">
        <v>257.73</v>
      </c>
      <c r="EE194" t="s">
        <v>259</v>
      </c>
      <c r="EF194" t="s">
        <v>442</v>
      </c>
      <c r="EG194">
        <v>340</v>
      </c>
      <c r="EH194" t="s">
        <v>259</v>
      </c>
      <c r="EI194" t="s">
        <v>442</v>
      </c>
      <c r="EJ194">
        <v>360.02</v>
      </c>
      <c r="EK194" t="s">
        <v>259</v>
      </c>
    </row>
    <row r="195" spans="1:141">
      <c r="A195" t="s">
        <v>362</v>
      </c>
      <c r="B195">
        <v>104.99</v>
      </c>
      <c r="C195" t="s">
        <v>42</v>
      </c>
      <c r="D195" t="s">
        <v>362</v>
      </c>
      <c r="E195">
        <v>104.9</v>
      </c>
      <c r="F195" t="s">
        <v>42</v>
      </c>
      <c r="G195" t="s">
        <v>411</v>
      </c>
      <c r="H195">
        <v>1.89</v>
      </c>
      <c r="I195" t="s">
        <v>256</v>
      </c>
      <c r="J195" t="s">
        <v>411</v>
      </c>
      <c r="K195">
        <v>1.86</v>
      </c>
      <c r="L195" t="s">
        <v>256</v>
      </c>
      <c r="M195" t="s">
        <v>411</v>
      </c>
      <c r="N195">
        <v>1.79</v>
      </c>
      <c r="O195" t="s">
        <v>256</v>
      </c>
      <c r="P195" t="s">
        <v>415</v>
      </c>
      <c r="Q195">
        <v>9.09</v>
      </c>
      <c r="R195" t="s">
        <v>78</v>
      </c>
      <c r="S195" t="s">
        <v>411</v>
      </c>
      <c r="T195">
        <v>1.8</v>
      </c>
      <c r="U195" t="s">
        <v>256</v>
      </c>
      <c r="V195" t="s">
        <v>411</v>
      </c>
      <c r="W195">
        <v>1.71</v>
      </c>
      <c r="X195" t="s">
        <v>256</v>
      </c>
      <c r="Y195" t="s">
        <v>411</v>
      </c>
      <c r="Z195">
        <v>1.76</v>
      </c>
      <c r="AA195" t="s">
        <v>256</v>
      </c>
      <c r="AB195" t="s">
        <v>411</v>
      </c>
      <c r="AC195">
        <v>1.79</v>
      </c>
      <c r="AD195" t="s">
        <v>256</v>
      </c>
      <c r="AE195" t="s">
        <v>411</v>
      </c>
      <c r="AF195">
        <v>1.77</v>
      </c>
      <c r="AG195" t="s">
        <v>256</v>
      </c>
      <c r="AH195" t="s">
        <v>411</v>
      </c>
      <c r="AI195">
        <v>1.74</v>
      </c>
      <c r="AJ195" t="s">
        <v>256</v>
      </c>
      <c r="AK195" t="s">
        <v>411</v>
      </c>
      <c r="AL195">
        <v>1.71</v>
      </c>
      <c r="AM195" t="s">
        <v>256</v>
      </c>
      <c r="AN195" t="s">
        <v>411</v>
      </c>
      <c r="AO195">
        <v>1.66</v>
      </c>
      <c r="AP195" t="s">
        <v>256</v>
      </c>
      <c r="AQ195" t="s">
        <v>411</v>
      </c>
      <c r="AR195">
        <v>1.75</v>
      </c>
      <c r="AS195" t="s">
        <v>256</v>
      </c>
      <c r="AT195" t="s">
        <v>411</v>
      </c>
      <c r="AU195">
        <v>1.79</v>
      </c>
      <c r="AV195" t="s">
        <v>256</v>
      </c>
      <c r="AW195" t="s">
        <v>411</v>
      </c>
      <c r="AX195">
        <v>1.79</v>
      </c>
      <c r="AY195" t="s">
        <v>256</v>
      </c>
      <c r="AZ195" t="s">
        <v>411</v>
      </c>
      <c r="BA195">
        <v>1.76</v>
      </c>
      <c r="BB195" t="s">
        <v>256</v>
      </c>
      <c r="BC195" t="s">
        <v>411</v>
      </c>
      <c r="BD195">
        <v>1.73</v>
      </c>
      <c r="BE195" t="s">
        <v>256</v>
      </c>
      <c r="BF195" t="s">
        <v>411</v>
      </c>
      <c r="BG195">
        <v>1.8</v>
      </c>
      <c r="BH195" t="s">
        <v>256</v>
      </c>
      <c r="BI195" t="s">
        <v>411</v>
      </c>
      <c r="BJ195">
        <v>1.77</v>
      </c>
      <c r="BK195" t="s">
        <v>256</v>
      </c>
      <c r="BL195" t="s">
        <v>255</v>
      </c>
      <c r="BM195">
        <v>61.03</v>
      </c>
      <c r="BN195" t="s">
        <v>80</v>
      </c>
      <c r="BO195" t="s">
        <v>255</v>
      </c>
      <c r="BP195">
        <v>61.02</v>
      </c>
      <c r="BQ195" t="s">
        <v>80</v>
      </c>
      <c r="BR195" t="s">
        <v>255</v>
      </c>
      <c r="BS195">
        <v>61.52</v>
      </c>
      <c r="BT195" t="s">
        <v>80</v>
      </c>
      <c r="BU195" t="s">
        <v>255</v>
      </c>
      <c r="BV195">
        <v>61.15</v>
      </c>
      <c r="BW195" t="s">
        <v>80</v>
      </c>
      <c r="BX195" t="s">
        <v>255</v>
      </c>
      <c r="BY195">
        <v>62</v>
      </c>
      <c r="BZ195" t="s">
        <v>80</v>
      </c>
      <c r="CA195" t="s">
        <v>253</v>
      </c>
      <c r="CB195">
        <v>49.31</v>
      </c>
      <c r="CC195" t="s">
        <v>254</v>
      </c>
      <c r="CD195" t="s">
        <v>255</v>
      </c>
      <c r="CE195">
        <v>64</v>
      </c>
      <c r="CF195" t="s">
        <v>80</v>
      </c>
      <c r="CG195" t="s">
        <v>255</v>
      </c>
      <c r="CH195">
        <v>65.86</v>
      </c>
      <c r="CI195" t="s">
        <v>80</v>
      </c>
      <c r="CJ195" t="s">
        <v>255</v>
      </c>
      <c r="CK195">
        <v>64</v>
      </c>
      <c r="CL195" t="s">
        <v>80</v>
      </c>
      <c r="CM195" t="s">
        <v>255</v>
      </c>
      <c r="CN195">
        <v>62.99</v>
      </c>
      <c r="CO195" t="s">
        <v>80</v>
      </c>
      <c r="CP195" t="s">
        <v>255</v>
      </c>
      <c r="CQ195">
        <v>63</v>
      </c>
      <c r="CR195" t="s">
        <v>80</v>
      </c>
      <c r="CS195" t="s">
        <v>255</v>
      </c>
      <c r="CT195">
        <v>67</v>
      </c>
      <c r="CU195" t="s">
        <v>80</v>
      </c>
      <c r="CV195" t="s">
        <v>255</v>
      </c>
      <c r="CW195">
        <v>66.8</v>
      </c>
      <c r="CX195" t="s">
        <v>80</v>
      </c>
      <c r="CY195" t="s">
        <v>255</v>
      </c>
      <c r="CZ195">
        <v>67.7</v>
      </c>
      <c r="DA195" t="s">
        <v>80</v>
      </c>
      <c r="DB195" t="s">
        <v>255</v>
      </c>
      <c r="DC195">
        <v>64.099999999999994</v>
      </c>
      <c r="DD195" t="s">
        <v>80</v>
      </c>
      <c r="DE195" t="s">
        <v>255</v>
      </c>
      <c r="DF195">
        <v>63.1</v>
      </c>
      <c r="DG195" t="s">
        <v>80</v>
      </c>
      <c r="DH195" t="s">
        <v>255</v>
      </c>
      <c r="DI195">
        <v>67.5</v>
      </c>
      <c r="DJ195" t="s">
        <v>80</v>
      </c>
      <c r="DK195" t="s">
        <v>362</v>
      </c>
      <c r="DL195">
        <v>99.41</v>
      </c>
      <c r="DM195" t="s">
        <v>42</v>
      </c>
      <c r="DN195" t="s">
        <v>362</v>
      </c>
      <c r="DO195">
        <v>100</v>
      </c>
      <c r="DP195" t="s">
        <v>42</v>
      </c>
      <c r="DQ195" t="s">
        <v>362</v>
      </c>
      <c r="DR195">
        <v>106.68</v>
      </c>
      <c r="DS195" t="s">
        <v>42</v>
      </c>
      <c r="DT195" t="s">
        <v>260</v>
      </c>
      <c r="DU195">
        <v>23.1</v>
      </c>
      <c r="DV195" t="s">
        <v>28</v>
      </c>
      <c r="DW195" t="s">
        <v>260</v>
      </c>
      <c r="DX195">
        <v>22.8</v>
      </c>
      <c r="DY195" t="s">
        <v>28</v>
      </c>
      <c r="DZ195" t="s">
        <v>260</v>
      </c>
      <c r="EA195">
        <v>23.2</v>
      </c>
      <c r="EB195" t="s">
        <v>28</v>
      </c>
      <c r="EC195" t="s">
        <v>260</v>
      </c>
      <c r="ED195">
        <v>23.8</v>
      </c>
      <c r="EE195" t="s">
        <v>28</v>
      </c>
      <c r="EF195" t="s">
        <v>260</v>
      </c>
      <c r="EG195">
        <v>21.09</v>
      </c>
      <c r="EH195" t="s">
        <v>28</v>
      </c>
      <c r="EI195" t="s">
        <v>260</v>
      </c>
      <c r="EJ195">
        <v>21.45</v>
      </c>
      <c r="EK195" t="s">
        <v>28</v>
      </c>
    </row>
    <row r="196" spans="1:141">
      <c r="A196" t="s">
        <v>411</v>
      </c>
      <c r="B196">
        <v>1.98</v>
      </c>
      <c r="C196" t="s">
        <v>256</v>
      </c>
      <c r="D196" t="s">
        <v>411</v>
      </c>
      <c r="E196">
        <v>1.92</v>
      </c>
      <c r="F196" t="s">
        <v>256</v>
      </c>
      <c r="G196" t="s">
        <v>414</v>
      </c>
      <c r="H196">
        <v>0.37</v>
      </c>
      <c r="I196" t="s">
        <v>257</v>
      </c>
      <c r="J196" t="s">
        <v>414</v>
      </c>
      <c r="K196">
        <v>0.41</v>
      </c>
      <c r="L196" t="s">
        <v>257</v>
      </c>
      <c r="M196" t="s">
        <v>414</v>
      </c>
      <c r="N196">
        <v>0.41</v>
      </c>
      <c r="O196" t="s">
        <v>257</v>
      </c>
      <c r="P196" t="s">
        <v>255</v>
      </c>
      <c r="Q196">
        <v>59.29</v>
      </c>
      <c r="R196" t="s">
        <v>80</v>
      </c>
      <c r="S196" t="s">
        <v>414</v>
      </c>
      <c r="T196">
        <v>0.41</v>
      </c>
      <c r="U196" t="s">
        <v>257</v>
      </c>
      <c r="V196" t="s">
        <v>414</v>
      </c>
      <c r="W196">
        <v>0.39</v>
      </c>
      <c r="X196" t="s">
        <v>257</v>
      </c>
      <c r="Y196" t="s">
        <v>414</v>
      </c>
      <c r="Z196">
        <v>0.39</v>
      </c>
      <c r="AA196" t="s">
        <v>257</v>
      </c>
      <c r="AB196" t="s">
        <v>414</v>
      </c>
      <c r="AC196">
        <v>0.42</v>
      </c>
      <c r="AD196" t="s">
        <v>257</v>
      </c>
      <c r="AE196" t="s">
        <v>414</v>
      </c>
      <c r="AF196">
        <v>0.42</v>
      </c>
      <c r="AG196" t="s">
        <v>257</v>
      </c>
      <c r="AH196" t="s">
        <v>414</v>
      </c>
      <c r="AI196">
        <v>0.43</v>
      </c>
      <c r="AJ196" t="s">
        <v>257</v>
      </c>
      <c r="AK196" t="s">
        <v>414</v>
      </c>
      <c r="AL196">
        <v>0.43</v>
      </c>
      <c r="AM196" t="s">
        <v>257</v>
      </c>
      <c r="AN196" t="s">
        <v>414</v>
      </c>
      <c r="AO196">
        <v>0.45</v>
      </c>
      <c r="AP196" t="s">
        <v>257</v>
      </c>
      <c r="AQ196" t="s">
        <v>414</v>
      </c>
      <c r="AR196">
        <v>0.44</v>
      </c>
      <c r="AS196" t="s">
        <v>257</v>
      </c>
      <c r="AT196" t="s">
        <v>414</v>
      </c>
      <c r="AU196">
        <v>0.47</v>
      </c>
      <c r="AV196" t="s">
        <v>257</v>
      </c>
      <c r="AW196" t="s">
        <v>414</v>
      </c>
      <c r="AX196">
        <v>0.46</v>
      </c>
      <c r="AY196" t="s">
        <v>257</v>
      </c>
      <c r="AZ196" t="s">
        <v>414</v>
      </c>
      <c r="BA196">
        <v>0.46</v>
      </c>
      <c r="BB196" t="s">
        <v>257</v>
      </c>
      <c r="BC196" t="s">
        <v>414</v>
      </c>
      <c r="BD196">
        <v>0.43</v>
      </c>
      <c r="BE196" t="s">
        <v>257</v>
      </c>
      <c r="BF196" t="s">
        <v>414</v>
      </c>
      <c r="BG196">
        <v>0.42</v>
      </c>
      <c r="BH196" t="s">
        <v>257</v>
      </c>
      <c r="BI196" t="s">
        <v>414</v>
      </c>
      <c r="BJ196">
        <v>0.41</v>
      </c>
      <c r="BK196" t="s">
        <v>257</v>
      </c>
      <c r="BL196" t="s">
        <v>362</v>
      </c>
      <c r="BM196">
        <v>102</v>
      </c>
      <c r="BN196" t="s">
        <v>42</v>
      </c>
      <c r="BO196" t="s">
        <v>362</v>
      </c>
      <c r="BP196">
        <v>101.89</v>
      </c>
      <c r="BQ196" t="s">
        <v>42</v>
      </c>
      <c r="BR196" t="s">
        <v>362</v>
      </c>
      <c r="BS196">
        <v>101.5</v>
      </c>
      <c r="BT196" t="s">
        <v>42</v>
      </c>
      <c r="BU196" t="s">
        <v>362</v>
      </c>
      <c r="BV196">
        <v>100.6</v>
      </c>
      <c r="BW196" t="s">
        <v>42</v>
      </c>
      <c r="BX196" t="s">
        <v>362</v>
      </c>
      <c r="BY196">
        <v>101.94</v>
      </c>
      <c r="BZ196" t="s">
        <v>42</v>
      </c>
      <c r="CA196" t="s">
        <v>653</v>
      </c>
      <c r="CB196">
        <v>0.4</v>
      </c>
      <c r="CC196" t="s">
        <v>685</v>
      </c>
      <c r="CD196" t="s">
        <v>362</v>
      </c>
      <c r="CE196">
        <v>101.03</v>
      </c>
      <c r="CF196" t="s">
        <v>42</v>
      </c>
      <c r="CG196" t="s">
        <v>362</v>
      </c>
      <c r="CH196">
        <v>102</v>
      </c>
      <c r="CI196" t="s">
        <v>42</v>
      </c>
      <c r="CJ196" t="s">
        <v>362</v>
      </c>
      <c r="CK196">
        <v>100.26</v>
      </c>
      <c r="CL196" t="s">
        <v>42</v>
      </c>
      <c r="CM196" t="s">
        <v>362</v>
      </c>
      <c r="CN196">
        <v>100.26</v>
      </c>
      <c r="CO196" t="s">
        <v>42</v>
      </c>
      <c r="CP196" t="s">
        <v>362</v>
      </c>
      <c r="CQ196">
        <v>100</v>
      </c>
      <c r="CR196" t="s">
        <v>42</v>
      </c>
      <c r="CS196" t="s">
        <v>362</v>
      </c>
      <c r="CT196">
        <v>99.35</v>
      </c>
      <c r="CU196" t="s">
        <v>42</v>
      </c>
      <c r="CV196" t="s">
        <v>362</v>
      </c>
      <c r="CW196">
        <v>99.51</v>
      </c>
      <c r="CX196" t="s">
        <v>42</v>
      </c>
      <c r="CY196" t="s">
        <v>362</v>
      </c>
      <c r="CZ196">
        <v>102</v>
      </c>
      <c r="DA196" t="s">
        <v>42</v>
      </c>
      <c r="DB196" t="s">
        <v>362</v>
      </c>
      <c r="DC196">
        <v>102</v>
      </c>
      <c r="DD196" t="s">
        <v>42</v>
      </c>
      <c r="DE196" t="s">
        <v>362</v>
      </c>
      <c r="DF196">
        <v>103.49</v>
      </c>
      <c r="DG196" t="s">
        <v>42</v>
      </c>
      <c r="DH196" t="s">
        <v>362</v>
      </c>
      <c r="DI196">
        <v>101.98</v>
      </c>
      <c r="DJ196" t="s">
        <v>42</v>
      </c>
      <c r="DK196" t="s">
        <v>411</v>
      </c>
      <c r="DL196">
        <v>1.76</v>
      </c>
      <c r="DM196" t="s">
        <v>256</v>
      </c>
      <c r="DN196" t="s">
        <v>411</v>
      </c>
      <c r="DO196">
        <v>1.72</v>
      </c>
      <c r="DP196" t="s">
        <v>256</v>
      </c>
      <c r="DQ196" t="s">
        <v>411</v>
      </c>
      <c r="DR196">
        <v>1.91</v>
      </c>
      <c r="DS196" t="s">
        <v>256</v>
      </c>
      <c r="DT196" t="s">
        <v>261</v>
      </c>
      <c r="DU196">
        <v>22</v>
      </c>
      <c r="DV196" t="s">
        <v>45</v>
      </c>
      <c r="DW196" t="s">
        <v>261</v>
      </c>
      <c r="DX196">
        <v>21.35</v>
      </c>
      <c r="DY196" t="s">
        <v>45</v>
      </c>
      <c r="DZ196" t="s">
        <v>261</v>
      </c>
      <c r="EA196">
        <v>22.27</v>
      </c>
      <c r="EB196" t="s">
        <v>45</v>
      </c>
      <c r="EC196" t="s">
        <v>261</v>
      </c>
      <c r="ED196">
        <v>22.01</v>
      </c>
      <c r="EE196" t="s">
        <v>45</v>
      </c>
      <c r="EF196" t="s">
        <v>261</v>
      </c>
      <c r="EG196">
        <v>23.59</v>
      </c>
      <c r="EH196" t="s">
        <v>45</v>
      </c>
      <c r="EI196" t="s">
        <v>261</v>
      </c>
      <c r="EJ196">
        <v>23.11</v>
      </c>
      <c r="EK196" t="s">
        <v>45</v>
      </c>
    </row>
    <row r="197" spans="1:141">
      <c r="A197" t="s">
        <v>414</v>
      </c>
      <c r="B197">
        <v>0.39</v>
      </c>
      <c r="C197" t="s">
        <v>257</v>
      </c>
      <c r="D197" t="s">
        <v>414</v>
      </c>
      <c r="E197">
        <v>0.37</v>
      </c>
      <c r="F197" t="s">
        <v>257</v>
      </c>
      <c r="G197" t="s">
        <v>433</v>
      </c>
      <c r="H197">
        <v>0.56000000000000005</v>
      </c>
      <c r="I197" t="s">
        <v>258</v>
      </c>
      <c r="J197" t="s">
        <v>433</v>
      </c>
      <c r="K197">
        <v>0.56000000000000005</v>
      </c>
      <c r="L197" t="s">
        <v>258</v>
      </c>
      <c r="M197" t="s">
        <v>433</v>
      </c>
      <c r="N197">
        <v>0.54</v>
      </c>
      <c r="O197" t="s">
        <v>258</v>
      </c>
      <c r="P197" t="s">
        <v>362</v>
      </c>
      <c r="Q197">
        <v>102.8</v>
      </c>
      <c r="R197" t="s">
        <v>42</v>
      </c>
      <c r="S197" t="s">
        <v>433</v>
      </c>
      <c r="T197">
        <v>0.53</v>
      </c>
      <c r="U197" t="s">
        <v>258</v>
      </c>
      <c r="V197" t="s">
        <v>433</v>
      </c>
      <c r="W197">
        <v>0.55000000000000004</v>
      </c>
      <c r="X197" t="s">
        <v>258</v>
      </c>
      <c r="Y197" t="s">
        <v>433</v>
      </c>
      <c r="Z197">
        <v>0.56000000000000005</v>
      </c>
      <c r="AA197" t="s">
        <v>258</v>
      </c>
      <c r="AB197" t="s">
        <v>433</v>
      </c>
      <c r="AC197">
        <v>0.55000000000000004</v>
      </c>
      <c r="AD197" t="s">
        <v>258</v>
      </c>
      <c r="AE197" t="s">
        <v>433</v>
      </c>
      <c r="AF197">
        <v>0.55000000000000004</v>
      </c>
      <c r="AG197" t="s">
        <v>258</v>
      </c>
      <c r="AH197" t="s">
        <v>433</v>
      </c>
      <c r="AI197">
        <v>0.54</v>
      </c>
      <c r="AJ197" t="s">
        <v>258</v>
      </c>
      <c r="AK197" t="s">
        <v>433</v>
      </c>
      <c r="AL197">
        <v>0.52</v>
      </c>
      <c r="AM197" t="s">
        <v>258</v>
      </c>
      <c r="AN197" t="s">
        <v>433</v>
      </c>
      <c r="AO197">
        <v>0.51</v>
      </c>
      <c r="AP197" t="s">
        <v>258</v>
      </c>
      <c r="AQ197" t="s">
        <v>433</v>
      </c>
      <c r="AR197">
        <v>0.52</v>
      </c>
      <c r="AS197" t="s">
        <v>258</v>
      </c>
      <c r="AT197" t="s">
        <v>433</v>
      </c>
      <c r="AU197">
        <v>0.53</v>
      </c>
      <c r="AV197" t="s">
        <v>258</v>
      </c>
      <c r="AW197" t="s">
        <v>433</v>
      </c>
      <c r="AX197">
        <v>0.54</v>
      </c>
      <c r="AY197" t="s">
        <v>258</v>
      </c>
      <c r="AZ197" t="s">
        <v>433</v>
      </c>
      <c r="BA197">
        <v>0.56000000000000005</v>
      </c>
      <c r="BB197" t="s">
        <v>258</v>
      </c>
      <c r="BC197" t="s">
        <v>433</v>
      </c>
      <c r="BD197">
        <v>0.52</v>
      </c>
      <c r="BE197" t="s">
        <v>258</v>
      </c>
      <c r="BF197" t="s">
        <v>433</v>
      </c>
      <c r="BG197">
        <v>0.54</v>
      </c>
      <c r="BH197" t="s">
        <v>258</v>
      </c>
      <c r="BI197" t="s">
        <v>433</v>
      </c>
      <c r="BJ197">
        <v>0.54</v>
      </c>
      <c r="BK197" t="s">
        <v>258</v>
      </c>
      <c r="BL197" t="s">
        <v>411</v>
      </c>
      <c r="BM197">
        <v>1.7</v>
      </c>
      <c r="BN197" t="s">
        <v>256</v>
      </c>
      <c r="BO197" t="s">
        <v>411</v>
      </c>
      <c r="BP197">
        <v>1.66</v>
      </c>
      <c r="BQ197" t="s">
        <v>256</v>
      </c>
      <c r="BR197" t="s">
        <v>411</v>
      </c>
      <c r="BS197">
        <v>1.72</v>
      </c>
      <c r="BT197" t="s">
        <v>256</v>
      </c>
      <c r="BU197" t="s">
        <v>411</v>
      </c>
      <c r="BV197">
        <v>1.69</v>
      </c>
      <c r="BW197" t="s">
        <v>256</v>
      </c>
      <c r="BX197" t="s">
        <v>411</v>
      </c>
      <c r="BY197">
        <v>1.71</v>
      </c>
      <c r="BZ197" t="s">
        <v>256</v>
      </c>
      <c r="CA197" t="s">
        <v>415</v>
      </c>
      <c r="CB197">
        <v>7.52</v>
      </c>
      <c r="CC197" t="s">
        <v>78</v>
      </c>
      <c r="CD197" t="s">
        <v>411</v>
      </c>
      <c r="CE197">
        <v>1.7</v>
      </c>
      <c r="CF197" t="s">
        <v>256</v>
      </c>
      <c r="CG197" t="s">
        <v>411</v>
      </c>
      <c r="CH197">
        <v>1.69</v>
      </c>
      <c r="CI197" t="s">
        <v>256</v>
      </c>
      <c r="CJ197" t="s">
        <v>411</v>
      </c>
      <c r="CK197">
        <v>1.74</v>
      </c>
      <c r="CL197" t="s">
        <v>256</v>
      </c>
      <c r="CM197" t="s">
        <v>411</v>
      </c>
      <c r="CN197">
        <v>1.72</v>
      </c>
      <c r="CO197" t="s">
        <v>256</v>
      </c>
      <c r="CP197" t="s">
        <v>411</v>
      </c>
      <c r="CQ197">
        <v>1.77</v>
      </c>
      <c r="CR197" t="s">
        <v>256</v>
      </c>
      <c r="CS197" t="s">
        <v>411</v>
      </c>
      <c r="CT197">
        <v>1.78</v>
      </c>
      <c r="CU197" t="s">
        <v>256</v>
      </c>
      <c r="CV197" t="s">
        <v>411</v>
      </c>
      <c r="CW197">
        <v>1.72</v>
      </c>
      <c r="CX197" t="s">
        <v>256</v>
      </c>
      <c r="CY197" t="s">
        <v>411</v>
      </c>
      <c r="CZ197">
        <v>1.73</v>
      </c>
      <c r="DA197" t="s">
        <v>256</v>
      </c>
      <c r="DB197" t="s">
        <v>411</v>
      </c>
      <c r="DC197">
        <v>1.72</v>
      </c>
      <c r="DD197" t="s">
        <v>256</v>
      </c>
      <c r="DE197" t="s">
        <v>411</v>
      </c>
      <c r="DF197">
        <v>1.7</v>
      </c>
      <c r="DG197" t="s">
        <v>256</v>
      </c>
      <c r="DH197" t="s">
        <v>411</v>
      </c>
      <c r="DI197">
        <v>1.77</v>
      </c>
      <c r="DJ197" t="s">
        <v>256</v>
      </c>
      <c r="DK197" t="s">
        <v>414</v>
      </c>
      <c r="DL197">
        <v>0.41</v>
      </c>
      <c r="DM197" t="s">
        <v>257</v>
      </c>
      <c r="DN197" t="s">
        <v>414</v>
      </c>
      <c r="DO197">
        <v>0.4</v>
      </c>
      <c r="DP197" t="s">
        <v>257</v>
      </c>
      <c r="DQ197" t="s">
        <v>414</v>
      </c>
      <c r="DR197">
        <v>0.48</v>
      </c>
      <c r="DS197" t="s">
        <v>257</v>
      </c>
      <c r="DT197" t="s">
        <v>643</v>
      </c>
      <c r="DU197">
        <v>40</v>
      </c>
      <c r="DV197" t="s">
        <v>696</v>
      </c>
      <c r="DW197" t="s">
        <v>643</v>
      </c>
      <c r="DX197">
        <v>40</v>
      </c>
      <c r="DY197" t="s">
        <v>696</v>
      </c>
      <c r="DZ197" t="s">
        <v>643</v>
      </c>
      <c r="EA197">
        <v>40</v>
      </c>
      <c r="EB197" t="s">
        <v>696</v>
      </c>
      <c r="EC197" t="s">
        <v>643</v>
      </c>
      <c r="ED197">
        <v>40</v>
      </c>
      <c r="EE197" t="s">
        <v>696</v>
      </c>
      <c r="EF197" t="s">
        <v>643</v>
      </c>
      <c r="EG197">
        <v>62.1</v>
      </c>
      <c r="EH197" t="s">
        <v>696</v>
      </c>
      <c r="EI197" t="s">
        <v>643</v>
      </c>
      <c r="EJ197">
        <v>120</v>
      </c>
      <c r="EK197" t="s">
        <v>696</v>
      </c>
    </row>
    <row r="198" spans="1:141">
      <c r="A198" t="s">
        <v>433</v>
      </c>
      <c r="B198">
        <v>0.59</v>
      </c>
      <c r="C198" t="s">
        <v>258</v>
      </c>
      <c r="D198" t="s">
        <v>433</v>
      </c>
      <c r="E198">
        <v>0.56000000000000005</v>
      </c>
      <c r="F198" t="s">
        <v>258</v>
      </c>
      <c r="G198" t="s">
        <v>328</v>
      </c>
      <c r="H198">
        <v>17.559999999999999</v>
      </c>
      <c r="I198" t="s">
        <v>74</v>
      </c>
      <c r="J198" t="s">
        <v>328</v>
      </c>
      <c r="K198">
        <v>17.71</v>
      </c>
      <c r="L198" t="s">
        <v>74</v>
      </c>
      <c r="M198" t="s">
        <v>328</v>
      </c>
      <c r="N198">
        <v>17.21</v>
      </c>
      <c r="O198" t="s">
        <v>74</v>
      </c>
      <c r="P198" t="s">
        <v>411</v>
      </c>
      <c r="Q198">
        <v>1.75</v>
      </c>
      <c r="R198" t="s">
        <v>256</v>
      </c>
      <c r="S198" t="s">
        <v>328</v>
      </c>
      <c r="T198">
        <v>17.62</v>
      </c>
      <c r="U198" t="s">
        <v>74</v>
      </c>
      <c r="V198" t="s">
        <v>328</v>
      </c>
      <c r="W198">
        <v>18.18</v>
      </c>
      <c r="X198" t="s">
        <v>74</v>
      </c>
      <c r="Y198" t="s">
        <v>328</v>
      </c>
      <c r="Z198">
        <v>18.5</v>
      </c>
      <c r="AA198" t="s">
        <v>74</v>
      </c>
      <c r="AB198" t="s">
        <v>328</v>
      </c>
      <c r="AC198">
        <v>18.059999999999999</v>
      </c>
      <c r="AD198" t="s">
        <v>74</v>
      </c>
      <c r="AE198" t="s">
        <v>328</v>
      </c>
      <c r="AF198">
        <v>18</v>
      </c>
      <c r="AG198" t="s">
        <v>74</v>
      </c>
      <c r="AH198" t="s">
        <v>328</v>
      </c>
      <c r="AI198">
        <v>17.98</v>
      </c>
      <c r="AJ198" t="s">
        <v>74</v>
      </c>
      <c r="AK198" t="s">
        <v>328</v>
      </c>
      <c r="AL198">
        <v>19.25</v>
      </c>
      <c r="AM198" t="s">
        <v>74</v>
      </c>
      <c r="AN198" t="s">
        <v>328</v>
      </c>
      <c r="AO198">
        <v>18.489999999999998</v>
      </c>
      <c r="AP198" t="s">
        <v>74</v>
      </c>
      <c r="AQ198" t="s">
        <v>328</v>
      </c>
      <c r="AR198">
        <v>18.2</v>
      </c>
      <c r="AS198" t="s">
        <v>74</v>
      </c>
      <c r="AT198" t="s">
        <v>328</v>
      </c>
      <c r="AU198">
        <v>18.28</v>
      </c>
      <c r="AV198" t="s">
        <v>74</v>
      </c>
      <c r="AW198" t="s">
        <v>328</v>
      </c>
      <c r="AX198">
        <v>19.309999999999999</v>
      </c>
      <c r="AY198" t="s">
        <v>74</v>
      </c>
      <c r="AZ198" t="s">
        <v>328</v>
      </c>
      <c r="BA198">
        <v>18.8</v>
      </c>
      <c r="BB198" t="s">
        <v>74</v>
      </c>
      <c r="BC198" t="s">
        <v>328</v>
      </c>
      <c r="BD198">
        <v>18.46</v>
      </c>
      <c r="BE198" t="s">
        <v>74</v>
      </c>
      <c r="BF198" t="s">
        <v>328</v>
      </c>
      <c r="BG198">
        <v>18.510000000000002</v>
      </c>
      <c r="BH198" t="s">
        <v>74</v>
      </c>
      <c r="BI198" t="s">
        <v>328</v>
      </c>
      <c r="BJ198">
        <v>18.46</v>
      </c>
      <c r="BK198" t="s">
        <v>74</v>
      </c>
      <c r="BL198" t="s">
        <v>414</v>
      </c>
      <c r="BM198">
        <v>0.4</v>
      </c>
      <c r="BN198" t="s">
        <v>257</v>
      </c>
      <c r="BO198" t="s">
        <v>414</v>
      </c>
      <c r="BP198">
        <v>0.42</v>
      </c>
      <c r="BQ198" t="s">
        <v>257</v>
      </c>
      <c r="BR198" t="s">
        <v>414</v>
      </c>
      <c r="BS198">
        <v>0.42</v>
      </c>
      <c r="BT198" t="s">
        <v>257</v>
      </c>
      <c r="BU198" t="s">
        <v>414</v>
      </c>
      <c r="BV198">
        <v>0.42</v>
      </c>
      <c r="BW198" t="s">
        <v>257</v>
      </c>
      <c r="BX198" t="s">
        <v>414</v>
      </c>
      <c r="BY198">
        <v>0.42</v>
      </c>
      <c r="BZ198" t="s">
        <v>257</v>
      </c>
      <c r="CA198" t="s">
        <v>255</v>
      </c>
      <c r="CB198">
        <v>62.51</v>
      </c>
      <c r="CC198" t="s">
        <v>80</v>
      </c>
      <c r="CD198" t="s">
        <v>414</v>
      </c>
      <c r="CE198">
        <v>0.42</v>
      </c>
      <c r="CF198" t="s">
        <v>257</v>
      </c>
      <c r="CG198" t="s">
        <v>414</v>
      </c>
      <c r="CH198">
        <v>0.44</v>
      </c>
      <c r="CI198" t="s">
        <v>257</v>
      </c>
      <c r="CJ198" t="s">
        <v>414</v>
      </c>
      <c r="CK198">
        <v>0.44</v>
      </c>
      <c r="CL198" t="s">
        <v>257</v>
      </c>
      <c r="CM198" t="s">
        <v>414</v>
      </c>
      <c r="CN198">
        <v>0.43</v>
      </c>
      <c r="CO198" t="s">
        <v>257</v>
      </c>
      <c r="CP198" t="s">
        <v>414</v>
      </c>
      <c r="CQ198">
        <v>0.42</v>
      </c>
      <c r="CR198" t="s">
        <v>257</v>
      </c>
      <c r="CS198" t="s">
        <v>414</v>
      </c>
      <c r="CT198">
        <v>0.42</v>
      </c>
      <c r="CU198" t="s">
        <v>257</v>
      </c>
      <c r="CV198" t="s">
        <v>414</v>
      </c>
      <c r="CW198">
        <v>0.39</v>
      </c>
      <c r="CX198" t="s">
        <v>257</v>
      </c>
      <c r="CY198" t="s">
        <v>414</v>
      </c>
      <c r="CZ198">
        <v>0.39</v>
      </c>
      <c r="DA198" t="s">
        <v>257</v>
      </c>
      <c r="DB198" t="s">
        <v>414</v>
      </c>
      <c r="DC198">
        <v>0.39</v>
      </c>
      <c r="DD198" t="s">
        <v>257</v>
      </c>
      <c r="DE198" t="s">
        <v>414</v>
      </c>
      <c r="DF198">
        <v>0.38</v>
      </c>
      <c r="DG198" t="s">
        <v>257</v>
      </c>
      <c r="DH198" t="s">
        <v>414</v>
      </c>
      <c r="DI198">
        <v>0.46</v>
      </c>
      <c r="DJ198" t="s">
        <v>257</v>
      </c>
      <c r="DK198" t="s">
        <v>433</v>
      </c>
      <c r="DL198">
        <v>0.61</v>
      </c>
      <c r="DM198" t="s">
        <v>258</v>
      </c>
      <c r="DN198" t="s">
        <v>433</v>
      </c>
      <c r="DO198">
        <v>0.61</v>
      </c>
      <c r="DP198" t="s">
        <v>258</v>
      </c>
      <c r="DQ198" t="s">
        <v>433</v>
      </c>
      <c r="DR198">
        <v>0.67</v>
      </c>
      <c r="DS198" t="s">
        <v>258</v>
      </c>
      <c r="DT198" t="s">
        <v>387</v>
      </c>
      <c r="DU198">
        <v>49.97</v>
      </c>
      <c r="DV198" t="s">
        <v>60</v>
      </c>
      <c r="DW198" t="s">
        <v>387</v>
      </c>
      <c r="DX198">
        <v>48.85</v>
      </c>
      <c r="DY198" t="s">
        <v>60</v>
      </c>
      <c r="DZ198" t="s">
        <v>387</v>
      </c>
      <c r="EA198">
        <v>51.18</v>
      </c>
      <c r="EB198" t="s">
        <v>60</v>
      </c>
      <c r="EC198" t="s">
        <v>387</v>
      </c>
      <c r="ED198">
        <v>51.01</v>
      </c>
      <c r="EE198" t="s">
        <v>60</v>
      </c>
      <c r="EF198" t="s">
        <v>387</v>
      </c>
      <c r="EG198">
        <v>51.01</v>
      </c>
      <c r="EH198" t="s">
        <v>60</v>
      </c>
      <c r="EI198" t="s">
        <v>387</v>
      </c>
      <c r="EJ198">
        <v>52.47</v>
      </c>
      <c r="EK198" t="s">
        <v>60</v>
      </c>
    </row>
    <row r="199" spans="1:141">
      <c r="A199" t="s">
        <v>328</v>
      </c>
      <c r="B199">
        <v>17.899999999999999</v>
      </c>
      <c r="C199" t="s">
        <v>74</v>
      </c>
      <c r="D199" t="s">
        <v>328</v>
      </c>
      <c r="E199">
        <v>17.84</v>
      </c>
      <c r="F199" t="s">
        <v>74</v>
      </c>
      <c r="G199" t="s">
        <v>442</v>
      </c>
      <c r="H199">
        <v>283.5</v>
      </c>
      <c r="I199" t="s">
        <v>259</v>
      </c>
      <c r="J199" t="s">
        <v>442</v>
      </c>
      <c r="K199">
        <v>283</v>
      </c>
      <c r="L199" t="s">
        <v>259</v>
      </c>
      <c r="M199" t="s">
        <v>442</v>
      </c>
      <c r="N199">
        <v>284.89</v>
      </c>
      <c r="O199" t="s">
        <v>259</v>
      </c>
      <c r="P199" t="s">
        <v>414</v>
      </c>
      <c r="Q199">
        <v>0.42</v>
      </c>
      <c r="R199" t="s">
        <v>257</v>
      </c>
      <c r="S199" t="s">
        <v>442</v>
      </c>
      <c r="T199">
        <v>281.63</v>
      </c>
      <c r="U199" t="s">
        <v>259</v>
      </c>
      <c r="V199" t="s">
        <v>442</v>
      </c>
      <c r="W199">
        <v>284.5</v>
      </c>
      <c r="X199" t="s">
        <v>259</v>
      </c>
      <c r="Y199" t="s">
        <v>442</v>
      </c>
      <c r="Z199">
        <v>286.5</v>
      </c>
      <c r="AA199" t="s">
        <v>259</v>
      </c>
      <c r="AB199" t="s">
        <v>442</v>
      </c>
      <c r="AC199">
        <v>283.29000000000002</v>
      </c>
      <c r="AD199" t="s">
        <v>259</v>
      </c>
      <c r="AE199" t="s">
        <v>442</v>
      </c>
      <c r="AF199">
        <v>283.10000000000002</v>
      </c>
      <c r="AG199" t="s">
        <v>259</v>
      </c>
      <c r="AH199" t="s">
        <v>442</v>
      </c>
      <c r="AI199">
        <v>269.94</v>
      </c>
      <c r="AJ199" t="s">
        <v>259</v>
      </c>
      <c r="AK199" t="s">
        <v>442</v>
      </c>
      <c r="AL199">
        <v>262</v>
      </c>
      <c r="AM199" t="s">
        <v>259</v>
      </c>
      <c r="AN199" t="s">
        <v>442</v>
      </c>
      <c r="AO199">
        <v>255.16</v>
      </c>
      <c r="AP199" t="s">
        <v>259</v>
      </c>
      <c r="AQ199" t="s">
        <v>442</v>
      </c>
      <c r="AR199">
        <v>260.2</v>
      </c>
      <c r="AS199" t="s">
        <v>259</v>
      </c>
      <c r="AT199" t="s">
        <v>442</v>
      </c>
      <c r="AU199">
        <v>262.95</v>
      </c>
      <c r="AV199" t="s">
        <v>259</v>
      </c>
      <c r="AW199" t="s">
        <v>442</v>
      </c>
      <c r="AX199">
        <v>271.49</v>
      </c>
      <c r="AY199" t="s">
        <v>259</v>
      </c>
      <c r="AZ199" t="s">
        <v>442</v>
      </c>
      <c r="BA199">
        <v>267.19</v>
      </c>
      <c r="BB199" t="s">
        <v>259</v>
      </c>
      <c r="BC199" t="s">
        <v>442</v>
      </c>
      <c r="BD199">
        <v>265.92</v>
      </c>
      <c r="BE199" t="s">
        <v>259</v>
      </c>
      <c r="BF199" t="s">
        <v>442</v>
      </c>
      <c r="BG199">
        <v>266.3</v>
      </c>
      <c r="BH199" t="s">
        <v>259</v>
      </c>
      <c r="BI199" t="s">
        <v>442</v>
      </c>
      <c r="BJ199">
        <v>268.52</v>
      </c>
      <c r="BK199" t="s">
        <v>259</v>
      </c>
      <c r="BL199" t="s">
        <v>433</v>
      </c>
      <c r="BM199">
        <v>0.54</v>
      </c>
      <c r="BN199" t="s">
        <v>258</v>
      </c>
      <c r="BO199" t="s">
        <v>433</v>
      </c>
      <c r="BP199">
        <v>0.54</v>
      </c>
      <c r="BQ199" t="s">
        <v>258</v>
      </c>
      <c r="BR199" t="s">
        <v>433</v>
      </c>
      <c r="BS199">
        <v>0.54</v>
      </c>
      <c r="BT199" t="s">
        <v>258</v>
      </c>
      <c r="BU199" t="s">
        <v>433</v>
      </c>
      <c r="BV199">
        <v>0.55000000000000004</v>
      </c>
      <c r="BW199" t="s">
        <v>258</v>
      </c>
      <c r="BX199" t="s">
        <v>433</v>
      </c>
      <c r="BY199">
        <v>0.55000000000000004</v>
      </c>
      <c r="BZ199" t="s">
        <v>258</v>
      </c>
      <c r="CA199" t="s">
        <v>362</v>
      </c>
      <c r="CB199">
        <v>101.99</v>
      </c>
      <c r="CC199" t="s">
        <v>42</v>
      </c>
      <c r="CD199" t="s">
        <v>433</v>
      </c>
      <c r="CE199">
        <v>0.55000000000000004</v>
      </c>
      <c r="CF199" t="s">
        <v>258</v>
      </c>
      <c r="CG199" t="s">
        <v>433</v>
      </c>
      <c r="CH199">
        <v>0.55000000000000004</v>
      </c>
      <c r="CI199" t="s">
        <v>258</v>
      </c>
      <c r="CJ199" t="s">
        <v>433</v>
      </c>
      <c r="CK199">
        <v>0.54</v>
      </c>
      <c r="CL199" t="s">
        <v>258</v>
      </c>
      <c r="CM199" t="s">
        <v>433</v>
      </c>
      <c r="CN199">
        <v>0.53</v>
      </c>
      <c r="CO199" t="s">
        <v>258</v>
      </c>
      <c r="CP199" t="s">
        <v>433</v>
      </c>
      <c r="CQ199">
        <v>0.52</v>
      </c>
      <c r="CR199" t="s">
        <v>258</v>
      </c>
      <c r="CS199" t="s">
        <v>433</v>
      </c>
      <c r="CT199">
        <v>0.52</v>
      </c>
      <c r="CU199" t="s">
        <v>258</v>
      </c>
      <c r="CV199" t="s">
        <v>433</v>
      </c>
      <c r="CW199">
        <v>0.53</v>
      </c>
      <c r="CX199" t="s">
        <v>258</v>
      </c>
      <c r="CY199" t="s">
        <v>433</v>
      </c>
      <c r="CZ199">
        <v>0.54</v>
      </c>
      <c r="DA199" t="s">
        <v>258</v>
      </c>
      <c r="DB199" t="s">
        <v>433</v>
      </c>
      <c r="DC199">
        <v>0.53</v>
      </c>
      <c r="DD199" t="s">
        <v>258</v>
      </c>
      <c r="DE199" t="s">
        <v>433</v>
      </c>
      <c r="DF199">
        <v>0.53</v>
      </c>
      <c r="DG199" t="s">
        <v>258</v>
      </c>
      <c r="DH199" t="s">
        <v>433</v>
      </c>
      <c r="DI199">
        <v>0.66</v>
      </c>
      <c r="DJ199" t="s">
        <v>258</v>
      </c>
      <c r="DK199" t="s">
        <v>328</v>
      </c>
      <c r="DL199">
        <v>16.47</v>
      </c>
      <c r="DM199" t="s">
        <v>74</v>
      </c>
      <c r="DN199" t="s">
        <v>328</v>
      </c>
      <c r="DO199">
        <v>15.91</v>
      </c>
      <c r="DP199" t="s">
        <v>74</v>
      </c>
      <c r="DQ199" t="s">
        <v>328</v>
      </c>
      <c r="DR199">
        <v>19</v>
      </c>
      <c r="DS199" t="s">
        <v>74</v>
      </c>
      <c r="DT199" t="s">
        <v>262</v>
      </c>
      <c r="DU199">
        <v>6.87</v>
      </c>
      <c r="DV199" t="s">
        <v>43</v>
      </c>
      <c r="DW199" t="s">
        <v>262</v>
      </c>
      <c r="DX199">
        <v>6.82</v>
      </c>
      <c r="DY199" t="s">
        <v>43</v>
      </c>
      <c r="DZ199" t="s">
        <v>262</v>
      </c>
      <c r="EA199">
        <v>7.36</v>
      </c>
      <c r="EB199" t="s">
        <v>43</v>
      </c>
      <c r="EC199" t="s">
        <v>262</v>
      </c>
      <c r="ED199">
        <v>8.02</v>
      </c>
      <c r="EE199" t="s">
        <v>43</v>
      </c>
      <c r="EF199" t="s">
        <v>262</v>
      </c>
      <c r="EG199">
        <v>8.8000000000000007</v>
      </c>
      <c r="EH199" t="s">
        <v>43</v>
      </c>
      <c r="EI199" t="s">
        <v>262</v>
      </c>
      <c r="EJ199">
        <v>9.16</v>
      </c>
      <c r="EK199" t="s">
        <v>43</v>
      </c>
    </row>
    <row r="200" spans="1:141">
      <c r="A200" t="s">
        <v>442</v>
      </c>
      <c r="B200">
        <v>288</v>
      </c>
      <c r="C200" t="s">
        <v>259</v>
      </c>
      <c r="D200" t="s">
        <v>442</v>
      </c>
      <c r="E200">
        <v>284</v>
      </c>
      <c r="F200" t="s">
        <v>259</v>
      </c>
      <c r="G200" t="s">
        <v>715</v>
      </c>
      <c r="H200">
        <v>10.51</v>
      </c>
      <c r="I200" t="s">
        <v>697</v>
      </c>
      <c r="J200" t="s">
        <v>715</v>
      </c>
      <c r="K200">
        <v>10.51</v>
      </c>
      <c r="L200" t="s">
        <v>697</v>
      </c>
      <c r="M200" t="s">
        <v>715</v>
      </c>
      <c r="N200">
        <v>10.51</v>
      </c>
      <c r="O200" t="s">
        <v>697</v>
      </c>
      <c r="P200" t="s">
        <v>433</v>
      </c>
      <c r="Q200">
        <v>0.55000000000000004</v>
      </c>
      <c r="R200" t="s">
        <v>258</v>
      </c>
      <c r="S200" t="s">
        <v>715</v>
      </c>
      <c r="T200">
        <v>10.51</v>
      </c>
      <c r="U200" t="s">
        <v>697</v>
      </c>
      <c r="V200" t="s">
        <v>715</v>
      </c>
      <c r="W200">
        <v>10.51</v>
      </c>
      <c r="X200" t="s">
        <v>697</v>
      </c>
      <c r="Y200" t="s">
        <v>715</v>
      </c>
      <c r="Z200">
        <v>10.51</v>
      </c>
      <c r="AA200" t="s">
        <v>697</v>
      </c>
      <c r="AB200" t="s">
        <v>715</v>
      </c>
      <c r="AC200">
        <v>10.51</v>
      </c>
      <c r="AD200" t="s">
        <v>697</v>
      </c>
      <c r="AE200" t="s">
        <v>715</v>
      </c>
      <c r="AF200">
        <v>10.51</v>
      </c>
      <c r="AG200" t="s">
        <v>697</v>
      </c>
      <c r="AH200" t="s">
        <v>715</v>
      </c>
      <c r="AI200">
        <v>10.51</v>
      </c>
      <c r="AJ200" t="s">
        <v>697</v>
      </c>
      <c r="AK200" t="s">
        <v>715</v>
      </c>
      <c r="AL200">
        <v>10.51</v>
      </c>
      <c r="AM200" t="s">
        <v>697</v>
      </c>
      <c r="AN200" t="s">
        <v>715</v>
      </c>
      <c r="AO200">
        <v>10.51</v>
      </c>
      <c r="AP200" t="s">
        <v>697</v>
      </c>
      <c r="AQ200" t="s">
        <v>715</v>
      </c>
      <c r="AR200">
        <v>10.51</v>
      </c>
      <c r="AS200" t="s">
        <v>697</v>
      </c>
      <c r="AT200" t="s">
        <v>715</v>
      </c>
      <c r="AU200">
        <v>10.51</v>
      </c>
      <c r="AV200" t="s">
        <v>697</v>
      </c>
      <c r="AW200" t="s">
        <v>715</v>
      </c>
      <c r="AX200">
        <v>10.51</v>
      </c>
      <c r="AY200" t="s">
        <v>697</v>
      </c>
      <c r="AZ200" t="s">
        <v>715</v>
      </c>
      <c r="BA200">
        <v>10.51</v>
      </c>
      <c r="BB200" t="s">
        <v>697</v>
      </c>
      <c r="BC200" t="s">
        <v>715</v>
      </c>
      <c r="BD200">
        <v>10.51</v>
      </c>
      <c r="BE200" t="s">
        <v>697</v>
      </c>
      <c r="BF200" t="s">
        <v>715</v>
      </c>
      <c r="BG200">
        <v>10.51</v>
      </c>
      <c r="BH200" t="s">
        <v>697</v>
      </c>
      <c r="BI200" t="s">
        <v>715</v>
      </c>
      <c r="BJ200">
        <v>10.51</v>
      </c>
      <c r="BK200" t="s">
        <v>697</v>
      </c>
      <c r="BL200" t="s">
        <v>328</v>
      </c>
      <c r="BM200">
        <v>17.98</v>
      </c>
      <c r="BN200" t="s">
        <v>74</v>
      </c>
      <c r="BO200" t="s">
        <v>328</v>
      </c>
      <c r="BP200">
        <v>17.809999999999999</v>
      </c>
      <c r="BQ200" t="s">
        <v>74</v>
      </c>
      <c r="BR200" t="s">
        <v>328</v>
      </c>
      <c r="BS200">
        <v>18.09</v>
      </c>
      <c r="BT200" t="s">
        <v>74</v>
      </c>
      <c r="BU200" t="s">
        <v>328</v>
      </c>
      <c r="BV200">
        <v>18.2</v>
      </c>
      <c r="BW200" t="s">
        <v>74</v>
      </c>
      <c r="BX200" t="s">
        <v>328</v>
      </c>
      <c r="BY200">
        <v>18.100000000000001</v>
      </c>
      <c r="BZ200" t="s">
        <v>74</v>
      </c>
      <c r="CA200" t="s">
        <v>411</v>
      </c>
      <c r="CB200">
        <v>1.7</v>
      </c>
      <c r="CC200" t="s">
        <v>256</v>
      </c>
      <c r="CD200" t="s">
        <v>328</v>
      </c>
      <c r="CE200">
        <v>18.2</v>
      </c>
      <c r="CF200" t="s">
        <v>74</v>
      </c>
      <c r="CG200" t="s">
        <v>328</v>
      </c>
      <c r="CH200">
        <v>18.72</v>
      </c>
      <c r="CI200" t="s">
        <v>74</v>
      </c>
      <c r="CJ200" t="s">
        <v>328</v>
      </c>
      <c r="CK200">
        <v>18.68</v>
      </c>
      <c r="CL200" t="s">
        <v>74</v>
      </c>
      <c r="CM200" t="s">
        <v>328</v>
      </c>
      <c r="CN200">
        <v>18.53</v>
      </c>
      <c r="CO200" t="s">
        <v>74</v>
      </c>
      <c r="CP200" t="s">
        <v>328</v>
      </c>
      <c r="CQ200">
        <v>18.43</v>
      </c>
      <c r="CR200" t="s">
        <v>74</v>
      </c>
      <c r="CS200" t="s">
        <v>328</v>
      </c>
      <c r="CT200">
        <v>18.440000000000001</v>
      </c>
      <c r="CU200" t="s">
        <v>74</v>
      </c>
      <c r="CV200" t="s">
        <v>328</v>
      </c>
      <c r="CW200">
        <v>18.8</v>
      </c>
      <c r="CX200" t="s">
        <v>74</v>
      </c>
      <c r="CY200" t="s">
        <v>328</v>
      </c>
      <c r="CZ200">
        <v>18.989999999999998</v>
      </c>
      <c r="DA200" t="s">
        <v>74</v>
      </c>
      <c r="DB200" t="s">
        <v>328</v>
      </c>
      <c r="DC200">
        <v>19.3</v>
      </c>
      <c r="DD200" t="s">
        <v>74</v>
      </c>
      <c r="DE200" t="s">
        <v>328</v>
      </c>
      <c r="DF200">
        <v>18.95</v>
      </c>
      <c r="DG200" t="s">
        <v>74</v>
      </c>
      <c r="DH200" t="s">
        <v>328</v>
      </c>
      <c r="DI200">
        <v>17.37</v>
      </c>
      <c r="DJ200" t="s">
        <v>74</v>
      </c>
      <c r="DK200" t="s">
        <v>442</v>
      </c>
      <c r="DL200">
        <v>280</v>
      </c>
      <c r="DM200" t="s">
        <v>259</v>
      </c>
      <c r="DN200" t="s">
        <v>442</v>
      </c>
      <c r="DO200">
        <v>270</v>
      </c>
      <c r="DP200" t="s">
        <v>259</v>
      </c>
      <c r="DQ200" t="s">
        <v>442</v>
      </c>
      <c r="DR200">
        <v>275.60000000000002</v>
      </c>
      <c r="DS200" t="s">
        <v>259</v>
      </c>
      <c r="DT200" t="s">
        <v>843</v>
      </c>
      <c r="DU200">
        <v>0.26</v>
      </c>
      <c r="DV200" t="s">
        <v>844</v>
      </c>
      <c r="DW200" t="s">
        <v>843</v>
      </c>
      <c r="DX200">
        <v>0.21</v>
      </c>
      <c r="DY200" t="s">
        <v>844</v>
      </c>
      <c r="DZ200" t="s">
        <v>843</v>
      </c>
      <c r="EA200">
        <v>0.21</v>
      </c>
      <c r="EB200" t="s">
        <v>844</v>
      </c>
      <c r="EC200" t="s">
        <v>843</v>
      </c>
      <c r="ED200">
        <v>0.24</v>
      </c>
      <c r="EE200" t="s">
        <v>844</v>
      </c>
      <c r="EF200" t="s">
        <v>843</v>
      </c>
      <c r="EG200">
        <v>0.18</v>
      </c>
      <c r="EH200" t="s">
        <v>844</v>
      </c>
      <c r="EI200" t="s">
        <v>843</v>
      </c>
      <c r="EJ200">
        <v>0.18</v>
      </c>
      <c r="EK200" t="s">
        <v>844</v>
      </c>
    </row>
    <row r="201" spans="1:141">
      <c r="A201" t="s">
        <v>715</v>
      </c>
      <c r="B201">
        <v>10.51</v>
      </c>
      <c r="C201" t="s">
        <v>697</v>
      </c>
      <c r="D201" t="s">
        <v>715</v>
      </c>
      <c r="E201">
        <v>10.51</v>
      </c>
      <c r="F201" t="s">
        <v>697</v>
      </c>
      <c r="G201" t="s">
        <v>260</v>
      </c>
      <c r="H201">
        <v>18.760000000000002</v>
      </c>
      <c r="I201" t="s">
        <v>28</v>
      </c>
      <c r="J201" t="s">
        <v>260</v>
      </c>
      <c r="K201">
        <v>18.84</v>
      </c>
      <c r="L201" t="s">
        <v>28</v>
      </c>
      <c r="M201" t="s">
        <v>260</v>
      </c>
      <c r="N201">
        <v>18.600000000000001</v>
      </c>
      <c r="O201" t="s">
        <v>28</v>
      </c>
      <c r="P201" t="s">
        <v>328</v>
      </c>
      <c r="Q201">
        <v>17.149999999999999</v>
      </c>
      <c r="R201" t="s">
        <v>74</v>
      </c>
      <c r="S201" t="s">
        <v>260</v>
      </c>
      <c r="T201">
        <v>18.75</v>
      </c>
      <c r="U201" t="s">
        <v>28</v>
      </c>
      <c r="V201" t="s">
        <v>260</v>
      </c>
      <c r="W201">
        <v>18.5</v>
      </c>
      <c r="X201" t="s">
        <v>28</v>
      </c>
      <c r="Y201" t="s">
        <v>260</v>
      </c>
      <c r="Z201">
        <v>18.7</v>
      </c>
      <c r="AA201" t="s">
        <v>28</v>
      </c>
      <c r="AB201" t="s">
        <v>260</v>
      </c>
      <c r="AC201">
        <v>19.2</v>
      </c>
      <c r="AD201" t="s">
        <v>28</v>
      </c>
      <c r="AE201" t="s">
        <v>260</v>
      </c>
      <c r="AF201">
        <v>18.75</v>
      </c>
      <c r="AG201" t="s">
        <v>28</v>
      </c>
      <c r="AH201" t="s">
        <v>260</v>
      </c>
      <c r="AI201">
        <v>18.420000000000002</v>
      </c>
      <c r="AJ201" t="s">
        <v>28</v>
      </c>
      <c r="AK201" t="s">
        <v>260</v>
      </c>
      <c r="AL201">
        <v>18.3</v>
      </c>
      <c r="AM201" t="s">
        <v>28</v>
      </c>
      <c r="AN201" t="s">
        <v>260</v>
      </c>
      <c r="AO201">
        <v>17.489999999999998</v>
      </c>
      <c r="AP201" t="s">
        <v>28</v>
      </c>
      <c r="AQ201" t="s">
        <v>260</v>
      </c>
      <c r="AR201">
        <v>18.37</v>
      </c>
      <c r="AS201" t="s">
        <v>28</v>
      </c>
      <c r="AT201" t="s">
        <v>260</v>
      </c>
      <c r="AU201">
        <v>18</v>
      </c>
      <c r="AV201" t="s">
        <v>28</v>
      </c>
      <c r="AW201" t="s">
        <v>260</v>
      </c>
      <c r="AX201">
        <v>17.82</v>
      </c>
      <c r="AY201" t="s">
        <v>28</v>
      </c>
      <c r="AZ201" t="s">
        <v>260</v>
      </c>
      <c r="BA201">
        <v>17.399999999999999</v>
      </c>
      <c r="BB201" t="s">
        <v>28</v>
      </c>
      <c r="BC201" t="s">
        <v>260</v>
      </c>
      <c r="BD201">
        <v>17.809999999999999</v>
      </c>
      <c r="BE201" t="s">
        <v>28</v>
      </c>
      <c r="BF201" t="s">
        <v>260</v>
      </c>
      <c r="BG201">
        <v>17.899999999999999</v>
      </c>
      <c r="BH201" t="s">
        <v>28</v>
      </c>
      <c r="BI201" t="s">
        <v>260</v>
      </c>
      <c r="BJ201">
        <v>17.63</v>
      </c>
      <c r="BK201" t="s">
        <v>28</v>
      </c>
      <c r="BL201" t="s">
        <v>442</v>
      </c>
      <c r="BM201">
        <v>267</v>
      </c>
      <c r="BN201" t="s">
        <v>259</v>
      </c>
      <c r="BO201" t="s">
        <v>442</v>
      </c>
      <c r="BP201">
        <v>264.01</v>
      </c>
      <c r="BQ201" t="s">
        <v>259</v>
      </c>
      <c r="BR201" t="s">
        <v>442</v>
      </c>
      <c r="BS201">
        <v>269</v>
      </c>
      <c r="BT201" t="s">
        <v>259</v>
      </c>
      <c r="BU201" t="s">
        <v>442</v>
      </c>
      <c r="BV201">
        <v>269.23</v>
      </c>
      <c r="BW201" t="s">
        <v>259</v>
      </c>
      <c r="BX201" t="s">
        <v>442</v>
      </c>
      <c r="BY201">
        <v>268.33999999999997</v>
      </c>
      <c r="BZ201" t="s">
        <v>259</v>
      </c>
      <c r="CA201" t="s">
        <v>414</v>
      </c>
      <c r="CB201">
        <v>0.42</v>
      </c>
      <c r="CC201" t="s">
        <v>257</v>
      </c>
      <c r="CD201" t="s">
        <v>442</v>
      </c>
      <c r="CE201">
        <v>269</v>
      </c>
      <c r="CF201" t="s">
        <v>259</v>
      </c>
      <c r="CG201" t="s">
        <v>442</v>
      </c>
      <c r="CH201">
        <v>269</v>
      </c>
      <c r="CI201" t="s">
        <v>259</v>
      </c>
      <c r="CJ201" t="s">
        <v>442</v>
      </c>
      <c r="CK201">
        <v>272.29000000000002</v>
      </c>
      <c r="CL201" t="s">
        <v>259</v>
      </c>
      <c r="CM201" t="s">
        <v>442</v>
      </c>
      <c r="CN201">
        <v>268.91000000000003</v>
      </c>
      <c r="CO201" t="s">
        <v>259</v>
      </c>
      <c r="CP201" t="s">
        <v>442</v>
      </c>
      <c r="CQ201">
        <v>269</v>
      </c>
      <c r="CR201" t="s">
        <v>259</v>
      </c>
      <c r="CS201" t="s">
        <v>442</v>
      </c>
      <c r="CT201">
        <v>271.97000000000003</v>
      </c>
      <c r="CU201" t="s">
        <v>259</v>
      </c>
      <c r="CV201" t="s">
        <v>442</v>
      </c>
      <c r="CW201">
        <v>274.16000000000003</v>
      </c>
      <c r="CX201" t="s">
        <v>259</v>
      </c>
      <c r="CY201" t="s">
        <v>442</v>
      </c>
      <c r="CZ201">
        <v>270</v>
      </c>
      <c r="DA201" t="s">
        <v>259</v>
      </c>
      <c r="DB201" t="s">
        <v>442</v>
      </c>
      <c r="DC201">
        <v>272.39</v>
      </c>
      <c r="DD201" t="s">
        <v>259</v>
      </c>
      <c r="DE201" t="s">
        <v>442</v>
      </c>
      <c r="DF201">
        <v>270</v>
      </c>
      <c r="DG201" t="s">
        <v>259</v>
      </c>
      <c r="DH201" t="s">
        <v>442</v>
      </c>
      <c r="DI201">
        <v>285.25</v>
      </c>
      <c r="DJ201" t="s">
        <v>259</v>
      </c>
      <c r="DK201" t="s">
        <v>715</v>
      </c>
      <c r="DL201">
        <v>10.51</v>
      </c>
      <c r="DM201" t="s">
        <v>697</v>
      </c>
      <c r="DN201" t="s">
        <v>715</v>
      </c>
      <c r="DO201">
        <v>10.51</v>
      </c>
      <c r="DP201" t="s">
        <v>697</v>
      </c>
      <c r="DQ201" t="s">
        <v>715</v>
      </c>
      <c r="DR201">
        <v>10.51</v>
      </c>
      <c r="DS201" t="s">
        <v>697</v>
      </c>
      <c r="DT201" t="s">
        <v>312</v>
      </c>
      <c r="DU201">
        <v>112.98</v>
      </c>
      <c r="DV201" t="s">
        <v>71</v>
      </c>
      <c r="DW201" t="s">
        <v>312</v>
      </c>
      <c r="DX201">
        <v>105.15</v>
      </c>
      <c r="DY201" t="s">
        <v>71</v>
      </c>
      <c r="DZ201" t="s">
        <v>312</v>
      </c>
      <c r="EA201">
        <v>108</v>
      </c>
      <c r="EB201" t="s">
        <v>71</v>
      </c>
      <c r="EC201" t="s">
        <v>312</v>
      </c>
      <c r="ED201">
        <v>106.02</v>
      </c>
      <c r="EE201" t="s">
        <v>71</v>
      </c>
      <c r="EF201" t="s">
        <v>312</v>
      </c>
      <c r="EG201">
        <v>111</v>
      </c>
      <c r="EH201" t="s">
        <v>71</v>
      </c>
      <c r="EI201" t="s">
        <v>312</v>
      </c>
      <c r="EJ201">
        <v>107.3</v>
      </c>
      <c r="EK201" t="s">
        <v>71</v>
      </c>
    </row>
    <row r="202" spans="1:141">
      <c r="A202" t="s">
        <v>260</v>
      </c>
      <c r="B202">
        <v>19.989999999999998</v>
      </c>
      <c r="C202" t="s">
        <v>28</v>
      </c>
      <c r="D202" t="s">
        <v>260</v>
      </c>
      <c r="E202">
        <v>18.5</v>
      </c>
      <c r="F202" t="s">
        <v>28</v>
      </c>
      <c r="G202" t="s">
        <v>261</v>
      </c>
      <c r="H202">
        <v>26.5</v>
      </c>
      <c r="I202" t="s">
        <v>45</v>
      </c>
      <c r="J202" t="s">
        <v>261</v>
      </c>
      <c r="K202">
        <v>26.2</v>
      </c>
      <c r="L202" t="s">
        <v>45</v>
      </c>
      <c r="M202" t="s">
        <v>261</v>
      </c>
      <c r="N202">
        <v>25.6</v>
      </c>
      <c r="O202" t="s">
        <v>45</v>
      </c>
      <c r="P202" t="s">
        <v>442</v>
      </c>
      <c r="Q202">
        <v>281.19</v>
      </c>
      <c r="R202" t="s">
        <v>259</v>
      </c>
      <c r="S202" t="s">
        <v>261</v>
      </c>
      <c r="T202">
        <v>25.45</v>
      </c>
      <c r="U202" t="s">
        <v>45</v>
      </c>
      <c r="V202" t="s">
        <v>261</v>
      </c>
      <c r="W202">
        <v>25</v>
      </c>
      <c r="X202" t="s">
        <v>45</v>
      </c>
      <c r="Y202" t="s">
        <v>261</v>
      </c>
      <c r="Z202">
        <v>25.84</v>
      </c>
      <c r="AA202" t="s">
        <v>45</v>
      </c>
      <c r="AB202" t="s">
        <v>261</v>
      </c>
      <c r="AC202">
        <v>25.75</v>
      </c>
      <c r="AD202" t="s">
        <v>45</v>
      </c>
      <c r="AE202" t="s">
        <v>261</v>
      </c>
      <c r="AF202">
        <v>25.25</v>
      </c>
      <c r="AG202" t="s">
        <v>45</v>
      </c>
      <c r="AH202" t="s">
        <v>261</v>
      </c>
      <c r="AI202">
        <v>24.69</v>
      </c>
      <c r="AJ202" t="s">
        <v>45</v>
      </c>
      <c r="AK202" t="s">
        <v>261</v>
      </c>
      <c r="AL202">
        <v>24.25</v>
      </c>
      <c r="AM202" t="s">
        <v>45</v>
      </c>
      <c r="AN202" t="s">
        <v>261</v>
      </c>
      <c r="AO202">
        <v>23.3</v>
      </c>
      <c r="AP202" t="s">
        <v>45</v>
      </c>
      <c r="AQ202" t="s">
        <v>261</v>
      </c>
      <c r="AR202">
        <v>24.7</v>
      </c>
      <c r="AS202" t="s">
        <v>45</v>
      </c>
      <c r="AT202" t="s">
        <v>261</v>
      </c>
      <c r="AU202">
        <v>24.56</v>
      </c>
      <c r="AV202" t="s">
        <v>45</v>
      </c>
      <c r="AW202" t="s">
        <v>261</v>
      </c>
      <c r="AX202">
        <v>26.4</v>
      </c>
      <c r="AY202" t="s">
        <v>45</v>
      </c>
      <c r="AZ202" t="s">
        <v>261</v>
      </c>
      <c r="BA202">
        <v>26.42</v>
      </c>
      <c r="BB202" t="s">
        <v>45</v>
      </c>
      <c r="BC202" t="s">
        <v>261</v>
      </c>
      <c r="BD202">
        <v>25.1</v>
      </c>
      <c r="BE202" t="s">
        <v>45</v>
      </c>
      <c r="BF202" t="s">
        <v>261</v>
      </c>
      <c r="BG202">
        <v>25.29</v>
      </c>
      <c r="BH202" t="s">
        <v>45</v>
      </c>
      <c r="BI202" t="s">
        <v>261</v>
      </c>
      <c r="BJ202">
        <v>25.36</v>
      </c>
      <c r="BK202" t="s">
        <v>45</v>
      </c>
      <c r="BL202" t="s">
        <v>715</v>
      </c>
      <c r="BM202">
        <v>10.51</v>
      </c>
      <c r="BN202" t="s">
        <v>697</v>
      </c>
      <c r="BO202" t="s">
        <v>715</v>
      </c>
      <c r="BP202">
        <v>10.51</v>
      </c>
      <c r="BQ202" t="s">
        <v>697</v>
      </c>
      <c r="BR202" t="s">
        <v>715</v>
      </c>
      <c r="BS202">
        <v>10.51</v>
      </c>
      <c r="BT202" t="s">
        <v>697</v>
      </c>
      <c r="BU202" t="s">
        <v>715</v>
      </c>
      <c r="BV202">
        <v>10.51</v>
      </c>
      <c r="BW202" t="s">
        <v>697</v>
      </c>
      <c r="BX202" t="s">
        <v>715</v>
      </c>
      <c r="BY202">
        <v>10.51</v>
      </c>
      <c r="BZ202" t="s">
        <v>697</v>
      </c>
      <c r="CA202" t="s">
        <v>433</v>
      </c>
      <c r="CB202">
        <v>0.55000000000000004</v>
      </c>
      <c r="CC202" t="s">
        <v>258</v>
      </c>
      <c r="CD202" t="s">
        <v>715</v>
      </c>
      <c r="CE202">
        <v>10.51</v>
      </c>
      <c r="CF202" t="s">
        <v>697</v>
      </c>
      <c r="CG202" t="s">
        <v>715</v>
      </c>
      <c r="CH202">
        <v>10.51</v>
      </c>
      <c r="CI202" t="s">
        <v>697</v>
      </c>
      <c r="CJ202" t="s">
        <v>715</v>
      </c>
      <c r="CK202">
        <v>10.51</v>
      </c>
      <c r="CL202" t="s">
        <v>697</v>
      </c>
      <c r="CM202" t="s">
        <v>715</v>
      </c>
      <c r="CN202">
        <v>10.51</v>
      </c>
      <c r="CO202" t="s">
        <v>697</v>
      </c>
      <c r="CP202" t="s">
        <v>715</v>
      </c>
      <c r="CQ202">
        <v>10.51</v>
      </c>
      <c r="CR202" t="s">
        <v>697</v>
      </c>
      <c r="CS202" t="s">
        <v>715</v>
      </c>
      <c r="CT202">
        <v>10.51</v>
      </c>
      <c r="CU202" t="s">
        <v>697</v>
      </c>
      <c r="CV202" t="s">
        <v>715</v>
      </c>
      <c r="CW202">
        <v>10.51</v>
      </c>
      <c r="CX202" t="s">
        <v>697</v>
      </c>
      <c r="CY202" t="s">
        <v>715</v>
      </c>
      <c r="CZ202">
        <v>10.51</v>
      </c>
      <c r="DA202" t="s">
        <v>697</v>
      </c>
      <c r="DB202" t="s">
        <v>715</v>
      </c>
      <c r="DC202">
        <v>10.51</v>
      </c>
      <c r="DD202" t="s">
        <v>697</v>
      </c>
      <c r="DE202" t="s">
        <v>715</v>
      </c>
      <c r="DF202">
        <v>10.51</v>
      </c>
      <c r="DG202" t="s">
        <v>697</v>
      </c>
      <c r="DH202" t="s">
        <v>715</v>
      </c>
      <c r="DI202">
        <v>10.51</v>
      </c>
      <c r="DJ202" t="s">
        <v>697</v>
      </c>
      <c r="DK202" t="s">
        <v>260</v>
      </c>
      <c r="DL202">
        <v>23</v>
      </c>
      <c r="DM202" t="s">
        <v>28</v>
      </c>
      <c r="DN202" t="s">
        <v>260</v>
      </c>
      <c r="DO202">
        <v>21.75</v>
      </c>
      <c r="DP202" t="s">
        <v>28</v>
      </c>
      <c r="DQ202" t="s">
        <v>260</v>
      </c>
      <c r="DR202">
        <v>24</v>
      </c>
      <c r="DS202" t="s">
        <v>28</v>
      </c>
      <c r="DT202" t="s">
        <v>666</v>
      </c>
      <c r="DU202">
        <v>7.71</v>
      </c>
      <c r="DV202" t="s">
        <v>694</v>
      </c>
      <c r="DW202" t="s">
        <v>666</v>
      </c>
      <c r="DX202">
        <v>7.71</v>
      </c>
      <c r="DY202" t="s">
        <v>694</v>
      </c>
      <c r="DZ202" t="s">
        <v>666</v>
      </c>
      <c r="EA202">
        <v>7.71</v>
      </c>
      <c r="EB202" t="s">
        <v>694</v>
      </c>
      <c r="EC202" t="s">
        <v>666</v>
      </c>
      <c r="ED202">
        <v>7.71</v>
      </c>
      <c r="EE202" t="s">
        <v>694</v>
      </c>
      <c r="EF202" t="s">
        <v>666</v>
      </c>
      <c r="EG202">
        <v>7.71</v>
      </c>
      <c r="EH202" t="s">
        <v>694</v>
      </c>
      <c r="EI202" t="s">
        <v>666</v>
      </c>
      <c r="EJ202">
        <v>7.71</v>
      </c>
      <c r="EK202" t="s">
        <v>694</v>
      </c>
    </row>
    <row r="203" spans="1:141">
      <c r="A203" t="s">
        <v>261</v>
      </c>
      <c r="B203">
        <v>26.48</v>
      </c>
      <c r="C203" t="s">
        <v>45</v>
      </c>
      <c r="D203" t="s">
        <v>261</v>
      </c>
      <c r="E203">
        <v>26.79</v>
      </c>
      <c r="F203" t="s">
        <v>45</v>
      </c>
      <c r="G203" t="s">
        <v>643</v>
      </c>
      <c r="H203">
        <v>48</v>
      </c>
      <c r="I203" t="s">
        <v>696</v>
      </c>
      <c r="J203" t="s">
        <v>643</v>
      </c>
      <c r="K203">
        <v>48</v>
      </c>
      <c r="L203" t="s">
        <v>696</v>
      </c>
      <c r="M203" t="s">
        <v>643</v>
      </c>
      <c r="N203">
        <v>48</v>
      </c>
      <c r="O203" t="s">
        <v>696</v>
      </c>
      <c r="P203" t="s">
        <v>715</v>
      </c>
      <c r="Q203">
        <v>10.51</v>
      </c>
      <c r="R203" t="s">
        <v>697</v>
      </c>
      <c r="S203" t="s">
        <v>643</v>
      </c>
      <c r="T203">
        <v>40</v>
      </c>
      <c r="U203" t="s">
        <v>696</v>
      </c>
      <c r="V203" t="s">
        <v>643</v>
      </c>
      <c r="W203">
        <v>40</v>
      </c>
      <c r="X203" t="s">
        <v>696</v>
      </c>
      <c r="Y203" t="s">
        <v>643</v>
      </c>
      <c r="Z203">
        <v>40</v>
      </c>
      <c r="AA203" t="s">
        <v>696</v>
      </c>
      <c r="AB203" t="s">
        <v>643</v>
      </c>
      <c r="AC203">
        <v>59</v>
      </c>
      <c r="AD203" t="s">
        <v>696</v>
      </c>
      <c r="AE203" t="s">
        <v>643</v>
      </c>
      <c r="AF203">
        <v>58.9</v>
      </c>
      <c r="AG203" t="s">
        <v>696</v>
      </c>
      <c r="AH203" t="s">
        <v>643</v>
      </c>
      <c r="AI203">
        <v>58.9</v>
      </c>
      <c r="AJ203" t="s">
        <v>696</v>
      </c>
      <c r="AK203" t="s">
        <v>643</v>
      </c>
      <c r="AL203">
        <v>58.9</v>
      </c>
      <c r="AM203" t="s">
        <v>696</v>
      </c>
      <c r="AN203" t="s">
        <v>643</v>
      </c>
      <c r="AO203">
        <v>42</v>
      </c>
      <c r="AP203" t="s">
        <v>696</v>
      </c>
      <c r="AQ203" t="s">
        <v>643</v>
      </c>
      <c r="AR203">
        <v>50</v>
      </c>
      <c r="AS203" t="s">
        <v>696</v>
      </c>
      <c r="AT203" t="s">
        <v>643</v>
      </c>
      <c r="AU203">
        <v>50</v>
      </c>
      <c r="AV203" t="s">
        <v>696</v>
      </c>
      <c r="AW203" t="s">
        <v>643</v>
      </c>
      <c r="AX203">
        <v>50</v>
      </c>
      <c r="AY203" t="s">
        <v>696</v>
      </c>
      <c r="AZ203" t="s">
        <v>643</v>
      </c>
      <c r="BA203">
        <v>47.07</v>
      </c>
      <c r="BB203" t="s">
        <v>696</v>
      </c>
      <c r="BC203" t="s">
        <v>643</v>
      </c>
      <c r="BD203">
        <v>47.07</v>
      </c>
      <c r="BE203" t="s">
        <v>696</v>
      </c>
      <c r="BF203" t="s">
        <v>643</v>
      </c>
      <c r="BG203">
        <v>40.5</v>
      </c>
      <c r="BH203" t="s">
        <v>696</v>
      </c>
      <c r="BI203" t="s">
        <v>643</v>
      </c>
      <c r="BJ203">
        <v>40.5</v>
      </c>
      <c r="BK203" t="s">
        <v>696</v>
      </c>
      <c r="BL203" t="s">
        <v>260</v>
      </c>
      <c r="BM203">
        <v>17.11</v>
      </c>
      <c r="BN203" t="s">
        <v>28</v>
      </c>
      <c r="BO203" t="s">
        <v>260</v>
      </c>
      <c r="BP203">
        <v>17.399999999999999</v>
      </c>
      <c r="BQ203" t="s">
        <v>28</v>
      </c>
      <c r="BR203" t="s">
        <v>260</v>
      </c>
      <c r="BS203">
        <v>18.11</v>
      </c>
      <c r="BT203" t="s">
        <v>28</v>
      </c>
      <c r="BU203" t="s">
        <v>260</v>
      </c>
      <c r="BV203">
        <v>18.28</v>
      </c>
      <c r="BW203" t="s">
        <v>28</v>
      </c>
      <c r="BX203" t="s">
        <v>260</v>
      </c>
      <c r="BY203">
        <v>18.2</v>
      </c>
      <c r="BZ203" t="s">
        <v>28</v>
      </c>
      <c r="CA203" t="s">
        <v>328</v>
      </c>
      <c r="CB203">
        <v>18.18</v>
      </c>
      <c r="CC203" t="s">
        <v>74</v>
      </c>
      <c r="CD203" t="s">
        <v>260</v>
      </c>
      <c r="CE203">
        <v>20.100000000000001</v>
      </c>
      <c r="CF203" t="s">
        <v>28</v>
      </c>
      <c r="CG203" t="s">
        <v>260</v>
      </c>
      <c r="CH203">
        <v>20.059999999999999</v>
      </c>
      <c r="CI203" t="s">
        <v>28</v>
      </c>
      <c r="CJ203" t="s">
        <v>260</v>
      </c>
      <c r="CK203">
        <v>21.19</v>
      </c>
      <c r="CL203" t="s">
        <v>28</v>
      </c>
      <c r="CM203" t="s">
        <v>260</v>
      </c>
      <c r="CN203">
        <v>20.76</v>
      </c>
      <c r="CO203" t="s">
        <v>28</v>
      </c>
      <c r="CP203" t="s">
        <v>260</v>
      </c>
      <c r="CQ203">
        <v>22.01</v>
      </c>
      <c r="CR203" t="s">
        <v>28</v>
      </c>
      <c r="CS203" t="s">
        <v>260</v>
      </c>
      <c r="CT203">
        <v>22.45</v>
      </c>
      <c r="CU203" t="s">
        <v>28</v>
      </c>
      <c r="CV203" t="s">
        <v>260</v>
      </c>
      <c r="CW203">
        <v>23.5</v>
      </c>
      <c r="CX203" t="s">
        <v>28</v>
      </c>
      <c r="CY203" t="s">
        <v>260</v>
      </c>
      <c r="CZ203">
        <v>24</v>
      </c>
      <c r="DA203" t="s">
        <v>28</v>
      </c>
      <c r="DB203" t="s">
        <v>260</v>
      </c>
      <c r="DC203">
        <v>25.3</v>
      </c>
      <c r="DD203" t="s">
        <v>28</v>
      </c>
      <c r="DE203" t="s">
        <v>260</v>
      </c>
      <c r="DF203">
        <v>25</v>
      </c>
      <c r="DG203" t="s">
        <v>28</v>
      </c>
      <c r="DH203" t="s">
        <v>260</v>
      </c>
      <c r="DI203">
        <v>23.9</v>
      </c>
      <c r="DJ203" t="s">
        <v>28</v>
      </c>
      <c r="DK203" t="s">
        <v>261</v>
      </c>
      <c r="DL203">
        <v>22</v>
      </c>
      <c r="DM203" t="s">
        <v>45</v>
      </c>
      <c r="DN203" t="s">
        <v>261</v>
      </c>
      <c r="DO203">
        <v>22.03</v>
      </c>
      <c r="DP203" t="s">
        <v>45</v>
      </c>
      <c r="DQ203" t="s">
        <v>261</v>
      </c>
      <c r="DR203">
        <v>21.85</v>
      </c>
      <c r="DS203" t="s">
        <v>45</v>
      </c>
      <c r="DT203" t="s">
        <v>263</v>
      </c>
      <c r="DU203">
        <v>21.69</v>
      </c>
      <c r="DV203" t="s">
        <v>13</v>
      </c>
      <c r="DW203" t="s">
        <v>263</v>
      </c>
      <c r="DX203">
        <v>21.8</v>
      </c>
      <c r="DY203" t="s">
        <v>13</v>
      </c>
      <c r="DZ203" t="s">
        <v>263</v>
      </c>
      <c r="EA203">
        <v>22.68</v>
      </c>
      <c r="EB203" t="s">
        <v>13</v>
      </c>
      <c r="EC203" t="s">
        <v>263</v>
      </c>
      <c r="ED203">
        <v>23.88</v>
      </c>
      <c r="EE203" t="s">
        <v>13</v>
      </c>
      <c r="EF203" t="s">
        <v>263</v>
      </c>
      <c r="EG203">
        <v>20.04</v>
      </c>
      <c r="EH203" t="s">
        <v>13</v>
      </c>
      <c r="EI203" t="s">
        <v>263</v>
      </c>
      <c r="EJ203">
        <v>18.95</v>
      </c>
      <c r="EK203" t="s">
        <v>13</v>
      </c>
    </row>
    <row r="204" spans="1:141">
      <c r="A204" t="s">
        <v>643</v>
      </c>
      <c r="B204">
        <v>48</v>
      </c>
      <c r="C204" t="s">
        <v>696</v>
      </c>
      <c r="D204" t="s">
        <v>643</v>
      </c>
      <c r="E204">
        <v>48</v>
      </c>
      <c r="F204" t="s">
        <v>696</v>
      </c>
      <c r="G204" t="s">
        <v>387</v>
      </c>
      <c r="H204">
        <v>44.49</v>
      </c>
      <c r="I204" t="s">
        <v>60</v>
      </c>
      <c r="J204" t="s">
        <v>387</v>
      </c>
      <c r="K204">
        <v>44.8</v>
      </c>
      <c r="L204" t="s">
        <v>60</v>
      </c>
      <c r="M204" t="s">
        <v>387</v>
      </c>
      <c r="N204">
        <v>45</v>
      </c>
      <c r="O204" t="s">
        <v>60</v>
      </c>
      <c r="P204" t="s">
        <v>260</v>
      </c>
      <c r="Q204">
        <v>18.8</v>
      </c>
      <c r="R204" t="s">
        <v>28</v>
      </c>
      <c r="S204" t="s">
        <v>387</v>
      </c>
      <c r="T204">
        <v>44.21</v>
      </c>
      <c r="U204" t="s">
        <v>60</v>
      </c>
      <c r="V204" t="s">
        <v>387</v>
      </c>
      <c r="W204">
        <v>45.87</v>
      </c>
      <c r="X204" t="s">
        <v>60</v>
      </c>
      <c r="Y204" t="s">
        <v>387</v>
      </c>
      <c r="Z204">
        <v>46.11</v>
      </c>
      <c r="AA204" t="s">
        <v>60</v>
      </c>
      <c r="AB204" t="s">
        <v>387</v>
      </c>
      <c r="AC204">
        <v>45.56</v>
      </c>
      <c r="AD204" t="s">
        <v>60</v>
      </c>
      <c r="AE204" t="s">
        <v>387</v>
      </c>
      <c r="AF204">
        <v>45</v>
      </c>
      <c r="AG204" t="s">
        <v>60</v>
      </c>
      <c r="AH204" t="s">
        <v>387</v>
      </c>
      <c r="AI204">
        <v>46.2</v>
      </c>
      <c r="AJ204" t="s">
        <v>60</v>
      </c>
      <c r="AK204" t="s">
        <v>387</v>
      </c>
      <c r="AL204">
        <v>45.9</v>
      </c>
      <c r="AM204" t="s">
        <v>60</v>
      </c>
      <c r="AN204" t="s">
        <v>387</v>
      </c>
      <c r="AO204">
        <v>45.24</v>
      </c>
      <c r="AP204" t="s">
        <v>60</v>
      </c>
      <c r="AQ204" t="s">
        <v>387</v>
      </c>
      <c r="AR204">
        <v>46.06</v>
      </c>
      <c r="AS204" t="s">
        <v>60</v>
      </c>
      <c r="AT204" t="s">
        <v>387</v>
      </c>
      <c r="AU204">
        <v>47.55</v>
      </c>
      <c r="AV204" t="s">
        <v>60</v>
      </c>
      <c r="AW204" t="s">
        <v>387</v>
      </c>
      <c r="AX204">
        <v>46.82</v>
      </c>
      <c r="AY204" t="s">
        <v>60</v>
      </c>
      <c r="AZ204" t="s">
        <v>387</v>
      </c>
      <c r="BA204">
        <v>46.02</v>
      </c>
      <c r="BB204" t="s">
        <v>60</v>
      </c>
      <c r="BC204" t="s">
        <v>387</v>
      </c>
      <c r="BD204">
        <v>45.21</v>
      </c>
      <c r="BE204" t="s">
        <v>60</v>
      </c>
      <c r="BF204" t="s">
        <v>387</v>
      </c>
      <c r="BG204">
        <v>44.91</v>
      </c>
      <c r="BH204" t="s">
        <v>60</v>
      </c>
      <c r="BI204" t="s">
        <v>387</v>
      </c>
      <c r="BJ204">
        <v>44.9</v>
      </c>
      <c r="BK204" t="s">
        <v>60</v>
      </c>
      <c r="BL204" t="s">
        <v>261</v>
      </c>
      <c r="BM204">
        <v>24.53</v>
      </c>
      <c r="BN204" t="s">
        <v>45</v>
      </c>
      <c r="BO204" t="s">
        <v>261</v>
      </c>
      <c r="BP204">
        <v>23.9</v>
      </c>
      <c r="BQ204" t="s">
        <v>45</v>
      </c>
      <c r="BR204" t="s">
        <v>261</v>
      </c>
      <c r="BS204">
        <v>24.59</v>
      </c>
      <c r="BT204" t="s">
        <v>45</v>
      </c>
      <c r="BU204" t="s">
        <v>261</v>
      </c>
      <c r="BV204">
        <v>24.72</v>
      </c>
      <c r="BW204" t="s">
        <v>45</v>
      </c>
      <c r="BX204" t="s">
        <v>261</v>
      </c>
      <c r="BY204">
        <v>24.47</v>
      </c>
      <c r="BZ204" t="s">
        <v>45</v>
      </c>
      <c r="CA204" t="s">
        <v>442</v>
      </c>
      <c r="CB204">
        <v>268.13</v>
      </c>
      <c r="CC204" t="s">
        <v>259</v>
      </c>
      <c r="CD204" t="s">
        <v>261</v>
      </c>
      <c r="CE204">
        <v>25.18</v>
      </c>
      <c r="CF204" t="s">
        <v>45</v>
      </c>
      <c r="CG204" t="s">
        <v>261</v>
      </c>
      <c r="CH204">
        <v>24.87</v>
      </c>
      <c r="CI204" t="s">
        <v>45</v>
      </c>
      <c r="CJ204" t="s">
        <v>261</v>
      </c>
      <c r="CK204">
        <v>24.52</v>
      </c>
      <c r="CL204" t="s">
        <v>45</v>
      </c>
      <c r="CM204" t="s">
        <v>261</v>
      </c>
      <c r="CN204">
        <v>24.62</v>
      </c>
      <c r="CO204" t="s">
        <v>45</v>
      </c>
      <c r="CP204" t="s">
        <v>261</v>
      </c>
      <c r="CQ204">
        <v>24.46</v>
      </c>
      <c r="CR204" t="s">
        <v>45</v>
      </c>
      <c r="CS204" t="s">
        <v>261</v>
      </c>
      <c r="CT204">
        <v>24.11</v>
      </c>
      <c r="CU204" t="s">
        <v>45</v>
      </c>
      <c r="CV204" t="s">
        <v>261</v>
      </c>
      <c r="CW204">
        <v>24.36</v>
      </c>
      <c r="CX204" t="s">
        <v>45</v>
      </c>
      <c r="CY204" t="s">
        <v>261</v>
      </c>
      <c r="CZ204">
        <v>24.59</v>
      </c>
      <c r="DA204" t="s">
        <v>45</v>
      </c>
      <c r="DB204" t="s">
        <v>261</v>
      </c>
      <c r="DC204">
        <v>24.23</v>
      </c>
      <c r="DD204" t="s">
        <v>45</v>
      </c>
      <c r="DE204" t="s">
        <v>261</v>
      </c>
      <c r="DF204">
        <v>24.35</v>
      </c>
      <c r="DG204" t="s">
        <v>45</v>
      </c>
      <c r="DH204" t="s">
        <v>261</v>
      </c>
      <c r="DI204">
        <v>22.95</v>
      </c>
      <c r="DJ204" t="s">
        <v>45</v>
      </c>
      <c r="DK204" t="s">
        <v>643</v>
      </c>
      <c r="DL204">
        <v>42</v>
      </c>
      <c r="DM204" t="s">
        <v>696</v>
      </c>
      <c r="DN204" t="s">
        <v>643</v>
      </c>
      <c r="DO204">
        <v>39.9</v>
      </c>
      <c r="DP204" t="s">
        <v>696</v>
      </c>
      <c r="DQ204" t="s">
        <v>643</v>
      </c>
      <c r="DR204">
        <v>40</v>
      </c>
      <c r="DS204" t="s">
        <v>696</v>
      </c>
      <c r="DT204" t="s">
        <v>264</v>
      </c>
      <c r="DU204">
        <v>10.73</v>
      </c>
      <c r="DV204" t="s">
        <v>265</v>
      </c>
      <c r="DW204" t="s">
        <v>264</v>
      </c>
      <c r="DX204">
        <v>10.85</v>
      </c>
      <c r="DY204" t="s">
        <v>265</v>
      </c>
      <c r="DZ204" t="s">
        <v>264</v>
      </c>
      <c r="EA204">
        <v>10.82</v>
      </c>
      <c r="EB204" t="s">
        <v>265</v>
      </c>
      <c r="EC204" t="s">
        <v>264</v>
      </c>
      <c r="ED204">
        <v>10.67</v>
      </c>
      <c r="EE204" t="s">
        <v>265</v>
      </c>
      <c r="EF204" t="s">
        <v>264</v>
      </c>
      <c r="EG204">
        <v>10.16</v>
      </c>
      <c r="EH204" t="s">
        <v>265</v>
      </c>
      <c r="EI204" t="s">
        <v>264</v>
      </c>
      <c r="EJ204">
        <v>10.36</v>
      </c>
      <c r="EK204" t="s">
        <v>265</v>
      </c>
    </row>
    <row r="205" spans="1:141">
      <c r="A205" t="s">
        <v>387</v>
      </c>
      <c r="B205">
        <v>45.42</v>
      </c>
      <c r="C205" t="s">
        <v>60</v>
      </c>
      <c r="D205" t="s">
        <v>387</v>
      </c>
      <c r="E205">
        <v>45.29</v>
      </c>
      <c r="F205" t="s">
        <v>60</v>
      </c>
      <c r="G205" t="s">
        <v>262</v>
      </c>
      <c r="H205">
        <v>6.37</v>
      </c>
      <c r="I205" t="s">
        <v>43</v>
      </c>
      <c r="J205" t="s">
        <v>262</v>
      </c>
      <c r="K205">
        <v>6.39</v>
      </c>
      <c r="L205" t="s">
        <v>43</v>
      </c>
      <c r="M205" t="s">
        <v>262</v>
      </c>
      <c r="N205">
        <v>6.2</v>
      </c>
      <c r="O205" t="s">
        <v>43</v>
      </c>
      <c r="P205" t="s">
        <v>261</v>
      </c>
      <c r="Q205">
        <v>25.8</v>
      </c>
      <c r="R205" t="s">
        <v>45</v>
      </c>
      <c r="S205" t="s">
        <v>262</v>
      </c>
      <c r="T205">
        <v>6.26</v>
      </c>
      <c r="U205" t="s">
        <v>43</v>
      </c>
      <c r="V205" t="s">
        <v>262</v>
      </c>
      <c r="W205">
        <v>6.54</v>
      </c>
      <c r="X205" t="s">
        <v>43</v>
      </c>
      <c r="Y205" t="s">
        <v>262</v>
      </c>
      <c r="Z205">
        <v>6.94</v>
      </c>
      <c r="AA205" t="s">
        <v>43</v>
      </c>
      <c r="AB205" t="s">
        <v>262</v>
      </c>
      <c r="AC205">
        <v>7.15</v>
      </c>
      <c r="AD205" t="s">
        <v>43</v>
      </c>
      <c r="AE205" t="s">
        <v>262</v>
      </c>
      <c r="AF205">
        <v>7.11</v>
      </c>
      <c r="AG205" t="s">
        <v>43</v>
      </c>
      <c r="AH205" t="s">
        <v>262</v>
      </c>
      <c r="AI205">
        <v>7.01</v>
      </c>
      <c r="AJ205" t="s">
        <v>43</v>
      </c>
      <c r="AK205" t="s">
        <v>262</v>
      </c>
      <c r="AL205">
        <v>6.83</v>
      </c>
      <c r="AM205" t="s">
        <v>43</v>
      </c>
      <c r="AN205" t="s">
        <v>262</v>
      </c>
      <c r="AO205">
        <v>6.56</v>
      </c>
      <c r="AP205" t="s">
        <v>43</v>
      </c>
      <c r="AQ205" t="s">
        <v>262</v>
      </c>
      <c r="AR205">
        <v>6.6</v>
      </c>
      <c r="AS205" t="s">
        <v>43</v>
      </c>
      <c r="AT205" t="s">
        <v>262</v>
      </c>
      <c r="AU205">
        <v>6.78</v>
      </c>
      <c r="AV205" t="s">
        <v>43</v>
      </c>
      <c r="AW205" t="s">
        <v>262</v>
      </c>
      <c r="AX205">
        <v>6.81</v>
      </c>
      <c r="AY205" t="s">
        <v>43</v>
      </c>
      <c r="AZ205" t="s">
        <v>262</v>
      </c>
      <c r="BA205">
        <v>6.7</v>
      </c>
      <c r="BB205" t="s">
        <v>43</v>
      </c>
      <c r="BC205" t="s">
        <v>262</v>
      </c>
      <c r="BD205">
        <v>6.51</v>
      </c>
      <c r="BE205" t="s">
        <v>43</v>
      </c>
      <c r="BF205" t="s">
        <v>262</v>
      </c>
      <c r="BG205">
        <v>6.48</v>
      </c>
      <c r="BH205" t="s">
        <v>43</v>
      </c>
      <c r="BI205" t="s">
        <v>262</v>
      </c>
      <c r="BJ205">
        <v>6.4</v>
      </c>
      <c r="BK205" t="s">
        <v>43</v>
      </c>
      <c r="BL205" t="s">
        <v>643</v>
      </c>
      <c r="BM205">
        <v>40.5</v>
      </c>
      <c r="BN205" t="s">
        <v>696</v>
      </c>
      <c r="BO205" t="s">
        <v>643</v>
      </c>
      <c r="BP205">
        <v>39.81</v>
      </c>
      <c r="BQ205" t="s">
        <v>696</v>
      </c>
      <c r="BR205" t="s">
        <v>643</v>
      </c>
      <c r="BS205">
        <v>39.81</v>
      </c>
      <c r="BT205" t="s">
        <v>696</v>
      </c>
      <c r="BU205" t="s">
        <v>643</v>
      </c>
      <c r="BV205">
        <v>42</v>
      </c>
      <c r="BW205" t="s">
        <v>696</v>
      </c>
      <c r="BX205" t="s">
        <v>643</v>
      </c>
      <c r="BY205">
        <v>42</v>
      </c>
      <c r="BZ205" t="s">
        <v>696</v>
      </c>
      <c r="CA205" t="s">
        <v>715</v>
      </c>
      <c r="CB205">
        <v>10.51</v>
      </c>
      <c r="CC205" t="s">
        <v>697</v>
      </c>
      <c r="CD205" t="s">
        <v>643</v>
      </c>
      <c r="CE205">
        <v>42</v>
      </c>
      <c r="CF205" t="s">
        <v>696</v>
      </c>
      <c r="CG205" t="s">
        <v>643</v>
      </c>
      <c r="CH205">
        <v>42</v>
      </c>
      <c r="CI205" t="s">
        <v>696</v>
      </c>
      <c r="CJ205" t="s">
        <v>643</v>
      </c>
      <c r="CK205">
        <v>54.15</v>
      </c>
      <c r="CL205" t="s">
        <v>696</v>
      </c>
      <c r="CM205" t="s">
        <v>643</v>
      </c>
      <c r="CN205">
        <v>54.15</v>
      </c>
      <c r="CO205" t="s">
        <v>696</v>
      </c>
      <c r="CP205" t="s">
        <v>643</v>
      </c>
      <c r="CQ205">
        <v>39.83</v>
      </c>
      <c r="CR205" t="s">
        <v>696</v>
      </c>
      <c r="CS205" t="s">
        <v>643</v>
      </c>
      <c r="CT205">
        <v>39.83</v>
      </c>
      <c r="CU205" t="s">
        <v>696</v>
      </c>
      <c r="CV205" t="s">
        <v>643</v>
      </c>
      <c r="CW205">
        <v>42.5</v>
      </c>
      <c r="CX205" t="s">
        <v>696</v>
      </c>
      <c r="CY205" t="s">
        <v>643</v>
      </c>
      <c r="CZ205">
        <v>42.5</v>
      </c>
      <c r="DA205" t="s">
        <v>696</v>
      </c>
      <c r="DB205" t="s">
        <v>643</v>
      </c>
      <c r="DC205">
        <v>42.8</v>
      </c>
      <c r="DD205" t="s">
        <v>696</v>
      </c>
      <c r="DE205" t="s">
        <v>643</v>
      </c>
      <c r="DF205">
        <v>42.8</v>
      </c>
      <c r="DG205" t="s">
        <v>696</v>
      </c>
      <c r="DH205" t="s">
        <v>643</v>
      </c>
      <c r="DI205">
        <v>42.8</v>
      </c>
      <c r="DJ205" t="s">
        <v>696</v>
      </c>
      <c r="DK205" t="s">
        <v>387</v>
      </c>
      <c r="DL205">
        <v>50</v>
      </c>
      <c r="DM205" t="s">
        <v>60</v>
      </c>
      <c r="DN205" t="s">
        <v>387</v>
      </c>
      <c r="DO205">
        <v>50</v>
      </c>
      <c r="DP205" t="s">
        <v>60</v>
      </c>
      <c r="DQ205" t="s">
        <v>387</v>
      </c>
      <c r="DR205">
        <v>51.53</v>
      </c>
      <c r="DS205" t="s">
        <v>60</v>
      </c>
      <c r="DT205" t="s">
        <v>425</v>
      </c>
      <c r="DU205">
        <v>3.37</v>
      </c>
      <c r="DV205" t="s">
        <v>35</v>
      </c>
      <c r="DW205" t="s">
        <v>425</v>
      </c>
      <c r="DX205">
        <v>3.25</v>
      </c>
      <c r="DY205" t="s">
        <v>35</v>
      </c>
      <c r="DZ205" t="s">
        <v>425</v>
      </c>
      <c r="EA205">
        <v>3.26</v>
      </c>
      <c r="EB205" t="s">
        <v>35</v>
      </c>
      <c r="EC205" t="s">
        <v>425</v>
      </c>
      <c r="ED205">
        <v>3.26</v>
      </c>
      <c r="EE205" t="s">
        <v>35</v>
      </c>
      <c r="EF205" t="s">
        <v>425</v>
      </c>
      <c r="EG205">
        <v>3.26</v>
      </c>
      <c r="EH205" t="s">
        <v>35</v>
      </c>
      <c r="EI205" t="s">
        <v>425</v>
      </c>
      <c r="EJ205">
        <v>3.4</v>
      </c>
      <c r="EK205" t="s">
        <v>35</v>
      </c>
    </row>
    <row r="206" spans="1:141">
      <c r="A206" t="s">
        <v>262</v>
      </c>
      <c r="B206">
        <v>6.48</v>
      </c>
      <c r="C206" t="s">
        <v>43</v>
      </c>
      <c r="D206" t="s">
        <v>262</v>
      </c>
      <c r="E206">
        <v>6.35</v>
      </c>
      <c r="F206" t="s">
        <v>43</v>
      </c>
      <c r="G206" t="s">
        <v>843</v>
      </c>
      <c r="H206">
        <v>1.32</v>
      </c>
      <c r="I206" t="s">
        <v>844</v>
      </c>
      <c r="J206" t="s">
        <v>843</v>
      </c>
      <c r="K206">
        <v>1.45</v>
      </c>
      <c r="L206" t="s">
        <v>844</v>
      </c>
      <c r="M206" t="s">
        <v>843</v>
      </c>
      <c r="N206">
        <v>1.59</v>
      </c>
      <c r="O206" t="s">
        <v>844</v>
      </c>
      <c r="P206" t="s">
        <v>643</v>
      </c>
      <c r="Q206">
        <v>48</v>
      </c>
      <c r="R206" t="s">
        <v>696</v>
      </c>
      <c r="S206" t="s">
        <v>843</v>
      </c>
      <c r="T206">
        <v>1.4</v>
      </c>
      <c r="U206" t="s">
        <v>844</v>
      </c>
      <c r="V206" t="s">
        <v>843</v>
      </c>
      <c r="W206">
        <v>1.65</v>
      </c>
      <c r="X206" t="s">
        <v>844</v>
      </c>
      <c r="Y206" t="s">
        <v>843</v>
      </c>
      <c r="Z206">
        <v>1.6</v>
      </c>
      <c r="AA206" t="s">
        <v>844</v>
      </c>
      <c r="AB206" t="s">
        <v>843</v>
      </c>
      <c r="AC206">
        <v>1.54</v>
      </c>
      <c r="AD206" t="s">
        <v>844</v>
      </c>
      <c r="AE206" t="s">
        <v>843</v>
      </c>
      <c r="AF206">
        <v>1.45</v>
      </c>
      <c r="AG206" t="s">
        <v>844</v>
      </c>
      <c r="AH206" t="s">
        <v>843</v>
      </c>
      <c r="AI206">
        <v>1.5</v>
      </c>
      <c r="AJ206" t="s">
        <v>844</v>
      </c>
      <c r="AK206" t="s">
        <v>843</v>
      </c>
      <c r="AL206">
        <v>1.44</v>
      </c>
      <c r="AM206" t="s">
        <v>844</v>
      </c>
      <c r="AN206" t="s">
        <v>843</v>
      </c>
      <c r="AO206">
        <v>1.37</v>
      </c>
      <c r="AP206" t="s">
        <v>844</v>
      </c>
      <c r="AQ206" t="s">
        <v>843</v>
      </c>
      <c r="AR206">
        <v>1.51</v>
      </c>
      <c r="AS206" t="s">
        <v>844</v>
      </c>
      <c r="AT206" t="s">
        <v>843</v>
      </c>
      <c r="AU206">
        <v>1.5</v>
      </c>
      <c r="AV206" t="s">
        <v>844</v>
      </c>
      <c r="AW206" t="s">
        <v>843</v>
      </c>
      <c r="AX206">
        <v>1.46</v>
      </c>
      <c r="AY206" t="s">
        <v>844</v>
      </c>
      <c r="AZ206" t="s">
        <v>843</v>
      </c>
      <c r="BA206">
        <v>1.17</v>
      </c>
      <c r="BB206" t="s">
        <v>844</v>
      </c>
      <c r="BC206" t="s">
        <v>843</v>
      </c>
      <c r="BD206">
        <v>1.04</v>
      </c>
      <c r="BE206" t="s">
        <v>844</v>
      </c>
      <c r="BF206" t="s">
        <v>843</v>
      </c>
      <c r="BG206">
        <v>0.94</v>
      </c>
      <c r="BH206" t="s">
        <v>844</v>
      </c>
      <c r="BI206" t="s">
        <v>843</v>
      </c>
      <c r="BJ206">
        <v>0.87</v>
      </c>
      <c r="BK206" t="s">
        <v>844</v>
      </c>
      <c r="BL206" t="s">
        <v>387</v>
      </c>
      <c r="BM206">
        <v>44.02</v>
      </c>
      <c r="BN206" t="s">
        <v>60</v>
      </c>
      <c r="BO206" t="s">
        <v>387</v>
      </c>
      <c r="BP206">
        <v>45.8</v>
      </c>
      <c r="BQ206" t="s">
        <v>60</v>
      </c>
      <c r="BR206" t="s">
        <v>387</v>
      </c>
      <c r="BS206">
        <v>47</v>
      </c>
      <c r="BT206" t="s">
        <v>60</v>
      </c>
      <c r="BU206" t="s">
        <v>387</v>
      </c>
      <c r="BV206">
        <v>47.46</v>
      </c>
      <c r="BW206" t="s">
        <v>60</v>
      </c>
      <c r="BX206" t="s">
        <v>387</v>
      </c>
      <c r="BY206">
        <v>47.86</v>
      </c>
      <c r="BZ206" t="s">
        <v>60</v>
      </c>
      <c r="CA206" t="s">
        <v>260</v>
      </c>
      <c r="CB206">
        <v>19.2</v>
      </c>
      <c r="CC206" t="s">
        <v>28</v>
      </c>
      <c r="CD206" t="s">
        <v>387</v>
      </c>
      <c r="CE206">
        <v>47.06</v>
      </c>
      <c r="CF206" t="s">
        <v>60</v>
      </c>
      <c r="CG206" t="s">
        <v>387</v>
      </c>
      <c r="CH206">
        <v>47.08</v>
      </c>
      <c r="CI206" t="s">
        <v>60</v>
      </c>
      <c r="CJ206" t="s">
        <v>387</v>
      </c>
      <c r="CK206">
        <v>47.5</v>
      </c>
      <c r="CL206" t="s">
        <v>60</v>
      </c>
      <c r="CM206" t="s">
        <v>387</v>
      </c>
      <c r="CN206">
        <v>47.05</v>
      </c>
      <c r="CO206" t="s">
        <v>60</v>
      </c>
      <c r="CP206" t="s">
        <v>387</v>
      </c>
      <c r="CQ206">
        <v>47.61</v>
      </c>
      <c r="CR206" t="s">
        <v>60</v>
      </c>
      <c r="CS206" t="s">
        <v>387</v>
      </c>
      <c r="CT206">
        <v>48.38</v>
      </c>
      <c r="CU206" t="s">
        <v>60</v>
      </c>
      <c r="CV206" t="s">
        <v>387</v>
      </c>
      <c r="CW206">
        <v>48.5</v>
      </c>
      <c r="CX206" t="s">
        <v>60</v>
      </c>
      <c r="CY206" t="s">
        <v>387</v>
      </c>
      <c r="CZ206">
        <v>49.99</v>
      </c>
      <c r="DA206" t="s">
        <v>60</v>
      </c>
      <c r="DB206" t="s">
        <v>387</v>
      </c>
      <c r="DC206">
        <v>50.2</v>
      </c>
      <c r="DD206" t="s">
        <v>60</v>
      </c>
      <c r="DE206" t="s">
        <v>387</v>
      </c>
      <c r="DF206">
        <v>49.38</v>
      </c>
      <c r="DG206" t="s">
        <v>60</v>
      </c>
      <c r="DH206" t="s">
        <v>387</v>
      </c>
      <c r="DI206">
        <v>50.57</v>
      </c>
      <c r="DJ206" t="s">
        <v>60</v>
      </c>
      <c r="DK206" t="s">
        <v>262</v>
      </c>
      <c r="DL206">
        <v>6.77</v>
      </c>
      <c r="DM206" t="s">
        <v>43</v>
      </c>
      <c r="DN206" t="s">
        <v>262</v>
      </c>
      <c r="DO206">
        <v>6.29</v>
      </c>
      <c r="DP206" t="s">
        <v>43</v>
      </c>
      <c r="DQ206" t="s">
        <v>262</v>
      </c>
      <c r="DR206">
        <v>6.72</v>
      </c>
      <c r="DS206" t="s">
        <v>43</v>
      </c>
      <c r="DT206" t="s">
        <v>266</v>
      </c>
      <c r="DU206">
        <v>1.19</v>
      </c>
      <c r="DV206" t="s">
        <v>72</v>
      </c>
      <c r="DW206" t="s">
        <v>266</v>
      </c>
      <c r="DX206">
        <v>1.17</v>
      </c>
      <c r="DY206" t="s">
        <v>72</v>
      </c>
      <c r="DZ206" t="s">
        <v>266</v>
      </c>
      <c r="EA206">
        <v>1.1200000000000001</v>
      </c>
      <c r="EB206" t="s">
        <v>72</v>
      </c>
      <c r="EC206" t="s">
        <v>266</v>
      </c>
      <c r="ED206">
        <v>1.07</v>
      </c>
      <c r="EE206" t="s">
        <v>72</v>
      </c>
      <c r="EF206" t="s">
        <v>266</v>
      </c>
      <c r="EG206">
        <v>0.99</v>
      </c>
      <c r="EH206" t="s">
        <v>72</v>
      </c>
      <c r="EI206" t="s">
        <v>266</v>
      </c>
      <c r="EJ206">
        <v>1.02</v>
      </c>
      <c r="EK206" t="s">
        <v>72</v>
      </c>
    </row>
    <row r="207" spans="1:141">
      <c r="A207" t="s">
        <v>843</v>
      </c>
      <c r="B207">
        <v>1.1000000000000001</v>
      </c>
      <c r="C207" t="s">
        <v>844</v>
      </c>
      <c r="D207" t="s">
        <v>843</v>
      </c>
      <c r="E207">
        <v>1.2</v>
      </c>
      <c r="F207" t="s">
        <v>844</v>
      </c>
      <c r="G207" t="s">
        <v>312</v>
      </c>
      <c r="H207">
        <v>124.99</v>
      </c>
      <c r="I207" t="s">
        <v>71</v>
      </c>
      <c r="J207" t="s">
        <v>312</v>
      </c>
      <c r="K207">
        <v>119.73</v>
      </c>
      <c r="L207" t="s">
        <v>71</v>
      </c>
      <c r="M207" t="s">
        <v>312</v>
      </c>
      <c r="N207">
        <v>113.62</v>
      </c>
      <c r="O207" t="s">
        <v>71</v>
      </c>
      <c r="P207" t="s">
        <v>387</v>
      </c>
      <c r="Q207">
        <v>44.11</v>
      </c>
      <c r="R207" t="s">
        <v>60</v>
      </c>
      <c r="S207" t="s">
        <v>312</v>
      </c>
      <c r="T207">
        <v>114.03</v>
      </c>
      <c r="U207" t="s">
        <v>71</v>
      </c>
      <c r="V207" t="s">
        <v>312</v>
      </c>
      <c r="W207">
        <v>112.7</v>
      </c>
      <c r="X207" t="s">
        <v>71</v>
      </c>
      <c r="Y207" t="s">
        <v>312</v>
      </c>
      <c r="Z207">
        <v>114</v>
      </c>
      <c r="AA207" t="s">
        <v>71</v>
      </c>
      <c r="AB207" t="s">
        <v>312</v>
      </c>
      <c r="AC207">
        <v>119</v>
      </c>
      <c r="AD207" t="s">
        <v>71</v>
      </c>
      <c r="AE207" t="s">
        <v>312</v>
      </c>
      <c r="AF207">
        <v>118</v>
      </c>
      <c r="AG207" t="s">
        <v>71</v>
      </c>
      <c r="AH207" t="s">
        <v>312</v>
      </c>
      <c r="AI207">
        <v>119</v>
      </c>
      <c r="AJ207" t="s">
        <v>71</v>
      </c>
      <c r="AK207" t="s">
        <v>312</v>
      </c>
      <c r="AL207">
        <v>116.02</v>
      </c>
      <c r="AM207" t="s">
        <v>71</v>
      </c>
      <c r="AN207" t="s">
        <v>312</v>
      </c>
      <c r="AO207">
        <v>119.2</v>
      </c>
      <c r="AP207" t="s">
        <v>71</v>
      </c>
      <c r="AQ207" t="s">
        <v>312</v>
      </c>
      <c r="AR207">
        <v>119.95</v>
      </c>
      <c r="AS207" t="s">
        <v>71</v>
      </c>
      <c r="AT207" t="s">
        <v>312</v>
      </c>
      <c r="AU207">
        <v>118.5</v>
      </c>
      <c r="AV207" t="s">
        <v>71</v>
      </c>
      <c r="AW207" t="s">
        <v>312</v>
      </c>
      <c r="AX207">
        <v>112.16</v>
      </c>
      <c r="AY207" t="s">
        <v>71</v>
      </c>
      <c r="AZ207" t="s">
        <v>312</v>
      </c>
      <c r="BA207">
        <v>112</v>
      </c>
      <c r="BB207" t="s">
        <v>71</v>
      </c>
      <c r="BC207" t="s">
        <v>312</v>
      </c>
      <c r="BD207">
        <v>114.95</v>
      </c>
      <c r="BE207" t="s">
        <v>71</v>
      </c>
      <c r="BF207" t="s">
        <v>312</v>
      </c>
      <c r="BG207">
        <v>110</v>
      </c>
      <c r="BH207" t="s">
        <v>71</v>
      </c>
      <c r="BI207" t="s">
        <v>312</v>
      </c>
      <c r="BJ207">
        <v>114</v>
      </c>
      <c r="BK207" t="s">
        <v>71</v>
      </c>
      <c r="BL207" t="s">
        <v>262</v>
      </c>
      <c r="BM207">
        <v>6.1</v>
      </c>
      <c r="BN207" t="s">
        <v>43</v>
      </c>
      <c r="BO207" t="s">
        <v>262</v>
      </c>
      <c r="BP207">
        <v>6.18</v>
      </c>
      <c r="BQ207" t="s">
        <v>43</v>
      </c>
      <c r="BR207" t="s">
        <v>262</v>
      </c>
      <c r="BS207">
        <v>6.45</v>
      </c>
      <c r="BT207" t="s">
        <v>43</v>
      </c>
      <c r="BU207" t="s">
        <v>262</v>
      </c>
      <c r="BV207">
        <v>6.37</v>
      </c>
      <c r="BW207" t="s">
        <v>43</v>
      </c>
      <c r="BX207" t="s">
        <v>262</v>
      </c>
      <c r="BY207">
        <v>6.35</v>
      </c>
      <c r="BZ207" t="s">
        <v>43</v>
      </c>
      <c r="CA207" t="s">
        <v>261</v>
      </c>
      <c r="CB207">
        <v>24.76</v>
      </c>
      <c r="CC207" t="s">
        <v>45</v>
      </c>
      <c r="CD207" t="s">
        <v>262</v>
      </c>
      <c r="CE207">
        <v>6.65</v>
      </c>
      <c r="CF207" t="s">
        <v>43</v>
      </c>
      <c r="CG207" t="s">
        <v>262</v>
      </c>
      <c r="CH207">
        <v>6.54</v>
      </c>
      <c r="CI207" t="s">
        <v>43</v>
      </c>
      <c r="CJ207" t="s">
        <v>262</v>
      </c>
      <c r="CK207">
        <v>6.47</v>
      </c>
      <c r="CL207" t="s">
        <v>43</v>
      </c>
      <c r="CM207" t="s">
        <v>262</v>
      </c>
      <c r="CN207">
        <v>6.37</v>
      </c>
      <c r="CO207" t="s">
        <v>43</v>
      </c>
      <c r="CP207" t="s">
        <v>262</v>
      </c>
      <c r="CQ207">
        <v>6.25</v>
      </c>
      <c r="CR207" t="s">
        <v>43</v>
      </c>
      <c r="CS207" t="s">
        <v>262</v>
      </c>
      <c r="CT207">
        <v>6.46</v>
      </c>
      <c r="CU207" t="s">
        <v>43</v>
      </c>
      <c r="CV207" t="s">
        <v>262</v>
      </c>
      <c r="CW207">
        <v>6.5</v>
      </c>
      <c r="CX207" t="s">
        <v>43</v>
      </c>
      <c r="CY207" t="s">
        <v>262</v>
      </c>
      <c r="CZ207">
        <v>6.6</v>
      </c>
      <c r="DA207" t="s">
        <v>43</v>
      </c>
      <c r="DB207" t="s">
        <v>262</v>
      </c>
      <c r="DC207">
        <v>6.81</v>
      </c>
      <c r="DD207" t="s">
        <v>43</v>
      </c>
      <c r="DE207" t="s">
        <v>262</v>
      </c>
      <c r="DF207">
        <v>6.85</v>
      </c>
      <c r="DG207" t="s">
        <v>43</v>
      </c>
      <c r="DH207" t="s">
        <v>262</v>
      </c>
      <c r="DI207">
        <v>7.02</v>
      </c>
      <c r="DJ207" t="s">
        <v>43</v>
      </c>
      <c r="DK207" t="s">
        <v>843</v>
      </c>
      <c r="DL207">
        <v>1.6</v>
      </c>
      <c r="DM207" t="s">
        <v>844</v>
      </c>
      <c r="DN207" t="s">
        <v>843</v>
      </c>
      <c r="DO207">
        <v>1.45</v>
      </c>
      <c r="DP207" t="s">
        <v>844</v>
      </c>
      <c r="DQ207" t="s">
        <v>843</v>
      </c>
      <c r="DR207">
        <v>1.27</v>
      </c>
      <c r="DS207" t="s">
        <v>844</v>
      </c>
      <c r="DT207" t="s">
        <v>631</v>
      </c>
      <c r="DU207">
        <v>19</v>
      </c>
      <c r="DV207" t="s">
        <v>640</v>
      </c>
      <c r="DW207" t="s">
        <v>631</v>
      </c>
      <c r="DX207">
        <v>19</v>
      </c>
      <c r="DY207" t="s">
        <v>640</v>
      </c>
      <c r="DZ207" t="s">
        <v>631</v>
      </c>
      <c r="EA207">
        <v>19</v>
      </c>
      <c r="EB207" t="s">
        <v>640</v>
      </c>
      <c r="EC207" t="s">
        <v>631</v>
      </c>
      <c r="ED207">
        <v>19</v>
      </c>
      <c r="EE207" t="s">
        <v>640</v>
      </c>
      <c r="EF207" t="s">
        <v>631</v>
      </c>
      <c r="EG207">
        <v>19</v>
      </c>
      <c r="EH207" t="s">
        <v>640</v>
      </c>
      <c r="EI207" t="s">
        <v>631</v>
      </c>
      <c r="EJ207">
        <v>19</v>
      </c>
      <c r="EK207" t="s">
        <v>640</v>
      </c>
    </row>
    <row r="208" spans="1:141">
      <c r="A208" t="s">
        <v>312</v>
      </c>
      <c r="B208">
        <v>120</v>
      </c>
      <c r="C208" t="s">
        <v>71</v>
      </c>
      <c r="D208" t="s">
        <v>312</v>
      </c>
      <c r="E208">
        <v>121.99</v>
      </c>
      <c r="F208" t="s">
        <v>71</v>
      </c>
      <c r="G208" t="s">
        <v>666</v>
      </c>
      <c r="H208">
        <v>7.71</v>
      </c>
      <c r="I208" t="s">
        <v>694</v>
      </c>
      <c r="J208" t="s">
        <v>666</v>
      </c>
      <c r="K208">
        <v>7.71</v>
      </c>
      <c r="L208" t="s">
        <v>694</v>
      </c>
      <c r="M208" t="s">
        <v>666</v>
      </c>
      <c r="N208">
        <v>7.71</v>
      </c>
      <c r="O208" t="s">
        <v>694</v>
      </c>
      <c r="P208" t="s">
        <v>262</v>
      </c>
      <c r="Q208">
        <v>6.13</v>
      </c>
      <c r="R208" t="s">
        <v>43</v>
      </c>
      <c r="S208" t="s">
        <v>666</v>
      </c>
      <c r="T208">
        <v>7.71</v>
      </c>
      <c r="U208" t="s">
        <v>694</v>
      </c>
      <c r="V208" t="s">
        <v>666</v>
      </c>
      <c r="W208">
        <v>7.71</v>
      </c>
      <c r="X208" t="s">
        <v>694</v>
      </c>
      <c r="Y208" t="s">
        <v>666</v>
      </c>
      <c r="Z208">
        <v>7.71</v>
      </c>
      <c r="AA208" t="s">
        <v>694</v>
      </c>
      <c r="AB208" t="s">
        <v>666</v>
      </c>
      <c r="AC208">
        <v>7.71</v>
      </c>
      <c r="AD208" t="s">
        <v>694</v>
      </c>
      <c r="AE208" t="s">
        <v>666</v>
      </c>
      <c r="AF208">
        <v>7.71</v>
      </c>
      <c r="AG208" t="s">
        <v>694</v>
      </c>
      <c r="AH208" t="s">
        <v>666</v>
      </c>
      <c r="AI208">
        <v>7.71</v>
      </c>
      <c r="AJ208" t="s">
        <v>694</v>
      </c>
      <c r="AK208" t="s">
        <v>666</v>
      </c>
      <c r="AL208">
        <v>7.71</v>
      </c>
      <c r="AM208" t="s">
        <v>694</v>
      </c>
      <c r="AN208" t="s">
        <v>666</v>
      </c>
      <c r="AO208">
        <v>7.71</v>
      </c>
      <c r="AP208" t="s">
        <v>694</v>
      </c>
      <c r="AQ208" t="s">
        <v>666</v>
      </c>
      <c r="AR208">
        <v>7.71</v>
      </c>
      <c r="AS208" t="s">
        <v>694</v>
      </c>
      <c r="AT208" t="s">
        <v>666</v>
      </c>
      <c r="AU208">
        <v>7.71</v>
      </c>
      <c r="AV208" t="s">
        <v>694</v>
      </c>
      <c r="AW208" t="s">
        <v>666</v>
      </c>
      <c r="AX208">
        <v>7.71</v>
      </c>
      <c r="AY208" t="s">
        <v>694</v>
      </c>
      <c r="AZ208" t="s">
        <v>666</v>
      </c>
      <c r="BA208">
        <v>7.71</v>
      </c>
      <c r="BB208" t="s">
        <v>694</v>
      </c>
      <c r="BC208" t="s">
        <v>666</v>
      </c>
      <c r="BD208">
        <v>7.71</v>
      </c>
      <c r="BE208" t="s">
        <v>694</v>
      </c>
      <c r="BF208" t="s">
        <v>666</v>
      </c>
      <c r="BG208">
        <v>7.71</v>
      </c>
      <c r="BH208" t="s">
        <v>694</v>
      </c>
      <c r="BI208" t="s">
        <v>666</v>
      </c>
      <c r="BJ208">
        <v>7.71</v>
      </c>
      <c r="BK208" t="s">
        <v>694</v>
      </c>
      <c r="BL208" t="s">
        <v>843</v>
      </c>
      <c r="BM208">
        <v>0.77</v>
      </c>
      <c r="BN208" t="s">
        <v>844</v>
      </c>
      <c r="BO208" t="s">
        <v>843</v>
      </c>
      <c r="BP208">
        <v>0.88</v>
      </c>
      <c r="BQ208" t="s">
        <v>844</v>
      </c>
      <c r="BR208" t="s">
        <v>843</v>
      </c>
      <c r="BS208">
        <v>0.86</v>
      </c>
      <c r="BT208" t="s">
        <v>844</v>
      </c>
      <c r="BU208" t="s">
        <v>843</v>
      </c>
      <c r="BV208">
        <v>0.94</v>
      </c>
      <c r="BW208" t="s">
        <v>844</v>
      </c>
      <c r="BX208" t="s">
        <v>843</v>
      </c>
      <c r="BY208">
        <v>1.03</v>
      </c>
      <c r="BZ208" t="s">
        <v>844</v>
      </c>
      <c r="CA208" t="s">
        <v>643</v>
      </c>
      <c r="CB208">
        <v>42</v>
      </c>
      <c r="CC208" t="s">
        <v>696</v>
      </c>
      <c r="CD208" t="s">
        <v>843</v>
      </c>
      <c r="CE208">
        <v>1.1200000000000001</v>
      </c>
      <c r="CF208" t="s">
        <v>844</v>
      </c>
      <c r="CG208" t="s">
        <v>843</v>
      </c>
      <c r="CH208">
        <v>1.1000000000000001</v>
      </c>
      <c r="CI208" t="s">
        <v>844</v>
      </c>
      <c r="CJ208" t="s">
        <v>843</v>
      </c>
      <c r="CK208">
        <v>1.05</v>
      </c>
      <c r="CL208" t="s">
        <v>844</v>
      </c>
      <c r="CM208" t="s">
        <v>843</v>
      </c>
      <c r="CN208">
        <v>1.04</v>
      </c>
      <c r="CO208" t="s">
        <v>844</v>
      </c>
      <c r="CP208" t="s">
        <v>843</v>
      </c>
      <c r="CQ208">
        <v>1.02</v>
      </c>
      <c r="CR208" t="s">
        <v>844</v>
      </c>
      <c r="CS208" t="s">
        <v>843</v>
      </c>
      <c r="CT208">
        <v>1.01</v>
      </c>
      <c r="CU208" t="s">
        <v>844</v>
      </c>
      <c r="CV208" t="s">
        <v>843</v>
      </c>
      <c r="CW208">
        <v>0.99</v>
      </c>
      <c r="CX208" t="s">
        <v>844</v>
      </c>
      <c r="CY208" t="s">
        <v>843</v>
      </c>
      <c r="CZ208">
        <v>1.08</v>
      </c>
      <c r="DA208" t="s">
        <v>844</v>
      </c>
      <c r="DB208" t="s">
        <v>843</v>
      </c>
      <c r="DC208">
        <v>1.02</v>
      </c>
      <c r="DD208" t="s">
        <v>844</v>
      </c>
      <c r="DE208" t="s">
        <v>843</v>
      </c>
      <c r="DF208">
        <v>1</v>
      </c>
      <c r="DG208" t="s">
        <v>844</v>
      </c>
      <c r="DH208" t="s">
        <v>843</v>
      </c>
      <c r="DI208">
        <v>1.19</v>
      </c>
      <c r="DJ208" t="s">
        <v>844</v>
      </c>
      <c r="DK208" t="s">
        <v>312</v>
      </c>
      <c r="DL208">
        <v>114</v>
      </c>
      <c r="DM208" t="s">
        <v>71</v>
      </c>
      <c r="DN208" t="s">
        <v>312</v>
      </c>
      <c r="DO208">
        <v>114.99</v>
      </c>
      <c r="DP208" t="s">
        <v>71</v>
      </c>
      <c r="DQ208" t="s">
        <v>312</v>
      </c>
      <c r="DR208">
        <v>111</v>
      </c>
      <c r="DS208" t="s">
        <v>71</v>
      </c>
      <c r="DT208" t="s">
        <v>711</v>
      </c>
      <c r="DU208">
        <v>29.7</v>
      </c>
      <c r="DV208" t="s">
        <v>774</v>
      </c>
      <c r="DW208" t="s">
        <v>711</v>
      </c>
      <c r="DX208">
        <v>29.4</v>
      </c>
      <c r="DY208" t="s">
        <v>774</v>
      </c>
      <c r="DZ208" t="s">
        <v>711</v>
      </c>
      <c r="EA208">
        <v>29.2</v>
      </c>
      <c r="EB208" t="s">
        <v>774</v>
      </c>
      <c r="EC208" t="s">
        <v>711</v>
      </c>
      <c r="ED208">
        <v>29.21</v>
      </c>
      <c r="EE208" t="s">
        <v>774</v>
      </c>
      <c r="EF208" t="s">
        <v>711</v>
      </c>
      <c r="EG208">
        <v>28.65</v>
      </c>
      <c r="EH208" t="s">
        <v>774</v>
      </c>
      <c r="EI208" t="s">
        <v>711</v>
      </c>
      <c r="EJ208">
        <v>29.27</v>
      </c>
      <c r="EK208" t="s">
        <v>774</v>
      </c>
    </row>
    <row r="209" spans="1:141">
      <c r="A209" t="s">
        <v>666</v>
      </c>
      <c r="B209">
        <v>7.71</v>
      </c>
      <c r="C209" t="s">
        <v>694</v>
      </c>
      <c r="D209" t="s">
        <v>666</v>
      </c>
      <c r="E209">
        <v>7.71</v>
      </c>
      <c r="F209" t="s">
        <v>694</v>
      </c>
      <c r="G209" t="s">
        <v>263</v>
      </c>
      <c r="H209">
        <v>14.4</v>
      </c>
      <c r="I209" t="s">
        <v>13</v>
      </c>
      <c r="J209" t="s">
        <v>263</v>
      </c>
      <c r="K209">
        <v>14.36</v>
      </c>
      <c r="L209" t="s">
        <v>13</v>
      </c>
      <c r="M209" t="s">
        <v>263</v>
      </c>
      <c r="N209">
        <v>14.08</v>
      </c>
      <c r="O209" t="s">
        <v>13</v>
      </c>
      <c r="P209" t="s">
        <v>843</v>
      </c>
      <c r="Q209">
        <v>1.55</v>
      </c>
      <c r="R209" t="s">
        <v>844</v>
      </c>
      <c r="S209" t="s">
        <v>263</v>
      </c>
      <c r="T209">
        <v>14.04</v>
      </c>
      <c r="U209" t="s">
        <v>13</v>
      </c>
      <c r="V209" t="s">
        <v>263</v>
      </c>
      <c r="W209">
        <v>13.65</v>
      </c>
      <c r="X209" t="s">
        <v>13</v>
      </c>
      <c r="Y209" t="s">
        <v>263</v>
      </c>
      <c r="Z209">
        <v>13.84</v>
      </c>
      <c r="AA209" t="s">
        <v>13</v>
      </c>
      <c r="AB209" t="s">
        <v>263</v>
      </c>
      <c r="AC209">
        <v>13.56</v>
      </c>
      <c r="AD209" t="s">
        <v>13</v>
      </c>
      <c r="AE209" t="s">
        <v>263</v>
      </c>
      <c r="AF209">
        <v>13.59</v>
      </c>
      <c r="AG209" t="s">
        <v>13</v>
      </c>
      <c r="AH209" t="s">
        <v>263</v>
      </c>
      <c r="AI209">
        <v>14.19</v>
      </c>
      <c r="AJ209" t="s">
        <v>13</v>
      </c>
      <c r="AK209" t="s">
        <v>263</v>
      </c>
      <c r="AL209">
        <v>14.13</v>
      </c>
      <c r="AM209" t="s">
        <v>13</v>
      </c>
      <c r="AN209" t="s">
        <v>263</v>
      </c>
      <c r="AO209">
        <v>13.5</v>
      </c>
      <c r="AP209" t="s">
        <v>13</v>
      </c>
      <c r="AQ209" t="s">
        <v>263</v>
      </c>
      <c r="AR209">
        <v>13.99</v>
      </c>
      <c r="AS209" t="s">
        <v>13</v>
      </c>
      <c r="AT209" t="s">
        <v>263</v>
      </c>
      <c r="AU209">
        <v>13.7</v>
      </c>
      <c r="AV209" t="s">
        <v>13</v>
      </c>
      <c r="AW209" t="s">
        <v>263</v>
      </c>
      <c r="AX209">
        <v>13.72</v>
      </c>
      <c r="AY209" t="s">
        <v>13</v>
      </c>
      <c r="AZ209" t="s">
        <v>263</v>
      </c>
      <c r="BA209">
        <v>15.56</v>
      </c>
      <c r="BB209" t="s">
        <v>13</v>
      </c>
      <c r="BC209" t="s">
        <v>263</v>
      </c>
      <c r="BD209">
        <v>15.05</v>
      </c>
      <c r="BE209" t="s">
        <v>13</v>
      </c>
      <c r="BF209" t="s">
        <v>263</v>
      </c>
      <c r="BG209">
        <v>14.87</v>
      </c>
      <c r="BH209" t="s">
        <v>13</v>
      </c>
      <c r="BI209" t="s">
        <v>263</v>
      </c>
      <c r="BJ209">
        <v>15.19</v>
      </c>
      <c r="BK209" t="s">
        <v>13</v>
      </c>
      <c r="BL209" t="s">
        <v>312</v>
      </c>
      <c r="BM209">
        <v>112</v>
      </c>
      <c r="BN209" t="s">
        <v>71</v>
      </c>
      <c r="BO209" t="s">
        <v>312</v>
      </c>
      <c r="BP209">
        <v>112</v>
      </c>
      <c r="BQ209" t="s">
        <v>71</v>
      </c>
      <c r="BR209" t="s">
        <v>312</v>
      </c>
      <c r="BS209">
        <v>109.98</v>
      </c>
      <c r="BT209" t="s">
        <v>71</v>
      </c>
      <c r="BU209" t="s">
        <v>312</v>
      </c>
      <c r="BV209">
        <v>109.98</v>
      </c>
      <c r="BW209" t="s">
        <v>71</v>
      </c>
      <c r="BX209" t="s">
        <v>312</v>
      </c>
      <c r="BY209">
        <v>114.99</v>
      </c>
      <c r="BZ209" t="s">
        <v>71</v>
      </c>
      <c r="CA209" t="s">
        <v>387</v>
      </c>
      <c r="CB209">
        <v>47.77</v>
      </c>
      <c r="CC209" t="s">
        <v>60</v>
      </c>
      <c r="CD209" t="s">
        <v>312</v>
      </c>
      <c r="CE209">
        <v>113.98</v>
      </c>
      <c r="CF209" t="s">
        <v>71</v>
      </c>
      <c r="CG209" t="s">
        <v>312</v>
      </c>
      <c r="CH209">
        <v>113.98</v>
      </c>
      <c r="CI209" t="s">
        <v>71</v>
      </c>
      <c r="CJ209" t="s">
        <v>312</v>
      </c>
      <c r="CK209">
        <v>106</v>
      </c>
      <c r="CL209" t="s">
        <v>71</v>
      </c>
      <c r="CM209" t="s">
        <v>312</v>
      </c>
      <c r="CN209">
        <v>113.96</v>
      </c>
      <c r="CO209" t="s">
        <v>71</v>
      </c>
      <c r="CP209" t="s">
        <v>312</v>
      </c>
      <c r="CQ209">
        <v>113.96</v>
      </c>
      <c r="CR209" t="s">
        <v>71</v>
      </c>
      <c r="CS209" t="s">
        <v>312</v>
      </c>
      <c r="CT209">
        <v>116</v>
      </c>
      <c r="CU209" t="s">
        <v>71</v>
      </c>
      <c r="CV209" t="s">
        <v>312</v>
      </c>
      <c r="CW209">
        <v>119</v>
      </c>
      <c r="CX209" t="s">
        <v>71</v>
      </c>
      <c r="CY209" t="s">
        <v>312</v>
      </c>
      <c r="CZ209">
        <v>117.99</v>
      </c>
      <c r="DA209" t="s">
        <v>71</v>
      </c>
      <c r="DB209" t="s">
        <v>312</v>
      </c>
      <c r="DC209">
        <v>113.01</v>
      </c>
      <c r="DD209" t="s">
        <v>71</v>
      </c>
      <c r="DE209" t="s">
        <v>312</v>
      </c>
      <c r="DF209">
        <v>115</v>
      </c>
      <c r="DG209" t="s">
        <v>71</v>
      </c>
      <c r="DH209" t="s">
        <v>312</v>
      </c>
      <c r="DI209">
        <v>114</v>
      </c>
      <c r="DJ209" t="s">
        <v>71</v>
      </c>
      <c r="DK209" t="s">
        <v>666</v>
      </c>
      <c r="DL209">
        <v>7.71</v>
      </c>
      <c r="DM209" t="s">
        <v>694</v>
      </c>
      <c r="DN209" t="s">
        <v>666</v>
      </c>
      <c r="DO209">
        <v>7.71</v>
      </c>
      <c r="DP209" t="s">
        <v>694</v>
      </c>
      <c r="DQ209" t="s">
        <v>666</v>
      </c>
      <c r="DR209">
        <v>7.71</v>
      </c>
      <c r="DS209" t="s">
        <v>694</v>
      </c>
      <c r="DT209" t="s">
        <v>448</v>
      </c>
      <c r="DU209">
        <v>7.08</v>
      </c>
      <c r="DV209" t="s">
        <v>52</v>
      </c>
      <c r="DW209" t="s">
        <v>448</v>
      </c>
      <c r="DX209">
        <v>6.96</v>
      </c>
      <c r="DY209" t="s">
        <v>52</v>
      </c>
      <c r="DZ209" t="s">
        <v>448</v>
      </c>
      <c r="EA209">
        <v>6.99</v>
      </c>
      <c r="EB209" t="s">
        <v>52</v>
      </c>
      <c r="EC209" t="s">
        <v>448</v>
      </c>
      <c r="ED209">
        <v>7.05</v>
      </c>
      <c r="EE209" t="s">
        <v>52</v>
      </c>
      <c r="EF209" t="s">
        <v>448</v>
      </c>
      <c r="EG209">
        <v>7.2</v>
      </c>
      <c r="EH209" t="s">
        <v>52</v>
      </c>
      <c r="EI209" t="s">
        <v>448</v>
      </c>
      <c r="EJ209">
        <v>7.22</v>
      </c>
      <c r="EK209" t="s">
        <v>52</v>
      </c>
    </row>
    <row r="210" spans="1:141">
      <c r="A210" t="s">
        <v>263</v>
      </c>
      <c r="B210">
        <v>14.15</v>
      </c>
      <c r="C210" t="s">
        <v>13</v>
      </c>
      <c r="D210" t="s">
        <v>263</v>
      </c>
      <c r="E210">
        <v>13.94</v>
      </c>
      <c r="F210" t="s">
        <v>13</v>
      </c>
      <c r="G210" t="s">
        <v>264</v>
      </c>
      <c r="H210">
        <v>10.7</v>
      </c>
      <c r="I210" t="s">
        <v>265</v>
      </c>
      <c r="J210" t="s">
        <v>264</v>
      </c>
      <c r="K210">
        <v>10.89</v>
      </c>
      <c r="L210" t="s">
        <v>265</v>
      </c>
      <c r="M210" t="s">
        <v>264</v>
      </c>
      <c r="N210">
        <v>10.53</v>
      </c>
      <c r="O210" t="s">
        <v>265</v>
      </c>
      <c r="P210" t="s">
        <v>312</v>
      </c>
      <c r="Q210">
        <v>115</v>
      </c>
      <c r="R210" t="s">
        <v>71</v>
      </c>
      <c r="S210" t="s">
        <v>264</v>
      </c>
      <c r="T210">
        <v>9.91</v>
      </c>
      <c r="U210" t="s">
        <v>265</v>
      </c>
      <c r="V210" t="s">
        <v>264</v>
      </c>
      <c r="W210">
        <v>9.33</v>
      </c>
      <c r="X210" t="s">
        <v>265</v>
      </c>
      <c r="Y210" t="s">
        <v>264</v>
      </c>
      <c r="Z210">
        <v>9.77</v>
      </c>
      <c r="AA210" t="s">
        <v>265</v>
      </c>
      <c r="AB210" t="s">
        <v>264</v>
      </c>
      <c r="AC210">
        <v>9.6999999999999993</v>
      </c>
      <c r="AD210" t="s">
        <v>265</v>
      </c>
      <c r="AE210" t="s">
        <v>264</v>
      </c>
      <c r="AF210">
        <v>9.9700000000000006</v>
      </c>
      <c r="AG210" t="s">
        <v>265</v>
      </c>
      <c r="AH210" t="s">
        <v>264</v>
      </c>
      <c r="AI210">
        <v>10.14</v>
      </c>
      <c r="AJ210" t="s">
        <v>265</v>
      </c>
      <c r="AK210" t="s">
        <v>264</v>
      </c>
      <c r="AL210">
        <v>9.89</v>
      </c>
      <c r="AM210" t="s">
        <v>265</v>
      </c>
      <c r="AN210" t="s">
        <v>264</v>
      </c>
      <c r="AO210">
        <v>10.61</v>
      </c>
      <c r="AP210" t="s">
        <v>265</v>
      </c>
      <c r="AQ210" t="s">
        <v>264</v>
      </c>
      <c r="AR210">
        <v>10.54</v>
      </c>
      <c r="AS210" t="s">
        <v>265</v>
      </c>
      <c r="AT210" t="s">
        <v>264</v>
      </c>
      <c r="AU210">
        <v>10.43</v>
      </c>
      <c r="AV210" t="s">
        <v>265</v>
      </c>
      <c r="AW210" t="s">
        <v>264</v>
      </c>
      <c r="AX210">
        <v>10.77</v>
      </c>
      <c r="AY210" t="s">
        <v>265</v>
      </c>
      <c r="AZ210" t="s">
        <v>264</v>
      </c>
      <c r="BA210">
        <v>10.6</v>
      </c>
      <c r="BB210" t="s">
        <v>265</v>
      </c>
      <c r="BC210" t="s">
        <v>264</v>
      </c>
      <c r="BD210">
        <v>11.03</v>
      </c>
      <c r="BE210" t="s">
        <v>265</v>
      </c>
      <c r="BF210" t="s">
        <v>264</v>
      </c>
      <c r="BG210">
        <v>10.9</v>
      </c>
      <c r="BH210" t="s">
        <v>265</v>
      </c>
      <c r="BI210" t="s">
        <v>264</v>
      </c>
      <c r="BJ210">
        <v>10.8</v>
      </c>
      <c r="BK210" t="s">
        <v>265</v>
      </c>
      <c r="BL210" t="s">
        <v>666</v>
      </c>
      <c r="BM210">
        <v>7.71</v>
      </c>
      <c r="BN210" t="s">
        <v>694</v>
      </c>
      <c r="BO210" t="s">
        <v>666</v>
      </c>
      <c r="BP210">
        <v>7.71</v>
      </c>
      <c r="BQ210" t="s">
        <v>694</v>
      </c>
      <c r="BR210" t="s">
        <v>666</v>
      </c>
      <c r="BS210">
        <v>7.71</v>
      </c>
      <c r="BT210" t="s">
        <v>694</v>
      </c>
      <c r="BU210" t="s">
        <v>666</v>
      </c>
      <c r="BV210">
        <v>7.71</v>
      </c>
      <c r="BW210" t="s">
        <v>694</v>
      </c>
      <c r="BX210" t="s">
        <v>666</v>
      </c>
      <c r="BY210">
        <v>7.71</v>
      </c>
      <c r="BZ210" t="s">
        <v>694</v>
      </c>
      <c r="CA210" t="s">
        <v>262</v>
      </c>
      <c r="CB210">
        <v>6.36</v>
      </c>
      <c r="CC210" t="s">
        <v>43</v>
      </c>
      <c r="CD210" t="s">
        <v>666</v>
      </c>
      <c r="CE210">
        <v>7.71</v>
      </c>
      <c r="CF210" t="s">
        <v>694</v>
      </c>
      <c r="CG210" t="s">
        <v>666</v>
      </c>
      <c r="CH210">
        <v>7.71</v>
      </c>
      <c r="CI210" t="s">
        <v>694</v>
      </c>
      <c r="CJ210" t="s">
        <v>666</v>
      </c>
      <c r="CK210">
        <v>7.71</v>
      </c>
      <c r="CL210" t="s">
        <v>694</v>
      </c>
      <c r="CM210" t="s">
        <v>666</v>
      </c>
      <c r="CN210">
        <v>7.71</v>
      </c>
      <c r="CO210" t="s">
        <v>694</v>
      </c>
      <c r="CP210" t="s">
        <v>666</v>
      </c>
      <c r="CQ210">
        <v>7.71</v>
      </c>
      <c r="CR210" t="s">
        <v>694</v>
      </c>
      <c r="CS210" t="s">
        <v>666</v>
      </c>
      <c r="CT210">
        <v>7.71</v>
      </c>
      <c r="CU210" t="s">
        <v>694</v>
      </c>
      <c r="CV210" t="s">
        <v>666</v>
      </c>
      <c r="CW210">
        <v>7.71</v>
      </c>
      <c r="CX210" t="s">
        <v>694</v>
      </c>
      <c r="CY210" t="s">
        <v>666</v>
      </c>
      <c r="CZ210">
        <v>7.71</v>
      </c>
      <c r="DA210" t="s">
        <v>694</v>
      </c>
      <c r="DB210" t="s">
        <v>666</v>
      </c>
      <c r="DC210">
        <v>7.71</v>
      </c>
      <c r="DD210" t="s">
        <v>694</v>
      </c>
      <c r="DE210" t="s">
        <v>666</v>
      </c>
      <c r="DF210">
        <v>7.71</v>
      </c>
      <c r="DG210" t="s">
        <v>694</v>
      </c>
      <c r="DH210" t="s">
        <v>666</v>
      </c>
      <c r="DI210">
        <v>7.71</v>
      </c>
      <c r="DJ210" t="s">
        <v>694</v>
      </c>
      <c r="DK210" t="s">
        <v>263</v>
      </c>
      <c r="DL210">
        <v>17.05</v>
      </c>
      <c r="DM210" t="s">
        <v>13</v>
      </c>
      <c r="DN210" t="s">
        <v>263</v>
      </c>
      <c r="DO210">
        <v>17.170000000000002</v>
      </c>
      <c r="DP210" t="s">
        <v>13</v>
      </c>
      <c r="DQ210" t="s">
        <v>263</v>
      </c>
      <c r="DR210">
        <v>20</v>
      </c>
      <c r="DS210" t="s">
        <v>13</v>
      </c>
      <c r="DT210" t="s">
        <v>267</v>
      </c>
      <c r="DU210">
        <v>23.01</v>
      </c>
      <c r="DV210" t="s">
        <v>138</v>
      </c>
      <c r="DW210" t="s">
        <v>267</v>
      </c>
      <c r="DX210">
        <v>23.16</v>
      </c>
      <c r="DY210" t="s">
        <v>138</v>
      </c>
      <c r="DZ210" t="s">
        <v>267</v>
      </c>
      <c r="EA210">
        <v>23.54</v>
      </c>
      <c r="EB210" t="s">
        <v>138</v>
      </c>
      <c r="EC210" t="s">
        <v>267</v>
      </c>
      <c r="ED210">
        <v>23.34</v>
      </c>
      <c r="EE210" t="s">
        <v>138</v>
      </c>
      <c r="EF210" t="s">
        <v>267</v>
      </c>
      <c r="EG210">
        <v>21.95</v>
      </c>
      <c r="EH210" t="s">
        <v>138</v>
      </c>
      <c r="EI210" t="s">
        <v>267</v>
      </c>
      <c r="EJ210">
        <v>22.87</v>
      </c>
      <c r="EK210" t="s">
        <v>138</v>
      </c>
    </row>
    <row r="211" spans="1:141">
      <c r="A211" t="s">
        <v>264</v>
      </c>
      <c r="B211">
        <v>10.96</v>
      </c>
      <c r="C211" t="s">
        <v>265</v>
      </c>
      <c r="D211" t="s">
        <v>264</v>
      </c>
      <c r="E211">
        <v>10.72</v>
      </c>
      <c r="F211" t="s">
        <v>265</v>
      </c>
      <c r="G211" t="s">
        <v>425</v>
      </c>
      <c r="H211">
        <v>3.21</v>
      </c>
      <c r="I211" t="s">
        <v>35</v>
      </c>
      <c r="J211" t="s">
        <v>425</v>
      </c>
      <c r="K211">
        <v>3.21</v>
      </c>
      <c r="L211" t="s">
        <v>35</v>
      </c>
      <c r="M211" t="s">
        <v>425</v>
      </c>
      <c r="N211">
        <v>3.14</v>
      </c>
      <c r="O211" t="s">
        <v>35</v>
      </c>
      <c r="P211" t="s">
        <v>666</v>
      </c>
      <c r="Q211">
        <v>7.71</v>
      </c>
      <c r="R211" t="s">
        <v>694</v>
      </c>
      <c r="S211" t="s">
        <v>425</v>
      </c>
      <c r="T211">
        <v>3.1</v>
      </c>
      <c r="U211" t="s">
        <v>35</v>
      </c>
      <c r="V211" t="s">
        <v>425</v>
      </c>
      <c r="W211">
        <v>3.07</v>
      </c>
      <c r="X211" t="s">
        <v>35</v>
      </c>
      <c r="Y211" t="s">
        <v>425</v>
      </c>
      <c r="Z211">
        <v>3.16</v>
      </c>
      <c r="AA211" t="s">
        <v>35</v>
      </c>
      <c r="AB211" t="s">
        <v>425</v>
      </c>
      <c r="AC211">
        <v>3.15</v>
      </c>
      <c r="AD211" t="s">
        <v>35</v>
      </c>
      <c r="AE211" t="s">
        <v>425</v>
      </c>
      <c r="AF211">
        <v>3.11</v>
      </c>
      <c r="AG211" t="s">
        <v>35</v>
      </c>
      <c r="AH211" t="s">
        <v>425</v>
      </c>
      <c r="AI211">
        <v>3.09</v>
      </c>
      <c r="AJ211" t="s">
        <v>35</v>
      </c>
      <c r="AK211" t="s">
        <v>425</v>
      </c>
      <c r="AL211">
        <v>3.03</v>
      </c>
      <c r="AM211" t="s">
        <v>35</v>
      </c>
      <c r="AN211" t="s">
        <v>425</v>
      </c>
      <c r="AO211">
        <v>2.98</v>
      </c>
      <c r="AP211" t="s">
        <v>35</v>
      </c>
      <c r="AQ211" t="s">
        <v>425</v>
      </c>
      <c r="AR211">
        <v>3.1</v>
      </c>
      <c r="AS211" t="s">
        <v>35</v>
      </c>
      <c r="AT211" t="s">
        <v>425</v>
      </c>
      <c r="AU211">
        <v>3.16</v>
      </c>
      <c r="AV211" t="s">
        <v>35</v>
      </c>
      <c r="AW211" t="s">
        <v>425</v>
      </c>
      <c r="AX211">
        <v>3.2</v>
      </c>
      <c r="AY211" t="s">
        <v>35</v>
      </c>
      <c r="AZ211" t="s">
        <v>425</v>
      </c>
      <c r="BA211">
        <v>3.17</v>
      </c>
      <c r="BB211" t="s">
        <v>35</v>
      </c>
      <c r="BC211" t="s">
        <v>425</v>
      </c>
      <c r="BD211">
        <v>3.27</v>
      </c>
      <c r="BE211" t="s">
        <v>35</v>
      </c>
      <c r="BF211" t="s">
        <v>425</v>
      </c>
      <c r="BG211">
        <v>3.29</v>
      </c>
      <c r="BH211" t="s">
        <v>35</v>
      </c>
      <c r="BI211" t="s">
        <v>425</v>
      </c>
      <c r="BJ211">
        <v>3.29</v>
      </c>
      <c r="BK211" t="s">
        <v>35</v>
      </c>
      <c r="BL211" t="s">
        <v>263</v>
      </c>
      <c r="BM211">
        <v>14.72</v>
      </c>
      <c r="BN211" t="s">
        <v>13</v>
      </c>
      <c r="BO211" t="s">
        <v>263</v>
      </c>
      <c r="BP211">
        <v>15.19</v>
      </c>
      <c r="BQ211" t="s">
        <v>13</v>
      </c>
      <c r="BR211" t="s">
        <v>263</v>
      </c>
      <c r="BS211">
        <v>16.18</v>
      </c>
      <c r="BT211" t="s">
        <v>13</v>
      </c>
      <c r="BU211" t="s">
        <v>263</v>
      </c>
      <c r="BV211">
        <v>16.739999999999998</v>
      </c>
      <c r="BW211" t="s">
        <v>13</v>
      </c>
      <c r="BX211" t="s">
        <v>263</v>
      </c>
      <c r="BY211">
        <v>16.8</v>
      </c>
      <c r="BZ211" t="s">
        <v>13</v>
      </c>
      <c r="CA211" t="s">
        <v>843</v>
      </c>
      <c r="CB211">
        <v>1.0900000000000001</v>
      </c>
      <c r="CC211" t="s">
        <v>844</v>
      </c>
      <c r="CD211" t="s">
        <v>263</v>
      </c>
      <c r="CE211">
        <v>16.989999999999998</v>
      </c>
      <c r="CF211" t="s">
        <v>13</v>
      </c>
      <c r="CG211" t="s">
        <v>263</v>
      </c>
      <c r="CH211">
        <v>17.66</v>
      </c>
      <c r="CI211" t="s">
        <v>13</v>
      </c>
      <c r="CJ211" t="s">
        <v>263</v>
      </c>
      <c r="CK211">
        <v>17.63</v>
      </c>
      <c r="CL211" t="s">
        <v>13</v>
      </c>
      <c r="CM211" t="s">
        <v>263</v>
      </c>
      <c r="CN211">
        <v>17.05</v>
      </c>
      <c r="CO211" t="s">
        <v>13</v>
      </c>
      <c r="CP211" t="s">
        <v>263</v>
      </c>
      <c r="CQ211">
        <v>18.739999999999998</v>
      </c>
      <c r="CR211" t="s">
        <v>13</v>
      </c>
      <c r="CS211" t="s">
        <v>263</v>
      </c>
      <c r="CT211">
        <v>18.100000000000001</v>
      </c>
      <c r="CU211" t="s">
        <v>13</v>
      </c>
      <c r="CV211" t="s">
        <v>263</v>
      </c>
      <c r="CW211">
        <v>18.32</v>
      </c>
      <c r="CX211" t="s">
        <v>13</v>
      </c>
      <c r="CY211" t="s">
        <v>263</v>
      </c>
      <c r="CZ211">
        <v>17.7</v>
      </c>
      <c r="DA211" t="s">
        <v>13</v>
      </c>
      <c r="DB211" t="s">
        <v>263</v>
      </c>
      <c r="DC211">
        <v>17.309999999999999</v>
      </c>
      <c r="DD211" t="s">
        <v>13</v>
      </c>
      <c r="DE211" t="s">
        <v>263</v>
      </c>
      <c r="DF211">
        <v>17.100000000000001</v>
      </c>
      <c r="DG211" t="s">
        <v>13</v>
      </c>
      <c r="DH211" t="s">
        <v>263</v>
      </c>
      <c r="DI211">
        <v>17.8</v>
      </c>
      <c r="DJ211" t="s">
        <v>13</v>
      </c>
      <c r="DK211" t="s">
        <v>264</v>
      </c>
      <c r="DL211">
        <v>9.58</v>
      </c>
      <c r="DM211" t="s">
        <v>265</v>
      </c>
      <c r="DN211" t="s">
        <v>264</v>
      </c>
      <c r="DO211">
        <v>9.19</v>
      </c>
      <c r="DP211" t="s">
        <v>265</v>
      </c>
      <c r="DQ211" t="s">
        <v>264</v>
      </c>
      <c r="DR211">
        <v>10.7</v>
      </c>
      <c r="DS211" t="s">
        <v>265</v>
      </c>
      <c r="DT211" t="s">
        <v>268</v>
      </c>
      <c r="DU211">
        <v>2.72</v>
      </c>
      <c r="DV211" t="s">
        <v>89</v>
      </c>
      <c r="DW211" t="s">
        <v>268</v>
      </c>
      <c r="DX211">
        <v>2.76</v>
      </c>
      <c r="DY211" t="s">
        <v>89</v>
      </c>
      <c r="DZ211" t="s">
        <v>268</v>
      </c>
      <c r="EA211">
        <v>2.63</v>
      </c>
      <c r="EB211" t="s">
        <v>89</v>
      </c>
      <c r="EC211" t="s">
        <v>268</v>
      </c>
      <c r="ED211">
        <v>2.74</v>
      </c>
      <c r="EE211" t="s">
        <v>89</v>
      </c>
      <c r="EF211" t="s">
        <v>268</v>
      </c>
      <c r="EG211">
        <v>3.2</v>
      </c>
      <c r="EH211" t="s">
        <v>89</v>
      </c>
      <c r="EI211" t="s">
        <v>268</v>
      </c>
      <c r="EJ211">
        <v>3.32</v>
      </c>
      <c r="EK211" t="s">
        <v>89</v>
      </c>
    </row>
    <row r="212" spans="1:141">
      <c r="A212" t="s">
        <v>425</v>
      </c>
      <c r="B212">
        <v>3.33</v>
      </c>
      <c r="C212" t="s">
        <v>35</v>
      </c>
      <c r="D212" t="s">
        <v>425</v>
      </c>
      <c r="E212">
        <v>3.26</v>
      </c>
      <c r="F212" t="s">
        <v>35</v>
      </c>
      <c r="G212" t="s">
        <v>266</v>
      </c>
      <c r="H212">
        <v>0.68</v>
      </c>
      <c r="I212" t="s">
        <v>72</v>
      </c>
      <c r="J212" t="s">
        <v>266</v>
      </c>
      <c r="K212">
        <v>0.66</v>
      </c>
      <c r="L212" t="s">
        <v>72</v>
      </c>
      <c r="M212" t="s">
        <v>266</v>
      </c>
      <c r="N212">
        <v>0.66</v>
      </c>
      <c r="O212" t="s">
        <v>72</v>
      </c>
      <c r="P212" t="s">
        <v>263</v>
      </c>
      <c r="Q212">
        <v>14.01</v>
      </c>
      <c r="R212" t="s">
        <v>13</v>
      </c>
      <c r="S212" t="s">
        <v>266</v>
      </c>
      <c r="T212">
        <v>0.66</v>
      </c>
      <c r="U212" t="s">
        <v>72</v>
      </c>
      <c r="V212" t="s">
        <v>266</v>
      </c>
      <c r="W212">
        <v>0.63</v>
      </c>
      <c r="X212" t="s">
        <v>72</v>
      </c>
      <c r="Y212" t="s">
        <v>266</v>
      </c>
      <c r="Z212">
        <v>0.65</v>
      </c>
      <c r="AA212" t="s">
        <v>72</v>
      </c>
      <c r="AB212" t="s">
        <v>266</v>
      </c>
      <c r="AC212">
        <v>0.65</v>
      </c>
      <c r="AD212" t="s">
        <v>72</v>
      </c>
      <c r="AE212" t="s">
        <v>266</v>
      </c>
      <c r="AF212">
        <v>0.65</v>
      </c>
      <c r="AG212" t="s">
        <v>72</v>
      </c>
      <c r="AH212" t="s">
        <v>266</v>
      </c>
      <c r="AI212">
        <v>0.66</v>
      </c>
      <c r="AJ212" t="s">
        <v>72</v>
      </c>
      <c r="AK212" t="s">
        <v>266</v>
      </c>
      <c r="AL212">
        <v>0.66</v>
      </c>
      <c r="AM212" t="s">
        <v>72</v>
      </c>
      <c r="AN212" t="s">
        <v>266</v>
      </c>
      <c r="AO212">
        <v>0.66</v>
      </c>
      <c r="AP212" t="s">
        <v>72</v>
      </c>
      <c r="AQ212" t="s">
        <v>266</v>
      </c>
      <c r="AR212">
        <v>0.65</v>
      </c>
      <c r="AS212" t="s">
        <v>72</v>
      </c>
      <c r="AT212" t="s">
        <v>266</v>
      </c>
      <c r="AU212">
        <v>0.67</v>
      </c>
      <c r="AV212" t="s">
        <v>72</v>
      </c>
      <c r="AW212" t="s">
        <v>266</v>
      </c>
      <c r="AX212">
        <v>0.65</v>
      </c>
      <c r="AY212" t="s">
        <v>72</v>
      </c>
      <c r="AZ212" t="s">
        <v>266</v>
      </c>
      <c r="BA212">
        <v>0.66</v>
      </c>
      <c r="BB212" t="s">
        <v>72</v>
      </c>
      <c r="BC212" t="s">
        <v>266</v>
      </c>
      <c r="BD212">
        <v>0.65</v>
      </c>
      <c r="BE212" t="s">
        <v>72</v>
      </c>
      <c r="BF212" t="s">
        <v>266</v>
      </c>
      <c r="BG212">
        <v>0.65</v>
      </c>
      <c r="BH212" t="s">
        <v>72</v>
      </c>
      <c r="BI212" t="s">
        <v>266</v>
      </c>
      <c r="BJ212">
        <v>0.66</v>
      </c>
      <c r="BK212" t="s">
        <v>72</v>
      </c>
      <c r="BL212" t="s">
        <v>264</v>
      </c>
      <c r="BM212">
        <v>10.47</v>
      </c>
      <c r="BN212" t="s">
        <v>265</v>
      </c>
      <c r="BO212" t="s">
        <v>264</v>
      </c>
      <c r="BP212">
        <v>10.15</v>
      </c>
      <c r="BQ212" t="s">
        <v>265</v>
      </c>
      <c r="BR212" t="s">
        <v>264</v>
      </c>
      <c r="BS212">
        <v>10.199999999999999</v>
      </c>
      <c r="BT212" t="s">
        <v>265</v>
      </c>
      <c r="BU212" t="s">
        <v>264</v>
      </c>
      <c r="BV212">
        <v>10.24</v>
      </c>
      <c r="BW212" t="s">
        <v>265</v>
      </c>
      <c r="BX212" t="s">
        <v>264</v>
      </c>
      <c r="BY212">
        <v>10.31</v>
      </c>
      <c r="BZ212" t="s">
        <v>265</v>
      </c>
      <c r="CA212" t="s">
        <v>312</v>
      </c>
      <c r="CB212">
        <v>110</v>
      </c>
      <c r="CC212" t="s">
        <v>71</v>
      </c>
      <c r="CD212" t="s">
        <v>264</v>
      </c>
      <c r="CE212">
        <v>10.31</v>
      </c>
      <c r="CF212" t="s">
        <v>265</v>
      </c>
      <c r="CG212" t="s">
        <v>264</v>
      </c>
      <c r="CH212">
        <v>10.42</v>
      </c>
      <c r="CI212" t="s">
        <v>265</v>
      </c>
      <c r="CJ212" t="s">
        <v>264</v>
      </c>
      <c r="CK212">
        <v>10.39</v>
      </c>
      <c r="CL212" t="s">
        <v>265</v>
      </c>
      <c r="CM212" t="s">
        <v>264</v>
      </c>
      <c r="CN212">
        <v>10.38</v>
      </c>
      <c r="CO212" t="s">
        <v>265</v>
      </c>
      <c r="CP212" t="s">
        <v>264</v>
      </c>
      <c r="CQ212">
        <v>10.67</v>
      </c>
      <c r="CR212" t="s">
        <v>265</v>
      </c>
      <c r="CS212" t="s">
        <v>264</v>
      </c>
      <c r="CT212">
        <v>10.42</v>
      </c>
      <c r="CU212" t="s">
        <v>265</v>
      </c>
      <c r="CV212" t="s">
        <v>264</v>
      </c>
      <c r="CW212">
        <v>10.23</v>
      </c>
      <c r="CX212" t="s">
        <v>265</v>
      </c>
      <c r="CY212" t="s">
        <v>264</v>
      </c>
      <c r="CZ212">
        <v>10.33</v>
      </c>
      <c r="DA212" t="s">
        <v>265</v>
      </c>
      <c r="DB212" t="s">
        <v>264</v>
      </c>
      <c r="DC212">
        <v>10.39</v>
      </c>
      <c r="DD212" t="s">
        <v>265</v>
      </c>
      <c r="DE212" t="s">
        <v>264</v>
      </c>
      <c r="DF212">
        <v>10.130000000000001</v>
      </c>
      <c r="DG212" t="s">
        <v>265</v>
      </c>
      <c r="DH212" t="s">
        <v>264</v>
      </c>
      <c r="DI212">
        <v>10.57</v>
      </c>
      <c r="DJ212" t="s">
        <v>265</v>
      </c>
      <c r="DK212" t="s">
        <v>425</v>
      </c>
      <c r="DL212">
        <v>3.11</v>
      </c>
      <c r="DM212" t="s">
        <v>35</v>
      </c>
      <c r="DN212" t="s">
        <v>425</v>
      </c>
      <c r="DO212">
        <v>3.15</v>
      </c>
      <c r="DP212" t="s">
        <v>35</v>
      </c>
      <c r="DQ212" t="s">
        <v>425</v>
      </c>
      <c r="DR212">
        <v>3.26</v>
      </c>
      <c r="DS212" t="s">
        <v>35</v>
      </c>
      <c r="DT212" t="s">
        <v>269</v>
      </c>
      <c r="DU212">
        <v>8.3699999999999992</v>
      </c>
      <c r="DV212" t="s">
        <v>84</v>
      </c>
      <c r="DW212" t="s">
        <v>269</v>
      </c>
      <c r="DX212">
        <v>8.41</v>
      </c>
      <c r="DY212" t="s">
        <v>84</v>
      </c>
      <c r="DZ212" t="s">
        <v>269</v>
      </c>
      <c r="EA212">
        <v>8.49</v>
      </c>
      <c r="EB212" t="s">
        <v>84</v>
      </c>
      <c r="EC212" t="s">
        <v>269</v>
      </c>
      <c r="ED212">
        <v>8.89</v>
      </c>
      <c r="EE212" t="s">
        <v>84</v>
      </c>
      <c r="EF212" t="s">
        <v>269</v>
      </c>
      <c r="EG212">
        <v>8.9</v>
      </c>
      <c r="EH212" t="s">
        <v>84</v>
      </c>
      <c r="EI212" t="s">
        <v>269</v>
      </c>
      <c r="EJ212">
        <v>8.5500000000000007</v>
      </c>
      <c r="EK212" t="s">
        <v>84</v>
      </c>
    </row>
    <row r="213" spans="1:141">
      <c r="A213" t="s">
        <v>266</v>
      </c>
      <c r="B213">
        <v>0.67</v>
      </c>
      <c r="C213" t="s">
        <v>72</v>
      </c>
      <c r="D213" t="s">
        <v>266</v>
      </c>
      <c r="E213">
        <v>0.68</v>
      </c>
      <c r="F213" t="s">
        <v>72</v>
      </c>
      <c r="G213" t="s">
        <v>631</v>
      </c>
      <c r="H213">
        <v>19</v>
      </c>
      <c r="I213" t="s">
        <v>640</v>
      </c>
      <c r="J213" t="s">
        <v>631</v>
      </c>
      <c r="K213">
        <v>19</v>
      </c>
      <c r="L213" t="s">
        <v>640</v>
      </c>
      <c r="M213" t="s">
        <v>631</v>
      </c>
      <c r="N213">
        <v>19</v>
      </c>
      <c r="O213" t="s">
        <v>640</v>
      </c>
      <c r="P213" t="s">
        <v>264</v>
      </c>
      <c r="Q213">
        <v>10.16</v>
      </c>
      <c r="R213" t="s">
        <v>265</v>
      </c>
      <c r="S213" t="s">
        <v>631</v>
      </c>
      <c r="T213">
        <v>19</v>
      </c>
      <c r="U213" t="s">
        <v>640</v>
      </c>
      <c r="V213" t="s">
        <v>631</v>
      </c>
      <c r="W213">
        <v>19</v>
      </c>
      <c r="X213" t="s">
        <v>640</v>
      </c>
      <c r="Y213" t="s">
        <v>631</v>
      </c>
      <c r="Z213">
        <v>19</v>
      </c>
      <c r="AA213" t="s">
        <v>640</v>
      </c>
      <c r="AB213" t="s">
        <v>631</v>
      </c>
      <c r="AC213">
        <v>19</v>
      </c>
      <c r="AD213" t="s">
        <v>640</v>
      </c>
      <c r="AE213" t="s">
        <v>631</v>
      </c>
      <c r="AF213">
        <v>19</v>
      </c>
      <c r="AG213" t="s">
        <v>640</v>
      </c>
      <c r="AH213" t="s">
        <v>631</v>
      </c>
      <c r="AI213">
        <v>19</v>
      </c>
      <c r="AJ213" t="s">
        <v>640</v>
      </c>
      <c r="AK213" t="s">
        <v>631</v>
      </c>
      <c r="AL213">
        <v>19</v>
      </c>
      <c r="AM213" t="s">
        <v>640</v>
      </c>
      <c r="AN213" t="s">
        <v>631</v>
      </c>
      <c r="AO213">
        <v>19</v>
      </c>
      <c r="AP213" t="s">
        <v>640</v>
      </c>
      <c r="AQ213" t="s">
        <v>631</v>
      </c>
      <c r="AR213">
        <v>19</v>
      </c>
      <c r="AS213" t="s">
        <v>640</v>
      </c>
      <c r="AT213" t="s">
        <v>631</v>
      </c>
      <c r="AU213">
        <v>19</v>
      </c>
      <c r="AV213" t="s">
        <v>640</v>
      </c>
      <c r="AW213" t="s">
        <v>631</v>
      </c>
      <c r="AX213">
        <v>19</v>
      </c>
      <c r="AY213" t="s">
        <v>640</v>
      </c>
      <c r="AZ213" t="s">
        <v>631</v>
      </c>
      <c r="BA213">
        <v>19</v>
      </c>
      <c r="BB213" t="s">
        <v>640</v>
      </c>
      <c r="BC213" t="s">
        <v>631</v>
      </c>
      <c r="BD213">
        <v>19</v>
      </c>
      <c r="BE213" t="s">
        <v>640</v>
      </c>
      <c r="BF213" t="s">
        <v>631</v>
      </c>
      <c r="BG213">
        <v>19</v>
      </c>
      <c r="BH213" t="s">
        <v>640</v>
      </c>
      <c r="BI213" t="s">
        <v>631</v>
      </c>
      <c r="BJ213">
        <v>19</v>
      </c>
      <c r="BK213" t="s">
        <v>640</v>
      </c>
      <c r="BL213" t="s">
        <v>425</v>
      </c>
      <c r="BM213">
        <v>3.18</v>
      </c>
      <c r="BN213" t="s">
        <v>35</v>
      </c>
      <c r="BO213" t="s">
        <v>425</v>
      </c>
      <c r="BP213">
        <v>3.32</v>
      </c>
      <c r="BQ213" t="s">
        <v>35</v>
      </c>
      <c r="BR213" t="s">
        <v>425</v>
      </c>
      <c r="BS213">
        <v>3.34</v>
      </c>
      <c r="BT213" t="s">
        <v>35</v>
      </c>
      <c r="BU213" t="s">
        <v>425</v>
      </c>
      <c r="BV213">
        <v>3.29</v>
      </c>
      <c r="BW213" t="s">
        <v>35</v>
      </c>
      <c r="BX213" t="s">
        <v>425</v>
      </c>
      <c r="BY213">
        <v>3.29</v>
      </c>
      <c r="BZ213" t="s">
        <v>35</v>
      </c>
      <c r="CA213" t="s">
        <v>666</v>
      </c>
      <c r="CB213">
        <v>7.71</v>
      </c>
      <c r="CC213" t="s">
        <v>694</v>
      </c>
      <c r="CD213" t="s">
        <v>425</v>
      </c>
      <c r="CE213">
        <v>3.3</v>
      </c>
      <c r="CF213" t="s">
        <v>35</v>
      </c>
      <c r="CG213" t="s">
        <v>425</v>
      </c>
      <c r="CH213">
        <v>3.34</v>
      </c>
      <c r="CI213" t="s">
        <v>35</v>
      </c>
      <c r="CJ213" t="s">
        <v>425</v>
      </c>
      <c r="CK213">
        <v>3.39</v>
      </c>
      <c r="CL213" t="s">
        <v>35</v>
      </c>
      <c r="CM213" t="s">
        <v>425</v>
      </c>
      <c r="CN213">
        <v>3.33</v>
      </c>
      <c r="CO213" t="s">
        <v>35</v>
      </c>
      <c r="CP213" t="s">
        <v>425</v>
      </c>
      <c r="CQ213">
        <v>3.29</v>
      </c>
      <c r="CR213" t="s">
        <v>35</v>
      </c>
      <c r="CS213" t="s">
        <v>425</v>
      </c>
      <c r="CT213">
        <v>3.28</v>
      </c>
      <c r="CU213" t="s">
        <v>35</v>
      </c>
      <c r="CV213" t="s">
        <v>425</v>
      </c>
      <c r="CW213">
        <v>3.27</v>
      </c>
      <c r="CX213" t="s">
        <v>35</v>
      </c>
      <c r="CY213" t="s">
        <v>425</v>
      </c>
      <c r="CZ213">
        <v>3.28</v>
      </c>
      <c r="DA213" t="s">
        <v>35</v>
      </c>
      <c r="DB213" t="s">
        <v>425</v>
      </c>
      <c r="DC213">
        <v>3.34</v>
      </c>
      <c r="DD213" t="s">
        <v>35</v>
      </c>
      <c r="DE213" t="s">
        <v>425</v>
      </c>
      <c r="DF213">
        <v>3.33</v>
      </c>
      <c r="DG213" t="s">
        <v>35</v>
      </c>
      <c r="DH213" t="s">
        <v>425</v>
      </c>
      <c r="DI213">
        <v>3.39</v>
      </c>
      <c r="DJ213" t="s">
        <v>35</v>
      </c>
      <c r="DK213" t="s">
        <v>266</v>
      </c>
      <c r="DL213">
        <v>0.88</v>
      </c>
      <c r="DM213" t="s">
        <v>72</v>
      </c>
      <c r="DN213" t="s">
        <v>266</v>
      </c>
      <c r="DO213">
        <v>0.79</v>
      </c>
      <c r="DP213" t="s">
        <v>72</v>
      </c>
      <c r="DQ213" t="s">
        <v>266</v>
      </c>
      <c r="DR213">
        <v>1.02</v>
      </c>
      <c r="DS213" t="s">
        <v>72</v>
      </c>
      <c r="DT213" t="s">
        <v>453</v>
      </c>
      <c r="DU213">
        <v>2.38</v>
      </c>
      <c r="DV213" t="s">
        <v>109</v>
      </c>
      <c r="DW213" t="s">
        <v>453</v>
      </c>
      <c r="DX213">
        <v>2.2599999999999998</v>
      </c>
      <c r="DY213" t="s">
        <v>109</v>
      </c>
      <c r="DZ213" t="s">
        <v>453</v>
      </c>
      <c r="EA213">
        <v>2.27</v>
      </c>
      <c r="EB213" t="s">
        <v>109</v>
      </c>
      <c r="EC213" t="s">
        <v>453</v>
      </c>
      <c r="ED213">
        <v>2.2999999999999998</v>
      </c>
      <c r="EE213" t="s">
        <v>109</v>
      </c>
      <c r="EF213" t="s">
        <v>453</v>
      </c>
      <c r="EG213">
        <v>2.2599999999999998</v>
      </c>
      <c r="EH213" t="s">
        <v>109</v>
      </c>
      <c r="EI213" t="s">
        <v>453</v>
      </c>
      <c r="EJ213">
        <v>2.44</v>
      </c>
      <c r="EK213" t="s">
        <v>109</v>
      </c>
    </row>
    <row r="214" spans="1:141">
      <c r="A214" t="s">
        <v>631</v>
      </c>
      <c r="B214">
        <v>19</v>
      </c>
      <c r="C214" t="s">
        <v>640</v>
      </c>
      <c r="D214" t="s">
        <v>631</v>
      </c>
      <c r="E214">
        <v>19</v>
      </c>
      <c r="F214" t="s">
        <v>640</v>
      </c>
      <c r="G214" t="s">
        <v>711</v>
      </c>
      <c r="H214">
        <v>32.6</v>
      </c>
      <c r="I214" t="s">
        <v>24</v>
      </c>
      <c r="J214" t="s">
        <v>711</v>
      </c>
      <c r="K214">
        <v>32.51</v>
      </c>
      <c r="L214" t="s">
        <v>24</v>
      </c>
      <c r="M214" t="s">
        <v>711</v>
      </c>
      <c r="N214">
        <v>32.5</v>
      </c>
      <c r="O214" t="s">
        <v>24</v>
      </c>
      <c r="P214" t="s">
        <v>425</v>
      </c>
      <c r="Q214">
        <v>3.1</v>
      </c>
      <c r="R214" t="s">
        <v>35</v>
      </c>
      <c r="S214" t="s">
        <v>711</v>
      </c>
      <c r="T214">
        <v>32.200000000000003</v>
      </c>
      <c r="U214" t="s">
        <v>24</v>
      </c>
      <c r="V214" t="s">
        <v>711</v>
      </c>
      <c r="W214">
        <v>32</v>
      </c>
      <c r="X214" t="s">
        <v>24</v>
      </c>
      <c r="Y214" t="s">
        <v>711</v>
      </c>
      <c r="Z214">
        <v>33</v>
      </c>
      <c r="AA214" t="s">
        <v>774</v>
      </c>
      <c r="AB214" t="s">
        <v>711</v>
      </c>
      <c r="AC214">
        <v>32.729999999999997</v>
      </c>
      <c r="AD214" t="s">
        <v>774</v>
      </c>
      <c r="AE214" t="s">
        <v>711</v>
      </c>
      <c r="AF214">
        <v>32.69</v>
      </c>
      <c r="AG214" t="s">
        <v>774</v>
      </c>
      <c r="AH214" t="s">
        <v>711</v>
      </c>
      <c r="AI214">
        <v>32.53</v>
      </c>
      <c r="AJ214" t="s">
        <v>774</v>
      </c>
      <c r="AK214" t="s">
        <v>711</v>
      </c>
      <c r="AL214">
        <v>32.21</v>
      </c>
      <c r="AM214" t="s">
        <v>774</v>
      </c>
      <c r="AN214" t="s">
        <v>711</v>
      </c>
      <c r="AO214">
        <v>32</v>
      </c>
      <c r="AP214" t="s">
        <v>774</v>
      </c>
      <c r="AQ214" t="s">
        <v>711</v>
      </c>
      <c r="AR214">
        <v>32</v>
      </c>
      <c r="AS214" t="s">
        <v>774</v>
      </c>
      <c r="AT214" t="s">
        <v>711</v>
      </c>
      <c r="AU214">
        <v>31.92</v>
      </c>
      <c r="AV214" t="s">
        <v>774</v>
      </c>
      <c r="AW214" t="s">
        <v>711</v>
      </c>
      <c r="AX214">
        <v>31.64</v>
      </c>
      <c r="AY214" t="s">
        <v>774</v>
      </c>
      <c r="AZ214" t="s">
        <v>711</v>
      </c>
      <c r="BA214">
        <v>31.01</v>
      </c>
      <c r="BB214" t="s">
        <v>774</v>
      </c>
      <c r="BC214" t="s">
        <v>711</v>
      </c>
      <c r="BD214">
        <v>30.91</v>
      </c>
      <c r="BE214" t="s">
        <v>774</v>
      </c>
      <c r="BF214" t="s">
        <v>711</v>
      </c>
      <c r="BG214">
        <v>30.02</v>
      </c>
      <c r="BH214" t="s">
        <v>774</v>
      </c>
      <c r="BI214" t="s">
        <v>711</v>
      </c>
      <c r="BJ214">
        <v>30.35</v>
      </c>
      <c r="BK214" t="s">
        <v>774</v>
      </c>
      <c r="BL214" t="s">
        <v>266</v>
      </c>
      <c r="BM214">
        <v>0.66</v>
      </c>
      <c r="BN214" t="s">
        <v>72</v>
      </c>
      <c r="BO214" t="s">
        <v>266</v>
      </c>
      <c r="BP214">
        <v>0.64</v>
      </c>
      <c r="BQ214" t="s">
        <v>72</v>
      </c>
      <c r="BR214" t="s">
        <v>266</v>
      </c>
      <c r="BS214">
        <v>0.64</v>
      </c>
      <c r="BT214" t="s">
        <v>72</v>
      </c>
      <c r="BU214" t="s">
        <v>266</v>
      </c>
      <c r="BV214">
        <v>0.64</v>
      </c>
      <c r="BW214" t="s">
        <v>72</v>
      </c>
      <c r="BX214" t="s">
        <v>266</v>
      </c>
      <c r="BY214">
        <v>0.67</v>
      </c>
      <c r="BZ214" t="s">
        <v>72</v>
      </c>
      <c r="CA214" t="s">
        <v>263</v>
      </c>
      <c r="CB214">
        <v>16.489999999999998</v>
      </c>
      <c r="CC214" t="s">
        <v>13</v>
      </c>
      <c r="CD214" t="s">
        <v>266</v>
      </c>
      <c r="CE214">
        <v>0.73</v>
      </c>
      <c r="CF214" t="s">
        <v>72</v>
      </c>
      <c r="CG214" t="s">
        <v>266</v>
      </c>
      <c r="CH214">
        <v>0.74</v>
      </c>
      <c r="CI214" t="s">
        <v>72</v>
      </c>
      <c r="CJ214" t="s">
        <v>266</v>
      </c>
      <c r="CK214">
        <v>0.75</v>
      </c>
      <c r="CL214" t="s">
        <v>72</v>
      </c>
      <c r="CM214" t="s">
        <v>266</v>
      </c>
      <c r="CN214">
        <v>0.71</v>
      </c>
      <c r="CO214" t="s">
        <v>72</v>
      </c>
      <c r="CP214" t="s">
        <v>266</v>
      </c>
      <c r="CQ214">
        <v>0.85</v>
      </c>
      <c r="CR214" t="s">
        <v>72</v>
      </c>
      <c r="CS214" t="s">
        <v>266</v>
      </c>
      <c r="CT214">
        <v>1</v>
      </c>
      <c r="CU214" t="s">
        <v>72</v>
      </c>
      <c r="CV214" t="s">
        <v>266</v>
      </c>
      <c r="CW214">
        <v>1.1200000000000001</v>
      </c>
      <c r="CX214" t="s">
        <v>72</v>
      </c>
      <c r="CY214" t="s">
        <v>266</v>
      </c>
      <c r="CZ214">
        <v>1</v>
      </c>
      <c r="DA214" t="s">
        <v>72</v>
      </c>
      <c r="DB214" t="s">
        <v>266</v>
      </c>
      <c r="DC214">
        <v>0.95</v>
      </c>
      <c r="DD214" t="s">
        <v>72</v>
      </c>
      <c r="DE214" t="s">
        <v>266</v>
      </c>
      <c r="DF214">
        <v>0.93</v>
      </c>
      <c r="DG214" t="s">
        <v>72</v>
      </c>
      <c r="DH214" t="s">
        <v>266</v>
      </c>
      <c r="DI214">
        <v>0.9</v>
      </c>
      <c r="DJ214" t="s">
        <v>72</v>
      </c>
      <c r="DK214" t="s">
        <v>631</v>
      </c>
      <c r="DL214">
        <v>19</v>
      </c>
      <c r="DM214" t="s">
        <v>640</v>
      </c>
      <c r="DN214" t="s">
        <v>631</v>
      </c>
      <c r="DO214">
        <v>19</v>
      </c>
      <c r="DP214" t="s">
        <v>640</v>
      </c>
      <c r="DQ214" t="s">
        <v>631</v>
      </c>
      <c r="DR214">
        <v>19</v>
      </c>
      <c r="DS214" t="s">
        <v>640</v>
      </c>
      <c r="DT214" t="s">
        <v>388</v>
      </c>
      <c r="DU214">
        <v>4.7300000000000004</v>
      </c>
      <c r="DV214" t="s">
        <v>270</v>
      </c>
      <c r="DW214" t="s">
        <v>388</v>
      </c>
      <c r="DX214">
        <v>4.51</v>
      </c>
      <c r="DY214" t="s">
        <v>270</v>
      </c>
      <c r="DZ214" t="s">
        <v>388</v>
      </c>
      <c r="EA214">
        <v>4.5199999999999996</v>
      </c>
      <c r="EB214" t="s">
        <v>270</v>
      </c>
      <c r="EC214" t="s">
        <v>388</v>
      </c>
      <c r="ED214">
        <v>4.51</v>
      </c>
      <c r="EE214" t="s">
        <v>270</v>
      </c>
      <c r="EF214" t="s">
        <v>388</v>
      </c>
      <c r="EG214">
        <v>4.33</v>
      </c>
      <c r="EH214" t="s">
        <v>270</v>
      </c>
      <c r="EI214" t="s">
        <v>388</v>
      </c>
      <c r="EJ214">
        <v>4.53</v>
      </c>
      <c r="EK214" t="s">
        <v>270</v>
      </c>
    </row>
    <row r="215" spans="1:141">
      <c r="A215" t="s">
        <v>711</v>
      </c>
      <c r="B215">
        <v>32.799999999999997</v>
      </c>
      <c r="C215" t="s">
        <v>24</v>
      </c>
      <c r="D215" t="s">
        <v>711</v>
      </c>
      <c r="E215">
        <v>32.51</v>
      </c>
      <c r="F215" t="s">
        <v>24</v>
      </c>
      <c r="G215" t="s">
        <v>448</v>
      </c>
      <c r="H215">
        <v>7.35</v>
      </c>
      <c r="I215" t="s">
        <v>52</v>
      </c>
      <c r="J215" t="s">
        <v>448</v>
      </c>
      <c r="K215">
        <v>7.3</v>
      </c>
      <c r="L215" t="s">
        <v>52</v>
      </c>
      <c r="M215" t="s">
        <v>448</v>
      </c>
      <c r="N215">
        <v>7.11</v>
      </c>
      <c r="O215" t="s">
        <v>52</v>
      </c>
      <c r="P215" t="s">
        <v>266</v>
      </c>
      <c r="Q215">
        <v>0.66</v>
      </c>
      <c r="R215" t="s">
        <v>72</v>
      </c>
      <c r="S215" t="s">
        <v>448</v>
      </c>
      <c r="T215">
        <v>7.14</v>
      </c>
      <c r="U215" t="s">
        <v>52</v>
      </c>
      <c r="V215" t="s">
        <v>448</v>
      </c>
      <c r="W215">
        <v>7.48</v>
      </c>
      <c r="X215" t="s">
        <v>52</v>
      </c>
      <c r="Y215" t="s">
        <v>448</v>
      </c>
      <c r="Z215">
        <v>7.39</v>
      </c>
      <c r="AA215" t="s">
        <v>52</v>
      </c>
      <c r="AB215" t="s">
        <v>448</v>
      </c>
      <c r="AC215">
        <v>7.34</v>
      </c>
      <c r="AD215" t="s">
        <v>52</v>
      </c>
      <c r="AE215" t="s">
        <v>448</v>
      </c>
      <c r="AF215">
        <v>7.4</v>
      </c>
      <c r="AG215" t="s">
        <v>52</v>
      </c>
      <c r="AH215" t="s">
        <v>448</v>
      </c>
      <c r="AI215">
        <v>7.66</v>
      </c>
      <c r="AJ215" t="s">
        <v>52</v>
      </c>
      <c r="AK215" t="s">
        <v>448</v>
      </c>
      <c r="AL215">
        <v>7.32</v>
      </c>
      <c r="AM215" t="s">
        <v>52</v>
      </c>
      <c r="AN215" t="s">
        <v>448</v>
      </c>
      <c r="AO215">
        <v>6.95</v>
      </c>
      <c r="AP215" t="s">
        <v>52</v>
      </c>
      <c r="AQ215" t="s">
        <v>448</v>
      </c>
      <c r="AR215">
        <v>7.12</v>
      </c>
      <c r="AS215" t="s">
        <v>52</v>
      </c>
      <c r="AT215" t="s">
        <v>448</v>
      </c>
      <c r="AU215">
        <v>7.27</v>
      </c>
      <c r="AV215" t="s">
        <v>52</v>
      </c>
      <c r="AW215" t="s">
        <v>448</v>
      </c>
      <c r="AX215">
        <v>7.31</v>
      </c>
      <c r="AY215" t="s">
        <v>52</v>
      </c>
      <c r="AZ215" t="s">
        <v>448</v>
      </c>
      <c r="BA215">
        <v>7.18</v>
      </c>
      <c r="BB215" t="s">
        <v>52</v>
      </c>
      <c r="BC215" t="s">
        <v>448</v>
      </c>
      <c r="BD215">
        <v>7.12</v>
      </c>
      <c r="BE215" t="s">
        <v>52</v>
      </c>
      <c r="BF215" t="s">
        <v>448</v>
      </c>
      <c r="BG215">
        <v>7.12</v>
      </c>
      <c r="BH215" t="s">
        <v>52</v>
      </c>
      <c r="BI215" t="s">
        <v>448</v>
      </c>
      <c r="BJ215">
        <v>7.18</v>
      </c>
      <c r="BK215" t="s">
        <v>52</v>
      </c>
      <c r="BL215" t="s">
        <v>631</v>
      </c>
      <c r="BM215">
        <v>19</v>
      </c>
      <c r="BN215" t="s">
        <v>640</v>
      </c>
      <c r="BO215" t="s">
        <v>631</v>
      </c>
      <c r="BP215">
        <v>19</v>
      </c>
      <c r="BQ215" t="s">
        <v>640</v>
      </c>
      <c r="BR215" t="s">
        <v>631</v>
      </c>
      <c r="BS215">
        <v>19</v>
      </c>
      <c r="BT215" t="s">
        <v>640</v>
      </c>
      <c r="BU215" t="s">
        <v>631</v>
      </c>
      <c r="BV215">
        <v>19</v>
      </c>
      <c r="BW215" t="s">
        <v>640</v>
      </c>
      <c r="BX215" t="s">
        <v>631</v>
      </c>
      <c r="BY215">
        <v>19</v>
      </c>
      <c r="BZ215" t="s">
        <v>640</v>
      </c>
      <c r="CA215" t="s">
        <v>264</v>
      </c>
      <c r="CB215">
        <v>10.28</v>
      </c>
      <c r="CC215" t="s">
        <v>265</v>
      </c>
      <c r="CD215" t="s">
        <v>631</v>
      </c>
      <c r="CE215">
        <v>19</v>
      </c>
      <c r="CF215" t="s">
        <v>640</v>
      </c>
      <c r="CG215" t="s">
        <v>631</v>
      </c>
      <c r="CH215">
        <v>19</v>
      </c>
      <c r="CI215" t="s">
        <v>640</v>
      </c>
      <c r="CJ215" t="s">
        <v>631</v>
      </c>
      <c r="CK215">
        <v>19</v>
      </c>
      <c r="CL215" t="s">
        <v>640</v>
      </c>
      <c r="CM215" t="s">
        <v>631</v>
      </c>
      <c r="CN215">
        <v>19</v>
      </c>
      <c r="CO215" t="s">
        <v>640</v>
      </c>
      <c r="CP215" t="s">
        <v>631</v>
      </c>
      <c r="CQ215">
        <v>19</v>
      </c>
      <c r="CR215" t="s">
        <v>640</v>
      </c>
      <c r="CS215" t="s">
        <v>631</v>
      </c>
      <c r="CT215">
        <v>19</v>
      </c>
      <c r="CU215" t="s">
        <v>640</v>
      </c>
      <c r="CV215" t="s">
        <v>631</v>
      </c>
      <c r="CW215">
        <v>19</v>
      </c>
      <c r="CX215" t="s">
        <v>640</v>
      </c>
      <c r="CY215" t="s">
        <v>631</v>
      </c>
      <c r="CZ215">
        <v>19</v>
      </c>
      <c r="DA215" t="s">
        <v>640</v>
      </c>
      <c r="DB215" t="s">
        <v>631</v>
      </c>
      <c r="DC215">
        <v>19</v>
      </c>
      <c r="DD215" t="s">
        <v>640</v>
      </c>
      <c r="DE215" t="s">
        <v>631</v>
      </c>
      <c r="DF215">
        <v>19</v>
      </c>
      <c r="DG215" t="s">
        <v>640</v>
      </c>
      <c r="DH215" t="s">
        <v>631</v>
      </c>
      <c r="DI215">
        <v>19</v>
      </c>
      <c r="DJ215" t="s">
        <v>640</v>
      </c>
      <c r="DK215" t="s">
        <v>711</v>
      </c>
      <c r="DL215">
        <v>28.74</v>
      </c>
      <c r="DM215" t="s">
        <v>774</v>
      </c>
      <c r="DN215" t="s">
        <v>711</v>
      </c>
      <c r="DO215">
        <v>28.55</v>
      </c>
      <c r="DP215" t="s">
        <v>774</v>
      </c>
      <c r="DQ215" t="s">
        <v>711</v>
      </c>
      <c r="DR215">
        <v>29.6</v>
      </c>
      <c r="DS215" t="s">
        <v>774</v>
      </c>
      <c r="DT215" t="s">
        <v>660</v>
      </c>
      <c r="DU215">
        <v>480.75</v>
      </c>
      <c r="DV215" t="s">
        <v>710</v>
      </c>
      <c r="DW215" t="s">
        <v>660</v>
      </c>
      <c r="DX215">
        <v>480.75</v>
      </c>
      <c r="DY215" t="s">
        <v>710</v>
      </c>
      <c r="DZ215" t="s">
        <v>660</v>
      </c>
      <c r="EA215">
        <v>480.75</v>
      </c>
      <c r="EB215" t="s">
        <v>710</v>
      </c>
      <c r="EC215" t="s">
        <v>660</v>
      </c>
      <c r="ED215">
        <v>480.75</v>
      </c>
      <c r="EE215" t="s">
        <v>710</v>
      </c>
      <c r="EF215" t="s">
        <v>660</v>
      </c>
      <c r="EG215">
        <v>480.75</v>
      </c>
      <c r="EH215" t="s">
        <v>710</v>
      </c>
      <c r="EI215" t="s">
        <v>660</v>
      </c>
      <c r="EJ215">
        <v>480.75</v>
      </c>
      <c r="EK215" t="s">
        <v>710</v>
      </c>
    </row>
    <row r="216" spans="1:141">
      <c r="A216" t="s">
        <v>448</v>
      </c>
      <c r="B216">
        <v>7.32</v>
      </c>
      <c r="C216" t="s">
        <v>52</v>
      </c>
      <c r="D216" t="s">
        <v>448</v>
      </c>
      <c r="E216">
        <v>7.34</v>
      </c>
      <c r="F216" t="s">
        <v>52</v>
      </c>
      <c r="G216" t="s">
        <v>267</v>
      </c>
      <c r="H216">
        <v>21</v>
      </c>
      <c r="I216" t="s">
        <v>138</v>
      </c>
      <c r="J216" t="s">
        <v>267</v>
      </c>
      <c r="K216">
        <v>20.99</v>
      </c>
      <c r="L216" t="s">
        <v>138</v>
      </c>
      <c r="M216" t="s">
        <v>267</v>
      </c>
      <c r="N216">
        <v>20.91</v>
      </c>
      <c r="O216" t="s">
        <v>138</v>
      </c>
      <c r="P216" t="s">
        <v>631</v>
      </c>
      <c r="Q216">
        <v>19</v>
      </c>
      <c r="R216" t="s">
        <v>640</v>
      </c>
      <c r="S216" t="s">
        <v>267</v>
      </c>
      <c r="T216">
        <v>24.37</v>
      </c>
      <c r="U216" t="s">
        <v>138</v>
      </c>
      <c r="V216" t="s">
        <v>267</v>
      </c>
      <c r="W216">
        <v>27.28</v>
      </c>
      <c r="X216" t="s">
        <v>138</v>
      </c>
      <c r="Y216" t="s">
        <v>267</v>
      </c>
      <c r="Z216">
        <v>28.64</v>
      </c>
      <c r="AA216" t="s">
        <v>138</v>
      </c>
      <c r="AB216" t="s">
        <v>267</v>
      </c>
      <c r="AC216">
        <v>31.33</v>
      </c>
      <c r="AD216" t="s">
        <v>138</v>
      </c>
      <c r="AE216" t="s">
        <v>267</v>
      </c>
      <c r="AF216">
        <v>32.89</v>
      </c>
      <c r="AG216" t="s">
        <v>138</v>
      </c>
      <c r="AH216" t="s">
        <v>267</v>
      </c>
      <c r="AI216">
        <v>34.53</v>
      </c>
      <c r="AJ216" t="s">
        <v>138</v>
      </c>
      <c r="AK216" t="s">
        <v>267</v>
      </c>
      <c r="AL216">
        <v>32.81</v>
      </c>
      <c r="AM216" t="s">
        <v>138</v>
      </c>
      <c r="AN216" t="s">
        <v>267</v>
      </c>
      <c r="AO216">
        <v>31</v>
      </c>
      <c r="AP216" t="s">
        <v>138</v>
      </c>
      <c r="AQ216" t="s">
        <v>267</v>
      </c>
      <c r="AR216">
        <v>28.87</v>
      </c>
      <c r="AS216" t="s">
        <v>138</v>
      </c>
      <c r="AT216" t="s">
        <v>267</v>
      </c>
      <c r="AU216">
        <v>30.31</v>
      </c>
      <c r="AV216" t="s">
        <v>138</v>
      </c>
      <c r="AW216" t="s">
        <v>267</v>
      </c>
      <c r="AX216">
        <v>28.98</v>
      </c>
      <c r="AY216" t="s">
        <v>138</v>
      </c>
      <c r="AZ216" t="s">
        <v>267</v>
      </c>
      <c r="BA216">
        <v>26.89</v>
      </c>
      <c r="BB216" t="s">
        <v>138</v>
      </c>
      <c r="BC216" t="s">
        <v>267</v>
      </c>
      <c r="BD216">
        <v>23.47</v>
      </c>
      <c r="BE216" t="s">
        <v>138</v>
      </c>
      <c r="BF216" t="s">
        <v>267</v>
      </c>
      <c r="BG216">
        <v>24.4</v>
      </c>
      <c r="BH216" t="s">
        <v>138</v>
      </c>
      <c r="BI216" t="s">
        <v>267</v>
      </c>
      <c r="BJ216">
        <v>24.5</v>
      </c>
      <c r="BK216" t="s">
        <v>138</v>
      </c>
      <c r="BL216" t="s">
        <v>711</v>
      </c>
      <c r="BM216">
        <v>29.99</v>
      </c>
      <c r="BN216" t="s">
        <v>774</v>
      </c>
      <c r="BO216" t="s">
        <v>711</v>
      </c>
      <c r="BP216">
        <v>30.95</v>
      </c>
      <c r="BQ216" t="s">
        <v>774</v>
      </c>
      <c r="BR216" t="s">
        <v>711</v>
      </c>
      <c r="BS216">
        <v>31.29</v>
      </c>
      <c r="BT216" t="s">
        <v>774</v>
      </c>
      <c r="BU216" t="s">
        <v>711</v>
      </c>
      <c r="BV216">
        <v>31.8</v>
      </c>
      <c r="BW216" t="s">
        <v>774</v>
      </c>
      <c r="BX216" t="s">
        <v>711</v>
      </c>
      <c r="BY216">
        <v>31.56</v>
      </c>
      <c r="BZ216" t="s">
        <v>774</v>
      </c>
      <c r="CA216" t="s">
        <v>425</v>
      </c>
      <c r="CB216">
        <v>3.28</v>
      </c>
      <c r="CC216" t="s">
        <v>35</v>
      </c>
      <c r="CD216" t="s">
        <v>711</v>
      </c>
      <c r="CE216">
        <v>31.5</v>
      </c>
      <c r="CF216" t="s">
        <v>774</v>
      </c>
      <c r="CG216" t="s">
        <v>711</v>
      </c>
      <c r="CH216">
        <v>31.69</v>
      </c>
      <c r="CI216" t="s">
        <v>774</v>
      </c>
      <c r="CJ216" t="s">
        <v>711</v>
      </c>
      <c r="CK216">
        <v>31.52</v>
      </c>
      <c r="CL216" t="s">
        <v>774</v>
      </c>
      <c r="CM216" t="s">
        <v>711</v>
      </c>
      <c r="CN216">
        <v>31.8</v>
      </c>
      <c r="CO216" t="s">
        <v>774</v>
      </c>
      <c r="CP216" t="s">
        <v>711</v>
      </c>
      <c r="CQ216">
        <v>32</v>
      </c>
      <c r="CR216" t="s">
        <v>774</v>
      </c>
      <c r="CS216" t="s">
        <v>711</v>
      </c>
      <c r="CT216">
        <v>32</v>
      </c>
      <c r="CU216" t="s">
        <v>774</v>
      </c>
      <c r="CV216" t="s">
        <v>711</v>
      </c>
      <c r="CW216">
        <v>31.95</v>
      </c>
      <c r="CX216" t="s">
        <v>774</v>
      </c>
      <c r="CY216" t="s">
        <v>711</v>
      </c>
      <c r="CZ216">
        <v>31.87</v>
      </c>
      <c r="DA216" t="s">
        <v>774</v>
      </c>
      <c r="DB216" t="s">
        <v>711</v>
      </c>
      <c r="DC216">
        <v>31.72</v>
      </c>
      <c r="DD216" t="s">
        <v>774</v>
      </c>
      <c r="DE216" t="s">
        <v>711</v>
      </c>
      <c r="DF216">
        <v>32.11</v>
      </c>
      <c r="DG216" t="s">
        <v>774</v>
      </c>
      <c r="DH216" t="s">
        <v>711</v>
      </c>
      <c r="DI216">
        <v>29.9</v>
      </c>
      <c r="DJ216" t="s">
        <v>774</v>
      </c>
      <c r="DK216" t="s">
        <v>448</v>
      </c>
      <c r="DL216">
        <v>6.78</v>
      </c>
      <c r="DM216" t="s">
        <v>52</v>
      </c>
      <c r="DN216" t="s">
        <v>448</v>
      </c>
      <c r="DO216">
        <v>6.64</v>
      </c>
      <c r="DP216" t="s">
        <v>52</v>
      </c>
      <c r="DQ216" t="s">
        <v>448</v>
      </c>
      <c r="DR216">
        <v>7.53</v>
      </c>
      <c r="DS216" t="s">
        <v>52</v>
      </c>
      <c r="DT216" t="s">
        <v>271</v>
      </c>
      <c r="DU216">
        <v>28.01</v>
      </c>
      <c r="DV216" t="s">
        <v>272</v>
      </c>
      <c r="DW216" t="s">
        <v>271</v>
      </c>
      <c r="DX216">
        <v>31.66</v>
      </c>
      <c r="DY216" t="s">
        <v>272</v>
      </c>
      <c r="DZ216" t="s">
        <v>271</v>
      </c>
      <c r="EA216">
        <v>29.78</v>
      </c>
      <c r="EB216" t="s">
        <v>272</v>
      </c>
      <c r="EC216" t="s">
        <v>271</v>
      </c>
      <c r="ED216">
        <v>29.99</v>
      </c>
      <c r="EE216" t="s">
        <v>272</v>
      </c>
      <c r="EF216" t="s">
        <v>271</v>
      </c>
      <c r="EG216">
        <v>26</v>
      </c>
      <c r="EH216" t="s">
        <v>272</v>
      </c>
      <c r="EI216" t="s">
        <v>271</v>
      </c>
      <c r="EJ216">
        <v>25.46</v>
      </c>
      <c r="EK216" t="s">
        <v>272</v>
      </c>
    </row>
    <row r="217" spans="1:141">
      <c r="A217" t="s">
        <v>267</v>
      </c>
      <c r="B217">
        <v>20.83</v>
      </c>
      <c r="C217" t="s">
        <v>138</v>
      </c>
      <c r="D217" t="s">
        <v>267</v>
      </c>
      <c r="E217">
        <v>21.71</v>
      </c>
      <c r="F217" t="s">
        <v>138</v>
      </c>
      <c r="G217" t="s">
        <v>268</v>
      </c>
      <c r="H217">
        <v>3.33</v>
      </c>
      <c r="I217" t="s">
        <v>89</v>
      </c>
      <c r="J217" t="s">
        <v>268</v>
      </c>
      <c r="K217">
        <v>3.11</v>
      </c>
      <c r="L217" t="s">
        <v>89</v>
      </c>
      <c r="M217" t="s">
        <v>268</v>
      </c>
      <c r="N217">
        <v>2.96</v>
      </c>
      <c r="O217" t="s">
        <v>89</v>
      </c>
      <c r="P217" t="s">
        <v>711</v>
      </c>
      <c r="Q217">
        <v>32.549999999999997</v>
      </c>
      <c r="R217" t="s">
        <v>24</v>
      </c>
      <c r="S217" t="s">
        <v>268</v>
      </c>
      <c r="T217">
        <v>2.89</v>
      </c>
      <c r="U217" t="s">
        <v>89</v>
      </c>
      <c r="V217" t="s">
        <v>268</v>
      </c>
      <c r="W217">
        <v>2.81</v>
      </c>
      <c r="X217" t="s">
        <v>89</v>
      </c>
      <c r="Y217" t="s">
        <v>268</v>
      </c>
      <c r="Z217">
        <v>2.97</v>
      </c>
      <c r="AA217" t="s">
        <v>89</v>
      </c>
      <c r="AB217" t="s">
        <v>268</v>
      </c>
      <c r="AC217">
        <v>2.88</v>
      </c>
      <c r="AD217" t="s">
        <v>89</v>
      </c>
      <c r="AE217" t="s">
        <v>268</v>
      </c>
      <c r="AF217">
        <v>2.89</v>
      </c>
      <c r="AG217" t="s">
        <v>89</v>
      </c>
      <c r="AH217" t="s">
        <v>268</v>
      </c>
      <c r="AI217">
        <v>2.88</v>
      </c>
      <c r="AJ217" t="s">
        <v>89</v>
      </c>
      <c r="AK217" t="s">
        <v>268</v>
      </c>
      <c r="AL217">
        <v>2.82</v>
      </c>
      <c r="AM217" t="s">
        <v>89</v>
      </c>
      <c r="AN217" t="s">
        <v>268</v>
      </c>
      <c r="AO217">
        <v>2.67</v>
      </c>
      <c r="AP217" t="s">
        <v>89</v>
      </c>
      <c r="AQ217" t="s">
        <v>268</v>
      </c>
      <c r="AR217">
        <v>2.71</v>
      </c>
      <c r="AS217" t="s">
        <v>89</v>
      </c>
      <c r="AT217" t="s">
        <v>268</v>
      </c>
      <c r="AU217">
        <v>2.73</v>
      </c>
      <c r="AV217" t="s">
        <v>89</v>
      </c>
      <c r="AW217" t="s">
        <v>268</v>
      </c>
      <c r="AX217">
        <v>2.77</v>
      </c>
      <c r="AY217" t="s">
        <v>89</v>
      </c>
      <c r="AZ217" t="s">
        <v>268</v>
      </c>
      <c r="BA217">
        <v>2.68</v>
      </c>
      <c r="BB217" t="s">
        <v>89</v>
      </c>
      <c r="BC217" t="s">
        <v>268</v>
      </c>
      <c r="BD217">
        <v>2.64</v>
      </c>
      <c r="BE217" t="s">
        <v>89</v>
      </c>
      <c r="BF217" t="s">
        <v>268</v>
      </c>
      <c r="BG217">
        <v>2.62</v>
      </c>
      <c r="BH217" t="s">
        <v>89</v>
      </c>
      <c r="BI217" t="s">
        <v>268</v>
      </c>
      <c r="BJ217">
        <v>2.58</v>
      </c>
      <c r="BK217" t="s">
        <v>89</v>
      </c>
      <c r="BL217" t="s">
        <v>448</v>
      </c>
      <c r="BM217">
        <v>6.96</v>
      </c>
      <c r="BN217" t="s">
        <v>52</v>
      </c>
      <c r="BO217" t="s">
        <v>448</v>
      </c>
      <c r="BP217">
        <v>6.78</v>
      </c>
      <c r="BQ217" t="s">
        <v>52</v>
      </c>
      <c r="BR217" t="s">
        <v>448</v>
      </c>
      <c r="BS217">
        <v>6.82</v>
      </c>
      <c r="BT217" t="s">
        <v>52</v>
      </c>
      <c r="BU217" t="s">
        <v>448</v>
      </c>
      <c r="BV217">
        <v>6.86</v>
      </c>
      <c r="BW217" t="s">
        <v>52</v>
      </c>
      <c r="BX217" t="s">
        <v>448</v>
      </c>
      <c r="BY217">
        <v>6.81</v>
      </c>
      <c r="BZ217" t="s">
        <v>52</v>
      </c>
      <c r="CA217" t="s">
        <v>266</v>
      </c>
      <c r="CB217">
        <v>0.7</v>
      </c>
      <c r="CC217" t="s">
        <v>72</v>
      </c>
      <c r="CD217" t="s">
        <v>448</v>
      </c>
      <c r="CE217">
        <v>6.9</v>
      </c>
      <c r="CF217" t="s">
        <v>52</v>
      </c>
      <c r="CG217" t="s">
        <v>448</v>
      </c>
      <c r="CH217">
        <v>6.85</v>
      </c>
      <c r="CI217" t="s">
        <v>52</v>
      </c>
      <c r="CJ217" t="s">
        <v>448</v>
      </c>
      <c r="CK217">
        <v>6.9</v>
      </c>
      <c r="CL217" t="s">
        <v>52</v>
      </c>
      <c r="CM217" t="s">
        <v>448</v>
      </c>
      <c r="CN217">
        <v>6.85</v>
      </c>
      <c r="CO217" t="s">
        <v>52</v>
      </c>
      <c r="CP217" t="s">
        <v>448</v>
      </c>
      <c r="CQ217">
        <v>6.78</v>
      </c>
      <c r="CR217" t="s">
        <v>52</v>
      </c>
      <c r="CS217" t="s">
        <v>448</v>
      </c>
      <c r="CT217">
        <v>6.93</v>
      </c>
      <c r="CU217" t="s">
        <v>52</v>
      </c>
      <c r="CV217" t="s">
        <v>448</v>
      </c>
      <c r="CW217">
        <v>6.88</v>
      </c>
      <c r="CX217" t="s">
        <v>52</v>
      </c>
      <c r="CY217" t="s">
        <v>448</v>
      </c>
      <c r="CZ217">
        <v>7.04</v>
      </c>
      <c r="DA217" t="s">
        <v>52</v>
      </c>
      <c r="DB217" t="s">
        <v>448</v>
      </c>
      <c r="DC217">
        <v>6.95</v>
      </c>
      <c r="DD217" t="s">
        <v>52</v>
      </c>
      <c r="DE217" t="s">
        <v>448</v>
      </c>
      <c r="DF217">
        <v>7.01</v>
      </c>
      <c r="DG217" t="s">
        <v>52</v>
      </c>
      <c r="DH217" t="s">
        <v>448</v>
      </c>
      <c r="DI217">
        <v>6.89</v>
      </c>
      <c r="DJ217" t="s">
        <v>52</v>
      </c>
      <c r="DK217" t="s">
        <v>267</v>
      </c>
      <c r="DL217">
        <v>21.95</v>
      </c>
      <c r="DM217" t="s">
        <v>138</v>
      </c>
      <c r="DN217" t="s">
        <v>267</v>
      </c>
      <c r="DO217">
        <v>21.18</v>
      </c>
      <c r="DP217" t="s">
        <v>138</v>
      </c>
      <c r="DQ217" t="s">
        <v>267</v>
      </c>
      <c r="DR217">
        <v>25.23</v>
      </c>
      <c r="DS217" t="s">
        <v>138</v>
      </c>
      <c r="DT217" t="s">
        <v>273</v>
      </c>
      <c r="DU217">
        <v>2.38</v>
      </c>
      <c r="DV217" t="s">
        <v>274</v>
      </c>
      <c r="DW217" t="s">
        <v>273</v>
      </c>
      <c r="DX217">
        <v>2.2400000000000002</v>
      </c>
      <c r="DY217" t="s">
        <v>274</v>
      </c>
      <c r="DZ217" t="s">
        <v>273</v>
      </c>
      <c r="EA217">
        <v>2.2000000000000002</v>
      </c>
      <c r="EB217" t="s">
        <v>274</v>
      </c>
      <c r="EC217" t="s">
        <v>273</v>
      </c>
      <c r="ED217">
        <v>2.2200000000000002</v>
      </c>
      <c r="EE217" t="s">
        <v>274</v>
      </c>
      <c r="EF217" t="s">
        <v>273</v>
      </c>
      <c r="EG217">
        <v>2.1</v>
      </c>
      <c r="EH217" t="s">
        <v>274</v>
      </c>
      <c r="EI217" t="s">
        <v>273</v>
      </c>
      <c r="EJ217">
        <v>2.16</v>
      </c>
      <c r="EK217" t="s">
        <v>274</v>
      </c>
    </row>
    <row r="218" spans="1:141">
      <c r="A218" t="s">
        <v>268</v>
      </c>
      <c r="B218">
        <v>3.43</v>
      </c>
      <c r="C218" t="s">
        <v>89</v>
      </c>
      <c r="D218" t="s">
        <v>268</v>
      </c>
      <c r="E218">
        <v>3.34</v>
      </c>
      <c r="F218" t="s">
        <v>89</v>
      </c>
      <c r="G218" t="s">
        <v>269</v>
      </c>
      <c r="H218">
        <v>6.62</v>
      </c>
      <c r="I218" t="s">
        <v>84</v>
      </c>
      <c r="J218" t="s">
        <v>269</v>
      </c>
      <c r="K218">
        <v>6.6</v>
      </c>
      <c r="L218" t="s">
        <v>84</v>
      </c>
      <c r="M218" t="s">
        <v>269</v>
      </c>
      <c r="N218">
        <v>6.61</v>
      </c>
      <c r="O218" t="s">
        <v>84</v>
      </c>
      <c r="P218" t="s">
        <v>448</v>
      </c>
      <c r="Q218">
        <v>7.16</v>
      </c>
      <c r="R218" t="s">
        <v>52</v>
      </c>
      <c r="S218" t="s">
        <v>269</v>
      </c>
      <c r="T218">
        <v>6.89</v>
      </c>
      <c r="U218" t="s">
        <v>84</v>
      </c>
      <c r="V218" t="s">
        <v>269</v>
      </c>
      <c r="W218">
        <v>6.57</v>
      </c>
      <c r="X218" t="s">
        <v>84</v>
      </c>
      <c r="Y218" t="s">
        <v>269</v>
      </c>
      <c r="Z218">
        <v>6.41</v>
      </c>
      <c r="AA218" t="s">
        <v>84</v>
      </c>
      <c r="AB218" t="s">
        <v>269</v>
      </c>
      <c r="AC218">
        <v>6.53</v>
      </c>
      <c r="AD218" t="s">
        <v>84</v>
      </c>
      <c r="AE218" t="s">
        <v>269</v>
      </c>
      <c r="AF218">
        <v>6.73</v>
      </c>
      <c r="AG218" t="s">
        <v>84</v>
      </c>
      <c r="AH218" t="s">
        <v>269</v>
      </c>
      <c r="AI218">
        <v>6.75</v>
      </c>
      <c r="AJ218" t="s">
        <v>84</v>
      </c>
      <c r="AK218" t="s">
        <v>269</v>
      </c>
      <c r="AL218">
        <v>6.75</v>
      </c>
      <c r="AM218" t="s">
        <v>84</v>
      </c>
      <c r="AN218" t="s">
        <v>269</v>
      </c>
      <c r="AO218">
        <v>6.55</v>
      </c>
      <c r="AP218" t="s">
        <v>84</v>
      </c>
      <c r="AQ218" t="s">
        <v>269</v>
      </c>
      <c r="AR218">
        <v>6.69</v>
      </c>
      <c r="AS218" t="s">
        <v>84</v>
      </c>
      <c r="AT218" t="s">
        <v>269</v>
      </c>
      <c r="AU218">
        <v>6.7</v>
      </c>
      <c r="AV218" t="s">
        <v>84</v>
      </c>
      <c r="AW218" t="s">
        <v>269</v>
      </c>
      <c r="AX218">
        <v>6.6</v>
      </c>
      <c r="AY218" t="s">
        <v>84</v>
      </c>
      <c r="AZ218" t="s">
        <v>269</v>
      </c>
      <c r="BA218">
        <v>6.68</v>
      </c>
      <c r="BB218" t="s">
        <v>84</v>
      </c>
      <c r="BC218" t="s">
        <v>269</v>
      </c>
      <c r="BD218">
        <v>6.6</v>
      </c>
      <c r="BE218" t="s">
        <v>84</v>
      </c>
      <c r="BF218" t="s">
        <v>269</v>
      </c>
      <c r="BG218">
        <v>6.78</v>
      </c>
      <c r="BH218" t="s">
        <v>84</v>
      </c>
      <c r="BI218" t="s">
        <v>269</v>
      </c>
      <c r="BJ218">
        <v>6.48</v>
      </c>
      <c r="BK218" t="s">
        <v>84</v>
      </c>
      <c r="BL218" t="s">
        <v>267</v>
      </c>
      <c r="BM218">
        <v>23.5</v>
      </c>
      <c r="BN218" t="s">
        <v>138</v>
      </c>
      <c r="BO218" t="s">
        <v>267</v>
      </c>
      <c r="BP218">
        <v>23</v>
      </c>
      <c r="BQ218" t="s">
        <v>138</v>
      </c>
      <c r="BR218" t="s">
        <v>267</v>
      </c>
      <c r="BS218">
        <v>22.7</v>
      </c>
      <c r="BT218" t="s">
        <v>138</v>
      </c>
      <c r="BU218" t="s">
        <v>267</v>
      </c>
      <c r="BV218">
        <v>22</v>
      </c>
      <c r="BW218" t="s">
        <v>138</v>
      </c>
      <c r="BX218" t="s">
        <v>267</v>
      </c>
      <c r="BY218">
        <v>21.45</v>
      </c>
      <c r="BZ218" t="s">
        <v>138</v>
      </c>
      <c r="CA218" t="s">
        <v>631</v>
      </c>
      <c r="CB218">
        <v>19</v>
      </c>
      <c r="CC218" t="s">
        <v>640</v>
      </c>
      <c r="CD218" t="s">
        <v>267</v>
      </c>
      <c r="CE218">
        <v>22.14</v>
      </c>
      <c r="CF218" t="s">
        <v>138</v>
      </c>
      <c r="CG218" t="s">
        <v>267</v>
      </c>
      <c r="CH218">
        <v>22.2</v>
      </c>
      <c r="CI218" t="s">
        <v>138</v>
      </c>
      <c r="CJ218" t="s">
        <v>267</v>
      </c>
      <c r="CK218">
        <v>21.4</v>
      </c>
      <c r="CL218" t="s">
        <v>138</v>
      </c>
      <c r="CM218" t="s">
        <v>267</v>
      </c>
      <c r="CN218">
        <v>22</v>
      </c>
      <c r="CO218" t="s">
        <v>138</v>
      </c>
      <c r="CP218" t="s">
        <v>267</v>
      </c>
      <c r="CQ218">
        <v>22.64</v>
      </c>
      <c r="CR218" t="s">
        <v>138</v>
      </c>
      <c r="CS218" t="s">
        <v>267</v>
      </c>
      <c r="CT218">
        <v>22.15</v>
      </c>
      <c r="CU218" t="s">
        <v>138</v>
      </c>
      <c r="CV218" t="s">
        <v>267</v>
      </c>
      <c r="CW218">
        <v>22.66</v>
      </c>
      <c r="CX218" t="s">
        <v>138</v>
      </c>
      <c r="CY218" t="s">
        <v>267</v>
      </c>
      <c r="CZ218">
        <v>22.12</v>
      </c>
      <c r="DA218" t="s">
        <v>138</v>
      </c>
      <c r="DB218" t="s">
        <v>267</v>
      </c>
      <c r="DC218">
        <v>21.2</v>
      </c>
      <c r="DD218" t="s">
        <v>138</v>
      </c>
      <c r="DE218" t="s">
        <v>267</v>
      </c>
      <c r="DF218">
        <v>21.21</v>
      </c>
      <c r="DG218" t="s">
        <v>138</v>
      </c>
      <c r="DH218" t="s">
        <v>267</v>
      </c>
      <c r="DI218">
        <v>21.87</v>
      </c>
      <c r="DJ218" t="s">
        <v>138</v>
      </c>
      <c r="DK218" t="s">
        <v>268</v>
      </c>
      <c r="DL218">
        <v>2.2599999999999998</v>
      </c>
      <c r="DM218" t="s">
        <v>89</v>
      </c>
      <c r="DN218" t="s">
        <v>268</v>
      </c>
      <c r="DO218">
        <v>2.29</v>
      </c>
      <c r="DP218" t="s">
        <v>89</v>
      </c>
      <c r="DQ218" t="s">
        <v>268</v>
      </c>
      <c r="DR218">
        <v>2.94</v>
      </c>
      <c r="DS218" t="s">
        <v>89</v>
      </c>
      <c r="DT218" t="s">
        <v>275</v>
      </c>
      <c r="DU218">
        <v>4.2699999999999996</v>
      </c>
      <c r="DV218" t="s">
        <v>276</v>
      </c>
      <c r="DW218" t="s">
        <v>275</v>
      </c>
      <c r="DX218">
        <v>3.87</v>
      </c>
      <c r="DY218" t="s">
        <v>276</v>
      </c>
      <c r="DZ218" t="s">
        <v>275</v>
      </c>
      <c r="EA218">
        <v>3.72</v>
      </c>
      <c r="EB218" t="s">
        <v>276</v>
      </c>
      <c r="EC218" t="s">
        <v>275</v>
      </c>
      <c r="ED218">
        <v>3.63</v>
      </c>
      <c r="EE218" t="s">
        <v>276</v>
      </c>
      <c r="EF218" t="s">
        <v>275</v>
      </c>
      <c r="EG218">
        <v>3.58</v>
      </c>
      <c r="EH218" t="s">
        <v>276</v>
      </c>
      <c r="EI218" t="s">
        <v>275</v>
      </c>
      <c r="EJ218">
        <v>3.55</v>
      </c>
      <c r="EK218" t="s">
        <v>276</v>
      </c>
    </row>
    <row r="219" spans="1:141">
      <c r="A219" t="s">
        <v>269</v>
      </c>
      <c r="B219">
        <v>6.74</v>
      </c>
      <c r="C219" t="s">
        <v>84</v>
      </c>
      <c r="D219" t="s">
        <v>269</v>
      </c>
      <c r="E219">
        <v>6.7</v>
      </c>
      <c r="F219" t="s">
        <v>84</v>
      </c>
      <c r="G219" t="s">
        <v>453</v>
      </c>
      <c r="H219">
        <v>2.2999999999999998</v>
      </c>
      <c r="I219" t="s">
        <v>109</v>
      </c>
      <c r="J219" t="s">
        <v>453</v>
      </c>
      <c r="K219">
        <v>2.13</v>
      </c>
      <c r="L219" t="s">
        <v>109</v>
      </c>
      <c r="M219" t="s">
        <v>453</v>
      </c>
      <c r="N219">
        <v>2.1</v>
      </c>
      <c r="O219" t="s">
        <v>109</v>
      </c>
      <c r="P219" t="s">
        <v>267</v>
      </c>
      <c r="Q219">
        <v>23.22</v>
      </c>
      <c r="R219" t="s">
        <v>138</v>
      </c>
      <c r="S219" t="s">
        <v>453</v>
      </c>
      <c r="T219">
        <v>2.06</v>
      </c>
      <c r="U219" t="s">
        <v>109</v>
      </c>
      <c r="V219" t="s">
        <v>453</v>
      </c>
      <c r="W219">
        <v>2.0699999999999998</v>
      </c>
      <c r="X219" t="s">
        <v>109</v>
      </c>
      <c r="Y219" t="s">
        <v>453</v>
      </c>
      <c r="Z219">
        <v>2.04</v>
      </c>
      <c r="AA219" t="s">
        <v>109</v>
      </c>
      <c r="AB219" t="s">
        <v>453</v>
      </c>
      <c r="AC219">
        <v>2.2000000000000002</v>
      </c>
      <c r="AD219" t="s">
        <v>109</v>
      </c>
      <c r="AE219" t="s">
        <v>453</v>
      </c>
      <c r="AF219">
        <v>2.11</v>
      </c>
      <c r="AG219" t="s">
        <v>109</v>
      </c>
      <c r="AH219" t="s">
        <v>453</v>
      </c>
      <c r="AI219">
        <v>2.12</v>
      </c>
      <c r="AJ219" t="s">
        <v>109</v>
      </c>
      <c r="AK219" t="s">
        <v>453</v>
      </c>
      <c r="AL219">
        <v>2.12</v>
      </c>
      <c r="AM219" t="s">
        <v>109</v>
      </c>
      <c r="AN219" t="s">
        <v>453</v>
      </c>
      <c r="AO219">
        <v>2.0499999999999998</v>
      </c>
      <c r="AP219" t="s">
        <v>109</v>
      </c>
      <c r="AQ219" t="s">
        <v>453</v>
      </c>
      <c r="AR219">
        <v>2.04</v>
      </c>
      <c r="AS219" t="s">
        <v>109</v>
      </c>
      <c r="AT219" t="s">
        <v>453</v>
      </c>
      <c r="AU219">
        <v>2.04</v>
      </c>
      <c r="AV219" t="s">
        <v>109</v>
      </c>
      <c r="AW219" t="s">
        <v>453</v>
      </c>
      <c r="AX219">
        <v>2.0299999999999998</v>
      </c>
      <c r="AY219" t="s">
        <v>109</v>
      </c>
      <c r="AZ219" t="s">
        <v>453</v>
      </c>
      <c r="BA219">
        <v>2</v>
      </c>
      <c r="BB219" t="s">
        <v>109</v>
      </c>
      <c r="BC219" t="s">
        <v>453</v>
      </c>
      <c r="BD219">
        <v>1.91</v>
      </c>
      <c r="BE219" t="s">
        <v>109</v>
      </c>
      <c r="BF219" t="s">
        <v>453</v>
      </c>
      <c r="BG219">
        <v>1.95</v>
      </c>
      <c r="BH219" t="s">
        <v>109</v>
      </c>
      <c r="BI219" t="s">
        <v>453</v>
      </c>
      <c r="BJ219">
        <v>2.02</v>
      </c>
      <c r="BK219" t="s">
        <v>109</v>
      </c>
      <c r="BL219" t="s">
        <v>268</v>
      </c>
      <c r="BM219">
        <v>2.42</v>
      </c>
      <c r="BN219" t="s">
        <v>89</v>
      </c>
      <c r="BO219" t="s">
        <v>268</v>
      </c>
      <c r="BP219">
        <v>2.35</v>
      </c>
      <c r="BQ219" t="s">
        <v>89</v>
      </c>
      <c r="BR219" t="s">
        <v>268</v>
      </c>
      <c r="BS219">
        <v>2.46</v>
      </c>
      <c r="BT219" t="s">
        <v>89</v>
      </c>
      <c r="BU219" t="s">
        <v>268</v>
      </c>
      <c r="BV219">
        <v>2.4300000000000002</v>
      </c>
      <c r="BW219" t="s">
        <v>89</v>
      </c>
      <c r="BX219" t="s">
        <v>268</v>
      </c>
      <c r="BY219">
        <v>2.44</v>
      </c>
      <c r="BZ219" t="s">
        <v>89</v>
      </c>
      <c r="CA219" t="s">
        <v>711</v>
      </c>
      <c r="CB219">
        <v>31.31</v>
      </c>
      <c r="CC219" t="s">
        <v>774</v>
      </c>
      <c r="CD219" t="s">
        <v>268</v>
      </c>
      <c r="CE219">
        <v>2.5099999999999998</v>
      </c>
      <c r="CF219" t="s">
        <v>89</v>
      </c>
      <c r="CG219" t="s">
        <v>268</v>
      </c>
      <c r="CH219">
        <v>2.48</v>
      </c>
      <c r="CI219" t="s">
        <v>89</v>
      </c>
      <c r="CJ219" t="s">
        <v>268</v>
      </c>
      <c r="CK219">
        <v>2.48</v>
      </c>
      <c r="CL219" t="s">
        <v>89</v>
      </c>
      <c r="CM219" t="s">
        <v>268</v>
      </c>
      <c r="CN219">
        <v>2.5</v>
      </c>
      <c r="CO219" t="s">
        <v>89</v>
      </c>
      <c r="CP219" t="s">
        <v>268</v>
      </c>
      <c r="CQ219">
        <v>2.4300000000000002</v>
      </c>
      <c r="CR219" t="s">
        <v>89</v>
      </c>
      <c r="CS219" t="s">
        <v>268</v>
      </c>
      <c r="CT219">
        <v>2.44</v>
      </c>
      <c r="CU219" t="s">
        <v>89</v>
      </c>
      <c r="CV219" t="s">
        <v>268</v>
      </c>
      <c r="CW219">
        <v>2.38</v>
      </c>
      <c r="CX219" t="s">
        <v>89</v>
      </c>
      <c r="CY219" t="s">
        <v>268</v>
      </c>
      <c r="CZ219">
        <v>2.42</v>
      </c>
      <c r="DA219" t="s">
        <v>89</v>
      </c>
      <c r="DB219" t="s">
        <v>268</v>
      </c>
      <c r="DC219">
        <v>2.34</v>
      </c>
      <c r="DD219" t="s">
        <v>89</v>
      </c>
      <c r="DE219" t="s">
        <v>268</v>
      </c>
      <c r="DF219">
        <v>2.36</v>
      </c>
      <c r="DG219" t="s">
        <v>89</v>
      </c>
      <c r="DH219" t="s">
        <v>268</v>
      </c>
      <c r="DI219">
        <v>2.3199999999999998</v>
      </c>
      <c r="DJ219" t="s">
        <v>89</v>
      </c>
      <c r="DK219" t="s">
        <v>269</v>
      </c>
      <c r="DL219">
        <v>7.05</v>
      </c>
      <c r="DM219" t="s">
        <v>84</v>
      </c>
      <c r="DN219" t="s">
        <v>269</v>
      </c>
      <c r="DO219">
        <v>7</v>
      </c>
      <c r="DP219" t="s">
        <v>84</v>
      </c>
      <c r="DQ219" t="s">
        <v>269</v>
      </c>
      <c r="DR219">
        <v>7.63</v>
      </c>
      <c r="DS219" t="s">
        <v>84</v>
      </c>
      <c r="DT219" t="s">
        <v>437</v>
      </c>
      <c r="DU219">
        <v>10.039999999999999</v>
      </c>
      <c r="DV219" t="s">
        <v>127</v>
      </c>
      <c r="DW219" t="s">
        <v>437</v>
      </c>
      <c r="DX219">
        <v>9.9</v>
      </c>
      <c r="DY219" t="s">
        <v>127</v>
      </c>
      <c r="DZ219" t="s">
        <v>437</v>
      </c>
      <c r="EA219">
        <v>10</v>
      </c>
      <c r="EB219" t="s">
        <v>127</v>
      </c>
      <c r="EC219" t="s">
        <v>437</v>
      </c>
      <c r="ED219">
        <v>9.2100000000000009</v>
      </c>
      <c r="EE219" t="s">
        <v>127</v>
      </c>
      <c r="EF219" t="s">
        <v>437</v>
      </c>
      <c r="EG219">
        <v>9.1199999999999992</v>
      </c>
      <c r="EH219" t="s">
        <v>127</v>
      </c>
      <c r="EI219" t="s">
        <v>437</v>
      </c>
      <c r="EJ219">
        <v>9.56</v>
      </c>
      <c r="EK219" t="s">
        <v>127</v>
      </c>
    </row>
    <row r="220" spans="1:141">
      <c r="A220" t="s">
        <v>453</v>
      </c>
      <c r="B220">
        <v>2.08</v>
      </c>
      <c r="C220" t="s">
        <v>109</v>
      </c>
      <c r="D220" t="s">
        <v>453</v>
      </c>
      <c r="E220">
        <v>2.29</v>
      </c>
      <c r="F220" t="s">
        <v>109</v>
      </c>
      <c r="G220" t="s">
        <v>388</v>
      </c>
      <c r="H220">
        <v>3.39</v>
      </c>
      <c r="I220" t="s">
        <v>270</v>
      </c>
      <c r="J220" t="s">
        <v>388</v>
      </c>
      <c r="K220">
        <v>3.41</v>
      </c>
      <c r="L220" t="s">
        <v>270</v>
      </c>
      <c r="M220" t="s">
        <v>388</v>
      </c>
      <c r="N220">
        <v>3.3</v>
      </c>
      <c r="O220" t="s">
        <v>270</v>
      </c>
      <c r="P220" t="s">
        <v>268</v>
      </c>
      <c r="Q220">
        <v>2.92</v>
      </c>
      <c r="R220" t="s">
        <v>89</v>
      </c>
      <c r="S220" t="s">
        <v>388</v>
      </c>
      <c r="T220">
        <v>3.33</v>
      </c>
      <c r="U220" t="s">
        <v>270</v>
      </c>
      <c r="V220" t="s">
        <v>388</v>
      </c>
      <c r="W220">
        <v>3.34</v>
      </c>
      <c r="X220" t="s">
        <v>270</v>
      </c>
      <c r="Y220" t="s">
        <v>388</v>
      </c>
      <c r="Z220">
        <v>3.41</v>
      </c>
      <c r="AA220" t="s">
        <v>270</v>
      </c>
      <c r="AB220" t="s">
        <v>388</v>
      </c>
      <c r="AC220">
        <v>3.6</v>
      </c>
      <c r="AD220" t="s">
        <v>270</v>
      </c>
      <c r="AE220" t="s">
        <v>388</v>
      </c>
      <c r="AF220">
        <v>3.53</v>
      </c>
      <c r="AG220" t="s">
        <v>270</v>
      </c>
      <c r="AH220" t="s">
        <v>388</v>
      </c>
      <c r="AI220">
        <v>3.53</v>
      </c>
      <c r="AJ220" t="s">
        <v>270</v>
      </c>
      <c r="AK220" t="s">
        <v>388</v>
      </c>
      <c r="AL220">
        <v>3.41</v>
      </c>
      <c r="AM220" t="s">
        <v>270</v>
      </c>
      <c r="AN220" t="s">
        <v>388</v>
      </c>
      <c r="AO220">
        <v>3.3</v>
      </c>
      <c r="AP220" t="s">
        <v>270</v>
      </c>
      <c r="AQ220" t="s">
        <v>388</v>
      </c>
      <c r="AR220">
        <v>3.26</v>
      </c>
      <c r="AS220" t="s">
        <v>270</v>
      </c>
      <c r="AT220" t="s">
        <v>388</v>
      </c>
      <c r="AU220">
        <v>3.28</v>
      </c>
      <c r="AV220" t="s">
        <v>270</v>
      </c>
      <c r="AW220" t="s">
        <v>388</v>
      </c>
      <c r="AX220">
        <v>3.33</v>
      </c>
      <c r="AY220" t="s">
        <v>270</v>
      </c>
      <c r="AZ220" t="s">
        <v>388</v>
      </c>
      <c r="BA220">
        <v>3.35</v>
      </c>
      <c r="BB220" t="s">
        <v>270</v>
      </c>
      <c r="BC220" t="s">
        <v>388</v>
      </c>
      <c r="BD220">
        <v>3.73</v>
      </c>
      <c r="BE220" t="s">
        <v>270</v>
      </c>
      <c r="BF220" t="s">
        <v>388</v>
      </c>
      <c r="BG220">
        <v>3.59</v>
      </c>
      <c r="BH220" t="s">
        <v>270</v>
      </c>
      <c r="BI220" t="s">
        <v>388</v>
      </c>
      <c r="BJ220">
        <v>3.57</v>
      </c>
      <c r="BK220" t="s">
        <v>270</v>
      </c>
      <c r="BL220" t="s">
        <v>269</v>
      </c>
      <c r="BM220">
        <v>6.62</v>
      </c>
      <c r="BN220" t="s">
        <v>84</v>
      </c>
      <c r="BO220" t="s">
        <v>269</v>
      </c>
      <c r="BP220">
        <v>6.4</v>
      </c>
      <c r="BQ220" t="s">
        <v>84</v>
      </c>
      <c r="BR220" t="s">
        <v>269</v>
      </c>
      <c r="BS220">
        <v>6.4</v>
      </c>
      <c r="BT220" t="s">
        <v>84</v>
      </c>
      <c r="BU220" t="s">
        <v>269</v>
      </c>
      <c r="BV220">
        <v>6.4</v>
      </c>
      <c r="BW220" t="s">
        <v>84</v>
      </c>
      <c r="BX220" t="s">
        <v>269</v>
      </c>
      <c r="BY220">
        <v>6.4</v>
      </c>
      <c r="BZ220" t="s">
        <v>84</v>
      </c>
      <c r="CA220" t="s">
        <v>448</v>
      </c>
      <c r="CB220">
        <v>7.01</v>
      </c>
      <c r="CC220" t="s">
        <v>52</v>
      </c>
      <c r="CD220" t="s">
        <v>269</v>
      </c>
      <c r="CE220">
        <v>6.65</v>
      </c>
      <c r="CF220" t="s">
        <v>84</v>
      </c>
      <c r="CG220" t="s">
        <v>269</v>
      </c>
      <c r="CH220">
        <v>6.68</v>
      </c>
      <c r="CI220" t="s">
        <v>84</v>
      </c>
      <c r="CJ220" t="s">
        <v>269</v>
      </c>
      <c r="CK220">
        <v>6.5</v>
      </c>
      <c r="CL220" t="s">
        <v>84</v>
      </c>
      <c r="CM220" t="s">
        <v>269</v>
      </c>
      <c r="CN220">
        <v>6.5</v>
      </c>
      <c r="CO220" t="s">
        <v>84</v>
      </c>
      <c r="CP220" t="s">
        <v>269</v>
      </c>
      <c r="CQ220">
        <v>6.67</v>
      </c>
      <c r="CR220" t="s">
        <v>84</v>
      </c>
      <c r="CS220" t="s">
        <v>269</v>
      </c>
      <c r="CT220">
        <v>6.55</v>
      </c>
      <c r="CU220" t="s">
        <v>84</v>
      </c>
      <c r="CV220" t="s">
        <v>269</v>
      </c>
      <c r="CW220">
        <v>6.8</v>
      </c>
      <c r="CX220" t="s">
        <v>84</v>
      </c>
      <c r="CY220" t="s">
        <v>269</v>
      </c>
      <c r="CZ220">
        <v>6.6</v>
      </c>
      <c r="DA220" t="s">
        <v>84</v>
      </c>
      <c r="DB220" t="s">
        <v>269</v>
      </c>
      <c r="DC220">
        <v>7.69</v>
      </c>
      <c r="DD220" t="s">
        <v>84</v>
      </c>
      <c r="DE220" t="s">
        <v>269</v>
      </c>
      <c r="DF220">
        <v>7.4</v>
      </c>
      <c r="DG220" t="s">
        <v>84</v>
      </c>
      <c r="DH220" t="s">
        <v>269</v>
      </c>
      <c r="DI220">
        <v>7.5</v>
      </c>
      <c r="DJ220" t="s">
        <v>84</v>
      </c>
      <c r="DK220" t="s">
        <v>453</v>
      </c>
      <c r="DL220">
        <v>1.78</v>
      </c>
      <c r="DM220" t="s">
        <v>109</v>
      </c>
      <c r="DN220" t="s">
        <v>453</v>
      </c>
      <c r="DO220">
        <v>1.87</v>
      </c>
      <c r="DP220" t="s">
        <v>109</v>
      </c>
      <c r="DQ220" t="s">
        <v>453</v>
      </c>
      <c r="DR220">
        <v>1.98</v>
      </c>
      <c r="DS220" t="s">
        <v>109</v>
      </c>
      <c r="DT220" t="s">
        <v>667</v>
      </c>
      <c r="DU220">
        <v>2.11</v>
      </c>
      <c r="DV220" t="s">
        <v>594</v>
      </c>
      <c r="DW220" t="s">
        <v>667</v>
      </c>
      <c r="DX220">
        <v>2.11</v>
      </c>
      <c r="DY220" t="s">
        <v>594</v>
      </c>
      <c r="DZ220" t="s">
        <v>667</v>
      </c>
      <c r="EA220">
        <v>2.11</v>
      </c>
      <c r="EB220" t="s">
        <v>594</v>
      </c>
      <c r="EC220" t="s">
        <v>667</v>
      </c>
      <c r="ED220">
        <v>2.11</v>
      </c>
      <c r="EE220" t="s">
        <v>594</v>
      </c>
      <c r="EF220" t="s">
        <v>667</v>
      </c>
      <c r="EG220">
        <v>2.5299999999999998</v>
      </c>
      <c r="EH220" t="s">
        <v>594</v>
      </c>
      <c r="EI220" t="s">
        <v>667</v>
      </c>
      <c r="EJ220">
        <v>2.5299999999999998</v>
      </c>
      <c r="EK220" t="s">
        <v>594</v>
      </c>
    </row>
    <row r="221" spans="1:141">
      <c r="A221" t="s">
        <v>388</v>
      </c>
      <c r="B221">
        <v>3.51</v>
      </c>
      <c r="C221" t="s">
        <v>270</v>
      </c>
      <c r="D221" t="s">
        <v>388</v>
      </c>
      <c r="E221">
        <v>3.39</v>
      </c>
      <c r="F221" t="s">
        <v>270</v>
      </c>
      <c r="G221" t="s">
        <v>660</v>
      </c>
      <c r="H221">
        <v>480.75</v>
      </c>
      <c r="I221" t="s">
        <v>710</v>
      </c>
      <c r="J221" t="s">
        <v>660</v>
      </c>
      <c r="K221">
        <v>480.75</v>
      </c>
      <c r="L221" t="s">
        <v>710</v>
      </c>
      <c r="M221" t="s">
        <v>660</v>
      </c>
      <c r="N221">
        <v>480.75</v>
      </c>
      <c r="O221" t="s">
        <v>710</v>
      </c>
      <c r="P221" t="s">
        <v>269</v>
      </c>
      <c r="Q221">
        <v>6.61</v>
      </c>
      <c r="R221" t="s">
        <v>84</v>
      </c>
      <c r="S221" t="s">
        <v>660</v>
      </c>
      <c r="T221">
        <v>480.75</v>
      </c>
      <c r="U221" t="s">
        <v>710</v>
      </c>
      <c r="V221" t="s">
        <v>660</v>
      </c>
      <c r="W221">
        <v>480.75</v>
      </c>
      <c r="X221" t="s">
        <v>710</v>
      </c>
      <c r="Y221" t="s">
        <v>660</v>
      </c>
      <c r="Z221">
        <v>480.75</v>
      </c>
      <c r="AA221" t="s">
        <v>710</v>
      </c>
      <c r="AB221" t="s">
        <v>660</v>
      </c>
      <c r="AC221">
        <v>480.75</v>
      </c>
      <c r="AD221" t="s">
        <v>710</v>
      </c>
      <c r="AE221" t="s">
        <v>660</v>
      </c>
      <c r="AF221">
        <v>480.75</v>
      </c>
      <c r="AG221" t="s">
        <v>710</v>
      </c>
      <c r="AH221" t="s">
        <v>660</v>
      </c>
      <c r="AI221">
        <v>480.75</v>
      </c>
      <c r="AJ221" t="s">
        <v>710</v>
      </c>
      <c r="AK221" t="s">
        <v>660</v>
      </c>
      <c r="AL221">
        <v>480.75</v>
      </c>
      <c r="AM221" t="s">
        <v>710</v>
      </c>
      <c r="AN221" t="s">
        <v>660</v>
      </c>
      <c r="AO221">
        <v>480.75</v>
      </c>
      <c r="AP221" t="s">
        <v>710</v>
      </c>
      <c r="AQ221" t="s">
        <v>660</v>
      </c>
      <c r="AR221">
        <v>480.75</v>
      </c>
      <c r="AS221" t="s">
        <v>710</v>
      </c>
      <c r="AT221" t="s">
        <v>660</v>
      </c>
      <c r="AU221">
        <v>480.75</v>
      </c>
      <c r="AV221" t="s">
        <v>710</v>
      </c>
      <c r="AW221" t="s">
        <v>660</v>
      </c>
      <c r="AX221">
        <v>480.75</v>
      </c>
      <c r="AY221" t="s">
        <v>710</v>
      </c>
      <c r="AZ221" t="s">
        <v>660</v>
      </c>
      <c r="BA221">
        <v>480.75</v>
      </c>
      <c r="BB221" t="s">
        <v>710</v>
      </c>
      <c r="BC221" t="s">
        <v>660</v>
      </c>
      <c r="BD221">
        <v>480.75</v>
      </c>
      <c r="BE221" t="s">
        <v>710</v>
      </c>
      <c r="BF221" t="s">
        <v>660</v>
      </c>
      <c r="BG221">
        <v>480.75</v>
      </c>
      <c r="BH221" t="s">
        <v>710</v>
      </c>
      <c r="BI221" t="s">
        <v>660</v>
      </c>
      <c r="BJ221">
        <v>480.75</v>
      </c>
      <c r="BK221" t="s">
        <v>710</v>
      </c>
      <c r="BL221" t="s">
        <v>453</v>
      </c>
      <c r="BM221">
        <v>1.92</v>
      </c>
      <c r="BN221" t="s">
        <v>109</v>
      </c>
      <c r="BO221" t="s">
        <v>453</v>
      </c>
      <c r="BP221">
        <v>1.97</v>
      </c>
      <c r="BQ221" t="s">
        <v>109</v>
      </c>
      <c r="BR221" t="s">
        <v>453</v>
      </c>
      <c r="BS221">
        <v>1.86</v>
      </c>
      <c r="BT221" t="s">
        <v>109</v>
      </c>
      <c r="BU221" t="s">
        <v>453</v>
      </c>
      <c r="BV221">
        <v>1.85</v>
      </c>
      <c r="BW221" t="s">
        <v>109</v>
      </c>
      <c r="BX221" t="s">
        <v>453</v>
      </c>
      <c r="BY221">
        <v>1.86</v>
      </c>
      <c r="BZ221" t="s">
        <v>109</v>
      </c>
      <c r="CA221" t="s">
        <v>267</v>
      </c>
      <c r="CB221">
        <v>22.66</v>
      </c>
      <c r="CC221" t="s">
        <v>138</v>
      </c>
      <c r="CD221" t="s">
        <v>453</v>
      </c>
      <c r="CE221">
        <v>1.9</v>
      </c>
      <c r="CF221" t="s">
        <v>109</v>
      </c>
      <c r="CG221" t="s">
        <v>453</v>
      </c>
      <c r="CH221">
        <v>1.91</v>
      </c>
      <c r="CI221" t="s">
        <v>109</v>
      </c>
      <c r="CJ221" t="s">
        <v>453</v>
      </c>
      <c r="CK221">
        <v>1.92</v>
      </c>
      <c r="CL221" t="s">
        <v>109</v>
      </c>
      <c r="CM221" t="s">
        <v>453</v>
      </c>
      <c r="CN221">
        <v>1.88</v>
      </c>
      <c r="CO221" t="s">
        <v>109</v>
      </c>
      <c r="CP221" t="s">
        <v>453</v>
      </c>
      <c r="CQ221">
        <v>1.91</v>
      </c>
      <c r="CR221" t="s">
        <v>109</v>
      </c>
      <c r="CS221" t="s">
        <v>453</v>
      </c>
      <c r="CT221">
        <v>1.87</v>
      </c>
      <c r="CU221" t="s">
        <v>109</v>
      </c>
      <c r="CV221" t="s">
        <v>453</v>
      </c>
      <c r="CW221">
        <v>1.85</v>
      </c>
      <c r="CX221" t="s">
        <v>109</v>
      </c>
      <c r="CY221" t="s">
        <v>453</v>
      </c>
      <c r="CZ221">
        <v>1.87</v>
      </c>
      <c r="DA221" t="s">
        <v>109</v>
      </c>
      <c r="DB221" t="s">
        <v>453</v>
      </c>
      <c r="DC221">
        <v>1.91</v>
      </c>
      <c r="DD221" t="s">
        <v>109</v>
      </c>
      <c r="DE221" t="s">
        <v>453</v>
      </c>
      <c r="DF221">
        <v>1.88</v>
      </c>
      <c r="DG221" t="s">
        <v>109</v>
      </c>
      <c r="DH221" t="s">
        <v>453</v>
      </c>
      <c r="DI221">
        <v>1.78</v>
      </c>
      <c r="DJ221" t="s">
        <v>109</v>
      </c>
      <c r="DK221" t="s">
        <v>388</v>
      </c>
      <c r="DL221">
        <v>4.2</v>
      </c>
      <c r="DM221" t="s">
        <v>270</v>
      </c>
      <c r="DN221" t="s">
        <v>388</v>
      </c>
      <c r="DO221">
        <v>4.34</v>
      </c>
      <c r="DP221" t="s">
        <v>270</v>
      </c>
      <c r="DQ221" t="s">
        <v>388</v>
      </c>
      <c r="DR221">
        <v>4.7300000000000004</v>
      </c>
      <c r="DS221" t="s">
        <v>270</v>
      </c>
      <c r="DT221" t="s">
        <v>277</v>
      </c>
      <c r="DU221">
        <v>11.7</v>
      </c>
      <c r="DV221" t="s">
        <v>25</v>
      </c>
      <c r="DW221" t="s">
        <v>277</v>
      </c>
      <c r="DX221">
        <v>11.31</v>
      </c>
      <c r="DY221" t="s">
        <v>25</v>
      </c>
      <c r="DZ221" t="s">
        <v>277</v>
      </c>
      <c r="EA221">
        <v>11.16</v>
      </c>
      <c r="EB221" t="s">
        <v>25</v>
      </c>
      <c r="EC221" t="s">
        <v>277</v>
      </c>
      <c r="ED221">
        <v>11.15</v>
      </c>
      <c r="EE221" t="s">
        <v>25</v>
      </c>
      <c r="EF221" t="s">
        <v>277</v>
      </c>
      <c r="EG221">
        <v>11.51</v>
      </c>
      <c r="EH221" t="s">
        <v>25</v>
      </c>
      <c r="EI221" t="s">
        <v>277</v>
      </c>
      <c r="EJ221">
        <v>11.5</v>
      </c>
      <c r="EK221" t="s">
        <v>25</v>
      </c>
    </row>
    <row r="222" spans="1:141">
      <c r="A222" t="s">
        <v>660</v>
      </c>
      <c r="B222">
        <v>480.75</v>
      </c>
      <c r="C222" t="s">
        <v>710</v>
      </c>
      <c r="D222" t="s">
        <v>660</v>
      </c>
      <c r="E222">
        <v>480.75</v>
      </c>
      <c r="F222" t="s">
        <v>710</v>
      </c>
      <c r="G222" t="s">
        <v>271</v>
      </c>
      <c r="H222">
        <v>30.72</v>
      </c>
      <c r="I222" t="s">
        <v>272</v>
      </c>
      <c r="J222" t="s">
        <v>271</v>
      </c>
      <c r="K222">
        <v>30.72</v>
      </c>
      <c r="L222" t="s">
        <v>272</v>
      </c>
      <c r="M222" t="s">
        <v>271</v>
      </c>
      <c r="N222">
        <v>30.72</v>
      </c>
      <c r="O222" t="s">
        <v>272</v>
      </c>
      <c r="P222" t="s">
        <v>453</v>
      </c>
      <c r="Q222">
        <v>2.1</v>
      </c>
      <c r="R222" t="s">
        <v>109</v>
      </c>
      <c r="S222" t="s">
        <v>271</v>
      </c>
      <c r="T222">
        <v>30.72</v>
      </c>
      <c r="U222" t="s">
        <v>272</v>
      </c>
      <c r="V222" t="s">
        <v>271</v>
      </c>
      <c r="W222">
        <v>30.72</v>
      </c>
      <c r="X222" t="s">
        <v>272</v>
      </c>
      <c r="Y222" t="s">
        <v>271</v>
      </c>
      <c r="Z222">
        <v>30.72</v>
      </c>
      <c r="AA222" t="s">
        <v>272</v>
      </c>
      <c r="AB222" t="s">
        <v>271</v>
      </c>
      <c r="AC222">
        <v>32.32</v>
      </c>
      <c r="AD222" t="s">
        <v>272</v>
      </c>
      <c r="AE222" t="s">
        <v>271</v>
      </c>
      <c r="AF222">
        <v>32.29</v>
      </c>
      <c r="AG222" t="s">
        <v>272</v>
      </c>
      <c r="AH222" t="s">
        <v>271</v>
      </c>
      <c r="AI222">
        <v>30.72</v>
      </c>
      <c r="AJ222" t="s">
        <v>272</v>
      </c>
      <c r="AK222" t="s">
        <v>271</v>
      </c>
      <c r="AL222">
        <v>30.72</v>
      </c>
      <c r="AM222" t="s">
        <v>272</v>
      </c>
      <c r="AN222" t="s">
        <v>271</v>
      </c>
      <c r="AO222">
        <v>30.72</v>
      </c>
      <c r="AP222" t="s">
        <v>272</v>
      </c>
      <c r="AQ222" t="s">
        <v>271</v>
      </c>
      <c r="AR222">
        <v>30.72</v>
      </c>
      <c r="AS222" t="s">
        <v>272</v>
      </c>
      <c r="AT222" t="s">
        <v>271</v>
      </c>
      <c r="AU222">
        <v>29.9</v>
      </c>
      <c r="AV222" t="s">
        <v>272</v>
      </c>
      <c r="AW222" t="s">
        <v>271</v>
      </c>
      <c r="AX222">
        <v>30</v>
      </c>
      <c r="AY222" t="s">
        <v>272</v>
      </c>
      <c r="AZ222" t="s">
        <v>271</v>
      </c>
      <c r="BA222">
        <v>26.71</v>
      </c>
      <c r="BB222" t="s">
        <v>272</v>
      </c>
      <c r="BC222" t="s">
        <v>271</v>
      </c>
      <c r="BD222">
        <v>26.28</v>
      </c>
      <c r="BE222" t="s">
        <v>272</v>
      </c>
      <c r="BF222" t="s">
        <v>271</v>
      </c>
      <c r="BG222">
        <v>26.24</v>
      </c>
      <c r="BH222" t="s">
        <v>272</v>
      </c>
      <c r="BI222" t="s">
        <v>271</v>
      </c>
      <c r="BJ222">
        <v>24.93</v>
      </c>
      <c r="BK222" t="s">
        <v>272</v>
      </c>
      <c r="BL222" t="s">
        <v>388</v>
      </c>
      <c r="BM222">
        <v>3.3</v>
      </c>
      <c r="BN222" t="s">
        <v>270</v>
      </c>
      <c r="BO222" t="s">
        <v>388</v>
      </c>
      <c r="BP222">
        <v>3.37</v>
      </c>
      <c r="BQ222" t="s">
        <v>270</v>
      </c>
      <c r="BR222" t="s">
        <v>388</v>
      </c>
      <c r="BS222">
        <v>3.55</v>
      </c>
      <c r="BT222" t="s">
        <v>270</v>
      </c>
      <c r="BU222" t="s">
        <v>388</v>
      </c>
      <c r="BV222">
        <v>3.5</v>
      </c>
      <c r="BW222" t="s">
        <v>270</v>
      </c>
      <c r="BX222" t="s">
        <v>388</v>
      </c>
      <c r="BY222">
        <v>3.61</v>
      </c>
      <c r="BZ222" t="s">
        <v>270</v>
      </c>
      <c r="CA222" t="s">
        <v>268</v>
      </c>
      <c r="CB222">
        <v>2.5</v>
      </c>
      <c r="CC222" t="s">
        <v>89</v>
      </c>
      <c r="CD222" t="s">
        <v>388</v>
      </c>
      <c r="CE222">
        <v>3.77</v>
      </c>
      <c r="CF222" t="s">
        <v>270</v>
      </c>
      <c r="CG222" t="s">
        <v>388</v>
      </c>
      <c r="CH222">
        <v>3.82</v>
      </c>
      <c r="CI222" t="s">
        <v>270</v>
      </c>
      <c r="CJ222" t="s">
        <v>388</v>
      </c>
      <c r="CK222">
        <v>3.75</v>
      </c>
      <c r="CL222" t="s">
        <v>270</v>
      </c>
      <c r="CM222" t="s">
        <v>388</v>
      </c>
      <c r="CN222">
        <v>4.12</v>
      </c>
      <c r="CO222" t="s">
        <v>270</v>
      </c>
      <c r="CP222" t="s">
        <v>388</v>
      </c>
      <c r="CQ222">
        <v>4.13</v>
      </c>
      <c r="CR222" t="s">
        <v>270</v>
      </c>
      <c r="CS222" t="s">
        <v>388</v>
      </c>
      <c r="CT222">
        <v>4.18</v>
      </c>
      <c r="CU222" t="s">
        <v>270</v>
      </c>
      <c r="CV222" t="s">
        <v>388</v>
      </c>
      <c r="CW222">
        <v>4.29</v>
      </c>
      <c r="CX222" t="s">
        <v>270</v>
      </c>
      <c r="CY222" t="s">
        <v>388</v>
      </c>
      <c r="CZ222">
        <v>4.46</v>
      </c>
      <c r="DA222" t="s">
        <v>270</v>
      </c>
      <c r="DB222" t="s">
        <v>388</v>
      </c>
      <c r="DC222">
        <v>4.63</v>
      </c>
      <c r="DD222" t="s">
        <v>270</v>
      </c>
      <c r="DE222" t="s">
        <v>388</v>
      </c>
      <c r="DF222">
        <v>4.5</v>
      </c>
      <c r="DG222" t="s">
        <v>270</v>
      </c>
      <c r="DH222" t="s">
        <v>388</v>
      </c>
      <c r="DI222">
        <v>4.3499999999999996</v>
      </c>
      <c r="DJ222" t="s">
        <v>270</v>
      </c>
      <c r="DK222" t="s">
        <v>660</v>
      </c>
      <c r="DL222">
        <v>480.75</v>
      </c>
      <c r="DM222" t="s">
        <v>710</v>
      </c>
      <c r="DN222" t="s">
        <v>660</v>
      </c>
      <c r="DO222">
        <v>480.75</v>
      </c>
      <c r="DP222" t="s">
        <v>710</v>
      </c>
      <c r="DQ222" t="s">
        <v>660</v>
      </c>
      <c r="DR222">
        <v>480.75</v>
      </c>
      <c r="DS222" t="s">
        <v>710</v>
      </c>
      <c r="DT222" t="s">
        <v>278</v>
      </c>
      <c r="DU222">
        <v>38.130000000000003</v>
      </c>
      <c r="DV222" t="s">
        <v>279</v>
      </c>
      <c r="DW222" t="s">
        <v>278</v>
      </c>
      <c r="DX222">
        <v>38.04</v>
      </c>
      <c r="DY222" t="s">
        <v>279</v>
      </c>
      <c r="DZ222" t="s">
        <v>278</v>
      </c>
      <c r="EA222">
        <v>38.159999999999997</v>
      </c>
      <c r="EB222" t="s">
        <v>279</v>
      </c>
      <c r="EC222" t="s">
        <v>278</v>
      </c>
      <c r="ED222">
        <v>39.65</v>
      </c>
      <c r="EE222" t="s">
        <v>279</v>
      </c>
      <c r="EF222" t="s">
        <v>278</v>
      </c>
      <c r="EG222">
        <v>44.2</v>
      </c>
      <c r="EH222" t="s">
        <v>279</v>
      </c>
      <c r="EI222" t="s">
        <v>278</v>
      </c>
      <c r="EJ222">
        <v>43.17</v>
      </c>
      <c r="EK222" t="s">
        <v>279</v>
      </c>
    </row>
    <row r="223" spans="1:141">
      <c r="A223" t="s">
        <v>271</v>
      </c>
      <c r="B223">
        <v>30.72</v>
      </c>
      <c r="C223" t="s">
        <v>272</v>
      </c>
      <c r="D223" t="s">
        <v>271</v>
      </c>
      <c r="E223">
        <v>30.72</v>
      </c>
      <c r="F223" t="s">
        <v>272</v>
      </c>
      <c r="G223" t="s">
        <v>273</v>
      </c>
      <c r="H223">
        <v>1.78</v>
      </c>
      <c r="I223" t="s">
        <v>274</v>
      </c>
      <c r="J223" t="s">
        <v>273</v>
      </c>
      <c r="K223">
        <v>1.77</v>
      </c>
      <c r="L223" t="s">
        <v>274</v>
      </c>
      <c r="M223" t="s">
        <v>273</v>
      </c>
      <c r="N223">
        <v>1.66</v>
      </c>
      <c r="O223" t="s">
        <v>274</v>
      </c>
      <c r="P223" t="s">
        <v>388</v>
      </c>
      <c r="Q223">
        <v>3.41</v>
      </c>
      <c r="R223" t="s">
        <v>270</v>
      </c>
      <c r="S223" t="s">
        <v>273</v>
      </c>
      <c r="T223">
        <v>1.65</v>
      </c>
      <c r="U223" t="s">
        <v>274</v>
      </c>
      <c r="V223" t="s">
        <v>273</v>
      </c>
      <c r="W223">
        <v>1.65</v>
      </c>
      <c r="X223" t="s">
        <v>274</v>
      </c>
      <c r="Y223" t="s">
        <v>273</v>
      </c>
      <c r="Z223">
        <v>1.7</v>
      </c>
      <c r="AA223" t="s">
        <v>274</v>
      </c>
      <c r="AB223" t="s">
        <v>273</v>
      </c>
      <c r="AC223">
        <v>1.65</v>
      </c>
      <c r="AD223" t="s">
        <v>274</v>
      </c>
      <c r="AE223" t="s">
        <v>273</v>
      </c>
      <c r="AF223">
        <v>1.64</v>
      </c>
      <c r="AG223" t="s">
        <v>274</v>
      </c>
      <c r="AH223" t="s">
        <v>273</v>
      </c>
      <c r="AI223">
        <v>1.63</v>
      </c>
      <c r="AJ223" t="s">
        <v>274</v>
      </c>
      <c r="AK223" t="s">
        <v>273</v>
      </c>
      <c r="AL223">
        <v>1.6</v>
      </c>
      <c r="AM223" t="s">
        <v>274</v>
      </c>
      <c r="AN223" t="s">
        <v>273</v>
      </c>
      <c r="AO223">
        <v>1.5</v>
      </c>
      <c r="AP223" t="s">
        <v>274</v>
      </c>
      <c r="AQ223" t="s">
        <v>273</v>
      </c>
      <c r="AR223">
        <v>1.54</v>
      </c>
      <c r="AS223" t="s">
        <v>274</v>
      </c>
      <c r="AT223" t="s">
        <v>273</v>
      </c>
      <c r="AU223">
        <v>1.53</v>
      </c>
      <c r="AV223" t="s">
        <v>274</v>
      </c>
      <c r="AW223" t="s">
        <v>273</v>
      </c>
      <c r="AX223">
        <v>1.6</v>
      </c>
      <c r="AY223" t="s">
        <v>274</v>
      </c>
      <c r="AZ223" t="s">
        <v>273</v>
      </c>
      <c r="BA223">
        <v>1.58</v>
      </c>
      <c r="BB223" t="s">
        <v>274</v>
      </c>
      <c r="BC223" t="s">
        <v>273</v>
      </c>
      <c r="BD223">
        <v>1.63</v>
      </c>
      <c r="BE223" t="s">
        <v>274</v>
      </c>
      <c r="BF223" t="s">
        <v>273</v>
      </c>
      <c r="BG223">
        <v>1.64</v>
      </c>
      <c r="BH223" t="s">
        <v>274</v>
      </c>
      <c r="BI223" t="s">
        <v>273</v>
      </c>
      <c r="BJ223">
        <v>1.65</v>
      </c>
      <c r="BK223" t="s">
        <v>274</v>
      </c>
      <c r="BL223" t="s">
        <v>660</v>
      </c>
      <c r="BM223">
        <v>480.75</v>
      </c>
      <c r="BN223" t="s">
        <v>710</v>
      </c>
      <c r="BO223" t="s">
        <v>660</v>
      </c>
      <c r="BP223">
        <v>480.75</v>
      </c>
      <c r="BQ223" t="s">
        <v>710</v>
      </c>
      <c r="BR223" t="s">
        <v>660</v>
      </c>
      <c r="BS223">
        <v>480.75</v>
      </c>
      <c r="BT223" t="s">
        <v>710</v>
      </c>
      <c r="BU223" t="s">
        <v>660</v>
      </c>
      <c r="BV223">
        <v>480.75</v>
      </c>
      <c r="BW223" t="s">
        <v>710</v>
      </c>
      <c r="BX223" t="s">
        <v>660</v>
      </c>
      <c r="BY223">
        <v>480.75</v>
      </c>
      <c r="BZ223" t="s">
        <v>710</v>
      </c>
      <c r="CA223" t="s">
        <v>269</v>
      </c>
      <c r="CB223">
        <v>6.49</v>
      </c>
      <c r="CC223" t="s">
        <v>84</v>
      </c>
      <c r="CD223" t="s">
        <v>660</v>
      </c>
      <c r="CE223">
        <v>480.75</v>
      </c>
      <c r="CF223" t="s">
        <v>710</v>
      </c>
      <c r="CG223" t="s">
        <v>660</v>
      </c>
      <c r="CH223">
        <v>480.75</v>
      </c>
      <c r="CI223" t="s">
        <v>710</v>
      </c>
      <c r="CJ223" t="s">
        <v>660</v>
      </c>
      <c r="CK223">
        <v>480.75</v>
      </c>
      <c r="CL223" t="s">
        <v>710</v>
      </c>
      <c r="CM223" t="s">
        <v>660</v>
      </c>
      <c r="CN223">
        <v>480.75</v>
      </c>
      <c r="CO223" t="s">
        <v>710</v>
      </c>
      <c r="CP223" t="s">
        <v>660</v>
      </c>
      <c r="CQ223">
        <v>480.75</v>
      </c>
      <c r="CR223" t="s">
        <v>710</v>
      </c>
      <c r="CS223" t="s">
        <v>660</v>
      </c>
      <c r="CT223">
        <v>480.75</v>
      </c>
      <c r="CU223" t="s">
        <v>710</v>
      </c>
      <c r="CV223" t="s">
        <v>660</v>
      </c>
      <c r="CW223">
        <v>480.75</v>
      </c>
      <c r="CX223" t="s">
        <v>710</v>
      </c>
      <c r="CY223" t="s">
        <v>660</v>
      </c>
      <c r="CZ223">
        <v>480.75</v>
      </c>
      <c r="DA223" t="s">
        <v>710</v>
      </c>
      <c r="DB223" t="s">
        <v>660</v>
      </c>
      <c r="DC223">
        <v>480.75</v>
      </c>
      <c r="DD223" t="s">
        <v>710</v>
      </c>
      <c r="DE223" t="s">
        <v>660</v>
      </c>
      <c r="DF223">
        <v>480.75</v>
      </c>
      <c r="DG223" t="s">
        <v>710</v>
      </c>
      <c r="DH223" t="s">
        <v>660</v>
      </c>
      <c r="DI223">
        <v>480.75</v>
      </c>
      <c r="DJ223" t="s">
        <v>710</v>
      </c>
      <c r="DK223" t="s">
        <v>271</v>
      </c>
      <c r="DL223">
        <v>29.53</v>
      </c>
      <c r="DM223" t="s">
        <v>272</v>
      </c>
      <c r="DN223" t="s">
        <v>271</v>
      </c>
      <c r="DO223">
        <v>28.5</v>
      </c>
      <c r="DP223" t="s">
        <v>272</v>
      </c>
      <c r="DQ223" t="s">
        <v>271</v>
      </c>
      <c r="DR223">
        <v>27.96</v>
      </c>
      <c r="DS223" t="s">
        <v>272</v>
      </c>
      <c r="DT223" t="s">
        <v>409</v>
      </c>
      <c r="DU223">
        <v>75.05</v>
      </c>
      <c r="DV223" t="s">
        <v>485</v>
      </c>
      <c r="DW223" t="s">
        <v>409</v>
      </c>
      <c r="DX223">
        <v>76.7</v>
      </c>
      <c r="DY223" t="s">
        <v>485</v>
      </c>
      <c r="DZ223" t="s">
        <v>409</v>
      </c>
      <c r="EA223">
        <v>76.11</v>
      </c>
      <c r="EB223" t="s">
        <v>485</v>
      </c>
      <c r="EC223" t="s">
        <v>409</v>
      </c>
      <c r="ED223">
        <v>76.11</v>
      </c>
      <c r="EE223" t="s">
        <v>485</v>
      </c>
      <c r="EF223" t="s">
        <v>409</v>
      </c>
      <c r="EG223">
        <v>78</v>
      </c>
      <c r="EH223" t="s">
        <v>485</v>
      </c>
      <c r="EI223" t="s">
        <v>409</v>
      </c>
      <c r="EJ223">
        <v>79</v>
      </c>
      <c r="EK223" t="s">
        <v>485</v>
      </c>
    </row>
    <row r="224" spans="1:141">
      <c r="A224" t="s">
        <v>273</v>
      </c>
      <c r="B224">
        <v>1.83</v>
      </c>
      <c r="C224" t="s">
        <v>274</v>
      </c>
      <c r="D224" t="s">
        <v>273</v>
      </c>
      <c r="E224">
        <v>1.77</v>
      </c>
      <c r="F224" t="s">
        <v>274</v>
      </c>
      <c r="G224" t="s">
        <v>275</v>
      </c>
      <c r="H224">
        <v>3.17</v>
      </c>
      <c r="I224" t="s">
        <v>276</v>
      </c>
      <c r="J224" t="s">
        <v>275</v>
      </c>
      <c r="K224">
        <v>3.17</v>
      </c>
      <c r="L224" t="s">
        <v>276</v>
      </c>
      <c r="M224" t="s">
        <v>275</v>
      </c>
      <c r="N224">
        <v>3.25</v>
      </c>
      <c r="O224" t="s">
        <v>276</v>
      </c>
      <c r="P224" t="s">
        <v>660</v>
      </c>
      <c r="Q224">
        <v>480.75</v>
      </c>
      <c r="R224" t="s">
        <v>710</v>
      </c>
      <c r="S224" t="s">
        <v>275</v>
      </c>
      <c r="T224">
        <v>3.58</v>
      </c>
      <c r="U224" t="s">
        <v>276</v>
      </c>
      <c r="V224" t="s">
        <v>275</v>
      </c>
      <c r="W224">
        <v>3.64</v>
      </c>
      <c r="X224" t="s">
        <v>276</v>
      </c>
      <c r="Y224" t="s">
        <v>275</v>
      </c>
      <c r="Z224">
        <v>3.81</v>
      </c>
      <c r="AA224" t="s">
        <v>276</v>
      </c>
      <c r="AB224" t="s">
        <v>275</v>
      </c>
      <c r="AC224">
        <v>3.6</v>
      </c>
      <c r="AD224" t="s">
        <v>276</v>
      </c>
      <c r="AE224" t="s">
        <v>275</v>
      </c>
      <c r="AF224">
        <v>3.57</v>
      </c>
      <c r="AG224" t="s">
        <v>276</v>
      </c>
      <c r="AH224" t="s">
        <v>275</v>
      </c>
      <c r="AI224">
        <v>3.47</v>
      </c>
      <c r="AJ224" t="s">
        <v>276</v>
      </c>
      <c r="AK224" t="s">
        <v>275</v>
      </c>
      <c r="AL224">
        <v>3.37</v>
      </c>
      <c r="AM224" t="s">
        <v>276</v>
      </c>
      <c r="AN224" t="s">
        <v>275</v>
      </c>
      <c r="AO224">
        <v>3.25</v>
      </c>
      <c r="AP224" t="s">
        <v>276</v>
      </c>
      <c r="AQ224" t="s">
        <v>275</v>
      </c>
      <c r="AR224">
        <v>3.42</v>
      </c>
      <c r="AS224" t="s">
        <v>276</v>
      </c>
      <c r="AT224" t="s">
        <v>275</v>
      </c>
      <c r="AU224">
        <v>3.39</v>
      </c>
      <c r="AV224" t="s">
        <v>276</v>
      </c>
      <c r="AW224" t="s">
        <v>275</v>
      </c>
      <c r="AX224">
        <v>3.36</v>
      </c>
      <c r="AY224" t="s">
        <v>276</v>
      </c>
      <c r="AZ224" t="s">
        <v>275</v>
      </c>
      <c r="BA224">
        <v>3.3</v>
      </c>
      <c r="BB224" t="s">
        <v>276</v>
      </c>
      <c r="BC224" t="s">
        <v>275</v>
      </c>
      <c r="BD224">
        <v>3.23</v>
      </c>
      <c r="BE224" t="s">
        <v>276</v>
      </c>
      <c r="BF224" t="s">
        <v>275</v>
      </c>
      <c r="BG224">
        <v>3.1</v>
      </c>
      <c r="BH224" t="s">
        <v>276</v>
      </c>
      <c r="BI224" t="s">
        <v>275</v>
      </c>
      <c r="BJ224">
        <v>3.25</v>
      </c>
      <c r="BK224" t="s">
        <v>276</v>
      </c>
      <c r="BL224" t="s">
        <v>271</v>
      </c>
      <c r="BM224">
        <v>24.25</v>
      </c>
      <c r="BN224" t="s">
        <v>272</v>
      </c>
      <c r="BO224" t="s">
        <v>271</v>
      </c>
      <c r="BP224">
        <v>25.78</v>
      </c>
      <c r="BQ224" t="s">
        <v>272</v>
      </c>
      <c r="BR224" t="s">
        <v>271</v>
      </c>
      <c r="BS224">
        <v>26.17</v>
      </c>
      <c r="BT224" t="s">
        <v>272</v>
      </c>
      <c r="BU224" t="s">
        <v>271</v>
      </c>
      <c r="BV224">
        <v>26.92</v>
      </c>
      <c r="BW224" t="s">
        <v>272</v>
      </c>
      <c r="BX224" t="s">
        <v>271</v>
      </c>
      <c r="BY224">
        <v>27.47</v>
      </c>
      <c r="BZ224" t="s">
        <v>272</v>
      </c>
      <c r="CA224" t="s">
        <v>453</v>
      </c>
      <c r="CB224">
        <v>1.9</v>
      </c>
      <c r="CC224" t="s">
        <v>109</v>
      </c>
      <c r="CD224" t="s">
        <v>271</v>
      </c>
      <c r="CE224">
        <v>27.4</v>
      </c>
      <c r="CF224" t="s">
        <v>272</v>
      </c>
      <c r="CG224" t="s">
        <v>271</v>
      </c>
      <c r="CH224">
        <v>26.03</v>
      </c>
      <c r="CI224" t="s">
        <v>272</v>
      </c>
      <c r="CJ224" t="s">
        <v>271</v>
      </c>
      <c r="CK224">
        <v>26.05</v>
      </c>
      <c r="CL224" t="s">
        <v>272</v>
      </c>
      <c r="CM224" t="s">
        <v>271</v>
      </c>
      <c r="CN224">
        <v>25</v>
      </c>
      <c r="CO224" t="s">
        <v>272</v>
      </c>
      <c r="CP224" t="s">
        <v>271</v>
      </c>
      <c r="CQ224">
        <v>25.05</v>
      </c>
      <c r="CR224" t="s">
        <v>272</v>
      </c>
      <c r="CS224" t="s">
        <v>271</v>
      </c>
      <c r="CT224">
        <v>24.81</v>
      </c>
      <c r="CU224" t="s">
        <v>272</v>
      </c>
      <c r="CV224" t="s">
        <v>271</v>
      </c>
      <c r="CW224">
        <v>24.26</v>
      </c>
      <c r="CX224" t="s">
        <v>272</v>
      </c>
      <c r="CY224" t="s">
        <v>271</v>
      </c>
      <c r="CZ224">
        <v>26.77</v>
      </c>
      <c r="DA224" t="s">
        <v>272</v>
      </c>
      <c r="DB224" t="s">
        <v>271</v>
      </c>
      <c r="DC224">
        <v>25.61</v>
      </c>
      <c r="DD224" t="s">
        <v>272</v>
      </c>
      <c r="DE224" t="s">
        <v>271</v>
      </c>
      <c r="DF224">
        <v>24.99</v>
      </c>
      <c r="DG224" t="s">
        <v>272</v>
      </c>
      <c r="DH224" t="s">
        <v>271</v>
      </c>
      <c r="DI224">
        <v>25.8</v>
      </c>
      <c r="DJ224" t="s">
        <v>272</v>
      </c>
      <c r="DK224" t="s">
        <v>273</v>
      </c>
      <c r="DL224">
        <v>2.02</v>
      </c>
      <c r="DM224" t="s">
        <v>274</v>
      </c>
      <c r="DN224" t="s">
        <v>273</v>
      </c>
      <c r="DO224">
        <v>1.96</v>
      </c>
      <c r="DP224" t="s">
        <v>274</v>
      </c>
      <c r="DQ224" t="s">
        <v>273</v>
      </c>
      <c r="DR224">
        <v>2.33</v>
      </c>
      <c r="DS224" t="s">
        <v>274</v>
      </c>
      <c r="DT224" t="s">
        <v>394</v>
      </c>
      <c r="DU224">
        <v>118</v>
      </c>
      <c r="DV224" t="s">
        <v>280</v>
      </c>
      <c r="DW224" t="s">
        <v>394</v>
      </c>
      <c r="DX224">
        <v>122.6</v>
      </c>
      <c r="DY224" t="s">
        <v>280</v>
      </c>
      <c r="DZ224" t="s">
        <v>394</v>
      </c>
      <c r="EA224">
        <v>130.26</v>
      </c>
      <c r="EB224" t="s">
        <v>280</v>
      </c>
      <c r="EC224" t="s">
        <v>394</v>
      </c>
      <c r="ED224">
        <v>127</v>
      </c>
      <c r="EE224" t="s">
        <v>280</v>
      </c>
      <c r="EF224" t="s">
        <v>394</v>
      </c>
      <c r="EG224">
        <v>149.25</v>
      </c>
      <c r="EH224" t="s">
        <v>280</v>
      </c>
      <c r="EI224" t="s">
        <v>394</v>
      </c>
      <c r="EJ224">
        <v>155.5</v>
      </c>
      <c r="EK224" t="s">
        <v>280</v>
      </c>
    </row>
    <row r="225" spans="1:141">
      <c r="A225" t="s">
        <v>275</v>
      </c>
      <c r="B225">
        <v>3.16</v>
      </c>
      <c r="C225" t="s">
        <v>276</v>
      </c>
      <c r="D225" t="s">
        <v>275</v>
      </c>
      <c r="E225">
        <v>3.17</v>
      </c>
      <c r="F225" t="s">
        <v>276</v>
      </c>
      <c r="G225" t="s">
        <v>437</v>
      </c>
      <c r="H225">
        <v>8.24</v>
      </c>
      <c r="I225" t="s">
        <v>127</v>
      </c>
      <c r="J225" t="s">
        <v>437</v>
      </c>
      <c r="K225">
        <v>8.92</v>
      </c>
      <c r="L225" t="s">
        <v>127</v>
      </c>
      <c r="M225" t="s">
        <v>437</v>
      </c>
      <c r="N225">
        <v>10.24</v>
      </c>
      <c r="O225" t="s">
        <v>127</v>
      </c>
      <c r="P225" t="s">
        <v>271</v>
      </c>
      <c r="Q225">
        <v>30.72</v>
      </c>
      <c r="R225" t="s">
        <v>272</v>
      </c>
      <c r="S225" t="s">
        <v>437</v>
      </c>
      <c r="T225">
        <v>9.41</v>
      </c>
      <c r="U225" t="s">
        <v>127</v>
      </c>
      <c r="V225" t="s">
        <v>437</v>
      </c>
      <c r="W225">
        <v>8.7799999999999994</v>
      </c>
      <c r="X225" t="s">
        <v>127</v>
      </c>
      <c r="Y225" t="s">
        <v>437</v>
      </c>
      <c r="Z225">
        <v>8.8000000000000007</v>
      </c>
      <c r="AA225" t="s">
        <v>127</v>
      </c>
      <c r="AB225" t="s">
        <v>437</v>
      </c>
      <c r="AC225">
        <v>9.43</v>
      </c>
      <c r="AD225" t="s">
        <v>127</v>
      </c>
      <c r="AE225" t="s">
        <v>437</v>
      </c>
      <c r="AF225">
        <v>9.1999999999999993</v>
      </c>
      <c r="AG225" t="s">
        <v>127</v>
      </c>
      <c r="AH225" t="s">
        <v>437</v>
      </c>
      <c r="AI225">
        <v>9.2799999999999994</v>
      </c>
      <c r="AJ225" t="s">
        <v>127</v>
      </c>
      <c r="AK225" t="s">
        <v>437</v>
      </c>
      <c r="AL225">
        <v>9.98</v>
      </c>
      <c r="AM225" t="s">
        <v>127</v>
      </c>
      <c r="AN225" t="s">
        <v>437</v>
      </c>
      <c r="AO225">
        <v>11.07</v>
      </c>
      <c r="AP225" t="s">
        <v>127</v>
      </c>
      <c r="AQ225" t="s">
        <v>437</v>
      </c>
      <c r="AR225">
        <v>12.15</v>
      </c>
      <c r="AS225" t="s">
        <v>127</v>
      </c>
      <c r="AT225" t="s">
        <v>437</v>
      </c>
      <c r="AU225">
        <v>12.99</v>
      </c>
      <c r="AV225" t="s">
        <v>127</v>
      </c>
      <c r="AW225" t="s">
        <v>437</v>
      </c>
      <c r="AX225">
        <v>12.49</v>
      </c>
      <c r="AY225" t="s">
        <v>127</v>
      </c>
      <c r="AZ225" t="s">
        <v>437</v>
      </c>
      <c r="BA225">
        <v>12.28</v>
      </c>
      <c r="BB225" t="s">
        <v>127</v>
      </c>
      <c r="BC225" t="s">
        <v>437</v>
      </c>
      <c r="BD225">
        <v>11.06</v>
      </c>
      <c r="BE225" t="s">
        <v>127</v>
      </c>
      <c r="BF225" t="s">
        <v>437</v>
      </c>
      <c r="BG225">
        <v>11.24</v>
      </c>
      <c r="BH225" t="s">
        <v>127</v>
      </c>
      <c r="BI225" t="s">
        <v>437</v>
      </c>
      <c r="BJ225">
        <v>11.7</v>
      </c>
      <c r="BK225" t="s">
        <v>127</v>
      </c>
      <c r="BL225" t="s">
        <v>273</v>
      </c>
      <c r="BM225">
        <v>1.55</v>
      </c>
      <c r="BN225" t="s">
        <v>274</v>
      </c>
      <c r="BO225" t="s">
        <v>273</v>
      </c>
      <c r="BP225">
        <v>1.55</v>
      </c>
      <c r="BQ225" t="s">
        <v>274</v>
      </c>
      <c r="BR225" t="s">
        <v>273</v>
      </c>
      <c r="BS225">
        <v>1.58</v>
      </c>
      <c r="BT225" t="s">
        <v>274</v>
      </c>
      <c r="BU225" t="s">
        <v>273</v>
      </c>
      <c r="BV225">
        <v>1.55</v>
      </c>
      <c r="BW225" t="s">
        <v>274</v>
      </c>
      <c r="BX225" t="s">
        <v>273</v>
      </c>
      <c r="BY225">
        <v>1.55</v>
      </c>
      <c r="BZ225" t="s">
        <v>274</v>
      </c>
      <c r="CA225" t="s">
        <v>388</v>
      </c>
      <c r="CB225">
        <v>3.67</v>
      </c>
      <c r="CC225" t="s">
        <v>270</v>
      </c>
      <c r="CD225" t="s">
        <v>273</v>
      </c>
      <c r="CE225">
        <v>1.55</v>
      </c>
      <c r="CF225" t="s">
        <v>274</v>
      </c>
      <c r="CG225" t="s">
        <v>273</v>
      </c>
      <c r="CH225">
        <v>1.55</v>
      </c>
      <c r="CI225" t="s">
        <v>274</v>
      </c>
      <c r="CJ225" t="s">
        <v>273</v>
      </c>
      <c r="CK225">
        <v>1.59</v>
      </c>
      <c r="CL225" t="s">
        <v>274</v>
      </c>
      <c r="CM225" t="s">
        <v>273</v>
      </c>
      <c r="CN225">
        <v>1.59</v>
      </c>
      <c r="CO225" t="s">
        <v>274</v>
      </c>
      <c r="CP225" t="s">
        <v>273</v>
      </c>
      <c r="CQ225">
        <v>1.55</v>
      </c>
      <c r="CR225" t="s">
        <v>274</v>
      </c>
      <c r="CS225" t="s">
        <v>273</v>
      </c>
      <c r="CT225">
        <v>1.55</v>
      </c>
      <c r="CU225" t="s">
        <v>274</v>
      </c>
      <c r="CV225" t="s">
        <v>273</v>
      </c>
      <c r="CW225">
        <v>1.55</v>
      </c>
      <c r="CX225" t="s">
        <v>274</v>
      </c>
      <c r="CY225" t="s">
        <v>273</v>
      </c>
      <c r="CZ225">
        <v>1.55</v>
      </c>
      <c r="DA225" t="s">
        <v>274</v>
      </c>
      <c r="DB225" t="s">
        <v>273</v>
      </c>
      <c r="DC225">
        <v>1.65</v>
      </c>
      <c r="DD225" t="s">
        <v>274</v>
      </c>
      <c r="DE225" t="s">
        <v>273</v>
      </c>
      <c r="DF225">
        <v>1.62</v>
      </c>
      <c r="DG225" t="s">
        <v>274</v>
      </c>
      <c r="DH225" t="s">
        <v>273</v>
      </c>
      <c r="DI225">
        <v>2.15</v>
      </c>
      <c r="DJ225" t="s">
        <v>274</v>
      </c>
      <c r="DK225" t="s">
        <v>275</v>
      </c>
      <c r="DL225">
        <v>2.91</v>
      </c>
      <c r="DM225" t="s">
        <v>276</v>
      </c>
      <c r="DN225" t="s">
        <v>275</v>
      </c>
      <c r="DO225">
        <v>2.96</v>
      </c>
      <c r="DP225" t="s">
        <v>276</v>
      </c>
      <c r="DQ225" t="s">
        <v>275</v>
      </c>
      <c r="DR225">
        <v>3.18</v>
      </c>
      <c r="DS225" t="s">
        <v>276</v>
      </c>
      <c r="DT225" t="s">
        <v>281</v>
      </c>
      <c r="DU225">
        <v>17.57</v>
      </c>
      <c r="DV225" t="s">
        <v>282</v>
      </c>
      <c r="DW225" t="s">
        <v>281</v>
      </c>
      <c r="DX225">
        <v>18.48</v>
      </c>
      <c r="DY225" t="s">
        <v>282</v>
      </c>
      <c r="DZ225" t="s">
        <v>281</v>
      </c>
      <c r="EA225">
        <v>17.899999999999999</v>
      </c>
      <c r="EB225" t="s">
        <v>282</v>
      </c>
      <c r="EC225" t="s">
        <v>281</v>
      </c>
      <c r="ED225">
        <v>17.21</v>
      </c>
      <c r="EE225" t="s">
        <v>282</v>
      </c>
      <c r="EF225" t="s">
        <v>281</v>
      </c>
      <c r="EG225">
        <v>17.420000000000002</v>
      </c>
      <c r="EH225" t="s">
        <v>282</v>
      </c>
      <c r="EI225" t="s">
        <v>281</v>
      </c>
      <c r="EJ225">
        <v>17.600000000000001</v>
      </c>
      <c r="EK225" t="s">
        <v>282</v>
      </c>
    </row>
    <row r="226" spans="1:141">
      <c r="A226" t="s">
        <v>437</v>
      </c>
      <c r="B226">
        <v>7.51</v>
      </c>
      <c r="C226" t="s">
        <v>127</v>
      </c>
      <c r="D226" t="s">
        <v>437</v>
      </c>
      <c r="E226">
        <v>7.48</v>
      </c>
      <c r="F226" t="s">
        <v>127</v>
      </c>
      <c r="G226" t="s">
        <v>667</v>
      </c>
      <c r="H226">
        <v>2.5299999999999998</v>
      </c>
      <c r="I226" t="s">
        <v>594</v>
      </c>
      <c r="J226" t="s">
        <v>667</v>
      </c>
      <c r="K226">
        <v>2.5299999999999998</v>
      </c>
      <c r="L226" t="s">
        <v>594</v>
      </c>
      <c r="M226" t="s">
        <v>667</v>
      </c>
      <c r="N226">
        <v>2.5299999999999998</v>
      </c>
      <c r="O226" t="s">
        <v>594</v>
      </c>
      <c r="P226" t="s">
        <v>273</v>
      </c>
      <c r="Q226">
        <v>1.64</v>
      </c>
      <c r="R226" t="s">
        <v>274</v>
      </c>
      <c r="S226" t="s">
        <v>667</v>
      </c>
      <c r="T226">
        <v>2.5299999999999998</v>
      </c>
      <c r="U226" t="s">
        <v>594</v>
      </c>
      <c r="V226" t="s">
        <v>667</v>
      </c>
      <c r="W226">
        <v>2.5299999999999998</v>
      </c>
      <c r="X226" t="s">
        <v>594</v>
      </c>
      <c r="Y226" t="s">
        <v>667</v>
      </c>
      <c r="Z226">
        <v>2.5299999999999998</v>
      </c>
      <c r="AA226" t="s">
        <v>594</v>
      </c>
      <c r="AB226" t="s">
        <v>667</v>
      </c>
      <c r="AC226">
        <v>2.5299999999999998</v>
      </c>
      <c r="AD226" t="s">
        <v>594</v>
      </c>
      <c r="AE226" t="s">
        <v>667</v>
      </c>
      <c r="AF226">
        <v>2.5299999999999998</v>
      </c>
      <c r="AG226" t="s">
        <v>594</v>
      </c>
      <c r="AH226" t="s">
        <v>667</v>
      </c>
      <c r="AI226">
        <v>2.5299999999999998</v>
      </c>
      <c r="AJ226" t="s">
        <v>594</v>
      </c>
      <c r="AK226" t="s">
        <v>667</v>
      </c>
      <c r="AL226">
        <v>2.5299999999999998</v>
      </c>
      <c r="AM226" t="s">
        <v>594</v>
      </c>
      <c r="AN226" t="s">
        <v>667</v>
      </c>
      <c r="AO226">
        <v>2.5299999999999998</v>
      </c>
      <c r="AP226" t="s">
        <v>594</v>
      </c>
      <c r="AQ226" t="s">
        <v>667</v>
      </c>
      <c r="AR226">
        <v>2.5299999999999998</v>
      </c>
      <c r="AS226" t="s">
        <v>594</v>
      </c>
      <c r="AT226" t="s">
        <v>667</v>
      </c>
      <c r="AU226">
        <v>2.5299999999999998</v>
      </c>
      <c r="AV226" t="s">
        <v>594</v>
      </c>
      <c r="AW226" t="s">
        <v>667</v>
      </c>
      <c r="AX226">
        <v>2.5299999999999998</v>
      </c>
      <c r="AY226" t="s">
        <v>594</v>
      </c>
      <c r="AZ226" t="s">
        <v>667</v>
      </c>
      <c r="BA226">
        <v>2.5299999999999998</v>
      </c>
      <c r="BB226" t="s">
        <v>594</v>
      </c>
      <c r="BC226" t="s">
        <v>667</v>
      </c>
      <c r="BD226">
        <v>2.5299999999999998</v>
      </c>
      <c r="BE226" t="s">
        <v>594</v>
      </c>
      <c r="BF226" t="s">
        <v>667</v>
      </c>
      <c r="BG226">
        <v>2.5299999999999998</v>
      </c>
      <c r="BH226" t="s">
        <v>594</v>
      </c>
      <c r="BI226" t="s">
        <v>667</v>
      </c>
      <c r="BJ226">
        <v>2.5299999999999998</v>
      </c>
      <c r="BK226" t="s">
        <v>594</v>
      </c>
      <c r="BL226" t="s">
        <v>275</v>
      </c>
      <c r="BM226">
        <v>3.09</v>
      </c>
      <c r="BN226" t="s">
        <v>276</v>
      </c>
      <c r="BO226" t="s">
        <v>275</v>
      </c>
      <c r="BP226">
        <v>3.03</v>
      </c>
      <c r="BQ226" t="s">
        <v>276</v>
      </c>
      <c r="BR226" t="s">
        <v>275</v>
      </c>
      <c r="BS226">
        <v>3.1</v>
      </c>
      <c r="BT226" t="s">
        <v>276</v>
      </c>
      <c r="BU226" t="s">
        <v>275</v>
      </c>
      <c r="BV226">
        <v>3.2</v>
      </c>
      <c r="BW226" t="s">
        <v>276</v>
      </c>
      <c r="BX226" t="s">
        <v>275</v>
      </c>
      <c r="BY226">
        <v>3.1</v>
      </c>
      <c r="BZ226" t="s">
        <v>276</v>
      </c>
      <c r="CA226" t="s">
        <v>660</v>
      </c>
      <c r="CB226">
        <v>480.75</v>
      </c>
      <c r="CC226" t="s">
        <v>710</v>
      </c>
      <c r="CD226" t="s">
        <v>275</v>
      </c>
      <c r="CE226">
        <v>3.15</v>
      </c>
      <c r="CF226" t="s">
        <v>276</v>
      </c>
      <c r="CG226" t="s">
        <v>275</v>
      </c>
      <c r="CH226">
        <v>3.1</v>
      </c>
      <c r="CI226" t="s">
        <v>276</v>
      </c>
      <c r="CJ226" t="s">
        <v>275</v>
      </c>
      <c r="CK226">
        <v>3.12</v>
      </c>
      <c r="CL226" t="s">
        <v>276</v>
      </c>
      <c r="CM226" t="s">
        <v>275</v>
      </c>
      <c r="CN226">
        <v>3.14</v>
      </c>
      <c r="CO226" t="s">
        <v>276</v>
      </c>
      <c r="CP226" t="s">
        <v>275</v>
      </c>
      <c r="CQ226">
        <v>3.09</v>
      </c>
      <c r="CR226" t="s">
        <v>276</v>
      </c>
      <c r="CS226" t="s">
        <v>275</v>
      </c>
      <c r="CT226">
        <v>3.05</v>
      </c>
      <c r="CU226" t="s">
        <v>276</v>
      </c>
      <c r="CV226" t="s">
        <v>275</v>
      </c>
      <c r="CW226">
        <v>3</v>
      </c>
      <c r="CX226" t="s">
        <v>276</v>
      </c>
      <c r="CY226" t="s">
        <v>275</v>
      </c>
      <c r="CZ226">
        <v>3.06</v>
      </c>
      <c r="DA226" t="s">
        <v>276</v>
      </c>
      <c r="DB226" t="s">
        <v>275</v>
      </c>
      <c r="DC226">
        <v>3.13</v>
      </c>
      <c r="DD226" t="s">
        <v>276</v>
      </c>
      <c r="DE226" t="s">
        <v>275</v>
      </c>
      <c r="DF226">
        <v>3.28</v>
      </c>
      <c r="DG226" t="s">
        <v>276</v>
      </c>
      <c r="DH226" t="s">
        <v>275</v>
      </c>
      <c r="DI226">
        <v>3.09</v>
      </c>
      <c r="DJ226" t="s">
        <v>276</v>
      </c>
      <c r="DK226" t="s">
        <v>437</v>
      </c>
      <c r="DL226">
        <v>9.52</v>
      </c>
      <c r="DM226" t="s">
        <v>127</v>
      </c>
      <c r="DN226" t="s">
        <v>437</v>
      </c>
      <c r="DO226">
        <v>9</v>
      </c>
      <c r="DP226" t="s">
        <v>127</v>
      </c>
      <c r="DQ226" t="s">
        <v>437</v>
      </c>
      <c r="DR226">
        <v>10.1</v>
      </c>
      <c r="DS226" t="s">
        <v>127</v>
      </c>
      <c r="DT226" t="s">
        <v>450</v>
      </c>
      <c r="DU226">
        <v>73.900000000000006</v>
      </c>
      <c r="DV226" t="s">
        <v>31</v>
      </c>
      <c r="DW226" t="s">
        <v>450</v>
      </c>
      <c r="DX226">
        <v>73</v>
      </c>
      <c r="DY226" t="s">
        <v>31</v>
      </c>
      <c r="DZ226" t="s">
        <v>450</v>
      </c>
      <c r="EA226">
        <v>71.03</v>
      </c>
      <c r="EB226" t="s">
        <v>31</v>
      </c>
      <c r="EC226" t="s">
        <v>450</v>
      </c>
      <c r="ED226">
        <v>76.33</v>
      </c>
      <c r="EE226" t="s">
        <v>31</v>
      </c>
      <c r="EF226" t="s">
        <v>450</v>
      </c>
      <c r="EG226">
        <v>74.16</v>
      </c>
      <c r="EH226" t="s">
        <v>31</v>
      </c>
      <c r="EI226" t="s">
        <v>450</v>
      </c>
      <c r="EJ226">
        <v>76.7</v>
      </c>
      <c r="EK226" t="s">
        <v>31</v>
      </c>
    </row>
    <row r="227" spans="1:141">
      <c r="A227" t="s">
        <v>667</v>
      </c>
      <c r="B227">
        <v>2.5299999999999998</v>
      </c>
      <c r="C227" t="s">
        <v>594</v>
      </c>
      <c r="D227" t="s">
        <v>667</v>
      </c>
      <c r="E227">
        <v>2.5299999999999998</v>
      </c>
      <c r="F227" t="s">
        <v>594</v>
      </c>
      <c r="G227" t="s">
        <v>277</v>
      </c>
      <c r="H227">
        <v>13</v>
      </c>
      <c r="I227" t="s">
        <v>25</v>
      </c>
      <c r="J227" t="s">
        <v>277</v>
      </c>
      <c r="K227">
        <v>13.01</v>
      </c>
      <c r="L227" t="s">
        <v>25</v>
      </c>
      <c r="M227" t="s">
        <v>277</v>
      </c>
      <c r="N227">
        <v>12.9</v>
      </c>
      <c r="O227" t="s">
        <v>25</v>
      </c>
      <c r="P227" t="s">
        <v>275</v>
      </c>
      <c r="Q227">
        <v>3.41</v>
      </c>
      <c r="R227" t="s">
        <v>276</v>
      </c>
      <c r="S227" t="s">
        <v>277</v>
      </c>
      <c r="T227">
        <v>12.8</v>
      </c>
      <c r="U227" t="s">
        <v>25</v>
      </c>
      <c r="V227" t="s">
        <v>277</v>
      </c>
      <c r="W227">
        <v>12.8</v>
      </c>
      <c r="X227" t="s">
        <v>25</v>
      </c>
      <c r="Y227" t="s">
        <v>277</v>
      </c>
      <c r="Z227">
        <v>13.07</v>
      </c>
      <c r="AA227" t="s">
        <v>25</v>
      </c>
      <c r="AB227" t="s">
        <v>277</v>
      </c>
      <c r="AC227">
        <v>12.8</v>
      </c>
      <c r="AD227" t="s">
        <v>25</v>
      </c>
      <c r="AE227" t="s">
        <v>277</v>
      </c>
      <c r="AF227">
        <v>12.54</v>
      </c>
      <c r="AG227" t="s">
        <v>25</v>
      </c>
      <c r="AH227" t="s">
        <v>277</v>
      </c>
      <c r="AI227">
        <v>12.46</v>
      </c>
      <c r="AJ227" t="s">
        <v>25</v>
      </c>
      <c r="AK227" t="s">
        <v>277</v>
      </c>
      <c r="AL227">
        <v>12.32</v>
      </c>
      <c r="AM227" t="s">
        <v>25</v>
      </c>
      <c r="AN227" t="s">
        <v>277</v>
      </c>
      <c r="AO227">
        <v>12.03</v>
      </c>
      <c r="AP227" t="s">
        <v>25</v>
      </c>
      <c r="AQ227" t="s">
        <v>277</v>
      </c>
      <c r="AR227">
        <v>12.16</v>
      </c>
      <c r="AS227" t="s">
        <v>25</v>
      </c>
      <c r="AT227" t="s">
        <v>277</v>
      </c>
      <c r="AU227">
        <v>12.39</v>
      </c>
      <c r="AV227" t="s">
        <v>25</v>
      </c>
      <c r="AW227" t="s">
        <v>277</v>
      </c>
      <c r="AX227">
        <v>12.16</v>
      </c>
      <c r="AY227" t="s">
        <v>25</v>
      </c>
      <c r="AZ227" t="s">
        <v>277</v>
      </c>
      <c r="BA227">
        <v>12.27</v>
      </c>
      <c r="BB227" t="s">
        <v>25</v>
      </c>
      <c r="BC227" t="s">
        <v>277</v>
      </c>
      <c r="BD227">
        <v>12.01</v>
      </c>
      <c r="BE227" t="s">
        <v>25</v>
      </c>
      <c r="BF227" t="s">
        <v>277</v>
      </c>
      <c r="BG227">
        <v>12.01</v>
      </c>
      <c r="BH227" t="s">
        <v>25</v>
      </c>
      <c r="BI227" t="s">
        <v>277</v>
      </c>
      <c r="BJ227">
        <v>12.03</v>
      </c>
      <c r="BK227" t="s">
        <v>25</v>
      </c>
      <c r="BL227" t="s">
        <v>437</v>
      </c>
      <c r="BM227">
        <v>11.58</v>
      </c>
      <c r="BN227" t="s">
        <v>127</v>
      </c>
      <c r="BO227" t="s">
        <v>437</v>
      </c>
      <c r="BP227">
        <v>11.28</v>
      </c>
      <c r="BQ227" t="s">
        <v>127</v>
      </c>
      <c r="BR227" t="s">
        <v>437</v>
      </c>
      <c r="BS227">
        <v>11.86</v>
      </c>
      <c r="BT227" t="s">
        <v>127</v>
      </c>
      <c r="BU227" t="s">
        <v>437</v>
      </c>
      <c r="BV227">
        <v>11.24</v>
      </c>
      <c r="BW227" t="s">
        <v>127</v>
      </c>
      <c r="BX227" t="s">
        <v>437</v>
      </c>
      <c r="BY227">
        <v>11.63</v>
      </c>
      <c r="BZ227" t="s">
        <v>127</v>
      </c>
      <c r="CA227" t="s">
        <v>271</v>
      </c>
      <c r="CB227">
        <v>28.84</v>
      </c>
      <c r="CC227" t="s">
        <v>272</v>
      </c>
      <c r="CD227" t="s">
        <v>437</v>
      </c>
      <c r="CE227">
        <v>11.25</v>
      </c>
      <c r="CF227" t="s">
        <v>127</v>
      </c>
      <c r="CG227" t="s">
        <v>437</v>
      </c>
      <c r="CH227">
        <v>11.58</v>
      </c>
      <c r="CI227" t="s">
        <v>127</v>
      </c>
      <c r="CJ227" t="s">
        <v>437</v>
      </c>
      <c r="CK227">
        <v>11.12</v>
      </c>
      <c r="CL227" t="s">
        <v>127</v>
      </c>
      <c r="CM227" t="s">
        <v>437</v>
      </c>
      <c r="CN227">
        <v>11.08</v>
      </c>
      <c r="CO227" t="s">
        <v>127</v>
      </c>
      <c r="CP227" t="s">
        <v>437</v>
      </c>
      <c r="CQ227">
        <v>11.23</v>
      </c>
      <c r="CR227" t="s">
        <v>127</v>
      </c>
      <c r="CS227" t="s">
        <v>437</v>
      </c>
      <c r="CT227">
        <v>10.84</v>
      </c>
      <c r="CU227" t="s">
        <v>127</v>
      </c>
      <c r="CV227" t="s">
        <v>437</v>
      </c>
      <c r="CW227">
        <v>10.74</v>
      </c>
      <c r="CX227" t="s">
        <v>127</v>
      </c>
      <c r="CY227" t="s">
        <v>437</v>
      </c>
      <c r="CZ227">
        <v>10.37</v>
      </c>
      <c r="DA227" t="s">
        <v>127</v>
      </c>
      <c r="DB227" t="s">
        <v>437</v>
      </c>
      <c r="DC227">
        <v>10.02</v>
      </c>
      <c r="DD227" t="s">
        <v>127</v>
      </c>
      <c r="DE227" t="s">
        <v>437</v>
      </c>
      <c r="DF227">
        <v>9.49</v>
      </c>
      <c r="DG227" t="s">
        <v>127</v>
      </c>
      <c r="DH227" t="s">
        <v>437</v>
      </c>
      <c r="DI227">
        <v>10.16</v>
      </c>
      <c r="DJ227" t="s">
        <v>127</v>
      </c>
      <c r="DK227" t="s">
        <v>667</v>
      </c>
      <c r="DL227">
        <v>2.5299999999999998</v>
      </c>
      <c r="DM227" t="s">
        <v>594</v>
      </c>
      <c r="DN227" t="s">
        <v>667</v>
      </c>
      <c r="DO227">
        <v>2.5299999999999998</v>
      </c>
      <c r="DP227" t="s">
        <v>594</v>
      </c>
      <c r="DQ227" t="s">
        <v>667</v>
      </c>
      <c r="DR227">
        <v>2.11</v>
      </c>
      <c r="DS227" t="s">
        <v>594</v>
      </c>
      <c r="DT227" t="s">
        <v>658</v>
      </c>
      <c r="DU227">
        <v>9.11</v>
      </c>
      <c r="DV227" t="s">
        <v>689</v>
      </c>
      <c r="DW227" t="s">
        <v>658</v>
      </c>
      <c r="DX227">
        <v>9.11</v>
      </c>
      <c r="DY227" t="s">
        <v>689</v>
      </c>
      <c r="DZ227" t="s">
        <v>658</v>
      </c>
      <c r="EA227">
        <v>9.11</v>
      </c>
      <c r="EB227" t="s">
        <v>689</v>
      </c>
      <c r="EC227" t="s">
        <v>658</v>
      </c>
      <c r="ED227">
        <v>9.11</v>
      </c>
      <c r="EE227" t="s">
        <v>689</v>
      </c>
      <c r="EF227" t="s">
        <v>658</v>
      </c>
      <c r="EG227">
        <v>9.11</v>
      </c>
      <c r="EH227" t="s">
        <v>689</v>
      </c>
      <c r="EI227" t="s">
        <v>658</v>
      </c>
      <c r="EJ227">
        <v>9.11</v>
      </c>
      <c r="EK227" t="s">
        <v>689</v>
      </c>
    </row>
    <row r="228" spans="1:141">
      <c r="A228" t="s">
        <v>277</v>
      </c>
      <c r="B228">
        <v>13.27</v>
      </c>
      <c r="C228" t="s">
        <v>25</v>
      </c>
      <c r="D228" t="s">
        <v>277</v>
      </c>
      <c r="E228">
        <v>13.14</v>
      </c>
      <c r="F228" t="s">
        <v>25</v>
      </c>
      <c r="G228" t="s">
        <v>278</v>
      </c>
      <c r="H228">
        <v>30.76</v>
      </c>
      <c r="I228" t="s">
        <v>279</v>
      </c>
      <c r="J228" t="s">
        <v>278</v>
      </c>
      <c r="K228">
        <v>30.6</v>
      </c>
      <c r="L228" t="s">
        <v>279</v>
      </c>
      <c r="M228" t="s">
        <v>278</v>
      </c>
      <c r="N228">
        <v>29.85</v>
      </c>
      <c r="O228" t="s">
        <v>279</v>
      </c>
      <c r="P228" t="s">
        <v>437</v>
      </c>
      <c r="Q228">
        <v>10.16</v>
      </c>
      <c r="R228" t="s">
        <v>127</v>
      </c>
      <c r="S228" t="s">
        <v>278</v>
      </c>
      <c r="T228">
        <v>28.3</v>
      </c>
      <c r="U228" t="s">
        <v>279</v>
      </c>
      <c r="V228" t="s">
        <v>278</v>
      </c>
      <c r="W228">
        <v>27.57</v>
      </c>
      <c r="X228" t="s">
        <v>279</v>
      </c>
      <c r="Y228" t="s">
        <v>278</v>
      </c>
      <c r="Z228">
        <v>32</v>
      </c>
      <c r="AA228" t="s">
        <v>279</v>
      </c>
      <c r="AB228" t="s">
        <v>278</v>
      </c>
      <c r="AC228">
        <v>31.94</v>
      </c>
      <c r="AD228" t="s">
        <v>279</v>
      </c>
      <c r="AE228" t="s">
        <v>278</v>
      </c>
      <c r="AF228">
        <v>31.44</v>
      </c>
      <c r="AG228" t="s">
        <v>279</v>
      </c>
      <c r="AH228" t="s">
        <v>278</v>
      </c>
      <c r="AI228">
        <v>30.52</v>
      </c>
      <c r="AJ228" t="s">
        <v>279</v>
      </c>
      <c r="AK228" t="s">
        <v>278</v>
      </c>
      <c r="AL228">
        <v>29.55</v>
      </c>
      <c r="AM228" t="s">
        <v>279</v>
      </c>
      <c r="AN228" t="s">
        <v>278</v>
      </c>
      <c r="AO228">
        <v>27.62</v>
      </c>
      <c r="AP228" t="s">
        <v>279</v>
      </c>
      <c r="AQ228" t="s">
        <v>278</v>
      </c>
      <c r="AR228">
        <v>30.29</v>
      </c>
      <c r="AS228" t="s">
        <v>279</v>
      </c>
      <c r="AT228" t="s">
        <v>278</v>
      </c>
      <c r="AU228">
        <v>33.72</v>
      </c>
      <c r="AV228" t="s">
        <v>279</v>
      </c>
      <c r="AW228" t="s">
        <v>278</v>
      </c>
      <c r="AX228">
        <v>32.89</v>
      </c>
      <c r="AY228" t="s">
        <v>279</v>
      </c>
      <c r="AZ228" t="s">
        <v>278</v>
      </c>
      <c r="BA228">
        <v>34.450000000000003</v>
      </c>
      <c r="BB228" t="s">
        <v>279</v>
      </c>
      <c r="BC228" t="s">
        <v>278</v>
      </c>
      <c r="BD228">
        <v>33.700000000000003</v>
      </c>
      <c r="BE228" t="s">
        <v>279</v>
      </c>
      <c r="BF228" t="s">
        <v>278</v>
      </c>
      <c r="BG228">
        <v>32.869999999999997</v>
      </c>
      <c r="BH228" t="s">
        <v>279</v>
      </c>
      <c r="BI228" t="s">
        <v>278</v>
      </c>
      <c r="BJ228">
        <v>32.64</v>
      </c>
      <c r="BK228" t="s">
        <v>279</v>
      </c>
      <c r="BL228" t="s">
        <v>667</v>
      </c>
      <c r="BM228">
        <v>2.5299999999999998</v>
      </c>
      <c r="BN228" t="s">
        <v>594</v>
      </c>
      <c r="BO228" t="s">
        <v>667</v>
      </c>
      <c r="BP228">
        <v>2.5299999999999998</v>
      </c>
      <c r="BQ228" t="s">
        <v>594</v>
      </c>
      <c r="BR228" t="s">
        <v>667</v>
      </c>
      <c r="BS228">
        <v>2.5299999999999998</v>
      </c>
      <c r="BT228" t="s">
        <v>594</v>
      </c>
      <c r="BU228" t="s">
        <v>667</v>
      </c>
      <c r="BV228">
        <v>2.5299999999999998</v>
      </c>
      <c r="BW228" t="s">
        <v>594</v>
      </c>
      <c r="BX228" t="s">
        <v>667</v>
      </c>
      <c r="BY228">
        <v>2.5299999999999998</v>
      </c>
      <c r="BZ228" t="s">
        <v>594</v>
      </c>
      <c r="CA228" t="s">
        <v>273</v>
      </c>
      <c r="CB228">
        <v>1.56</v>
      </c>
      <c r="CC228" t="s">
        <v>274</v>
      </c>
      <c r="CD228" t="s">
        <v>667</v>
      </c>
      <c r="CE228">
        <v>2.5299999999999998</v>
      </c>
      <c r="CF228" t="s">
        <v>594</v>
      </c>
      <c r="CG228" t="s">
        <v>667</v>
      </c>
      <c r="CH228">
        <v>2.5299999999999998</v>
      </c>
      <c r="CI228" t="s">
        <v>594</v>
      </c>
      <c r="CJ228" t="s">
        <v>667</v>
      </c>
      <c r="CK228">
        <v>2.5299999999999998</v>
      </c>
      <c r="CL228" t="s">
        <v>594</v>
      </c>
      <c r="CM228" t="s">
        <v>667</v>
      </c>
      <c r="CN228">
        <v>2.5299999999999998</v>
      </c>
      <c r="CO228" t="s">
        <v>594</v>
      </c>
      <c r="CP228" t="s">
        <v>667</v>
      </c>
      <c r="CQ228">
        <v>2.5299999999999998</v>
      </c>
      <c r="CR228" t="s">
        <v>594</v>
      </c>
      <c r="CS228" t="s">
        <v>667</v>
      </c>
      <c r="CT228">
        <v>2.5299999999999998</v>
      </c>
      <c r="CU228" t="s">
        <v>594</v>
      </c>
      <c r="CV228" t="s">
        <v>667</v>
      </c>
      <c r="CW228">
        <v>2.5299999999999998</v>
      </c>
      <c r="CX228" t="s">
        <v>594</v>
      </c>
      <c r="CY228" t="s">
        <v>667</v>
      </c>
      <c r="CZ228">
        <v>2.5299999999999998</v>
      </c>
      <c r="DA228" t="s">
        <v>594</v>
      </c>
      <c r="DB228" t="s">
        <v>667</v>
      </c>
      <c r="DC228">
        <v>2.5299999999999998</v>
      </c>
      <c r="DD228" t="s">
        <v>594</v>
      </c>
      <c r="DE228" t="s">
        <v>667</v>
      </c>
      <c r="DF228">
        <v>2.5299999999999998</v>
      </c>
      <c r="DG228" t="s">
        <v>594</v>
      </c>
      <c r="DH228" t="s">
        <v>667</v>
      </c>
      <c r="DI228">
        <v>2.5299999999999998</v>
      </c>
      <c r="DJ228" t="s">
        <v>594</v>
      </c>
      <c r="DK228" t="s">
        <v>277</v>
      </c>
      <c r="DL228">
        <v>11.83</v>
      </c>
      <c r="DM228" t="s">
        <v>25</v>
      </c>
      <c r="DN228" t="s">
        <v>277</v>
      </c>
      <c r="DO228">
        <v>11.7</v>
      </c>
      <c r="DP228" t="s">
        <v>25</v>
      </c>
      <c r="DQ228" t="s">
        <v>277</v>
      </c>
      <c r="DR228">
        <v>11.69</v>
      </c>
      <c r="DS228" t="s">
        <v>25</v>
      </c>
      <c r="DT228" t="s">
        <v>343</v>
      </c>
      <c r="DU228">
        <v>1.29</v>
      </c>
      <c r="DV228" t="s">
        <v>468</v>
      </c>
      <c r="DW228" t="s">
        <v>343</v>
      </c>
      <c r="DX228">
        <v>1.25</v>
      </c>
      <c r="DY228" t="s">
        <v>468</v>
      </c>
      <c r="DZ228" t="s">
        <v>343</v>
      </c>
      <c r="EA228">
        <v>1.27</v>
      </c>
      <c r="EB228" t="s">
        <v>468</v>
      </c>
      <c r="EC228" t="s">
        <v>343</v>
      </c>
      <c r="ED228">
        <v>1.32</v>
      </c>
      <c r="EE228" t="s">
        <v>468</v>
      </c>
      <c r="EF228" t="s">
        <v>343</v>
      </c>
      <c r="EG228">
        <v>1.55</v>
      </c>
      <c r="EH228" t="s">
        <v>468</v>
      </c>
      <c r="EI228" t="s">
        <v>343</v>
      </c>
      <c r="EJ228">
        <v>2.31</v>
      </c>
      <c r="EK228" t="s">
        <v>468</v>
      </c>
    </row>
    <row r="229" spans="1:141">
      <c r="A229" t="s">
        <v>278</v>
      </c>
      <c r="B229">
        <v>30.77</v>
      </c>
      <c r="C229" t="s">
        <v>279</v>
      </c>
      <c r="D229" t="s">
        <v>278</v>
      </c>
      <c r="E229">
        <v>30.8</v>
      </c>
      <c r="F229" t="s">
        <v>279</v>
      </c>
      <c r="G229" t="s">
        <v>409</v>
      </c>
      <c r="H229">
        <v>34.5</v>
      </c>
      <c r="I229" t="s">
        <v>485</v>
      </c>
      <c r="J229" t="s">
        <v>409</v>
      </c>
      <c r="K229">
        <v>41.15</v>
      </c>
      <c r="L229" t="s">
        <v>485</v>
      </c>
      <c r="M229" t="s">
        <v>409</v>
      </c>
      <c r="N229">
        <v>48.34</v>
      </c>
      <c r="O229" t="s">
        <v>485</v>
      </c>
      <c r="P229" t="s">
        <v>667</v>
      </c>
      <c r="Q229">
        <v>2.5299999999999998</v>
      </c>
      <c r="R229" t="s">
        <v>594</v>
      </c>
      <c r="S229" t="s">
        <v>409</v>
      </c>
      <c r="T229">
        <v>59.1</v>
      </c>
      <c r="U229" t="s">
        <v>485</v>
      </c>
      <c r="V229" t="s">
        <v>409</v>
      </c>
      <c r="W229">
        <v>65</v>
      </c>
      <c r="X229" t="s">
        <v>485</v>
      </c>
      <c r="Y229" t="s">
        <v>409</v>
      </c>
      <c r="Z229">
        <v>76.290000000000006</v>
      </c>
      <c r="AA229" t="s">
        <v>485</v>
      </c>
      <c r="AB229" t="s">
        <v>409</v>
      </c>
      <c r="AC229">
        <v>72.540000000000006</v>
      </c>
      <c r="AD229" t="s">
        <v>485</v>
      </c>
      <c r="AE229" t="s">
        <v>409</v>
      </c>
      <c r="AF229">
        <v>73.33</v>
      </c>
      <c r="AG229" t="s">
        <v>485</v>
      </c>
      <c r="AH229" t="s">
        <v>409</v>
      </c>
      <c r="AI229">
        <v>75</v>
      </c>
      <c r="AJ229" t="s">
        <v>485</v>
      </c>
      <c r="AK229" t="s">
        <v>409</v>
      </c>
      <c r="AL229">
        <v>73.75</v>
      </c>
      <c r="AM229" t="s">
        <v>485</v>
      </c>
      <c r="AN229" t="s">
        <v>409</v>
      </c>
      <c r="AO229">
        <v>73.98</v>
      </c>
      <c r="AP229" t="s">
        <v>485</v>
      </c>
      <c r="AQ229" t="s">
        <v>409</v>
      </c>
      <c r="AR229">
        <v>70.11</v>
      </c>
      <c r="AS229" t="s">
        <v>485</v>
      </c>
      <c r="AT229" t="s">
        <v>409</v>
      </c>
      <c r="AU229">
        <v>72</v>
      </c>
      <c r="AV229" t="s">
        <v>485</v>
      </c>
      <c r="AW229" t="s">
        <v>409</v>
      </c>
      <c r="AX229">
        <v>77.290000000000006</v>
      </c>
      <c r="AY229" t="s">
        <v>485</v>
      </c>
      <c r="AZ229" t="s">
        <v>409</v>
      </c>
      <c r="BA229">
        <v>73.459999999999994</v>
      </c>
      <c r="BB229" t="s">
        <v>485</v>
      </c>
      <c r="BC229" t="s">
        <v>409</v>
      </c>
      <c r="BD229">
        <v>70</v>
      </c>
      <c r="BE229" t="s">
        <v>485</v>
      </c>
      <c r="BF229" t="s">
        <v>409</v>
      </c>
      <c r="BG229">
        <v>66.7</v>
      </c>
      <c r="BH229" t="s">
        <v>485</v>
      </c>
      <c r="BI229" t="s">
        <v>409</v>
      </c>
      <c r="BJ229">
        <v>64.5</v>
      </c>
      <c r="BK229" t="s">
        <v>485</v>
      </c>
      <c r="BL229" t="s">
        <v>277</v>
      </c>
      <c r="BM229">
        <v>12</v>
      </c>
      <c r="BN229" t="s">
        <v>25</v>
      </c>
      <c r="BO229" t="s">
        <v>277</v>
      </c>
      <c r="BP229">
        <v>12.01</v>
      </c>
      <c r="BQ229" t="s">
        <v>25</v>
      </c>
      <c r="BR229" t="s">
        <v>277</v>
      </c>
      <c r="BS229">
        <v>12.01</v>
      </c>
      <c r="BT229" t="s">
        <v>25</v>
      </c>
      <c r="BU229" t="s">
        <v>277</v>
      </c>
      <c r="BV229">
        <v>12.06</v>
      </c>
      <c r="BW229" t="s">
        <v>25</v>
      </c>
      <c r="BX229" t="s">
        <v>277</v>
      </c>
      <c r="BY229">
        <v>12.05</v>
      </c>
      <c r="BZ229" t="s">
        <v>25</v>
      </c>
      <c r="CA229" t="s">
        <v>275</v>
      </c>
      <c r="CB229">
        <v>3.1</v>
      </c>
      <c r="CC229" t="s">
        <v>276</v>
      </c>
      <c r="CD229" t="s">
        <v>277</v>
      </c>
      <c r="CE229">
        <v>12</v>
      </c>
      <c r="CF229" t="s">
        <v>25</v>
      </c>
      <c r="CG229" t="s">
        <v>277</v>
      </c>
      <c r="CH229">
        <v>12</v>
      </c>
      <c r="CI229" t="s">
        <v>25</v>
      </c>
      <c r="CJ229" t="s">
        <v>277</v>
      </c>
      <c r="CK229">
        <v>12.02</v>
      </c>
      <c r="CL229" t="s">
        <v>25</v>
      </c>
      <c r="CM229" t="s">
        <v>277</v>
      </c>
      <c r="CN229">
        <v>11.97</v>
      </c>
      <c r="CO229" t="s">
        <v>25</v>
      </c>
      <c r="CP229" t="s">
        <v>277</v>
      </c>
      <c r="CQ229">
        <v>11.93</v>
      </c>
      <c r="CR229" t="s">
        <v>25</v>
      </c>
      <c r="CS229" t="s">
        <v>277</v>
      </c>
      <c r="CT229">
        <v>11.95</v>
      </c>
      <c r="CU229" t="s">
        <v>25</v>
      </c>
      <c r="CV229" t="s">
        <v>277</v>
      </c>
      <c r="CW229">
        <v>11.89</v>
      </c>
      <c r="CX229" t="s">
        <v>25</v>
      </c>
      <c r="CY229" t="s">
        <v>277</v>
      </c>
      <c r="CZ229">
        <v>11.89</v>
      </c>
      <c r="DA229" t="s">
        <v>25</v>
      </c>
      <c r="DB229" t="s">
        <v>277</v>
      </c>
      <c r="DC229">
        <v>11.93</v>
      </c>
      <c r="DD229" t="s">
        <v>25</v>
      </c>
      <c r="DE229" t="s">
        <v>277</v>
      </c>
      <c r="DF229">
        <v>12</v>
      </c>
      <c r="DG229" t="s">
        <v>25</v>
      </c>
      <c r="DH229" t="s">
        <v>277</v>
      </c>
      <c r="DI229">
        <v>11.9</v>
      </c>
      <c r="DJ229" t="s">
        <v>25</v>
      </c>
      <c r="DK229" t="s">
        <v>278</v>
      </c>
      <c r="DL229">
        <v>35.6</v>
      </c>
      <c r="DM229" t="s">
        <v>279</v>
      </c>
      <c r="DN229" t="s">
        <v>278</v>
      </c>
      <c r="DO229">
        <v>41.21</v>
      </c>
      <c r="DP229" t="s">
        <v>279</v>
      </c>
      <c r="DQ229" t="s">
        <v>278</v>
      </c>
      <c r="DR229">
        <v>41.64</v>
      </c>
      <c r="DS229" t="s">
        <v>279</v>
      </c>
      <c r="DT229" t="s">
        <v>410</v>
      </c>
      <c r="DU229">
        <v>20.69</v>
      </c>
      <c r="DV229" t="s">
        <v>70</v>
      </c>
      <c r="DW229" t="s">
        <v>410</v>
      </c>
      <c r="DX229">
        <v>20.81</v>
      </c>
      <c r="DY229" t="s">
        <v>70</v>
      </c>
      <c r="DZ229" t="s">
        <v>410</v>
      </c>
      <c r="EA229">
        <v>20.9</v>
      </c>
      <c r="EB229" t="s">
        <v>70</v>
      </c>
      <c r="EC229" t="s">
        <v>410</v>
      </c>
      <c r="ED229">
        <v>20.2</v>
      </c>
      <c r="EE229" t="s">
        <v>70</v>
      </c>
      <c r="EF229" t="s">
        <v>410</v>
      </c>
      <c r="EG229">
        <v>19.54</v>
      </c>
      <c r="EH229" t="s">
        <v>70</v>
      </c>
      <c r="EI229" t="s">
        <v>410</v>
      </c>
      <c r="EJ229">
        <v>19.96</v>
      </c>
      <c r="EK229" t="s">
        <v>70</v>
      </c>
    </row>
    <row r="230" spans="1:141">
      <c r="A230" t="s">
        <v>409</v>
      </c>
      <c r="B230">
        <v>34.35</v>
      </c>
      <c r="C230" t="s">
        <v>485</v>
      </c>
      <c r="D230" t="s">
        <v>409</v>
      </c>
      <c r="E230">
        <v>34.5</v>
      </c>
      <c r="F230" t="s">
        <v>485</v>
      </c>
      <c r="G230" t="s">
        <v>394</v>
      </c>
      <c r="H230">
        <v>90</v>
      </c>
      <c r="I230" t="s">
        <v>280</v>
      </c>
      <c r="J230" t="s">
        <v>394</v>
      </c>
      <c r="K230">
        <v>91.69</v>
      </c>
      <c r="L230" t="s">
        <v>280</v>
      </c>
      <c r="M230" t="s">
        <v>394</v>
      </c>
      <c r="N230">
        <v>89.17</v>
      </c>
      <c r="O230" t="s">
        <v>280</v>
      </c>
      <c r="P230" t="s">
        <v>277</v>
      </c>
      <c r="Q230">
        <v>12.85</v>
      </c>
      <c r="R230" t="s">
        <v>25</v>
      </c>
      <c r="S230" t="s">
        <v>394</v>
      </c>
      <c r="T230">
        <v>91.29</v>
      </c>
      <c r="U230" t="s">
        <v>280</v>
      </c>
      <c r="V230" t="s">
        <v>394</v>
      </c>
      <c r="W230">
        <v>81.790000000000006</v>
      </c>
      <c r="X230" t="s">
        <v>280</v>
      </c>
      <c r="Y230" t="s">
        <v>394</v>
      </c>
      <c r="Z230">
        <v>82</v>
      </c>
      <c r="AA230" t="s">
        <v>280</v>
      </c>
      <c r="AB230" t="s">
        <v>394</v>
      </c>
      <c r="AC230">
        <v>84.49</v>
      </c>
      <c r="AD230" t="s">
        <v>280</v>
      </c>
      <c r="AE230" t="s">
        <v>394</v>
      </c>
      <c r="AF230">
        <v>81.58</v>
      </c>
      <c r="AG230" t="s">
        <v>280</v>
      </c>
      <c r="AH230" t="s">
        <v>394</v>
      </c>
      <c r="AI230">
        <v>82.03</v>
      </c>
      <c r="AJ230" t="s">
        <v>280</v>
      </c>
      <c r="AK230" t="s">
        <v>394</v>
      </c>
      <c r="AL230">
        <v>83.87</v>
      </c>
      <c r="AM230" t="s">
        <v>280</v>
      </c>
      <c r="AN230" t="s">
        <v>394</v>
      </c>
      <c r="AO230">
        <v>82.84</v>
      </c>
      <c r="AP230" t="s">
        <v>280</v>
      </c>
      <c r="AQ230" t="s">
        <v>394</v>
      </c>
      <c r="AR230">
        <v>88.7</v>
      </c>
      <c r="AS230" t="s">
        <v>280</v>
      </c>
      <c r="AT230" t="s">
        <v>394</v>
      </c>
      <c r="AU230">
        <v>87.75</v>
      </c>
      <c r="AV230" t="s">
        <v>280</v>
      </c>
      <c r="AW230" t="s">
        <v>394</v>
      </c>
      <c r="AX230">
        <v>86.05</v>
      </c>
      <c r="AY230" t="s">
        <v>280</v>
      </c>
      <c r="AZ230" t="s">
        <v>394</v>
      </c>
      <c r="BA230">
        <v>86.26</v>
      </c>
      <c r="BB230" t="s">
        <v>280</v>
      </c>
      <c r="BC230" t="s">
        <v>394</v>
      </c>
      <c r="BD230">
        <v>85.05</v>
      </c>
      <c r="BE230" t="s">
        <v>280</v>
      </c>
      <c r="BF230" t="s">
        <v>394</v>
      </c>
      <c r="BG230">
        <v>85.3</v>
      </c>
      <c r="BH230" t="s">
        <v>280</v>
      </c>
      <c r="BI230" t="s">
        <v>394</v>
      </c>
      <c r="BJ230">
        <v>87.9</v>
      </c>
      <c r="BK230" t="s">
        <v>280</v>
      </c>
      <c r="BL230" t="s">
        <v>278</v>
      </c>
      <c r="BM230">
        <v>31.44</v>
      </c>
      <c r="BN230" t="s">
        <v>279</v>
      </c>
      <c r="BO230" t="s">
        <v>278</v>
      </c>
      <c r="BP230">
        <v>31.38</v>
      </c>
      <c r="BQ230" t="s">
        <v>279</v>
      </c>
      <c r="BR230" t="s">
        <v>278</v>
      </c>
      <c r="BS230">
        <v>32.5</v>
      </c>
      <c r="BT230" t="s">
        <v>279</v>
      </c>
      <c r="BU230" t="s">
        <v>278</v>
      </c>
      <c r="BV230">
        <v>32.01</v>
      </c>
      <c r="BW230" t="s">
        <v>279</v>
      </c>
      <c r="BX230" t="s">
        <v>278</v>
      </c>
      <c r="BY230">
        <v>31.7</v>
      </c>
      <c r="BZ230" t="s">
        <v>279</v>
      </c>
      <c r="CA230" t="s">
        <v>437</v>
      </c>
      <c r="CB230">
        <v>11.34</v>
      </c>
      <c r="CC230" t="s">
        <v>127</v>
      </c>
      <c r="CD230" t="s">
        <v>278</v>
      </c>
      <c r="CE230">
        <v>31.96</v>
      </c>
      <c r="CF230" t="s">
        <v>279</v>
      </c>
      <c r="CG230" t="s">
        <v>278</v>
      </c>
      <c r="CH230">
        <v>32.6</v>
      </c>
      <c r="CI230" t="s">
        <v>279</v>
      </c>
      <c r="CJ230" t="s">
        <v>278</v>
      </c>
      <c r="CK230">
        <v>33.520000000000003</v>
      </c>
      <c r="CL230" t="s">
        <v>279</v>
      </c>
      <c r="CM230" t="s">
        <v>278</v>
      </c>
      <c r="CN230">
        <v>33.17</v>
      </c>
      <c r="CO230" t="s">
        <v>279</v>
      </c>
      <c r="CP230" t="s">
        <v>278</v>
      </c>
      <c r="CQ230">
        <v>32.42</v>
      </c>
      <c r="CR230" t="s">
        <v>279</v>
      </c>
      <c r="CS230" t="s">
        <v>278</v>
      </c>
      <c r="CT230">
        <v>32.24</v>
      </c>
      <c r="CU230" t="s">
        <v>279</v>
      </c>
      <c r="CV230" t="s">
        <v>278</v>
      </c>
      <c r="CW230">
        <v>31.59</v>
      </c>
      <c r="CX230" t="s">
        <v>279</v>
      </c>
      <c r="CY230" t="s">
        <v>278</v>
      </c>
      <c r="CZ230">
        <v>31.51</v>
      </c>
      <c r="DA230" t="s">
        <v>279</v>
      </c>
      <c r="DB230" t="s">
        <v>278</v>
      </c>
      <c r="DC230">
        <v>31.58</v>
      </c>
      <c r="DD230" t="s">
        <v>279</v>
      </c>
      <c r="DE230" t="s">
        <v>278</v>
      </c>
      <c r="DF230">
        <v>37.89</v>
      </c>
      <c r="DG230" t="s">
        <v>279</v>
      </c>
      <c r="DH230" t="s">
        <v>278</v>
      </c>
      <c r="DI230">
        <v>40.47</v>
      </c>
      <c r="DJ230" t="s">
        <v>279</v>
      </c>
      <c r="DK230" t="s">
        <v>409</v>
      </c>
      <c r="DL230">
        <v>73.7</v>
      </c>
      <c r="DM230" t="s">
        <v>485</v>
      </c>
      <c r="DN230" t="s">
        <v>409</v>
      </c>
      <c r="DO230">
        <v>72.88</v>
      </c>
      <c r="DP230" t="s">
        <v>485</v>
      </c>
      <c r="DQ230" t="s">
        <v>409</v>
      </c>
      <c r="DR230">
        <v>79.69</v>
      </c>
      <c r="DS230" t="s">
        <v>485</v>
      </c>
      <c r="DT230" t="s">
        <v>659</v>
      </c>
      <c r="DU230">
        <v>1362</v>
      </c>
      <c r="DV230" t="s">
        <v>690</v>
      </c>
      <c r="DW230" t="s">
        <v>659</v>
      </c>
      <c r="DX230">
        <v>1362</v>
      </c>
      <c r="DY230" t="s">
        <v>690</v>
      </c>
      <c r="DZ230" t="s">
        <v>659</v>
      </c>
      <c r="EA230">
        <v>1362</v>
      </c>
      <c r="EB230" t="s">
        <v>690</v>
      </c>
      <c r="EC230" t="s">
        <v>659</v>
      </c>
      <c r="ED230">
        <v>1362</v>
      </c>
      <c r="EE230" t="s">
        <v>690</v>
      </c>
      <c r="EF230" t="s">
        <v>659</v>
      </c>
      <c r="EG230">
        <v>1362</v>
      </c>
      <c r="EH230" t="s">
        <v>690</v>
      </c>
      <c r="EI230" t="s">
        <v>659</v>
      </c>
      <c r="EJ230">
        <v>1362</v>
      </c>
      <c r="EK230" t="s">
        <v>690</v>
      </c>
    </row>
    <row r="231" spans="1:141">
      <c r="A231" t="s">
        <v>394</v>
      </c>
      <c r="B231">
        <v>91.5</v>
      </c>
      <c r="C231" t="s">
        <v>280</v>
      </c>
      <c r="D231" t="s">
        <v>394</v>
      </c>
      <c r="E231">
        <v>90.26</v>
      </c>
      <c r="F231" t="s">
        <v>280</v>
      </c>
      <c r="G231" t="s">
        <v>281</v>
      </c>
      <c r="H231">
        <v>17.100000000000001</v>
      </c>
      <c r="I231" t="s">
        <v>282</v>
      </c>
      <c r="J231" t="s">
        <v>281</v>
      </c>
      <c r="K231">
        <v>17</v>
      </c>
      <c r="L231" t="s">
        <v>282</v>
      </c>
      <c r="M231" t="s">
        <v>281</v>
      </c>
      <c r="N231">
        <v>16.78</v>
      </c>
      <c r="O231" t="s">
        <v>282</v>
      </c>
      <c r="P231" t="s">
        <v>278</v>
      </c>
      <c r="Q231">
        <v>28.55</v>
      </c>
      <c r="R231" t="s">
        <v>279</v>
      </c>
      <c r="S231" t="s">
        <v>281</v>
      </c>
      <c r="T231">
        <v>16.079999999999998</v>
      </c>
      <c r="U231" t="s">
        <v>282</v>
      </c>
      <c r="V231" t="s">
        <v>281</v>
      </c>
      <c r="W231">
        <v>16.059999999999999</v>
      </c>
      <c r="X231" t="s">
        <v>282</v>
      </c>
      <c r="Y231" t="s">
        <v>281</v>
      </c>
      <c r="Z231">
        <v>16.559999999999999</v>
      </c>
      <c r="AA231" t="s">
        <v>282</v>
      </c>
      <c r="AB231" t="s">
        <v>281</v>
      </c>
      <c r="AC231">
        <v>16.68</v>
      </c>
      <c r="AD231" t="s">
        <v>282</v>
      </c>
      <c r="AE231" t="s">
        <v>281</v>
      </c>
      <c r="AF231">
        <v>16.48</v>
      </c>
      <c r="AG231" t="s">
        <v>282</v>
      </c>
      <c r="AH231" t="s">
        <v>281</v>
      </c>
      <c r="AI231">
        <v>16.37</v>
      </c>
      <c r="AJ231" t="s">
        <v>282</v>
      </c>
      <c r="AK231" t="s">
        <v>281</v>
      </c>
      <c r="AL231">
        <v>16.010000000000002</v>
      </c>
      <c r="AM231" t="s">
        <v>282</v>
      </c>
      <c r="AN231" t="s">
        <v>281</v>
      </c>
      <c r="AO231">
        <v>15.92</v>
      </c>
      <c r="AP231" t="s">
        <v>282</v>
      </c>
      <c r="AQ231" t="s">
        <v>281</v>
      </c>
      <c r="AR231">
        <v>16.25</v>
      </c>
      <c r="AS231" t="s">
        <v>282</v>
      </c>
      <c r="AT231" t="s">
        <v>281</v>
      </c>
      <c r="AU231">
        <v>16.260000000000002</v>
      </c>
      <c r="AV231" t="s">
        <v>282</v>
      </c>
      <c r="AW231" t="s">
        <v>281</v>
      </c>
      <c r="AX231">
        <v>16.82</v>
      </c>
      <c r="AY231" t="s">
        <v>282</v>
      </c>
      <c r="AZ231" t="s">
        <v>281</v>
      </c>
      <c r="BA231">
        <v>16.45</v>
      </c>
      <c r="BB231" t="s">
        <v>282</v>
      </c>
      <c r="BC231" t="s">
        <v>281</v>
      </c>
      <c r="BD231">
        <v>16.32</v>
      </c>
      <c r="BE231" t="s">
        <v>282</v>
      </c>
      <c r="BF231" t="s">
        <v>281</v>
      </c>
      <c r="BG231">
        <v>16.16</v>
      </c>
      <c r="BH231" t="s">
        <v>282</v>
      </c>
      <c r="BI231" t="s">
        <v>281</v>
      </c>
      <c r="BJ231">
        <v>16.27</v>
      </c>
      <c r="BK231" t="s">
        <v>282</v>
      </c>
      <c r="BL231" t="s">
        <v>409</v>
      </c>
      <c r="BM231">
        <v>61.9</v>
      </c>
      <c r="BN231" t="s">
        <v>485</v>
      </c>
      <c r="BO231" t="s">
        <v>409</v>
      </c>
      <c r="BP231">
        <v>59.77</v>
      </c>
      <c r="BQ231" t="s">
        <v>485</v>
      </c>
      <c r="BR231" t="s">
        <v>409</v>
      </c>
      <c r="BS231">
        <v>68.5</v>
      </c>
      <c r="BT231" t="s">
        <v>485</v>
      </c>
      <c r="BU231" t="s">
        <v>409</v>
      </c>
      <c r="BV231">
        <v>70.84</v>
      </c>
      <c r="BW231" t="s">
        <v>485</v>
      </c>
      <c r="BX231" t="s">
        <v>409</v>
      </c>
      <c r="BY231">
        <v>70.83</v>
      </c>
      <c r="BZ231" t="s">
        <v>485</v>
      </c>
      <c r="CA231" t="s">
        <v>667</v>
      </c>
      <c r="CB231">
        <v>2.5299999999999998</v>
      </c>
      <c r="CC231" t="s">
        <v>594</v>
      </c>
      <c r="CD231" t="s">
        <v>409</v>
      </c>
      <c r="CE231">
        <v>69.150000000000006</v>
      </c>
      <c r="CF231" t="s">
        <v>485</v>
      </c>
      <c r="CG231" t="s">
        <v>409</v>
      </c>
      <c r="CH231">
        <v>76.86</v>
      </c>
      <c r="CI231" t="s">
        <v>485</v>
      </c>
      <c r="CJ231" t="s">
        <v>409</v>
      </c>
      <c r="CK231">
        <v>74.209999999999994</v>
      </c>
      <c r="CL231" t="s">
        <v>485</v>
      </c>
      <c r="CM231" t="s">
        <v>409</v>
      </c>
      <c r="CN231">
        <v>79.5</v>
      </c>
      <c r="CO231" t="s">
        <v>485</v>
      </c>
      <c r="CP231" t="s">
        <v>409</v>
      </c>
      <c r="CQ231">
        <v>98</v>
      </c>
      <c r="CR231" t="s">
        <v>485</v>
      </c>
      <c r="CS231" t="s">
        <v>409</v>
      </c>
      <c r="CT231">
        <v>124.65</v>
      </c>
      <c r="CU231" t="s">
        <v>485</v>
      </c>
      <c r="CV231" t="s">
        <v>409</v>
      </c>
      <c r="CW231">
        <v>115.84</v>
      </c>
      <c r="CX231" t="s">
        <v>485</v>
      </c>
      <c r="CY231" t="s">
        <v>409</v>
      </c>
      <c r="CZ231">
        <v>98.98</v>
      </c>
      <c r="DA231" t="s">
        <v>485</v>
      </c>
      <c r="DB231" t="s">
        <v>409</v>
      </c>
      <c r="DC231">
        <v>93.75</v>
      </c>
      <c r="DD231" t="s">
        <v>485</v>
      </c>
      <c r="DE231" t="s">
        <v>409</v>
      </c>
      <c r="DF231">
        <v>92.99</v>
      </c>
      <c r="DG231" t="s">
        <v>485</v>
      </c>
      <c r="DH231" t="s">
        <v>409</v>
      </c>
      <c r="DI231">
        <v>71.5</v>
      </c>
      <c r="DJ231" t="s">
        <v>485</v>
      </c>
      <c r="DK231" t="s">
        <v>394</v>
      </c>
      <c r="DL231">
        <v>88.5</v>
      </c>
      <c r="DM231" t="s">
        <v>280</v>
      </c>
      <c r="DN231" t="s">
        <v>394</v>
      </c>
      <c r="DO231">
        <v>87.71</v>
      </c>
      <c r="DP231" t="s">
        <v>280</v>
      </c>
      <c r="DQ231" t="s">
        <v>394</v>
      </c>
      <c r="DR231">
        <v>138.66999999999999</v>
      </c>
      <c r="DS231" t="s">
        <v>280</v>
      </c>
      <c r="DT231" t="s">
        <v>283</v>
      </c>
      <c r="DU231">
        <v>107</v>
      </c>
      <c r="DV231" t="s">
        <v>46</v>
      </c>
      <c r="DW231" t="s">
        <v>283</v>
      </c>
      <c r="DX231">
        <v>99.7</v>
      </c>
      <c r="DY231" t="s">
        <v>46</v>
      </c>
      <c r="DZ231" t="s">
        <v>283</v>
      </c>
      <c r="EA231">
        <v>103.15</v>
      </c>
      <c r="EB231" t="s">
        <v>46</v>
      </c>
      <c r="EC231" t="s">
        <v>283</v>
      </c>
      <c r="ED231">
        <v>104</v>
      </c>
      <c r="EE231" t="s">
        <v>46</v>
      </c>
      <c r="EF231" t="s">
        <v>283</v>
      </c>
      <c r="EG231">
        <v>213.37</v>
      </c>
      <c r="EH231" t="s">
        <v>46</v>
      </c>
      <c r="EI231" t="s">
        <v>283</v>
      </c>
      <c r="EJ231">
        <v>196.5</v>
      </c>
      <c r="EK231" t="s">
        <v>46</v>
      </c>
    </row>
    <row r="232" spans="1:141">
      <c r="A232" t="s">
        <v>281</v>
      </c>
      <c r="B232">
        <v>17.350000000000001</v>
      </c>
      <c r="C232" t="s">
        <v>282</v>
      </c>
      <c r="D232" t="s">
        <v>281</v>
      </c>
      <c r="E232">
        <v>17.32</v>
      </c>
      <c r="F232" t="s">
        <v>282</v>
      </c>
      <c r="G232" t="s">
        <v>450</v>
      </c>
      <c r="H232">
        <v>63.14</v>
      </c>
      <c r="I232" t="s">
        <v>31</v>
      </c>
      <c r="J232" t="s">
        <v>450</v>
      </c>
      <c r="K232">
        <v>62.05</v>
      </c>
      <c r="L232" t="s">
        <v>31</v>
      </c>
      <c r="M232" t="s">
        <v>450</v>
      </c>
      <c r="N232">
        <v>63.39</v>
      </c>
      <c r="O232" t="s">
        <v>31</v>
      </c>
      <c r="P232" t="s">
        <v>409</v>
      </c>
      <c r="Q232">
        <v>54.21</v>
      </c>
      <c r="R232" t="s">
        <v>485</v>
      </c>
      <c r="S232" t="s">
        <v>450</v>
      </c>
      <c r="T232">
        <v>63</v>
      </c>
      <c r="U232" t="s">
        <v>31</v>
      </c>
      <c r="V232" t="s">
        <v>450</v>
      </c>
      <c r="W232">
        <v>62</v>
      </c>
      <c r="X232" t="s">
        <v>31</v>
      </c>
      <c r="Y232" t="s">
        <v>450</v>
      </c>
      <c r="Z232">
        <v>62.5</v>
      </c>
      <c r="AA232" t="s">
        <v>31</v>
      </c>
      <c r="AB232" t="s">
        <v>450</v>
      </c>
      <c r="AC232">
        <v>62.25</v>
      </c>
      <c r="AD232" t="s">
        <v>31</v>
      </c>
      <c r="AE232" t="s">
        <v>450</v>
      </c>
      <c r="AF232">
        <v>69</v>
      </c>
      <c r="AG232" t="s">
        <v>31</v>
      </c>
      <c r="AH232" t="s">
        <v>450</v>
      </c>
      <c r="AI232">
        <v>78.09</v>
      </c>
      <c r="AJ232" t="s">
        <v>31</v>
      </c>
      <c r="AK232" t="s">
        <v>450</v>
      </c>
      <c r="AL232">
        <v>78.5</v>
      </c>
      <c r="AM232" t="s">
        <v>31</v>
      </c>
      <c r="AN232" t="s">
        <v>450</v>
      </c>
      <c r="AO232">
        <v>73</v>
      </c>
      <c r="AP232" t="s">
        <v>31</v>
      </c>
      <c r="AQ232" t="s">
        <v>450</v>
      </c>
      <c r="AR232">
        <v>72.7</v>
      </c>
      <c r="AS232" t="s">
        <v>31</v>
      </c>
      <c r="AT232" t="s">
        <v>450</v>
      </c>
      <c r="AU232">
        <v>73.05</v>
      </c>
      <c r="AV232" t="s">
        <v>31</v>
      </c>
      <c r="AW232" t="s">
        <v>450</v>
      </c>
      <c r="AX232">
        <v>71</v>
      </c>
      <c r="AY232" t="s">
        <v>31</v>
      </c>
      <c r="AZ232" t="s">
        <v>450</v>
      </c>
      <c r="BA232">
        <v>70.400000000000006</v>
      </c>
      <c r="BB232" t="s">
        <v>31</v>
      </c>
      <c r="BC232" t="s">
        <v>450</v>
      </c>
      <c r="BD232">
        <v>68</v>
      </c>
      <c r="BE232" t="s">
        <v>31</v>
      </c>
      <c r="BF232" t="s">
        <v>450</v>
      </c>
      <c r="BG232">
        <v>68.989999999999995</v>
      </c>
      <c r="BH232" t="s">
        <v>31</v>
      </c>
      <c r="BI232" t="s">
        <v>450</v>
      </c>
      <c r="BJ232">
        <v>68</v>
      </c>
      <c r="BK232" t="s">
        <v>31</v>
      </c>
      <c r="BL232" t="s">
        <v>394</v>
      </c>
      <c r="BM232">
        <v>83.88</v>
      </c>
      <c r="BN232" t="s">
        <v>280</v>
      </c>
      <c r="BO232" t="s">
        <v>394</v>
      </c>
      <c r="BP232">
        <v>83.29</v>
      </c>
      <c r="BQ232" t="s">
        <v>280</v>
      </c>
      <c r="BR232" t="s">
        <v>394</v>
      </c>
      <c r="BS232">
        <v>84.16</v>
      </c>
      <c r="BT232" t="s">
        <v>280</v>
      </c>
      <c r="BU232" t="s">
        <v>394</v>
      </c>
      <c r="BV232">
        <v>84.9</v>
      </c>
      <c r="BW232" t="s">
        <v>280</v>
      </c>
      <c r="BX232" t="s">
        <v>394</v>
      </c>
      <c r="BY232">
        <v>83.33</v>
      </c>
      <c r="BZ232" t="s">
        <v>280</v>
      </c>
      <c r="CA232" t="s">
        <v>277</v>
      </c>
      <c r="CB232">
        <v>12.01</v>
      </c>
      <c r="CC232" t="s">
        <v>25</v>
      </c>
      <c r="CD232" t="s">
        <v>394</v>
      </c>
      <c r="CE232">
        <v>84</v>
      </c>
      <c r="CF232" t="s">
        <v>280</v>
      </c>
      <c r="CG232" t="s">
        <v>394</v>
      </c>
      <c r="CH232">
        <v>85.01</v>
      </c>
      <c r="CI232" t="s">
        <v>280</v>
      </c>
      <c r="CJ232" t="s">
        <v>394</v>
      </c>
      <c r="CK232">
        <v>88</v>
      </c>
      <c r="CL232" t="s">
        <v>280</v>
      </c>
      <c r="CM232" t="s">
        <v>394</v>
      </c>
      <c r="CN232">
        <v>85.01</v>
      </c>
      <c r="CO232" t="s">
        <v>280</v>
      </c>
      <c r="CP232" t="s">
        <v>394</v>
      </c>
      <c r="CQ232">
        <v>85.28</v>
      </c>
      <c r="CR232" t="s">
        <v>280</v>
      </c>
      <c r="CS232" t="s">
        <v>394</v>
      </c>
      <c r="CT232">
        <v>87.96</v>
      </c>
      <c r="CU232" t="s">
        <v>280</v>
      </c>
      <c r="CV232" t="s">
        <v>394</v>
      </c>
      <c r="CW232">
        <v>88</v>
      </c>
      <c r="CX232" t="s">
        <v>280</v>
      </c>
      <c r="CY232" t="s">
        <v>394</v>
      </c>
      <c r="CZ232">
        <v>88.5</v>
      </c>
      <c r="DA232" t="s">
        <v>280</v>
      </c>
      <c r="DB232" t="s">
        <v>394</v>
      </c>
      <c r="DC232">
        <v>86.21</v>
      </c>
      <c r="DD232" t="s">
        <v>280</v>
      </c>
      <c r="DE232" t="s">
        <v>394</v>
      </c>
      <c r="DF232">
        <v>88</v>
      </c>
      <c r="DG232" t="s">
        <v>280</v>
      </c>
      <c r="DH232" t="s">
        <v>394</v>
      </c>
      <c r="DI232">
        <v>86.54</v>
      </c>
      <c r="DJ232" t="s">
        <v>280</v>
      </c>
      <c r="DK232" t="s">
        <v>281</v>
      </c>
      <c r="DL232">
        <v>17</v>
      </c>
      <c r="DM232" t="s">
        <v>282</v>
      </c>
      <c r="DN232" t="s">
        <v>281</v>
      </c>
      <c r="DO232">
        <v>17.21</v>
      </c>
      <c r="DP232" t="s">
        <v>282</v>
      </c>
      <c r="DQ232" t="s">
        <v>281</v>
      </c>
      <c r="DR232">
        <v>17.78</v>
      </c>
      <c r="DS232" t="s">
        <v>282</v>
      </c>
      <c r="DT232" t="s">
        <v>673</v>
      </c>
      <c r="DU232">
        <v>72.02</v>
      </c>
      <c r="DV232" t="s">
        <v>701</v>
      </c>
      <c r="DW232" t="s">
        <v>673</v>
      </c>
      <c r="DX232">
        <v>72.02</v>
      </c>
      <c r="DY232" t="s">
        <v>701</v>
      </c>
      <c r="DZ232" t="s">
        <v>673</v>
      </c>
      <c r="EA232">
        <v>72.02</v>
      </c>
      <c r="EB232" t="s">
        <v>701</v>
      </c>
      <c r="EC232" t="s">
        <v>673</v>
      </c>
      <c r="ED232">
        <v>72.02</v>
      </c>
      <c r="EE232" t="s">
        <v>701</v>
      </c>
      <c r="EF232" t="s">
        <v>673</v>
      </c>
      <c r="EG232">
        <v>93.6</v>
      </c>
      <c r="EH232" t="s">
        <v>701</v>
      </c>
      <c r="EI232" t="s">
        <v>673</v>
      </c>
      <c r="EJ232">
        <v>93.6</v>
      </c>
      <c r="EK232" t="s">
        <v>701</v>
      </c>
    </row>
    <row r="233" spans="1:141">
      <c r="A233" t="s">
        <v>450</v>
      </c>
      <c r="B233">
        <v>62.5</v>
      </c>
      <c r="C233" t="s">
        <v>31</v>
      </c>
      <c r="D233" t="s">
        <v>450</v>
      </c>
      <c r="E233">
        <v>64.819999999999993</v>
      </c>
      <c r="F233" t="s">
        <v>31</v>
      </c>
      <c r="G233" t="s">
        <v>658</v>
      </c>
      <c r="H233">
        <v>9.11</v>
      </c>
      <c r="I233" t="s">
        <v>689</v>
      </c>
      <c r="J233" t="s">
        <v>658</v>
      </c>
      <c r="K233">
        <v>9.11</v>
      </c>
      <c r="L233" t="s">
        <v>689</v>
      </c>
      <c r="M233" t="s">
        <v>658</v>
      </c>
      <c r="N233">
        <v>9.11</v>
      </c>
      <c r="O233" t="s">
        <v>689</v>
      </c>
      <c r="P233" t="s">
        <v>394</v>
      </c>
      <c r="Q233">
        <v>91.38</v>
      </c>
      <c r="R233" t="s">
        <v>280</v>
      </c>
      <c r="S233" t="s">
        <v>658</v>
      </c>
      <c r="T233">
        <v>9.11</v>
      </c>
      <c r="U233" t="s">
        <v>689</v>
      </c>
      <c r="V233" t="s">
        <v>658</v>
      </c>
      <c r="W233">
        <v>9.11</v>
      </c>
      <c r="X233" t="s">
        <v>689</v>
      </c>
      <c r="Y233" t="s">
        <v>658</v>
      </c>
      <c r="Z233">
        <v>9.11</v>
      </c>
      <c r="AA233" t="s">
        <v>689</v>
      </c>
      <c r="AB233" t="s">
        <v>658</v>
      </c>
      <c r="AC233">
        <v>9.11</v>
      </c>
      <c r="AD233" t="s">
        <v>689</v>
      </c>
      <c r="AE233" t="s">
        <v>658</v>
      </c>
      <c r="AF233">
        <v>9.11</v>
      </c>
      <c r="AG233" t="s">
        <v>689</v>
      </c>
      <c r="AH233" t="s">
        <v>658</v>
      </c>
      <c r="AI233">
        <v>9.11</v>
      </c>
      <c r="AJ233" t="s">
        <v>689</v>
      </c>
      <c r="AK233" t="s">
        <v>658</v>
      </c>
      <c r="AL233">
        <v>9.11</v>
      </c>
      <c r="AM233" t="s">
        <v>689</v>
      </c>
      <c r="AN233" t="s">
        <v>658</v>
      </c>
      <c r="AO233">
        <v>9.11</v>
      </c>
      <c r="AP233" t="s">
        <v>689</v>
      </c>
      <c r="AQ233" t="s">
        <v>658</v>
      </c>
      <c r="AR233">
        <v>9.11</v>
      </c>
      <c r="AS233" t="s">
        <v>689</v>
      </c>
      <c r="AT233" t="s">
        <v>658</v>
      </c>
      <c r="AU233">
        <v>9.11</v>
      </c>
      <c r="AV233" t="s">
        <v>689</v>
      </c>
      <c r="AW233" t="s">
        <v>658</v>
      </c>
      <c r="AX233">
        <v>9.11</v>
      </c>
      <c r="AY233" t="s">
        <v>689</v>
      </c>
      <c r="AZ233" t="s">
        <v>658</v>
      </c>
      <c r="BA233">
        <v>9.11</v>
      </c>
      <c r="BB233" t="s">
        <v>689</v>
      </c>
      <c r="BC233" t="s">
        <v>658</v>
      </c>
      <c r="BD233">
        <v>9.11</v>
      </c>
      <c r="BE233" t="s">
        <v>689</v>
      </c>
      <c r="BF233" t="s">
        <v>658</v>
      </c>
      <c r="BG233">
        <v>9.11</v>
      </c>
      <c r="BH233" t="s">
        <v>689</v>
      </c>
      <c r="BI233" t="s">
        <v>658</v>
      </c>
      <c r="BJ233">
        <v>9.11</v>
      </c>
      <c r="BK233" t="s">
        <v>689</v>
      </c>
      <c r="BL233" t="s">
        <v>281</v>
      </c>
      <c r="BM233">
        <v>16.16</v>
      </c>
      <c r="BN233" t="s">
        <v>282</v>
      </c>
      <c r="BO233" t="s">
        <v>281</v>
      </c>
      <c r="BP233">
        <v>15.85</v>
      </c>
      <c r="BQ233" t="s">
        <v>282</v>
      </c>
      <c r="BR233" t="s">
        <v>281</v>
      </c>
      <c r="BS233">
        <v>16</v>
      </c>
      <c r="BT233" t="s">
        <v>282</v>
      </c>
      <c r="BU233" t="s">
        <v>281</v>
      </c>
      <c r="BV233">
        <v>16.18</v>
      </c>
      <c r="BW233" t="s">
        <v>282</v>
      </c>
      <c r="BX233" t="s">
        <v>281</v>
      </c>
      <c r="BY233">
        <v>16.420000000000002</v>
      </c>
      <c r="BZ233" t="s">
        <v>282</v>
      </c>
      <c r="CA233" t="s">
        <v>278</v>
      </c>
      <c r="CB233">
        <v>31.87</v>
      </c>
      <c r="CC233" t="s">
        <v>279</v>
      </c>
      <c r="CD233" t="s">
        <v>281</v>
      </c>
      <c r="CE233">
        <v>16.13</v>
      </c>
      <c r="CF233" t="s">
        <v>282</v>
      </c>
      <c r="CG233" t="s">
        <v>281</v>
      </c>
      <c r="CH233">
        <v>16.12</v>
      </c>
      <c r="CI233" t="s">
        <v>282</v>
      </c>
      <c r="CJ233" t="s">
        <v>281</v>
      </c>
      <c r="CK233">
        <v>16.09</v>
      </c>
      <c r="CL233" t="s">
        <v>282</v>
      </c>
      <c r="CM233" t="s">
        <v>281</v>
      </c>
      <c r="CN233">
        <v>16.059999999999999</v>
      </c>
      <c r="CO233" t="s">
        <v>282</v>
      </c>
      <c r="CP233" t="s">
        <v>281</v>
      </c>
      <c r="CQ233">
        <v>15.89</v>
      </c>
      <c r="CR233" t="s">
        <v>282</v>
      </c>
      <c r="CS233" t="s">
        <v>281</v>
      </c>
      <c r="CT233">
        <v>15.81</v>
      </c>
      <c r="CU233" t="s">
        <v>282</v>
      </c>
      <c r="CV233" t="s">
        <v>281</v>
      </c>
      <c r="CW233">
        <v>15.65</v>
      </c>
      <c r="CX233" t="s">
        <v>282</v>
      </c>
      <c r="CY233" t="s">
        <v>281</v>
      </c>
      <c r="CZ233">
        <v>15.75</v>
      </c>
      <c r="DA233" t="s">
        <v>282</v>
      </c>
      <c r="DB233" t="s">
        <v>281</v>
      </c>
      <c r="DC233">
        <v>15.84</v>
      </c>
      <c r="DD233" t="s">
        <v>282</v>
      </c>
      <c r="DE233" t="s">
        <v>281</v>
      </c>
      <c r="DF233">
        <v>15.89</v>
      </c>
      <c r="DG233" t="s">
        <v>282</v>
      </c>
      <c r="DH233" t="s">
        <v>281</v>
      </c>
      <c r="DI233">
        <v>16.7</v>
      </c>
      <c r="DJ233" t="s">
        <v>282</v>
      </c>
      <c r="DK233" t="s">
        <v>450</v>
      </c>
      <c r="DL233">
        <v>63</v>
      </c>
      <c r="DM233" t="s">
        <v>31</v>
      </c>
      <c r="DN233" t="s">
        <v>450</v>
      </c>
      <c r="DO233">
        <v>60</v>
      </c>
      <c r="DP233" t="s">
        <v>31</v>
      </c>
      <c r="DQ233" t="s">
        <v>450</v>
      </c>
      <c r="DR233">
        <v>77.709999999999994</v>
      </c>
      <c r="DS233" t="s">
        <v>31</v>
      </c>
      <c r="DT233" t="s">
        <v>335</v>
      </c>
      <c r="DU233">
        <v>7.98</v>
      </c>
      <c r="DV233" t="s">
        <v>135</v>
      </c>
      <c r="DW233" t="s">
        <v>335</v>
      </c>
      <c r="DX233">
        <v>7.77</v>
      </c>
      <c r="DY233" t="s">
        <v>135</v>
      </c>
      <c r="DZ233" t="s">
        <v>335</v>
      </c>
      <c r="EA233">
        <v>7.87</v>
      </c>
      <c r="EB233" t="s">
        <v>135</v>
      </c>
      <c r="EC233" t="s">
        <v>335</v>
      </c>
      <c r="ED233">
        <v>7.74</v>
      </c>
      <c r="EE233" t="s">
        <v>135</v>
      </c>
      <c r="EF233" t="s">
        <v>335</v>
      </c>
      <c r="EG233">
        <v>8.16</v>
      </c>
      <c r="EH233" t="s">
        <v>135</v>
      </c>
      <c r="EI233" t="s">
        <v>335</v>
      </c>
      <c r="EJ233">
        <v>8.15</v>
      </c>
      <c r="EK233" t="s">
        <v>135</v>
      </c>
    </row>
    <row r="234" spans="1:141">
      <c r="A234" t="s">
        <v>658</v>
      </c>
      <c r="B234">
        <v>9.11</v>
      </c>
      <c r="C234" t="s">
        <v>689</v>
      </c>
      <c r="D234" t="s">
        <v>658</v>
      </c>
      <c r="E234">
        <v>9.11</v>
      </c>
      <c r="F234" t="s">
        <v>689</v>
      </c>
      <c r="G234" t="s">
        <v>343</v>
      </c>
      <c r="H234">
        <v>1.39</v>
      </c>
      <c r="I234" t="s">
        <v>468</v>
      </c>
      <c r="J234" t="s">
        <v>343</v>
      </c>
      <c r="K234">
        <v>1.39</v>
      </c>
      <c r="L234" t="s">
        <v>468</v>
      </c>
      <c r="M234" t="s">
        <v>343</v>
      </c>
      <c r="N234">
        <v>1.36</v>
      </c>
      <c r="O234" t="s">
        <v>468</v>
      </c>
      <c r="P234" t="s">
        <v>281</v>
      </c>
      <c r="Q234">
        <v>16.34</v>
      </c>
      <c r="R234" t="s">
        <v>282</v>
      </c>
      <c r="S234" t="s">
        <v>343</v>
      </c>
      <c r="T234">
        <v>1.34</v>
      </c>
      <c r="U234" t="s">
        <v>468</v>
      </c>
      <c r="V234" t="s">
        <v>343</v>
      </c>
      <c r="W234">
        <v>1.32</v>
      </c>
      <c r="X234" t="s">
        <v>468</v>
      </c>
      <c r="Y234" t="s">
        <v>343</v>
      </c>
      <c r="Z234">
        <v>1.34</v>
      </c>
      <c r="AA234" t="s">
        <v>468</v>
      </c>
      <c r="AB234" t="s">
        <v>343</v>
      </c>
      <c r="AC234">
        <v>1.45</v>
      </c>
      <c r="AD234" t="s">
        <v>468</v>
      </c>
      <c r="AE234" t="s">
        <v>343</v>
      </c>
      <c r="AF234">
        <v>1.42</v>
      </c>
      <c r="AG234" t="s">
        <v>468</v>
      </c>
      <c r="AH234" t="s">
        <v>343</v>
      </c>
      <c r="AI234">
        <v>1.37</v>
      </c>
      <c r="AJ234" t="s">
        <v>468</v>
      </c>
      <c r="AK234" t="s">
        <v>343</v>
      </c>
      <c r="AL234">
        <v>1.37</v>
      </c>
      <c r="AM234" t="s">
        <v>468</v>
      </c>
      <c r="AN234" t="s">
        <v>343</v>
      </c>
      <c r="AO234">
        <v>1.31</v>
      </c>
      <c r="AP234" t="s">
        <v>468</v>
      </c>
      <c r="AQ234" t="s">
        <v>343</v>
      </c>
      <c r="AR234">
        <v>1.32</v>
      </c>
      <c r="AS234" t="s">
        <v>468</v>
      </c>
      <c r="AT234" t="s">
        <v>343</v>
      </c>
      <c r="AU234">
        <v>1.35</v>
      </c>
      <c r="AV234" t="s">
        <v>468</v>
      </c>
      <c r="AW234" t="s">
        <v>343</v>
      </c>
      <c r="AX234">
        <v>1.36</v>
      </c>
      <c r="AY234" t="s">
        <v>468</v>
      </c>
      <c r="AZ234" t="s">
        <v>343</v>
      </c>
      <c r="BA234">
        <v>1.35</v>
      </c>
      <c r="BB234" t="s">
        <v>468</v>
      </c>
      <c r="BC234" t="s">
        <v>343</v>
      </c>
      <c r="BD234">
        <v>1.32</v>
      </c>
      <c r="BE234" t="s">
        <v>468</v>
      </c>
      <c r="BF234" t="s">
        <v>343</v>
      </c>
      <c r="BG234">
        <v>1.3</v>
      </c>
      <c r="BH234" t="s">
        <v>468</v>
      </c>
      <c r="BI234" t="s">
        <v>343</v>
      </c>
      <c r="BJ234">
        <v>1.3</v>
      </c>
      <c r="BK234" t="s">
        <v>468</v>
      </c>
      <c r="BL234" t="s">
        <v>450</v>
      </c>
      <c r="BM234">
        <v>67</v>
      </c>
      <c r="BN234" t="s">
        <v>31</v>
      </c>
      <c r="BO234" t="s">
        <v>450</v>
      </c>
      <c r="BP234">
        <v>65.3</v>
      </c>
      <c r="BQ234" t="s">
        <v>31</v>
      </c>
      <c r="BR234" t="s">
        <v>450</v>
      </c>
      <c r="BS234">
        <v>67</v>
      </c>
      <c r="BT234" t="s">
        <v>31</v>
      </c>
      <c r="BU234" t="s">
        <v>450</v>
      </c>
      <c r="BV234">
        <v>62.99</v>
      </c>
      <c r="BW234" t="s">
        <v>31</v>
      </c>
      <c r="BX234" t="s">
        <v>450</v>
      </c>
      <c r="BY234">
        <v>70.53</v>
      </c>
      <c r="BZ234" t="s">
        <v>31</v>
      </c>
      <c r="CA234" t="s">
        <v>409</v>
      </c>
      <c r="CB234">
        <v>70</v>
      </c>
      <c r="CC234" t="s">
        <v>485</v>
      </c>
      <c r="CD234" t="s">
        <v>450</v>
      </c>
      <c r="CE234">
        <v>66.16</v>
      </c>
      <c r="CF234" t="s">
        <v>31</v>
      </c>
      <c r="CG234" t="s">
        <v>450</v>
      </c>
      <c r="CH234">
        <v>65.099999999999994</v>
      </c>
      <c r="CI234" t="s">
        <v>31</v>
      </c>
      <c r="CJ234" t="s">
        <v>450</v>
      </c>
      <c r="CK234">
        <v>65.31</v>
      </c>
      <c r="CL234" t="s">
        <v>31</v>
      </c>
      <c r="CM234" t="s">
        <v>450</v>
      </c>
      <c r="CN234">
        <v>64.010000000000005</v>
      </c>
      <c r="CO234" t="s">
        <v>31</v>
      </c>
      <c r="CP234" t="s">
        <v>450</v>
      </c>
      <c r="CQ234">
        <v>64</v>
      </c>
      <c r="CR234" t="s">
        <v>31</v>
      </c>
      <c r="CS234" t="s">
        <v>450</v>
      </c>
      <c r="CT234">
        <v>63.01</v>
      </c>
      <c r="CU234" t="s">
        <v>31</v>
      </c>
      <c r="CV234" t="s">
        <v>450</v>
      </c>
      <c r="CW234">
        <v>62.6</v>
      </c>
      <c r="CX234" t="s">
        <v>31</v>
      </c>
      <c r="CY234" t="s">
        <v>450</v>
      </c>
      <c r="CZ234">
        <v>62.11</v>
      </c>
      <c r="DA234" t="s">
        <v>31</v>
      </c>
      <c r="DB234" t="s">
        <v>450</v>
      </c>
      <c r="DC234">
        <v>62.6</v>
      </c>
      <c r="DD234" t="s">
        <v>31</v>
      </c>
      <c r="DE234" t="s">
        <v>450</v>
      </c>
      <c r="DF234">
        <v>62.5</v>
      </c>
      <c r="DG234" t="s">
        <v>31</v>
      </c>
      <c r="DH234" t="s">
        <v>450</v>
      </c>
      <c r="DI234">
        <v>62.5</v>
      </c>
      <c r="DJ234" t="s">
        <v>31</v>
      </c>
      <c r="DK234" t="s">
        <v>658</v>
      </c>
      <c r="DL234">
        <v>9.11</v>
      </c>
      <c r="DM234" t="s">
        <v>689</v>
      </c>
      <c r="DN234" t="s">
        <v>658</v>
      </c>
      <c r="DO234">
        <v>9.11</v>
      </c>
      <c r="DP234" t="s">
        <v>689</v>
      </c>
      <c r="DQ234" t="s">
        <v>658</v>
      </c>
      <c r="DR234">
        <v>9.11</v>
      </c>
      <c r="DS234" t="s">
        <v>689</v>
      </c>
      <c r="DT234" t="s">
        <v>320</v>
      </c>
      <c r="DU234">
        <v>6.45</v>
      </c>
      <c r="DV234" t="s">
        <v>463</v>
      </c>
      <c r="DW234" t="s">
        <v>320</v>
      </c>
      <c r="DX234">
        <v>6.4</v>
      </c>
      <c r="DY234" t="s">
        <v>463</v>
      </c>
      <c r="DZ234" t="s">
        <v>320</v>
      </c>
      <c r="EA234">
        <v>6.45</v>
      </c>
      <c r="EB234" t="s">
        <v>463</v>
      </c>
      <c r="EC234" t="s">
        <v>320</v>
      </c>
      <c r="ED234">
        <v>6.5</v>
      </c>
      <c r="EE234" t="s">
        <v>463</v>
      </c>
      <c r="EF234" t="s">
        <v>320</v>
      </c>
      <c r="EG234">
        <v>6.8</v>
      </c>
      <c r="EH234" t="s">
        <v>463</v>
      </c>
      <c r="EI234" t="s">
        <v>320</v>
      </c>
      <c r="EJ234">
        <v>7.28</v>
      </c>
      <c r="EK234" t="s">
        <v>463</v>
      </c>
    </row>
    <row r="235" spans="1:141">
      <c r="A235" t="s">
        <v>343</v>
      </c>
      <c r="B235">
        <v>1.42</v>
      </c>
      <c r="C235" t="s">
        <v>468</v>
      </c>
      <c r="D235" t="s">
        <v>343</v>
      </c>
      <c r="E235">
        <v>1.4</v>
      </c>
      <c r="F235" t="s">
        <v>468</v>
      </c>
      <c r="G235" t="s">
        <v>410</v>
      </c>
      <c r="H235">
        <v>19.670000000000002</v>
      </c>
      <c r="I235" t="s">
        <v>70</v>
      </c>
      <c r="J235" t="s">
        <v>410</v>
      </c>
      <c r="K235">
        <v>19.59</v>
      </c>
      <c r="L235" t="s">
        <v>70</v>
      </c>
      <c r="M235" t="s">
        <v>410</v>
      </c>
      <c r="N235">
        <v>19.03</v>
      </c>
      <c r="O235" t="s">
        <v>70</v>
      </c>
      <c r="P235" t="s">
        <v>450</v>
      </c>
      <c r="Q235">
        <v>5.41</v>
      </c>
      <c r="R235" t="s">
        <v>31</v>
      </c>
      <c r="S235" t="s">
        <v>410</v>
      </c>
      <c r="T235">
        <v>18.82</v>
      </c>
      <c r="U235" t="s">
        <v>70</v>
      </c>
      <c r="V235" t="s">
        <v>410</v>
      </c>
      <c r="W235">
        <v>19.25</v>
      </c>
      <c r="X235" t="s">
        <v>70</v>
      </c>
      <c r="Y235" t="s">
        <v>410</v>
      </c>
      <c r="Z235">
        <v>19.329999999999998</v>
      </c>
      <c r="AA235" t="s">
        <v>70</v>
      </c>
      <c r="AB235" t="s">
        <v>410</v>
      </c>
      <c r="AC235">
        <v>19</v>
      </c>
      <c r="AD235" t="s">
        <v>70</v>
      </c>
      <c r="AE235" t="s">
        <v>410</v>
      </c>
      <c r="AF235">
        <v>18.739999999999998</v>
      </c>
      <c r="AG235" t="s">
        <v>70</v>
      </c>
      <c r="AH235" t="s">
        <v>410</v>
      </c>
      <c r="AI235">
        <v>19.39</v>
      </c>
      <c r="AJ235" t="s">
        <v>70</v>
      </c>
      <c r="AK235" t="s">
        <v>410</v>
      </c>
      <c r="AL235">
        <v>20.38</v>
      </c>
      <c r="AM235" t="s">
        <v>70</v>
      </c>
      <c r="AN235" t="s">
        <v>410</v>
      </c>
      <c r="AO235">
        <v>19.7</v>
      </c>
      <c r="AP235" t="s">
        <v>70</v>
      </c>
      <c r="AQ235" t="s">
        <v>410</v>
      </c>
      <c r="AR235">
        <v>20.7</v>
      </c>
      <c r="AS235" t="s">
        <v>70</v>
      </c>
      <c r="AT235" t="s">
        <v>410</v>
      </c>
      <c r="AU235">
        <v>20.59</v>
      </c>
      <c r="AV235" t="s">
        <v>70</v>
      </c>
      <c r="AW235" t="s">
        <v>410</v>
      </c>
      <c r="AX235">
        <v>20.43</v>
      </c>
      <c r="AY235" t="s">
        <v>70</v>
      </c>
      <c r="AZ235" t="s">
        <v>410</v>
      </c>
      <c r="BA235">
        <v>20.170000000000002</v>
      </c>
      <c r="BB235" t="s">
        <v>70</v>
      </c>
      <c r="BC235" t="s">
        <v>410</v>
      </c>
      <c r="BD235">
        <v>20.23</v>
      </c>
      <c r="BE235" t="s">
        <v>70</v>
      </c>
      <c r="BF235" t="s">
        <v>410</v>
      </c>
      <c r="BG235">
        <v>20.9</v>
      </c>
      <c r="BH235" t="s">
        <v>70</v>
      </c>
      <c r="BI235" t="s">
        <v>410</v>
      </c>
      <c r="BJ235">
        <v>21.4</v>
      </c>
      <c r="BK235" t="s">
        <v>70</v>
      </c>
      <c r="BL235" t="s">
        <v>658</v>
      </c>
      <c r="BM235">
        <v>9.11</v>
      </c>
      <c r="BN235" t="s">
        <v>689</v>
      </c>
      <c r="BO235" t="s">
        <v>658</v>
      </c>
      <c r="BP235">
        <v>9.11</v>
      </c>
      <c r="BQ235" t="s">
        <v>689</v>
      </c>
      <c r="BR235" t="s">
        <v>658</v>
      </c>
      <c r="BS235">
        <v>9.11</v>
      </c>
      <c r="BT235" t="s">
        <v>689</v>
      </c>
      <c r="BU235" t="s">
        <v>658</v>
      </c>
      <c r="BV235">
        <v>9.11</v>
      </c>
      <c r="BW235" t="s">
        <v>689</v>
      </c>
      <c r="BX235" t="s">
        <v>658</v>
      </c>
      <c r="BY235">
        <v>9.11</v>
      </c>
      <c r="BZ235" t="s">
        <v>689</v>
      </c>
      <c r="CA235" t="s">
        <v>394</v>
      </c>
      <c r="CB235">
        <v>85</v>
      </c>
      <c r="CC235" t="s">
        <v>280</v>
      </c>
      <c r="CD235" t="s">
        <v>658</v>
      </c>
      <c r="CE235">
        <v>9.11</v>
      </c>
      <c r="CF235" t="s">
        <v>689</v>
      </c>
      <c r="CG235" t="s">
        <v>658</v>
      </c>
      <c r="CH235">
        <v>9.11</v>
      </c>
      <c r="CI235" t="s">
        <v>689</v>
      </c>
      <c r="CJ235" t="s">
        <v>658</v>
      </c>
      <c r="CK235">
        <v>9.11</v>
      </c>
      <c r="CL235" t="s">
        <v>689</v>
      </c>
      <c r="CM235" t="s">
        <v>658</v>
      </c>
      <c r="CN235">
        <v>9.11</v>
      </c>
      <c r="CO235" t="s">
        <v>689</v>
      </c>
      <c r="CP235" t="s">
        <v>658</v>
      </c>
      <c r="CQ235">
        <v>9.11</v>
      </c>
      <c r="CR235" t="s">
        <v>689</v>
      </c>
      <c r="CS235" t="s">
        <v>658</v>
      </c>
      <c r="CT235">
        <v>9.11</v>
      </c>
      <c r="CU235" t="s">
        <v>689</v>
      </c>
      <c r="CV235" t="s">
        <v>658</v>
      </c>
      <c r="CW235">
        <v>9.11</v>
      </c>
      <c r="CX235" t="s">
        <v>689</v>
      </c>
      <c r="CY235" t="s">
        <v>658</v>
      </c>
      <c r="CZ235">
        <v>9.11</v>
      </c>
      <c r="DA235" t="s">
        <v>689</v>
      </c>
      <c r="DB235" t="s">
        <v>658</v>
      </c>
      <c r="DC235">
        <v>9.11</v>
      </c>
      <c r="DD235" t="s">
        <v>689</v>
      </c>
      <c r="DE235" t="s">
        <v>658</v>
      </c>
      <c r="DF235">
        <v>9.11</v>
      </c>
      <c r="DG235" t="s">
        <v>689</v>
      </c>
      <c r="DH235" t="s">
        <v>658</v>
      </c>
      <c r="DI235">
        <v>9.11</v>
      </c>
      <c r="DJ235" t="s">
        <v>689</v>
      </c>
      <c r="DK235" t="s">
        <v>343</v>
      </c>
      <c r="DL235">
        <v>1.1200000000000001</v>
      </c>
      <c r="DM235" t="s">
        <v>468</v>
      </c>
      <c r="DN235" t="s">
        <v>343</v>
      </c>
      <c r="DO235">
        <v>1.08</v>
      </c>
      <c r="DP235" t="s">
        <v>468</v>
      </c>
      <c r="DQ235" t="s">
        <v>343</v>
      </c>
      <c r="DR235">
        <v>1.21</v>
      </c>
      <c r="DS235" t="s">
        <v>468</v>
      </c>
      <c r="DT235" t="s">
        <v>547</v>
      </c>
      <c r="DU235">
        <v>2.5499999999999998</v>
      </c>
      <c r="DV235" t="s">
        <v>136</v>
      </c>
      <c r="DW235" t="s">
        <v>547</v>
      </c>
      <c r="DX235">
        <v>2.5499999999999998</v>
      </c>
      <c r="DY235" t="s">
        <v>136</v>
      </c>
      <c r="DZ235" t="s">
        <v>547</v>
      </c>
      <c r="EA235">
        <v>2.5499999999999998</v>
      </c>
      <c r="EB235" t="s">
        <v>136</v>
      </c>
      <c r="EC235" t="s">
        <v>547</v>
      </c>
      <c r="ED235">
        <v>2.5499999999999998</v>
      </c>
      <c r="EE235" t="s">
        <v>136</v>
      </c>
      <c r="EF235" t="s">
        <v>547</v>
      </c>
      <c r="EG235">
        <v>2.5499999999999998</v>
      </c>
      <c r="EH235" t="s">
        <v>136</v>
      </c>
      <c r="EI235" t="s">
        <v>547</v>
      </c>
      <c r="EJ235">
        <v>2.5499999999999998</v>
      </c>
      <c r="EK235" t="s">
        <v>136</v>
      </c>
    </row>
    <row r="236" spans="1:141">
      <c r="A236" t="s">
        <v>410</v>
      </c>
      <c r="B236">
        <v>19.88</v>
      </c>
      <c r="C236" t="s">
        <v>70</v>
      </c>
      <c r="D236" t="s">
        <v>410</v>
      </c>
      <c r="E236">
        <v>19.5</v>
      </c>
      <c r="F236" t="s">
        <v>70</v>
      </c>
      <c r="G236" t="s">
        <v>659</v>
      </c>
      <c r="H236">
        <v>1362</v>
      </c>
      <c r="I236" t="s">
        <v>690</v>
      </c>
      <c r="J236" t="s">
        <v>659</v>
      </c>
      <c r="K236">
        <v>1362</v>
      </c>
      <c r="L236" t="s">
        <v>690</v>
      </c>
      <c r="M236" t="s">
        <v>659</v>
      </c>
      <c r="N236">
        <v>1362</v>
      </c>
      <c r="O236" t="s">
        <v>690</v>
      </c>
      <c r="P236" t="s">
        <v>450</v>
      </c>
      <c r="Q236">
        <v>61.16</v>
      </c>
      <c r="R236" t="s">
        <v>31</v>
      </c>
      <c r="S236" t="s">
        <v>659</v>
      </c>
      <c r="T236">
        <v>1362</v>
      </c>
      <c r="U236" t="s">
        <v>690</v>
      </c>
      <c r="V236" t="s">
        <v>659</v>
      </c>
      <c r="W236">
        <v>1362</v>
      </c>
      <c r="X236" t="s">
        <v>690</v>
      </c>
      <c r="Y236" t="s">
        <v>659</v>
      </c>
      <c r="Z236">
        <v>1362</v>
      </c>
      <c r="AA236" t="s">
        <v>690</v>
      </c>
      <c r="AB236" t="s">
        <v>659</v>
      </c>
      <c r="AC236">
        <v>1362</v>
      </c>
      <c r="AD236" t="s">
        <v>690</v>
      </c>
      <c r="AE236" t="s">
        <v>659</v>
      </c>
      <c r="AF236">
        <v>1362</v>
      </c>
      <c r="AG236" t="s">
        <v>690</v>
      </c>
      <c r="AH236" t="s">
        <v>659</v>
      </c>
      <c r="AI236">
        <v>1362</v>
      </c>
      <c r="AJ236" t="s">
        <v>690</v>
      </c>
      <c r="AK236" t="s">
        <v>659</v>
      </c>
      <c r="AL236">
        <v>1362</v>
      </c>
      <c r="AM236" t="s">
        <v>690</v>
      </c>
      <c r="AN236" t="s">
        <v>659</v>
      </c>
      <c r="AO236">
        <v>1362</v>
      </c>
      <c r="AP236" t="s">
        <v>690</v>
      </c>
      <c r="AQ236" t="s">
        <v>659</v>
      </c>
      <c r="AR236">
        <v>1362</v>
      </c>
      <c r="AS236" t="s">
        <v>690</v>
      </c>
      <c r="AT236" t="s">
        <v>659</v>
      </c>
      <c r="AU236">
        <v>1362</v>
      </c>
      <c r="AV236" t="s">
        <v>690</v>
      </c>
      <c r="AW236" t="s">
        <v>659</v>
      </c>
      <c r="AX236">
        <v>1362</v>
      </c>
      <c r="AY236" t="s">
        <v>690</v>
      </c>
      <c r="AZ236" t="s">
        <v>659</v>
      </c>
      <c r="BA236">
        <v>1362</v>
      </c>
      <c r="BB236" t="s">
        <v>690</v>
      </c>
      <c r="BC236" t="s">
        <v>659</v>
      </c>
      <c r="BD236">
        <v>1362</v>
      </c>
      <c r="BE236" t="s">
        <v>690</v>
      </c>
      <c r="BF236" t="s">
        <v>659</v>
      </c>
      <c r="BG236">
        <v>1362</v>
      </c>
      <c r="BH236" t="s">
        <v>690</v>
      </c>
      <c r="BI236" t="s">
        <v>659</v>
      </c>
      <c r="BJ236">
        <v>1362</v>
      </c>
      <c r="BK236" t="s">
        <v>690</v>
      </c>
      <c r="BL236" t="s">
        <v>343</v>
      </c>
      <c r="BM236">
        <v>1.25</v>
      </c>
      <c r="BN236" t="s">
        <v>468</v>
      </c>
      <c r="BO236" t="s">
        <v>343</v>
      </c>
      <c r="BP236">
        <v>1.2</v>
      </c>
      <c r="BQ236" t="s">
        <v>468</v>
      </c>
      <c r="BR236" t="s">
        <v>343</v>
      </c>
      <c r="BS236">
        <v>1.22</v>
      </c>
      <c r="BT236" t="s">
        <v>468</v>
      </c>
      <c r="BU236" t="s">
        <v>343</v>
      </c>
      <c r="BV236">
        <v>1.21</v>
      </c>
      <c r="BW236" t="s">
        <v>468</v>
      </c>
      <c r="BX236" t="s">
        <v>343</v>
      </c>
      <c r="BY236">
        <v>1.21</v>
      </c>
      <c r="BZ236" t="s">
        <v>468</v>
      </c>
      <c r="CA236" t="s">
        <v>281</v>
      </c>
      <c r="CB236">
        <v>16.25</v>
      </c>
      <c r="CC236" t="s">
        <v>282</v>
      </c>
      <c r="CD236" t="s">
        <v>343</v>
      </c>
      <c r="CE236">
        <v>1.24</v>
      </c>
      <c r="CF236" t="s">
        <v>468</v>
      </c>
      <c r="CG236" t="s">
        <v>343</v>
      </c>
      <c r="CH236">
        <v>1.25</v>
      </c>
      <c r="CI236" t="s">
        <v>468</v>
      </c>
      <c r="CJ236" t="s">
        <v>343</v>
      </c>
      <c r="CK236">
        <v>1.23</v>
      </c>
      <c r="CL236" t="s">
        <v>468</v>
      </c>
      <c r="CM236" t="s">
        <v>343</v>
      </c>
      <c r="CN236">
        <v>1.23</v>
      </c>
      <c r="CO236" t="s">
        <v>468</v>
      </c>
      <c r="CP236" t="s">
        <v>343</v>
      </c>
      <c r="CQ236">
        <v>1.19</v>
      </c>
      <c r="CR236" t="s">
        <v>468</v>
      </c>
      <c r="CS236" t="s">
        <v>343</v>
      </c>
      <c r="CT236">
        <v>1.2</v>
      </c>
      <c r="CU236" t="s">
        <v>468</v>
      </c>
      <c r="CV236" t="s">
        <v>343</v>
      </c>
      <c r="CW236">
        <v>1.19</v>
      </c>
      <c r="CX236" t="s">
        <v>468</v>
      </c>
      <c r="CY236" t="s">
        <v>343</v>
      </c>
      <c r="CZ236">
        <v>1.24</v>
      </c>
      <c r="DA236" t="s">
        <v>468</v>
      </c>
      <c r="DB236" t="s">
        <v>343</v>
      </c>
      <c r="DC236">
        <v>1.21</v>
      </c>
      <c r="DD236" t="s">
        <v>468</v>
      </c>
      <c r="DE236" t="s">
        <v>343</v>
      </c>
      <c r="DF236">
        <v>1.21</v>
      </c>
      <c r="DG236" t="s">
        <v>468</v>
      </c>
      <c r="DH236" t="s">
        <v>343</v>
      </c>
      <c r="DI236">
        <v>1.18</v>
      </c>
      <c r="DJ236" t="s">
        <v>468</v>
      </c>
      <c r="DK236" t="s">
        <v>410</v>
      </c>
      <c r="DL236">
        <v>20.37</v>
      </c>
      <c r="DM236" t="s">
        <v>70</v>
      </c>
      <c r="DN236" t="s">
        <v>410</v>
      </c>
      <c r="DO236">
        <v>19.95</v>
      </c>
      <c r="DP236" t="s">
        <v>70</v>
      </c>
      <c r="DQ236" t="s">
        <v>410</v>
      </c>
      <c r="DR236">
        <v>21.9</v>
      </c>
      <c r="DS236" t="s">
        <v>70</v>
      </c>
      <c r="DT236" t="s">
        <v>284</v>
      </c>
      <c r="DU236">
        <v>9.61</v>
      </c>
      <c r="DV236" t="s">
        <v>285</v>
      </c>
      <c r="DW236" t="s">
        <v>284</v>
      </c>
      <c r="DX236">
        <v>9.1999999999999993</v>
      </c>
      <c r="DY236" t="s">
        <v>285</v>
      </c>
      <c r="DZ236" t="s">
        <v>284</v>
      </c>
      <c r="EA236">
        <v>9.2200000000000006</v>
      </c>
      <c r="EB236" t="s">
        <v>285</v>
      </c>
      <c r="EC236" t="s">
        <v>284</v>
      </c>
      <c r="ED236">
        <v>9.67</v>
      </c>
      <c r="EE236" t="s">
        <v>285</v>
      </c>
      <c r="EF236" t="s">
        <v>284</v>
      </c>
      <c r="EG236">
        <v>12.18</v>
      </c>
      <c r="EH236" t="s">
        <v>285</v>
      </c>
      <c r="EI236" t="s">
        <v>284</v>
      </c>
      <c r="EJ236">
        <v>12.4</v>
      </c>
      <c r="EK236" t="s">
        <v>285</v>
      </c>
    </row>
    <row r="237" spans="1:141">
      <c r="A237" t="s">
        <v>659</v>
      </c>
      <c r="B237">
        <v>1362</v>
      </c>
      <c r="C237" t="s">
        <v>690</v>
      </c>
      <c r="D237" t="s">
        <v>659</v>
      </c>
      <c r="E237">
        <v>1362</v>
      </c>
      <c r="F237" t="s">
        <v>690</v>
      </c>
      <c r="G237" t="s">
        <v>283</v>
      </c>
      <c r="H237">
        <v>87.91</v>
      </c>
      <c r="I237" t="s">
        <v>46</v>
      </c>
      <c r="J237" t="s">
        <v>283</v>
      </c>
      <c r="K237">
        <v>86.08</v>
      </c>
      <c r="L237" t="s">
        <v>46</v>
      </c>
      <c r="M237" t="s">
        <v>283</v>
      </c>
      <c r="N237">
        <v>85.8</v>
      </c>
      <c r="O237" t="s">
        <v>46</v>
      </c>
      <c r="P237" t="s">
        <v>658</v>
      </c>
      <c r="Q237">
        <v>9.11</v>
      </c>
      <c r="R237" t="s">
        <v>689</v>
      </c>
      <c r="S237" t="s">
        <v>283</v>
      </c>
      <c r="T237">
        <v>89.89</v>
      </c>
      <c r="U237" t="s">
        <v>46</v>
      </c>
      <c r="V237" t="s">
        <v>283</v>
      </c>
      <c r="W237">
        <v>87.07</v>
      </c>
      <c r="X237" t="s">
        <v>46</v>
      </c>
      <c r="Y237" t="s">
        <v>283</v>
      </c>
      <c r="Z237">
        <v>88.01</v>
      </c>
      <c r="AA237" t="s">
        <v>46</v>
      </c>
      <c r="AB237" t="s">
        <v>283</v>
      </c>
      <c r="AC237">
        <v>92.7</v>
      </c>
      <c r="AD237" t="s">
        <v>46</v>
      </c>
      <c r="AE237" t="s">
        <v>283</v>
      </c>
      <c r="AF237">
        <v>101.97</v>
      </c>
      <c r="AG237" t="s">
        <v>46</v>
      </c>
      <c r="AH237" t="s">
        <v>283</v>
      </c>
      <c r="AI237">
        <v>95.06</v>
      </c>
      <c r="AJ237" t="s">
        <v>46</v>
      </c>
      <c r="AK237" t="s">
        <v>283</v>
      </c>
      <c r="AL237">
        <v>99.56</v>
      </c>
      <c r="AM237" t="s">
        <v>46</v>
      </c>
      <c r="AN237" t="s">
        <v>283</v>
      </c>
      <c r="AO237">
        <v>97.31</v>
      </c>
      <c r="AP237" t="s">
        <v>46</v>
      </c>
      <c r="AQ237" t="s">
        <v>283</v>
      </c>
      <c r="AR237">
        <v>96</v>
      </c>
      <c r="AS237" t="s">
        <v>46</v>
      </c>
      <c r="AT237" t="s">
        <v>283</v>
      </c>
      <c r="AU237">
        <v>94.43</v>
      </c>
      <c r="AV237" t="s">
        <v>46</v>
      </c>
      <c r="AW237" t="s">
        <v>283</v>
      </c>
      <c r="AX237">
        <v>95.04</v>
      </c>
      <c r="AY237" t="s">
        <v>46</v>
      </c>
      <c r="AZ237" t="s">
        <v>283</v>
      </c>
      <c r="BA237">
        <v>94.44</v>
      </c>
      <c r="BB237" t="s">
        <v>46</v>
      </c>
      <c r="BC237" t="s">
        <v>283</v>
      </c>
      <c r="BD237">
        <v>94.35</v>
      </c>
      <c r="BE237" t="s">
        <v>46</v>
      </c>
      <c r="BF237" t="s">
        <v>283</v>
      </c>
      <c r="BG237">
        <v>93.31</v>
      </c>
      <c r="BH237" t="s">
        <v>46</v>
      </c>
      <c r="BI237" t="s">
        <v>283</v>
      </c>
      <c r="BJ237">
        <v>95</v>
      </c>
      <c r="BK237" t="s">
        <v>46</v>
      </c>
      <c r="BL237" t="s">
        <v>410</v>
      </c>
      <c r="BM237">
        <v>20.65</v>
      </c>
      <c r="BN237" t="s">
        <v>70</v>
      </c>
      <c r="BO237" t="s">
        <v>410</v>
      </c>
      <c r="BP237">
        <v>20.5</v>
      </c>
      <c r="BQ237" t="s">
        <v>70</v>
      </c>
      <c r="BR237" t="s">
        <v>410</v>
      </c>
      <c r="BS237">
        <v>20.98</v>
      </c>
      <c r="BT237" t="s">
        <v>70</v>
      </c>
      <c r="BU237" t="s">
        <v>410</v>
      </c>
      <c r="BV237">
        <v>20.6</v>
      </c>
      <c r="BW237" t="s">
        <v>70</v>
      </c>
      <c r="BX237" t="s">
        <v>410</v>
      </c>
      <c r="BY237">
        <v>20.77</v>
      </c>
      <c r="BZ237" t="s">
        <v>70</v>
      </c>
      <c r="CA237" t="s">
        <v>450</v>
      </c>
      <c r="CB237">
        <v>5.41</v>
      </c>
      <c r="CC237" t="s">
        <v>31</v>
      </c>
      <c r="CD237" t="s">
        <v>410</v>
      </c>
      <c r="CE237">
        <v>20.82</v>
      </c>
      <c r="CF237" t="s">
        <v>70</v>
      </c>
      <c r="CG237" t="s">
        <v>410</v>
      </c>
      <c r="CH237">
        <v>21.07</v>
      </c>
      <c r="CI237" t="s">
        <v>70</v>
      </c>
      <c r="CJ237" t="s">
        <v>410</v>
      </c>
      <c r="CK237">
        <v>21.9</v>
      </c>
      <c r="CL237" t="s">
        <v>70</v>
      </c>
      <c r="CM237" t="s">
        <v>410</v>
      </c>
      <c r="CN237">
        <v>22.5</v>
      </c>
      <c r="CO237" t="s">
        <v>70</v>
      </c>
      <c r="CP237" t="s">
        <v>410</v>
      </c>
      <c r="CQ237">
        <v>22.21</v>
      </c>
      <c r="CR237" t="s">
        <v>70</v>
      </c>
      <c r="CS237" t="s">
        <v>410</v>
      </c>
      <c r="CT237">
        <v>22.75</v>
      </c>
      <c r="CU237" t="s">
        <v>70</v>
      </c>
      <c r="CV237" t="s">
        <v>410</v>
      </c>
      <c r="CW237">
        <v>22.38</v>
      </c>
      <c r="CX237" t="s">
        <v>70</v>
      </c>
      <c r="CY237" t="s">
        <v>410</v>
      </c>
      <c r="CZ237">
        <v>22.2</v>
      </c>
      <c r="DA237" t="s">
        <v>70</v>
      </c>
      <c r="DB237" t="s">
        <v>410</v>
      </c>
      <c r="DC237">
        <v>22.9</v>
      </c>
      <c r="DD237" t="s">
        <v>70</v>
      </c>
      <c r="DE237" t="s">
        <v>410</v>
      </c>
      <c r="DF237">
        <v>22.5</v>
      </c>
      <c r="DG237" t="s">
        <v>70</v>
      </c>
      <c r="DH237" t="s">
        <v>410</v>
      </c>
      <c r="DI237">
        <v>21</v>
      </c>
      <c r="DJ237" t="s">
        <v>70</v>
      </c>
      <c r="DK237" t="s">
        <v>659</v>
      </c>
      <c r="DL237">
        <v>1362</v>
      </c>
      <c r="DM237" t="s">
        <v>690</v>
      </c>
      <c r="DN237" t="s">
        <v>659</v>
      </c>
      <c r="DO237">
        <v>1362</v>
      </c>
      <c r="DP237" t="s">
        <v>690</v>
      </c>
      <c r="DQ237" t="s">
        <v>659</v>
      </c>
      <c r="DR237">
        <v>1362</v>
      </c>
      <c r="DS237" t="s">
        <v>690</v>
      </c>
      <c r="DT237" t="s">
        <v>286</v>
      </c>
      <c r="DU237">
        <v>0.37</v>
      </c>
      <c r="DV237" t="s">
        <v>287</v>
      </c>
      <c r="DW237" t="s">
        <v>286</v>
      </c>
      <c r="DX237">
        <v>0.37</v>
      </c>
      <c r="DY237" t="s">
        <v>287</v>
      </c>
      <c r="DZ237" t="s">
        <v>286</v>
      </c>
      <c r="EA237">
        <v>0.36</v>
      </c>
      <c r="EB237" t="s">
        <v>287</v>
      </c>
      <c r="EC237" t="s">
        <v>286</v>
      </c>
      <c r="ED237">
        <v>0.35</v>
      </c>
      <c r="EE237" t="s">
        <v>287</v>
      </c>
      <c r="EF237" t="s">
        <v>286</v>
      </c>
      <c r="EG237">
        <v>0.35</v>
      </c>
      <c r="EH237" t="s">
        <v>287</v>
      </c>
      <c r="EI237" t="s">
        <v>286</v>
      </c>
      <c r="EJ237">
        <v>0.35</v>
      </c>
      <c r="EK237" t="s">
        <v>287</v>
      </c>
    </row>
    <row r="238" spans="1:141">
      <c r="A238" t="s">
        <v>283</v>
      </c>
      <c r="B238">
        <v>83.32</v>
      </c>
      <c r="C238" t="s">
        <v>46</v>
      </c>
      <c r="D238" t="s">
        <v>283</v>
      </c>
      <c r="E238">
        <v>85.5</v>
      </c>
      <c r="F238" t="s">
        <v>46</v>
      </c>
      <c r="G238" t="s">
        <v>673</v>
      </c>
      <c r="H238">
        <v>90</v>
      </c>
      <c r="I238" t="s">
        <v>701</v>
      </c>
      <c r="J238" t="s">
        <v>673</v>
      </c>
      <c r="K238">
        <v>90</v>
      </c>
      <c r="L238" t="s">
        <v>701</v>
      </c>
      <c r="M238" t="s">
        <v>673</v>
      </c>
      <c r="N238">
        <v>90</v>
      </c>
      <c r="O238" t="s">
        <v>701</v>
      </c>
      <c r="P238" t="s">
        <v>343</v>
      </c>
      <c r="Q238">
        <v>1.34</v>
      </c>
      <c r="R238" t="s">
        <v>468</v>
      </c>
      <c r="S238" t="s">
        <v>673</v>
      </c>
      <c r="T238">
        <v>90</v>
      </c>
      <c r="U238" t="s">
        <v>701</v>
      </c>
      <c r="V238" t="s">
        <v>673</v>
      </c>
      <c r="W238">
        <v>69.69</v>
      </c>
      <c r="X238" t="s">
        <v>701</v>
      </c>
      <c r="Y238" t="s">
        <v>673</v>
      </c>
      <c r="Z238">
        <v>69.69</v>
      </c>
      <c r="AA238" t="s">
        <v>701</v>
      </c>
      <c r="AB238" t="s">
        <v>673</v>
      </c>
      <c r="AC238">
        <v>90</v>
      </c>
      <c r="AD238" t="s">
        <v>701</v>
      </c>
      <c r="AE238" t="s">
        <v>673</v>
      </c>
      <c r="AF238">
        <v>90</v>
      </c>
      <c r="AG238" t="s">
        <v>701</v>
      </c>
      <c r="AH238" t="s">
        <v>673</v>
      </c>
      <c r="AI238">
        <v>90</v>
      </c>
      <c r="AJ238" t="s">
        <v>701</v>
      </c>
      <c r="AK238" t="s">
        <v>673</v>
      </c>
      <c r="AL238">
        <v>90</v>
      </c>
      <c r="AM238" t="s">
        <v>701</v>
      </c>
      <c r="AN238" t="s">
        <v>673</v>
      </c>
      <c r="AO238">
        <v>90</v>
      </c>
      <c r="AP238" t="s">
        <v>701</v>
      </c>
      <c r="AQ238" t="s">
        <v>673</v>
      </c>
      <c r="AR238">
        <v>90</v>
      </c>
      <c r="AS238" t="s">
        <v>701</v>
      </c>
      <c r="AT238" t="s">
        <v>673</v>
      </c>
      <c r="AU238">
        <v>90</v>
      </c>
      <c r="AV238" t="s">
        <v>701</v>
      </c>
      <c r="AW238" t="s">
        <v>673</v>
      </c>
      <c r="AX238">
        <v>90</v>
      </c>
      <c r="AY238" t="s">
        <v>701</v>
      </c>
      <c r="AZ238" t="s">
        <v>673</v>
      </c>
      <c r="BA238">
        <v>85</v>
      </c>
      <c r="BB238" t="s">
        <v>701</v>
      </c>
      <c r="BC238" t="s">
        <v>673</v>
      </c>
      <c r="BD238">
        <v>85</v>
      </c>
      <c r="BE238" t="s">
        <v>701</v>
      </c>
      <c r="BF238" t="s">
        <v>673</v>
      </c>
      <c r="BG238">
        <v>56.35</v>
      </c>
      <c r="BH238" t="s">
        <v>701</v>
      </c>
      <c r="BI238" t="s">
        <v>673</v>
      </c>
      <c r="BJ238">
        <v>56.35</v>
      </c>
      <c r="BK238" t="s">
        <v>701</v>
      </c>
      <c r="BL238" t="s">
        <v>659</v>
      </c>
      <c r="BM238">
        <v>1362</v>
      </c>
      <c r="BN238" t="s">
        <v>690</v>
      </c>
      <c r="BO238" t="s">
        <v>659</v>
      </c>
      <c r="BP238">
        <v>1362</v>
      </c>
      <c r="BQ238" t="s">
        <v>690</v>
      </c>
      <c r="BR238" t="s">
        <v>659</v>
      </c>
      <c r="BS238">
        <v>1362</v>
      </c>
      <c r="BT238" t="s">
        <v>690</v>
      </c>
      <c r="BU238" t="s">
        <v>659</v>
      </c>
      <c r="BV238">
        <v>1362</v>
      </c>
      <c r="BW238" t="s">
        <v>690</v>
      </c>
      <c r="BX238" t="s">
        <v>659</v>
      </c>
      <c r="BY238">
        <v>1362</v>
      </c>
      <c r="BZ238" t="s">
        <v>690</v>
      </c>
      <c r="CA238" t="s">
        <v>450</v>
      </c>
      <c r="CB238">
        <v>66.3</v>
      </c>
      <c r="CC238" t="s">
        <v>31</v>
      </c>
      <c r="CD238" t="s">
        <v>659</v>
      </c>
      <c r="CE238">
        <v>1362</v>
      </c>
      <c r="CF238" t="s">
        <v>690</v>
      </c>
      <c r="CG238" t="s">
        <v>659</v>
      </c>
      <c r="CH238">
        <v>1362</v>
      </c>
      <c r="CI238" t="s">
        <v>690</v>
      </c>
      <c r="CJ238" t="s">
        <v>659</v>
      </c>
      <c r="CK238">
        <v>1362</v>
      </c>
      <c r="CL238" t="s">
        <v>690</v>
      </c>
      <c r="CM238" t="s">
        <v>659</v>
      </c>
      <c r="CN238">
        <v>1362</v>
      </c>
      <c r="CO238" t="s">
        <v>690</v>
      </c>
      <c r="CP238" t="s">
        <v>659</v>
      </c>
      <c r="CQ238">
        <v>1362</v>
      </c>
      <c r="CR238" t="s">
        <v>690</v>
      </c>
      <c r="CS238" t="s">
        <v>659</v>
      </c>
      <c r="CT238">
        <v>1362</v>
      </c>
      <c r="CU238" t="s">
        <v>690</v>
      </c>
      <c r="CV238" t="s">
        <v>659</v>
      </c>
      <c r="CW238">
        <v>1362</v>
      </c>
      <c r="CX238" t="s">
        <v>690</v>
      </c>
      <c r="CY238" t="s">
        <v>659</v>
      </c>
      <c r="CZ238">
        <v>1362</v>
      </c>
      <c r="DA238" t="s">
        <v>690</v>
      </c>
      <c r="DB238" t="s">
        <v>659</v>
      </c>
      <c r="DC238">
        <v>1362</v>
      </c>
      <c r="DD238" t="s">
        <v>690</v>
      </c>
      <c r="DE238" t="s">
        <v>659</v>
      </c>
      <c r="DF238">
        <v>1362</v>
      </c>
      <c r="DG238" t="s">
        <v>690</v>
      </c>
      <c r="DH238" t="s">
        <v>659</v>
      </c>
      <c r="DI238">
        <v>1362</v>
      </c>
      <c r="DJ238" t="s">
        <v>690</v>
      </c>
      <c r="DK238" t="s">
        <v>283</v>
      </c>
      <c r="DL238">
        <v>98.45</v>
      </c>
      <c r="DM238" t="s">
        <v>46</v>
      </c>
      <c r="DN238" t="s">
        <v>283</v>
      </c>
      <c r="DO238">
        <v>108.75</v>
      </c>
      <c r="DP238" t="s">
        <v>46</v>
      </c>
      <c r="DQ238" t="s">
        <v>283</v>
      </c>
      <c r="DR238">
        <v>115.83</v>
      </c>
      <c r="DS238" t="s">
        <v>46</v>
      </c>
      <c r="DT238" t="s">
        <v>288</v>
      </c>
      <c r="DU238">
        <v>47.61</v>
      </c>
      <c r="DV238" t="s">
        <v>27</v>
      </c>
      <c r="DW238" t="s">
        <v>288</v>
      </c>
      <c r="DX238">
        <v>50.2</v>
      </c>
      <c r="DY238" t="s">
        <v>27</v>
      </c>
      <c r="DZ238" t="s">
        <v>288</v>
      </c>
      <c r="EA238">
        <v>52.7</v>
      </c>
      <c r="EB238" t="s">
        <v>27</v>
      </c>
      <c r="EC238" t="s">
        <v>288</v>
      </c>
      <c r="ED238">
        <v>52.5</v>
      </c>
      <c r="EE238" t="s">
        <v>27</v>
      </c>
      <c r="EF238" t="s">
        <v>288</v>
      </c>
      <c r="EG238">
        <v>49.82</v>
      </c>
      <c r="EH238" t="s">
        <v>27</v>
      </c>
      <c r="EI238" t="s">
        <v>288</v>
      </c>
      <c r="EJ238">
        <v>50.22</v>
      </c>
      <c r="EK238" t="s">
        <v>27</v>
      </c>
    </row>
    <row r="239" spans="1:141">
      <c r="A239" t="s">
        <v>673</v>
      </c>
      <c r="B239">
        <v>90</v>
      </c>
      <c r="C239" t="s">
        <v>701</v>
      </c>
      <c r="D239" t="s">
        <v>673</v>
      </c>
      <c r="E239">
        <v>90</v>
      </c>
      <c r="F239" t="s">
        <v>701</v>
      </c>
      <c r="G239" t="s">
        <v>335</v>
      </c>
      <c r="H239">
        <v>5.49</v>
      </c>
      <c r="I239" t="s">
        <v>135</v>
      </c>
      <c r="J239" t="s">
        <v>335</v>
      </c>
      <c r="K239">
        <v>5.45</v>
      </c>
      <c r="L239" t="s">
        <v>135</v>
      </c>
      <c r="M239" t="s">
        <v>335</v>
      </c>
      <c r="N239">
        <v>5.34</v>
      </c>
      <c r="O239" t="s">
        <v>135</v>
      </c>
      <c r="P239" t="s">
        <v>410</v>
      </c>
      <c r="Q239">
        <v>18.7</v>
      </c>
      <c r="R239" t="s">
        <v>70</v>
      </c>
      <c r="S239" t="s">
        <v>335</v>
      </c>
      <c r="T239">
        <v>5.58</v>
      </c>
      <c r="U239" t="s">
        <v>135</v>
      </c>
      <c r="V239" t="s">
        <v>335</v>
      </c>
      <c r="W239">
        <v>6</v>
      </c>
      <c r="X239" t="s">
        <v>135</v>
      </c>
      <c r="Y239" t="s">
        <v>335</v>
      </c>
      <c r="Z239">
        <v>6</v>
      </c>
      <c r="AA239" t="s">
        <v>135</v>
      </c>
      <c r="AB239" t="s">
        <v>335</v>
      </c>
      <c r="AC239">
        <v>5.82</v>
      </c>
      <c r="AD239" t="s">
        <v>135</v>
      </c>
      <c r="AE239" t="s">
        <v>335</v>
      </c>
      <c r="AF239">
        <v>5.75</v>
      </c>
      <c r="AG239" t="s">
        <v>135</v>
      </c>
      <c r="AH239" t="s">
        <v>335</v>
      </c>
      <c r="AI239">
        <v>5.84</v>
      </c>
      <c r="AJ239" t="s">
        <v>135</v>
      </c>
      <c r="AK239" t="s">
        <v>335</v>
      </c>
      <c r="AL239">
        <v>5.71</v>
      </c>
      <c r="AM239" t="s">
        <v>135</v>
      </c>
      <c r="AN239" t="s">
        <v>335</v>
      </c>
      <c r="AO239">
        <v>5.75</v>
      </c>
      <c r="AP239" t="s">
        <v>135</v>
      </c>
      <c r="AQ239" t="s">
        <v>335</v>
      </c>
      <c r="AR239">
        <v>5.82</v>
      </c>
      <c r="AS239" t="s">
        <v>135</v>
      </c>
      <c r="AT239" t="s">
        <v>335</v>
      </c>
      <c r="AU239">
        <v>6.11</v>
      </c>
      <c r="AV239" t="s">
        <v>135</v>
      </c>
      <c r="AW239" t="s">
        <v>335</v>
      </c>
      <c r="AX239">
        <v>6.21</v>
      </c>
      <c r="AY239" t="s">
        <v>135</v>
      </c>
      <c r="AZ239" t="s">
        <v>335</v>
      </c>
      <c r="BA239">
        <v>6.14</v>
      </c>
      <c r="BB239" t="s">
        <v>135</v>
      </c>
      <c r="BC239" t="s">
        <v>335</v>
      </c>
      <c r="BD239">
        <v>6.04</v>
      </c>
      <c r="BE239" t="s">
        <v>135</v>
      </c>
      <c r="BF239" t="s">
        <v>335</v>
      </c>
      <c r="BG239">
        <v>6.1</v>
      </c>
      <c r="BH239" t="s">
        <v>135</v>
      </c>
      <c r="BI239" t="s">
        <v>335</v>
      </c>
      <c r="BJ239">
        <v>6.01</v>
      </c>
      <c r="BK239" t="s">
        <v>135</v>
      </c>
      <c r="BL239" t="s">
        <v>283</v>
      </c>
      <c r="BM239">
        <v>93.49</v>
      </c>
      <c r="BN239" t="s">
        <v>46</v>
      </c>
      <c r="BO239" t="s">
        <v>283</v>
      </c>
      <c r="BP239">
        <v>95.3</v>
      </c>
      <c r="BQ239" t="s">
        <v>46</v>
      </c>
      <c r="BR239" t="s">
        <v>283</v>
      </c>
      <c r="BS239">
        <v>93.8</v>
      </c>
      <c r="BT239" t="s">
        <v>46</v>
      </c>
      <c r="BU239" t="s">
        <v>283</v>
      </c>
      <c r="BV239">
        <v>98</v>
      </c>
      <c r="BW239" t="s">
        <v>46</v>
      </c>
      <c r="BX239" t="s">
        <v>283</v>
      </c>
      <c r="BY239">
        <v>97</v>
      </c>
      <c r="BZ239" t="s">
        <v>46</v>
      </c>
      <c r="CA239" t="s">
        <v>658</v>
      </c>
      <c r="CB239">
        <v>9.11</v>
      </c>
      <c r="CC239" t="s">
        <v>689</v>
      </c>
      <c r="CD239" t="s">
        <v>283</v>
      </c>
      <c r="CE239">
        <v>96</v>
      </c>
      <c r="CF239" t="s">
        <v>46</v>
      </c>
      <c r="CG239" t="s">
        <v>283</v>
      </c>
      <c r="CH239">
        <v>96.9</v>
      </c>
      <c r="CI239" t="s">
        <v>46</v>
      </c>
      <c r="CJ239" t="s">
        <v>283</v>
      </c>
      <c r="CK239">
        <v>90.12</v>
      </c>
      <c r="CL239" t="s">
        <v>46</v>
      </c>
      <c r="CM239" t="s">
        <v>283</v>
      </c>
      <c r="CN239">
        <v>93.6</v>
      </c>
      <c r="CO239" t="s">
        <v>46</v>
      </c>
      <c r="CP239" t="s">
        <v>283</v>
      </c>
      <c r="CQ239">
        <v>93.15</v>
      </c>
      <c r="CR239" t="s">
        <v>46</v>
      </c>
      <c r="CS239" t="s">
        <v>283</v>
      </c>
      <c r="CT239">
        <v>93.55</v>
      </c>
      <c r="CU239" t="s">
        <v>46</v>
      </c>
      <c r="CV239" t="s">
        <v>283</v>
      </c>
      <c r="CW239">
        <v>93.98</v>
      </c>
      <c r="CX239" t="s">
        <v>46</v>
      </c>
      <c r="CY239" t="s">
        <v>283</v>
      </c>
      <c r="CZ239">
        <v>93.78</v>
      </c>
      <c r="DA239" t="s">
        <v>46</v>
      </c>
      <c r="DB239" t="s">
        <v>283</v>
      </c>
      <c r="DC239">
        <v>93.82</v>
      </c>
      <c r="DD239" t="s">
        <v>46</v>
      </c>
      <c r="DE239" t="s">
        <v>283</v>
      </c>
      <c r="DF239">
        <v>93.92</v>
      </c>
      <c r="DG239" t="s">
        <v>46</v>
      </c>
      <c r="DH239" t="s">
        <v>283</v>
      </c>
      <c r="DI239">
        <v>94.4</v>
      </c>
      <c r="DJ239" t="s">
        <v>46</v>
      </c>
      <c r="DK239" t="s">
        <v>673</v>
      </c>
      <c r="DL239">
        <v>90</v>
      </c>
      <c r="DM239" t="s">
        <v>701</v>
      </c>
      <c r="DN239" t="s">
        <v>673</v>
      </c>
      <c r="DO239">
        <v>59.01</v>
      </c>
      <c r="DP239" t="s">
        <v>701</v>
      </c>
      <c r="DQ239" t="s">
        <v>673</v>
      </c>
      <c r="DR239">
        <v>70.069999999999993</v>
      </c>
      <c r="DS239" t="s">
        <v>701</v>
      </c>
      <c r="DT239" t="s">
        <v>443</v>
      </c>
      <c r="DU239">
        <v>4.3899999999999997</v>
      </c>
      <c r="DV239" t="s">
        <v>289</v>
      </c>
      <c r="DW239" t="s">
        <v>443</v>
      </c>
      <c r="DX239">
        <v>4.38</v>
      </c>
      <c r="DY239" t="s">
        <v>289</v>
      </c>
      <c r="DZ239" t="s">
        <v>443</v>
      </c>
      <c r="EA239">
        <v>4.3600000000000003</v>
      </c>
      <c r="EB239" t="s">
        <v>289</v>
      </c>
      <c r="EC239" t="s">
        <v>443</v>
      </c>
      <c r="ED239">
        <v>4.7</v>
      </c>
      <c r="EE239" t="s">
        <v>289</v>
      </c>
      <c r="EF239" t="s">
        <v>443</v>
      </c>
      <c r="EG239">
        <v>6.37</v>
      </c>
      <c r="EH239" t="s">
        <v>289</v>
      </c>
      <c r="EI239" t="s">
        <v>443</v>
      </c>
      <c r="EJ239">
        <v>6.37</v>
      </c>
      <c r="EK239" t="s">
        <v>289</v>
      </c>
    </row>
    <row r="240" spans="1:141">
      <c r="A240" t="s">
        <v>335</v>
      </c>
      <c r="B240">
        <v>5.46</v>
      </c>
      <c r="C240" t="s">
        <v>135</v>
      </c>
      <c r="D240" t="s">
        <v>335</v>
      </c>
      <c r="E240">
        <v>5.49</v>
      </c>
      <c r="F240" t="s">
        <v>135</v>
      </c>
      <c r="G240" t="s">
        <v>320</v>
      </c>
      <c r="H240">
        <v>5.51</v>
      </c>
      <c r="I240" t="s">
        <v>463</v>
      </c>
      <c r="J240" t="s">
        <v>320</v>
      </c>
      <c r="K240">
        <v>5.51</v>
      </c>
      <c r="L240" t="s">
        <v>463</v>
      </c>
      <c r="M240" t="s">
        <v>320</v>
      </c>
      <c r="N240">
        <v>5.94</v>
      </c>
      <c r="O240" t="s">
        <v>463</v>
      </c>
      <c r="P240" t="s">
        <v>659</v>
      </c>
      <c r="Q240">
        <v>1362</v>
      </c>
      <c r="R240" t="s">
        <v>690</v>
      </c>
      <c r="S240" t="s">
        <v>320</v>
      </c>
      <c r="T240">
        <v>5.94</v>
      </c>
      <c r="U240" t="s">
        <v>463</v>
      </c>
      <c r="V240" t="s">
        <v>320</v>
      </c>
      <c r="W240">
        <v>5.5</v>
      </c>
      <c r="X240" t="s">
        <v>463</v>
      </c>
      <c r="Y240" t="s">
        <v>320</v>
      </c>
      <c r="Z240">
        <v>5.5</v>
      </c>
      <c r="AA240" t="s">
        <v>463</v>
      </c>
      <c r="AB240" t="s">
        <v>320</v>
      </c>
      <c r="AC240">
        <v>5.84</v>
      </c>
      <c r="AD240" t="s">
        <v>463</v>
      </c>
      <c r="AE240" t="s">
        <v>320</v>
      </c>
      <c r="AF240">
        <v>5.9</v>
      </c>
      <c r="AG240" t="s">
        <v>463</v>
      </c>
      <c r="AH240" t="s">
        <v>320</v>
      </c>
      <c r="AI240">
        <v>5.9</v>
      </c>
      <c r="AJ240" t="s">
        <v>463</v>
      </c>
      <c r="AK240" t="s">
        <v>320</v>
      </c>
      <c r="AL240">
        <v>5.9</v>
      </c>
      <c r="AM240" t="s">
        <v>463</v>
      </c>
      <c r="AN240" t="s">
        <v>320</v>
      </c>
      <c r="AO240">
        <v>5.7</v>
      </c>
      <c r="AP240" t="s">
        <v>463</v>
      </c>
      <c r="AQ240" t="s">
        <v>320</v>
      </c>
      <c r="AR240">
        <v>5.89</v>
      </c>
      <c r="AS240" t="s">
        <v>463</v>
      </c>
      <c r="AT240" t="s">
        <v>320</v>
      </c>
      <c r="AU240">
        <v>5.89</v>
      </c>
      <c r="AV240" t="s">
        <v>463</v>
      </c>
      <c r="AW240" t="s">
        <v>320</v>
      </c>
      <c r="AX240">
        <v>6</v>
      </c>
      <c r="AY240" t="s">
        <v>463</v>
      </c>
      <c r="AZ240" t="s">
        <v>320</v>
      </c>
      <c r="BA240">
        <v>5.85</v>
      </c>
      <c r="BB240" t="s">
        <v>463</v>
      </c>
      <c r="BC240" t="s">
        <v>320</v>
      </c>
      <c r="BD240">
        <v>5.66</v>
      </c>
      <c r="BE240" t="s">
        <v>463</v>
      </c>
      <c r="BF240" t="s">
        <v>320</v>
      </c>
      <c r="BG240">
        <v>5.64</v>
      </c>
      <c r="BH240" t="s">
        <v>463</v>
      </c>
      <c r="BI240" t="s">
        <v>320</v>
      </c>
      <c r="BJ240">
        <v>5.64</v>
      </c>
      <c r="BK240" t="s">
        <v>463</v>
      </c>
      <c r="BL240" t="s">
        <v>673</v>
      </c>
      <c r="BM240">
        <v>89.18</v>
      </c>
      <c r="BN240" t="s">
        <v>701</v>
      </c>
      <c r="BO240" t="s">
        <v>673</v>
      </c>
      <c r="BP240">
        <v>79.37</v>
      </c>
      <c r="BQ240" t="s">
        <v>701</v>
      </c>
      <c r="BR240" t="s">
        <v>673</v>
      </c>
      <c r="BS240">
        <v>79.37</v>
      </c>
      <c r="BT240" t="s">
        <v>701</v>
      </c>
      <c r="BU240" t="s">
        <v>673</v>
      </c>
      <c r="BV240">
        <v>88.99</v>
      </c>
      <c r="BW240" t="s">
        <v>701</v>
      </c>
      <c r="BX240" t="s">
        <v>673</v>
      </c>
      <c r="BY240">
        <v>88.99</v>
      </c>
      <c r="BZ240" t="s">
        <v>701</v>
      </c>
      <c r="CA240" t="s">
        <v>343</v>
      </c>
      <c r="CB240">
        <v>1.21</v>
      </c>
      <c r="CC240" t="s">
        <v>468</v>
      </c>
      <c r="CD240" t="s">
        <v>673</v>
      </c>
      <c r="CE240">
        <v>88.5</v>
      </c>
      <c r="CF240" t="s">
        <v>701</v>
      </c>
      <c r="CG240" t="s">
        <v>673</v>
      </c>
      <c r="CH240">
        <v>88.5</v>
      </c>
      <c r="CI240" t="s">
        <v>701</v>
      </c>
      <c r="CJ240" t="s">
        <v>673</v>
      </c>
      <c r="CK240">
        <v>88.5</v>
      </c>
      <c r="CL240" t="s">
        <v>701</v>
      </c>
      <c r="CM240" t="s">
        <v>673</v>
      </c>
      <c r="CN240">
        <v>88.5</v>
      </c>
      <c r="CO240" t="s">
        <v>701</v>
      </c>
      <c r="CP240" t="s">
        <v>673</v>
      </c>
      <c r="CQ240">
        <v>88.5</v>
      </c>
      <c r="CR240" t="s">
        <v>701</v>
      </c>
      <c r="CS240" t="s">
        <v>673</v>
      </c>
      <c r="CT240">
        <v>88.5</v>
      </c>
      <c r="CU240" t="s">
        <v>701</v>
      </c>
      <c r="CV240" t="s">
        <v>673</v>
      </c>
      <c r="CW240">
        <v>89.72</v>
      </c>
      <c r="CX240" t="s">
        <v>701</v>
      </c>
      <c r="CY240" t="s">
        <v>673</v>
      </c>
      <c r="CZ240">
        <v>89.72</v>
      </c>
      <c r="DA240" t="s">
        <v>701</v>
      </c>
      <c r="DB240" t="s">
        <v>673</v>
      </c>
      <c r="DC240">
        <v>90</v>
      </c>
      <c r="DD240" t="s">
        <v>701</v>
      </c>
      <c r="DE240" t="s">
        <v>673</v>
      </c>
      <c r="DF240">
        <v>90</v>
      </c>
      <c r="DG240" t="s">
        <v>701</v>
      </c>
      <c r="DH240" t="s">
        <v>673</v>
      </c>
      <c r="DI240">
        <v>89</v>
      </c>
      <c r="DJ240" t="s">
        <v>701</v>
      </c>
      <c r="DK240" t="s">
        <v>335</v>
      </c>
      <c r="DL240">
        <v>6.99</v>
      </c>
      <c r="DM240" t="s">
        <v>135</v>
      </c>
      <c r="DN240" t="s">
        <v>335</v>
      </c>
      <c r="DO240">
        <v>7.01</v>
      </c>
      <c r="DP240" t="s">
        <v>135</v>
      </c>
      <c r="DQ240" t="s">
        <v>335</v>
      </c>
      <c r="DR240">
        <v>7.36</v>
      </c>
      <c r="DS240" t="s">
        <v>135</v>
      </c>
      <c r="DT240" t="s">
        <v>447</v>
      </c>
      <c r="DU240">
        <v>79.89</v>
      </c>
      <c r="DV240" t="s">
        <v>290</v>
      </c>
      <c r="DW240" t="s">
        <v>447</v>
      </c>
      <c r="DX240">
        <v>78.7</v>
      </c>
      <c r="DY240" t="s">
        <v>290</v>
      </c>
      <c r="DZ240" t="s">
        <v>447</v>
      </c>
      <c r="EA240">
        <v>79.010000000000005</v>
      </c>
      <c r="EB240" t="s">
        <v>290</v>
      </c>
      <c r="EC240" t="s">
        <v>447</v>
      </c>
      <c r="ED240">
        <v>81.75</v>
      </c>
      <c r="EE240" t="s">
        <v>290</v>
      </c>
      <c r="EF240" t="s">
        <v>447</v>
      </c>
      <c r="EG240">
        <v>75</v>
      </c>
      <c r="EH240" t="s">
        <v>290</v>
      </c>
      <c r="EI240" t="s">
        <v>447</v>
      </c>
      <c r="EJ240">
        <v>75.900000000000006</v>
      </c>
      <c r="EK240" t="s">
        <v>290</v>
      </c>
    </row>
    <row r="241" spans="1:141">
      <c r="A241" t="s">
        <v>320</v>
      </c>
      <c r="B241">
        <v>5.6</v>
      </c>
      <c r="C241" t="s">
        <v>463</v>
      </c>
      <c r="D241" t="s">
        <v>320</v>
      </c>
      <c r="E241">
        <v>5.51</v>
      </c>
      <c r="F241" t="s">
        <v>463</v>
      </c>
      <c r="G241" t="s">
        <v>547</v>
      </c>
      <c r="H241">
        <v>2.5499999999999998</v>
      </c>
      <c r="I241" t="s">
        <v>136</v>
      </c>
      <c r="J241" t="s">
        <v>547</v>
      </c>
      <c r="K241">
        <v>2.5499999999999998</v>
      </c>
      <c r="L241" t="s">
        <v>136</v>
      </c>
      <c r="M241" t="s">
        <v>547</v>
      </c>
      <c r="N241">
        <v>2.5499999999999998</v>
      </c>
      <c r="O241" t="s">
        <v>136</v>
      </c>
      <c r="P241" t="s">
        <v>283</v>
      </c>
      <c r="Q241">
        <v>86.86</v>
      </c>
      <c r="R241" t="s">
        <v>46</v>
      </c>
      <c r="S241" t="s">
        <v>547</v>
      </c>
      <c r="T241">
        <v>2.5499999999999998</v>
      </c>
      <c r="U241" t="s">
        <v>136</v>
      </c>
      <c r="V241" t="s">
        <v>547</v>
      </c>
      <c r="W241">
        <v>2.5499999999999998</v>
      </c>
      <c r="X241" t="s">
        <v>136</v>
      </c>
      <c r="Y241" t="s">
        <v>547</v>
      </c>
      <c r="Z241">
        <v>2.5499999999999998</v>
      </c>
      <c r="AA241" t="s">
        <v>136</v>
      </c>
      <c r="AB241" t="s">
        <v>547</v>
      </c>
      <c r="AC241">
        <v>2.5499999999999998</v>
      </c>
      <c r="AD241" t="s">
        <v>136</v>
      </c>
      <c r="AE241" t="s">
        <v>547</v>
      </c>
      <c r="AF241">
        <v>2.5499999999999998</v>
      </c>
      <c r="AG241" t="s">
        <v>136</v>
      </c>
      <c r="AH241" t="s">
        <v>547</v>
      </c>
      <c r="AI241">
        <v>2.5499999999999998</v>
      </c>
      <c r="AJ241" t="s">
        <v>136</v>
      </c>
      <c r="AK241" t="s">
        <v>547</v>
      </c>
      <c r="AL241">
        <v>2.5499999999999998</v>
      </c>
      <c r="AM241" t="s">
        <v>136</v>
      </c>
      <c r="AN241" t="s">
        <v>547</v>
      </c>
      <c r="AO241">
        <v>2.5499999999999998</v>
      </c>
      <c r="AP241" t="s">
        <v>136</v>
      </c>
      <c r="AQ241" t="s">
        <v>547</v>
      </c>
      <c r="AR241">
        <v>2.5499999999999998</v>
      </c>
      <c r="AS241" t="s">
        <v>136</v>
      </c>
      <c r="AT241" t="s">
        <v>547</v>
      </c>
      <c r="AU241">
        <v>2.5499999999999998</v>
      </c>
      <c r="AV241" t="s">
        <v>136</v>
      </c>
      <c r="AW241" t="s">
        <v>547</v>
      </c>
      <c r="AX241">
        <v>2.5499999999999998</v>
      </c>
      <c r="AY241" t="s">
        <v>136</v>
      </c>
      <c r="AZ241" t="s">
        <v>547</v>
      </c>
      <c r="BA241">
        <v>2.5499999999999998</v>
      </c>
      <c r="BB241" t="s">
        <v>136</v>
      </c>
      <c r="BC241" t="s">
        <v>547</v>
      </c>
      <c r="BD241">
        <v>2.5499999999999998</v>
      </c>
      <c r="BE241" t="s">
        <v>136</v>
      </c>
      <c r="BF241" t="s">
        <v>547</v>
      </c>
      <c r="BG241">
        <v>2.5499999999999998</v>
      </c>
      <c r="BH241" t="s">
        <v>136</v>
      </c>
      <c r="BI241" t="s">
        <v>547</v>
      </c>
      <c r="BJ241">
        <v>2.5499999999999998</v>
      </c>
      <c r="BK241" t="s">
        <v>136</v>
      </c>
      <c r="BL241" t="s">
        <v>335</v>
      </c>
      <c r="BM241">
        <v>6.01</v>
      </c>
      <c r="BN241" t="s">
        <v>135</v>
      </c>
      <c r="BO241" t="s">
        <v>335</v>
      </c>
      <c r="BP241">
        <v>6.02</v>
      </c>
      <c r="BQ241" t="s">
        <v>135</v>
      </c>
      <c r="BR241" t="s">
        <v>335</v>
      </c>
      <c r="BS241">
        <v>5.95</v>
      </c>
      <c r="BT241" t="s">
        <v>135</v>
      </c>
      <c r="BU241" t="s">
        <v>335</v>
      </c>
      <c r="BV241">
        <v>5.93</v>
      </c>
      <c r="BW241" t="s">
        <v>135</v>
      </c>
      <c r="BX241" t="s">
        <v>335</v>
      </c>
      <c r="BY241">
        <v>5.95</v>
      </c>
      <c r="BZ241" t="s">
        <v>135</v>
      </c>
      <c r="CA241" t="s">
        <v>410</v>
      </c>
      <c r="CB241">
        <v>20.81</v>
      </c>
      <c r="CC241" t="s">
        <v>70</v>
      </c>
      <c r="CD241" t="s">
        <v>335</v>
      </c>
      <c r="CE241">
        <v>6.11</v>
      </c>
      <c r="CF241" t="s">
        <v>135</v>
      </c>
      <c r="CG241" t="s">
        <v>335</v>
      </c>
      <c r="CH241">
        <v>6.11</v>
      </c>
      <c r="CI241" t="s">
        <v>135</v>
      </c>
      <c r="CJ241" t="s">
        <v>335</v>
      </c>
      <c r="CK241">
        <v>6.14</v>
      </c>
      <c r="CL241" t="s">
        <v>135</v>
      </c>
      <c r="CM241" t="s">
        <v>335</v>
      </c>
      <c r="CN241">
        <v>6.15</v>
      </c>
      <c r="CO241" t="s">
        <v>135</v>
      </c>
      <c r="CP241" t="s">
        <v>335</v>
      </c>
      <c r="CQ241">
        <v>6.57</v>
      </c>
      <c r="CR241" t="s">
        <v>135</v>
      </c>
      <c r="CS241" t="s">
        <v>335</v>
      </c>
      <c r="CT241">
        <v>6.31</v>
      </c>
      <c r="CU241" t="s">
        <v>135</v>
      </c>
      <c r="CV241" t="s">
        <v>335</v>
      </c>
      <c r="CW241">
        <v>6.45</v>
      </c>
      <c r="CX241" t="s">
        <v>135</v>
      </c>
      <c r="CY241" t="s">
        <v>335</v>
      </c>
      <c r="CZ241">
        <v>6.4</v>
      </c>
      <c r="DA241" t="s">
        <v>135</v>
      </c>
      <c r="DB241" t="s">
        <v>335</v>
      </c>
      <c r="DC241">
        <v>6.36</v>
      </c>
      <c r="DD241" t="s">
        <v>135</v>
      </c>
      <c r="DE241" t="s">
        <v>335</v>
      </c>
      <c r="DF241">
        <v>6.3</v>
      </c>
      <c r="DG241" t="s">
        <v>135</v>
      </c>
      <c r="DH241" t="s">
        <v>335</v>
      </c>
      <c r="DI241">
        <v>6.7</v>
      </c>
      <c r="DJ241" t="s">
        <v>135</v>
      </c>
      <c r="DK241" t="s">
        <v>320</v>
      </c>
      <c r="DL241">
        <v>6</v>
      </c>
      <c r="DM241" t="s">
        <v>463</v>
      </c>
      <c r="DN241" t="s">
        <v>320</v>
      </c>
      <c r="DO241">
        <v>6.03</v>
      </c>
      <c r="DP241" t="s">
        <v>463</v>
      </c>
      <c r="DQ241" t="s">
        <v>320</v>
      </c>
      <c r="DR241">
        <v>6.53</v>
      </c>
      <c r="DS241" t="s">
        <v>463</v>
      </c>
      <c r="DT241" t="s">
        <v>291</v>
      </c>
      <c r="DU241">
        <v>10.85</v>
      </c>
      <c r="DV241" t="s">
        <v>292</v>
      </c>
      <c r="DW241" t="s">
        <v>291</v>
      </c>
      <c r="DX241">
        <v>10.8</v>
      </c>
      <c r="DY241" t="s">
        <v>292</v>
      </c>
      <c r="DZ241" t="s">
        <v>291</v>
      </c>
      <c r="EA241">
        <v>10.6</v>
      </c>
      <c r="EB241" t="s">
        <v>292</v>
      </c>
      <c r="EC241" t="s">
        <v>291</v>
      </c>
      <c r="ED241">
        <v>10.59</v>
      </c>
      <c r="EE241" t="s">
        <v>292</v>
      </c>
      <c r="EF241" t="s">
        <v>291</v>
      </c>
      <c r="EG241">
        <v>10.6</v>
      </c>
      <c r="EH241" t="s">
        <v>292</v>
      </c>
      <c r="EI241" t="s">
        <v>291</v>
      </c>
      <c r="EJ241">
        <v>0.56000000000000005</v>
      </c>
      <c r="EK241" t="s">
        <v>292</v>
      </c>
    </row>
    <row r="242" spans="1:141">
      <c r="A242" t="s">
        <v>547</v>
      </c>
      <c r="B242">
        <v>2.5499999999999998</v>
      </c>
      <c r="C242" t="s">
        <v>136</v>
      </c>
      <c r="D242" t="s">
        <v>547</v>
      </c>
      <c r="E242">
        <v>2.5499999999999998</v>
      </c>
      <c r="F242" t="s">
        <v>136</v>
      </c>
      <c r="G242" t="s">
        <v>284</v>
      </c>
      <c r="H242">
        <v>9.1</v>
      </c>
      <c r="I242" t="s">
        <v>285</v>
      </c>
      <c r="J242" t="s">
        <v>284</v>
      </c>
      <c r="K242">
        <v>8.93</v>
      </c>
      <c r="L242" t="s">
        <v>285</v>
      </c>
      <c r="M242" t="s">
        <v>284</v>
      </c>
      <c r="N242">
        <v>8.9600000000000009</v>
      </c>
      <c r="O242" t="s">
        <v>285</v>
      </c>
      <c r="P242" t="s">
        <v>673</v>
      </c>
      <c r="Q242">
        <v>90</v>
      </c>
      <c r="R242" t="s">
        <v>701</v>
      </c>
      <c r="S242" t="s">
        <v>284</v>
      </c>
      <c r="T242">
        <v>8.93</v>
      </c>
      <c r="U242" t="s">
        <v>285</v>
      </c>
      <c r="V242" t="s">
        <v>284</v>
      </c>
      <c r="W242">
        <v>9.02</v>
      </c>
      <c r="X242" t="s">
        <v>285</v>
      </c>
      <c r="Y242" t="s">
        <v>284</v>
      </c>
      <c r="Z242">
        <v>8.91</v>
      </c>
      <c r="AA242" t="s">
        <v>285</v>
      </c>
      <c r="AB242" t="s">
        <v>284</v>
      </c>
      <c r="AC242">
        <v>9.3000000000000007</v>
      </c>
      <c r="AD242" t="s">
        <v>285</v>
      </c>
      <c r="AE242" t="s">
        <v>284</v>
      </c>
      <c r="AF242">
        <v>9.43</v>
      </c>
      <c r="AG242" t="s">
        <v>285</v>
      </c>
      <c r="AH242" t="s">
        <v>284</v>
      </c>
      <c r="AI242">
        <v>9.25</v>
      </c>
      <c r="AJ242" t="s">
        <v>285</v>
      </c>
      <c r="AK242" t="s">
        <v>284</v>
      </c>
      <c r="AL242">
        <v>9.1</v>
      </c>
      <c r="AM242" t="s">
        <v>285</v>
      </c>
      <c r="AN242" t="s">
        <v>284</v>
      </c>
      <c r="AO242">
        <v>9.3000000000000007</v>
      </c>
      <c r="AP242" t="s">
        <v>285</v>
      </c>
      <c r="AQ242" t="s">
        <v>284</v>
      </c>
      <c r="AR242">
        <v>9.31</v>
      </c>
      <c r="AS242" t="s">
        <v>285</v>
      </c>
      <c r="AT242" t="s">
        <v>284</v>
      </c>
      <c r="AU242">
        <v>9.85</v>
      </c>
      <c r="AV242" t="s">
        <v>285</v>
      </c>
      <c r="AW242" t="s">
        <v>284</v>
      </c>
      <c r="AX242">
        <v>9.59</v>
      </c>
      <c r="AY242" t="s">
        <v>285</v>
      </c>
      <c r="AZ242" t="s">
        <v>284</v>
      </c>
      <c r="BA242">
        <v>9.4499999999999993</v>
      </c>
      <c r="BB242" t="s">
        <v>285</v>
      </c>
      <c r="BC242" t="s">
        <v>284</v>
      </c>
      <c r="BD242">
        <v>9.35</v>
      </c>
      <c r="BE242" t="s">
        <v>285</v>
      </c>
      <c r="BF242" t="s">
        <v>284</v>
      </c>
      <c r="BG242">
        <v>9.18</v>
      </c>
      <c r="BH242" t="s">
        <v>285</v>
      </c>
      <c r="BI242" t="s">
        <v>284</v>
      </c>
      <c r="BJ242">
        <v>9.15</v>
      </c>
      <c r="BK242" t="s">
        <v>285</v>
      </c>
      <c r="BL242" t="s">
        <v>320</v>
      </c>
      <c r="BM242">
        <v>5.55</v>
      </c>
      <c r="BN242" t="s">
        <v>463</v>
      </c>
      <c r="BO242" t="s">
        <v>320</v>
      </c>
      <c r="BP242">
        <v>5.5</v>
      </c>
      <c r="BQ242" t="s">
        <v>463</v>
      </c>
      <c r="BR242" t="s">
        <v>320</v>
      </c>
      <c r="BS242">
        <v>5.5</v>
      </c>
      <c r="BT242" t="s">
        <v>463</v>
      </c>
      <c r="BU242" t="s">
        <v>320</v>
      </c>
      <c r="BV242">
        <v>5.5</v>
      </c>
      <c r="BW242" t="s">
        <v>463</v>
      </c>
      <c r="BX242" t="s">
        <v>320</v>
      </c>
      <c r="BY242">
        <v>5.5</v>
      </c>
      <c r="BZ242" t="s">
        <v>463</v>
      </c>
      <c r="CA242" t="s">
        <v>659</v>
      </c>
      <c r="CB242">
        <v>1362</v>
      </c>
      <c r="CC242" t="s">
        <v>690</v>
      </c>
      <c r="CD242" t="s">
        <v>320</v>
      </c>
      <c r="CE242">
        <v>5.5</v>
      </c>
      <c r="CF242" t="s">
        <v>463</v>
      </c>
      <c r="CG242" t="s">
        <v>320</v>
      </c>
      <c r="CH242">
        <v>5.5</v>
      </c>
      <c r="CI242" t="s">
        <v>463</v>
      </c>
      <c r="CJ242" t="s">
        <v>320</v>
      </c>
      <c r="CK242">
        <v>5.54</v>
      </c>
      <c r="CL242" t="s">
        <v>463</v>
      </c>
      <c r="CM242" t="s">
        <v>320</v>
      </c>
      <c r="CN242">
        <v>5.54</v>
      </c>
      <c r="CO242" t="s">
        <v>463</v>
      </c>
      <c r="CP242" t="s">
        <v>320</v>
      </c>
      <c r="CQ242">
        <v>5.6</v>
      </c>
      <c r="CR242" t="s">
        <v>463</v>
      </c>
      <c r="CS242" t="s">
        <v>320</v>
      </c>
      <c r="CT242">
        <v>5.57</v>
      </c>
      <c r="CU242" t="s">
        <v>463</v>
      </c>
      <c r="CV242" t="s">
        <v>320</v>
      </c>
      <c r="CW242">
        <v>5.67</v>
      </c>
      <c r="CX242" t="s">
        <v>463</v>
      </c>
      <c r="CY242" t="s">
        <v>320</v>
      </c>
      <c r="CZ242">
        <v>5.67</v>
      </c>
      <c r="DA242" t="s">
        <v>463</v>
      </c>
      <c r="DB242" t="s">
        <v>320</v>
      </c>
      <c r="DC242">
        <v>6</v>
      </c>
      <c r="DD242" t="s">
        <v>463</v>
      </c>
      <c r="DE242" t="s">
        <v>320</v>
      </c>
      <c r="DF242">
        <v>6</v>
      </c>
      <c r="DG242" t="s">
        <v>463</v>
      </c>
      <c r="DH242" t="s">
        <v>320</v>
      </c>
      <c r="DI242">
        <v>5.9</v>
      </c>
      <c r="DJ242" t="s">
        <v>463</v>
      </c>
      <c r="DK242" t="s">
        <v>547</v>
      </c>
      <c r="DL242">
        <v>2.5499999999999998</v>
      </c>
      <c r="DM242" t="s">
        <v>136</v>
      </c>
      <c r="DN242" t="s">
        <v>547</v>
      </c>
      <c r="DO242">
        <v>2.5499999999999998</v>
      </c>
      <c r="DP242" t="s">
        <v>136</v>
      </c>
      <c r="DQ242" t="s">
        <v>547</v>
      </c>
      <c r="DR242">
        <v>2.5499999999999998</v>
      </c>
      <c r="DS242" t="s">
        <v>136</v>
      </c>
      <c r="DT242" t="s">
        <v>426</v>
      </c>
      <c r="DU242">
        <v>3.44</v>
      </c>
      <c r="DV242" t="s">
        <v>92</v>
      </c>
      <c r="DW242" t="s">
        <v>426</v>
      </c>
      <c r="DX242">
        <v>3.42</v>
      </c>
      <c r="DY242" t="s">
        <v>92</v>
      </c>
      <c r="DZ242" t="s">
        <v>426</v>
      </c>
      <c r="EA242">
        <v>3.41</v>
      </c>
      <c r="EB242" t="s">
        <v>92</v>
      </c>
      <c r="EC242" t="s">
        <v>426</v>
      </c>
      <c r="ED242">
        <v>3.31</v>
      </c>
      <c r="EE242" t="s">
        <v>92</v>
      </c>
      <c r="EF242" t="s">
        <v>426</v>
      </c>
      <c r="EG242">
        <v>3.35</v>
      </c>
      <c r="EH242" t="s">
        <v>92</v>
      </c>
      <c r="EI242" t="s">
        <v>426</v>
      </c>
      <c r="EJ242">
        <v>3.35</v>
      </c>
      <c r="EK242" t="s">
        <v>92</v>
      </c>
    </row>
    <row r="243" spans="1:141">
      <c r="A243" t="s">
        <v>284</v>
      </c>
      <c r="B243">
        <v>9.08</v>
      </c>
      <c r="C243" t="s">
        <v>285</v>
      </c>
      <c r="D243" t="s">
        <v>284</v>
      </c>
      <c r="E243">
        <v>8.93</v>
      </c>
      <c r="F243" t="s">
        <v>285</v>
      </c>
      <c r="G243" t="s">
        <v>286</v>
      </c>
      <c r="H243">
        <v>0.37</v>
      </c>
      <c r="I243" t="s">
        <v>287</v>
      </c>
      <c r="J243" t="s">
        <v>286</v>
      </c>
      <c r="K243">
        <v>0.37</v>
      </c>
      <c r="L243" t="s">
        <v>287</v>
      </c>
      <c r="M243" t="s">
        <v>286</v>
      </c>
      <c r="N243">
        <v>0.36</v>
      </c>
      <c r="O243" t="s">
        <v>287</v>
      </c>
      <c r="P243" t="s">
        <v>335</v>
      </c>
      <c r="Q243">
        <v>5.47</v>
      </c>
      <c r="R243" t="s">
        <v>135</v>
      </c>
      <c r="S243" t="s">
        <v>286</v>
      </c>
      <c r="T243">
        <v>0.36</v>
      </c>
      <c r="U243" t="s">
        <v>287</v>
      </c>
      <c r="V243" t="s">
        <v>286</v>
      </c>
      <c r="W243">
        <v>0.35</v>
      </c>
      <c r="X243" t="s">
        <v>287</v>
      </c>
      <c r="Y243" t="s">
        <v>286</v>
      </c>
      <c r="Z243">
        <v>0.36</v>
      </c>
      <c r="AA243" t="s">
        <v>287</v>
      </c>
      <c r="AB243" t="s">
        <v>286</v>
      </c>
      <c r="AC243">
        <v>0.36</v>
      </c>
      <c r="AD243" t="s">
        <v>287</v>
      </c>
      <c r="AE243" t="s">
        <v>286</v>
      </c>
      <c r="AF243">
        <v>0.36</v>
      </c>
      <c r="AG243" t="s">
        <v>287</v>
      </c>
      <c r="AH243" t="s">
        <v>286</v>
      </c>
      <c r="AI243">
        <v>0.36</v>
      </c>
      <c r="AJ243" t="s">
        <v>287</v>
      </c>
      <c r="AK243" t="s">
        <v>286</v>
      </c>
      <c r="AL243">
        <v>0.35</v>
      </c>
      <c r="AM243" t="s">
        <v>287</v>
      </c>
      <c r="AN243" t="s">
        <v>286</v>
      </c>
      <c r="AO243">
        <v>0.34</v>
      </c>
      <c r="AP243" t="s">
        <v>287</v>
      </c>
      <c r="AQ243" t="s">
        <v>286</v>
      </c>
      <c r="AR243">
        <v>0.35</v>
      </c>
      <c r="AS243" t="s">
        <v>287</v>
      </c>
      <c r="AT243" t="s">
        <v>286</v>
      </c>
      <c r="AU243">
        <v>0.37</v>
      </c>
      <c r="AV243" t="s">
        <v>287</v>
      </c>
      <c r="AW243" t="s">
        <v>286</v>
      </c>
      <c r="AX243">
        <v>0.38</v>
      </c>
      <c r="AY243" t="s">
        <v>287</v>
      </c>
      <c r="AZ243" t="s">
        <v>286</v>
      </c>
      <c r="BA243">
        <v>0.44</v>
      </c>
      <c r="BB243" t="s">
        <v>287</v>
      </c>
      <c r="BC243" t="s">
        <v>286</v>
      </c>
      <c r="BD243">
        <v>0.4</v>
      </c>
      <c r="BE243" t="s">
        <v>287</v>
      </c>
      <c r="BF243" t="s">
        <v>286</v>
      </c>
      <c r="BG243">
        <v>0.42</v>
      </c>
      <c r="BH243" t="s">
        <v>287</v>
      </c>
      <c r="BI243" t="s">
        <v>286</v>
      </c>
      <c r="BJ243">
        <v>0.43</v>
      </c>
      <c r="BK243" t="s">
        <v>287</v>
      </c>
      <c r="BL243" t="s">
        <v>547</v>
      </c>
      <c r="BM243">
        <v>2.5499999999999998</v>
      </c>
      <c r="BN243" t="s">
        <v>136</v>
      </c>
      <c r="BO243" t="s">
        <v>547</v>
      </c>
      <c r="BP243">
        <v>2.5499999999999998</v>
      </c>
      <c r="BQ243" t="s">
        <v>136</v>
      </c>
      <c r="BR243" t="s">
        <v>547</v>
      </c>
      <c r="BS243">
        <v>2.5499999999999998</v>
      </c>
      <c r="BT243" t="s">
        <v>136</v>
      </c>
      <c r="BU243" t="s">
        <v>547</v>
      </c>
      <c r="BV243">
        <v>2.5499999999999998</v>
      </c>
      <c r="BW243" t="s">
        <v>136</v>
      </c>
      <c r="BX243" t="s">
        <v>547</v>
      </c>
      <c r="BY243">
        <v>2.5499999999999998</v>
      </c>
      <c r="BZ243" t="s">
        <v>136</v>
      </c>
      <c r="CA243" t="s">
        <v>283</v>
      </c>
      <c r="CB243">
        <v>95.05</v>
      </c>
      <c r="CC243" t="s">
        <v>46</v>
      </c>
      <c r="CD243" t="s">
        <v>547</v>
      </c>
      <c r="CE243">
        <v>2.5499999999999998</v>
      </c>
      <c r="CF243" t="s">
        <v>136</v>
      </c>
      <c r="CG243" t="s">
        <v>547</v>
      </c>
      <c r="CH243">
        <v>2.5499999999999998</v>
      </c>
      <c r="CI243" t="s">
        <v>136</v>
      </c>
      <c r="CJ243" t="s">
        <v>547</v>
      </c>
      <c r="CK243">
        <v>2.5499999999999998</v>
      </c>
      <c r="CL243" t="s">
        <v>136</v>
      </c>
      <c r="CM243" t="s">
        <v>547</v>
      </c>
      <c r="CN243">
        <v>2.5499999999999998</v>
      </c>
      <c r="CO243" t="s">
        <v>136</v>
      </c>
      <c r="CP243" t="s">
        <v>547</v>
      </c>
      <c r="CQ243">
        <v>2.5499999999999998</v>
      </c>
      <c r="CR243" t="s">
        <v>136</v>
      </c>
      <c r="CS243" t="s">
        <v>547</v>
      </c>
      <c r="CT243">
        <v>2.5499999999999998</v>
      </c>
      <c r="CU243" t="s">
        <v>136</v>
      </c>
      <c r="CV243" t="s">
        <v>547</v>
      </c>
      <c r="CW243">
        <v>2.5499999999999998</v>
      </c>
      <c r="CX243" t="s">
        <v>136</v>
      </c>
      <c r="CY243" t="s">
        <v>547</v>
      </c>
      <c r="CZ243">
        <v>2.5499999999999998</v>
      </c>
      <c r="DA243" t="s">
        <v>136</v>
      </c>
      <c r="DB243" t="s">
        <v>547</v>
      </c>
      <c r="DC243">
        <v>2.5499999999999998</v>
      </c>
      <c r="DD243" t="s">
        <v>136</v>
      </c>
      <c r="DE243" t="s">
        <v>547</v>
      </c>
      <c r="DF243">
        <v>2.5499999999999998</v>
      </c>
      <c r="DG243" t="s">
        <v>136</v>
      </c>
      <c r="DH243" t="s">
        <v>547</v>
      </c>
      <c r="DI243">
        <v>2.5499999999999998</v>
      </c>
      <c r="DJ243" t="s">
        <v>136</v>
      </c>
      <c r="DK243" t="s">
        <v>284</v>
      </c>
      <c r="DL243">
        <v>8.81</v>
      </c>
      <c r="DM243" t="s">
        <v>285</v>
      </c>
      <c r="DN243" t="s">
        <v>284</v>
      </c>
      <c r="DO243">
        <v>8.8000000000000007</v>
      </c>
      <c r="DP243" t="s">
        <v>285</v>
      </c>
      <c r="DQ243" t="s">
        <v>284</v>
      </c>
      <c r="DR243">
        <v>10.08</v>
      </c>
      <c r="DS243" t="s">
        <v>285</v>
      </c>
      <c r="DT243" t="s">
        <v>293</v>
      </c>
      <c r="DU243">
        <v>12.2</v>
      </c>
      <c r="DV243" t="s">
        <v>98</v>
      </c>
      <c r="DW243" t="s">
        <v>293</v>
      </c>
      <c r="DX243">
        <v>12.08</v>
      </c>
      <c r="DY243" t="s">
        <v>98</v>
      </c>
      <c r="DZ243" t="s">
        <v>293</v>
      </c>
      <c r="EA243">
        <v>12.18</v>
      </c>
      <c r="EB243" t="s">
        <v>98</v>
      </c>
      <c r="EC243" t="s">
        <v>293</v>
      </c>
      <c r="ED243">
        <v>12.08</v>
      </c>
      <c r="EE243" t="s">
        <v>98</v>
      </c>
      <c r="EF243" t="s">
        <v>293</v>
      </c>
      <c r="EG243">
        <v>11.96</v>
      </c>
      <c r="EH243" t="s">
        <v>98</v>
      </c>
      <c r="EI243" t="s">
        <v>293</v>
      </c>
      <c r="EJ243">
        <v>12.27</v>
      </c>
      <c r="EK243" t="s">
        <v>98</v>
      </c>
    </row>
    <row r="244" spans="1:141">
      <c r="A244" t="s">
        <v>286</v>
      </c>
      <c r="B244">
        <v>0.38</v>
      </c>
      <c r="C244" t="s">
        <v>287</v>
      </c>
      <c r="D244" t="s">
        <v>286</v>
      </c>
      <c r="E244">
        <v>0.37</v>
      </c>
      <c r="F244" t="s">
        <v>287</v>
      </c>
      <c r="G244" t="s">
        <v>288</v>
      </c>
      <c r="H244">
        <v>56.37</v>
      </c>
      <c r="I244" t="s">
        <v>27</v>
      </c>
      <c r="J244" t="s">
        <v>288</v>
      </c>
      <c r="K244">
        <v>57.99</v>
      </c>
      <c r="L244" t="s">
        <v>27</v>
      </c>
      <c r="M244" t="s">
        <v>288</v>
      </c>
      <c r="N244">
        <v>56</v>
      </c>
      <c r="O244" t="s">
        <v>27</v>
      </c>
      <c r="P244" t="s">
        <v>320</v>
      </c>
      <c r="Q244">
        <v>5.94</v>
      </c>
      <c r="R244" t="s">
        <v>463</v>
      </c>
      <c r="S244" t="s">
        <v>288</v>
      </c>
      <c r="T244">
        <v>51.32</v>
      </c>
      <c r="U244" t="s">
        <v>27</v>
      </c>
      <c r="V244" t="s">
        <v>288</v>
      </c>
      <c r="W244">
        <v>47.97</v>
      </c>
      <c r="X244" t="s">
        <v>27</v>
      </c>
      <c r="Y244" t="s">
        <v>288</v>
      </c>
      <c r="Z244">
        <v>48.32</v>
      </c>
      <c r="AA244" t="s">
        <v>27</v>
      </c>
      <c r="AB244" t="s">
        <v>288</v>
      </c>
      <c r="AC244">
        <v>48.7</v>
      </c>
      <c r="AD244" t="s">
        <v>27</v>
      </c>
      <c r="AE244" t="s">
        <v>288</v>
      </c>
      <c r="AF244">
        <v>48.33</v>
      </c>
      <c r="AG244" t="s">
        <v>27</v>
      </c>
      <c r="AH244" t="s">
        <v>288</v>
      </c>
      <c r="AI244">
        <v>48.27</v>
      </c>
      <c r="AJ244" t="s">
        <v>27</v>
      </c>
      <c r="AK244" t="s">
        <v>288</v>
      </c>
      <c r="AL244">
        <v>47.99</v>
      </c>
      <c r="AM244" t="s">
        <v>27</v>
      </c>
      <c r="AN244" t="s">
        <v>288</v>
      </c>
      <c r="AO244">
        <v>47.5</v>
      </c>
      <c r="AP244" t="s">
        <v>27</v>
      </c>
      <c r="AQ244" t="s">
        <v>288</v>
      </c>
      <c r="AR244">
        <v>50.73</v>
      </c>
      <c r="AS244" t="s">
        <v>27</v>
      </c>
      <c r="AT244" t="s">
        <v>288</v>
      </c>
      <c r="AU244">
        <v>52.1</v>
      </c>
      <c r="AV244" t="s">
        <v>27</v>
      </c>
      <c r="AW244" t="s">
        <v>288</v>
      </c>
      <c r="AX244">
        <v>50.6</v>
      </c>
      <c r="AY244" t="s">
        <v>27</v>
      </c>
      <c r="AZ244" t="s">
        <v>288</v>
      </c>
      <c r="BA244">
        <v>49.36</v>
      </c>
      <c r="BB244" t="s">
        <v>27</v>
      </c>
      <c r="BC244" t="s">
        <v>288</v>
      </c>
      <c r="BD244">
        <v>49.58</v>
      </c>
      <c r="BE244" t="s">
        <v>27</v>
      </c>
      <c r="BF244" t="s">
        <v>288</v>
      </c>
      <c r="BG244">
        <v>49.04</v>
      </c>
      <c r="BH244" t="s">
        <v>27</v>
      </c>
      <c r="BI244" t="s">
        <v>288</v>
      </c>
      <c r="BJ244">
        <v>49.39</v>
      </c>
      <c r="BK244" t="s">
        <v>27</v>
      </c>
      <c r="BL244" t="s">
        <v>284</v>
      </c>
      <c r="BM244">
        <v>8.91</v>
      </c>
      <c r="BN244" t="s">
        <v>285</v>
      </c>
      <c r="BO244" t="s">
        <v>284</v>
      </c>
      <c r="BP244">
        <v>9.1</v>
      </c>
      <c r="BQ244" t="s">
        <v>285</v>
      </c>
      <c r="BR244" t="s">
        <v>284</v>
      </c>
      <c r="BS244">
        <v>9</v>
      </c>
      <c r="BT244" t="s">
        <v>285</v>
      </c>
      <c r="BU244" t="s">
        <v>284</v>
      </c>
      <c r="BV244">
        <v>8.9</v>
      </c>
      <c r="BW244" t="s">
        <v>285</v>
      </c>
      <c r="BX244" t="s">
        <v>284</v>
      </c>
      <c r="BY244">
        <v>8.9</v>
      </c>
      <c r="BZ244" t="s">
        <v>285</v>
      </c>
      <c r="CA244" t="s">
        <v>673</v>
      </c>
      <c r="CB244">
        <v>88.5</v>
      </c>
      <c r="CC244" t="s">
        <v>701</v>
      </c>
      <c r="CD244" t="s">
        <v>284</v>
      </c>
      <c r="CE244">
        <v>9</v>
      </c>
      <c r="CF244" t="s">
        <v>285</v>
      </c>
      <c r="CG244" t="s">
        <v>284</v>
      </c>
      <c r="CH244">
        <v>9.3000000000000007</v>
      </c>
      <c r="CI244" t="s">
        <v>285</v>
      </c>
      <c r="CJ244" t="s">
        <v>284</v>
      </c>
      <c r="CK244">
        <v>9.48</v>
      </c>
      <c r="CL244" t="s">
        <v>285</v>
      </c>
      <c r="CM244" t="s">
        <v>284</v>
      </c>
      <c r="CN244">
        <v>9.1300000000000008</v>
      </c>
      <c r="CO244" t="s">
        <v>285</v>
      </c>
      <c r="CP244" t="s">
        <v>284</v>
      </c>
      <c r="CQ244">
        <v>9.11</v>
      </c>
      <c r="CR244" t="s">
        <v>285</v>
      </c>
      <c r="CS244" t="s">
        <v>284</v>
      </c>
      <c r="CT244">
        <v>8.8699999999999992</v>
      </c>
      <c r="CU244" t="s">
        <v>285</v>
      </c>
      <c r="CV244" t="s">
        <v>284</v>
      </c>
      <c r="CW244">
        <v>9.11</v>
      </c>
      <c r="CX244" t="s">
        <v>285</v>
      </c>
      <c r="CY244" t="s">
        <v>284</v>
      </c>
      <c r="CZ244">
        <v>9.1</v>
      </c>
      <c r="DA244" t="s">
        <v>285</v>
      </c>
      <c r="DB244" t="s">
        <v>284</v>
      </c>
      <c r="DC244">
        <v>9.25</v>
      </c>
      <c r="DD244" t="s">
        <v>285</v>
      </c>
      <c r="DE244" t="s">
        <v>284</v>
      </c>
      <c r="DF244">
        <v>9.2200000000000006</v>
      </c>
      <c r="DG244" t="s">
        <v>285</v>
      </c>
      <c r="DH244" t="s">
        <v>284</v>
      </c>
      <c r="DI244">
        <v>9.11</v>
      </c>
      <c r="DJ244" t="s">
        <v>285</v>
      </c>
      <c r="DK244" t="s">
        <v>286</v>
      </c>
      <c r="DL244">
        <v>0.37</v>
      </c>
      <c r="DM244" t="s">
        <v>287</v>
      </c>
      <c r="DN244" t="s">
        <v>286</v>
      </c>
      <c r="DO244">
        <v>0.36</v>
      </c>
      <c r="DP244" t="s">
        <v>287</v>
      </c>
      <c r="DQ244" t="s">
        <v>286</v>
      </c>
      <c r="DR244">
        <v>0.4</v>
      </c>
      <c r="DS244" t="s">
        <v>287</v>
      </c>
      <c r="DT244" t="s">
        <v>294</v>
      </c>
      <c r="DU244">
        <v>52.99</v>
      </c>
      <c r="DV244" t="s">
        <v>104</v>
      </c>
      <c r="DW244" t="s">
        <v>294</v>
      </c>
      <c r="DX244">
        <v>51</v>
      </c>
      <c r="DY244" t="s">
        <v>104</v>
      </c>
      <c r="DZ244" t="s">
        <v>294</v>
      </c>
      <c r="EA244">
        <v>51.13</v>
      </c>
      <c r="EB244" t="s">
        <v>104</v>
      </c>
      <c r="EC244" t="s">
        <v>294</v>
      </c>
      <c r="ED244">
        <v>55</v>
      </c>
      <c r="EE244" t="s">
        <v>104</v>
      </c>
      <c r="EF244" t="s">
        <v>294</v>
      </c>
      <c r="EG244">
        <v>55</v>
      </c>
      <c r="EH244" t="s">
        <v>104</v>
      </c>
      <c r="EI244" t="s">
        <v>294</v>
      </c>
      <c r="EJ244">
        <v>56.58</v>
      </c>
      <c r="EK244" t="s">
        <v>104</v>
      </c>
    </row>
    <row r="245" spans="1:141">
      <c r="A245" t="s">
        <v>288</v>
      </c>
      <c r="B245">
        <v>57.08</v>
      </c>
      <c r="C245" t="s">
        <v>27</v>
      </c>
      <c r="D245" t="s">
        <v>288</v>
      </c>
      <c r="E245">
        <v>55.99</v>
      </c>
      <c r="F245" t="s">
        <v>27</v>
      </c>
      <c r="G245" t="s">
        <v>443</v>
      </c>
      <c r="H245">
        <v>3.26</v>
      </c>
      <c r="I245" t="s">
        <v>289</v>
      </c>
      <c r="J245" t="s">
        <v>443</v>
      </c>
      <c r="K245">
        <v>3.25</v>
      </c>
      <c r="L245" t="s">
        <v>289</v>
      </c>
      <c r="M245" t="s">
        <v>443</v>
      </c>
      <c r="N245">
        <v>3.13</v>
      </c>
      <c r="O245" t="s">
        <v>289</v>
      </c>
      <c r="P245" t="s">
        <v>547</v>
      </c>
      <c r="Q245">
        <v>2.5499999999999998</v>
      </c>
      <c r="R245" t="s">
        <v>136</v>
      </c>
      <c r="S245" t="s">
        <v>443</v>
      </c>
      <c r="T245">
        <v>3.3</v>
      </c>
      <c r="U245" t="s">
        <v>289</v>
      </c>
      <c r="V245" t="s">
        <v>443</v>
      </c>
      <c r="W245">
        <v>3.32</v>
      </c>
      <c r="X245" t="s">
        <v>289</v>
      </c>
      <c r="Y245" t="s">
        <v>443</v>
      </c>
      <c r="Z245">
        <v>3.43</v>
      </c>
      <c r="AA245" t="s">
        <v>289</v>
      </c>
      <c r="AB245" t="s">
        <v>443</v>
      </c>
      <c r="AC245">
        <v>3.67</v>
      </c>
      <c r="AD245" t="s">
        <v>289</v>
      </c>
      <c r="AE245" t="s">
        <v>443</v>
      </c>
      <c r="AF245">
        <v>3.69</v>
      </c>
      <c r="AG245" t="s">
        <v>289</v>
      </c>
      <c r="AH245" t="s">
        <v>443</v>
      </c>
      <c r="AI245">
        <v>3.6</v>
      </c>
      <c r="AJ245" t="s">
        <v>289</v>
      </c>
      <c r="AK245" t="s">
        <v>443</v>
      </c>
      <c r="AL245">
        <v>3.59</v>
      </c>
      <c r="AM245" t="s">
        <v>289</v>
      </c>
      <c r="AN245" t="s">
        <v>443</v>
      </c>
      <c r="AO245">
        <v>3.35</v>
      </c>
      <c r="AP245" t="s">
        <v>289</v>
      </c>
      <c r="AQ245" t="s">
        <v>443</v>
      </c>
      <c r="AR245">
        <v>3.53</v>
      </c>
      <c r="AS245" t="s">
        <v>289</v>
      </c>
      <c r="AT245" t="s">
        <v>443</v>
      </c>
      <c r="AU245">
        <v>3.74</v>
      </c>
      <c r="AV245" t="s">
        <v>289</v>
      </c>
      <c r="AW245" t="s">
        <v>443</v>
      </c>
      <c r="AX245">
        <v>3.7</v>
      </c>
      <c r="AY245" t="s">
        <v>289</v>
      </c>
      <c r="AZ245" t="s">
        <v>443</v>
      </c>
      <c r="BA245">
        <v>3.71</v>
      </c>
      <c r="BB245" t="s">
        <v>289</v>
      </c>
      <c r="BC245" t="s">
        <v>443</v>
      </c>
      <c r="BD245">
        <v>5.23</v>
      </c>
      <c r="BE245" t="s">
        <v>289</v>
      </c>
      <c r="BF245" t="s">
        <v>443</v>
      </c>
      <c r="BG245">
        <v>4.97</v>
      </c>
      <c r="BH245" t="s">
        <v>289</v>
      </c>
      <c r="BI245" t="s">
        <v>443</v>
      </c>
      <c r="BJ245">
        <v>4.9000000000000004</v>
      </c>
      <c r="BK245" t="s">
        <v>289</v>
      </c>
      <c r="BL245" t="s">
        <v>286</v>
      </c>
      <c r="BM245">
        <v>0.42</v>
      </c>
      <c r="BN245" t="s">
        <v>287</v>
      </c>
      <c r="BO245" t="s">
        <v>286</v>
      </c>
      <c r="BP245">
        <v>0.42</v>
      </c>
      <c r="BQ245" t="s">
        <v>287</v>
      </c>
      <c r="BR245" t="s">
        <v>286</v>
      </c>
      <c r="BS245">
        <v>0.42</v>
      </c>
      <c r="BT245" t="s">
        <v>287</v>
      </c>
      <c r="BU245" t="s">
        <v>286</v>
      </c>
      <c r="BV245">
        <v>0.41</v>
      </c>
      <c r="BW245" t="s">
        <v>287</v>
      </c>
      <c r="BX245" t="s">
        <v>286</v>
      </c>
      <c r="BY245">
        <v>0.42</v>
      </c>
      <c r="BZ245" t="s">
        <v>287</v>
      </c>
      <c r="CA245" t="s">
        <v>335</v>
      </c>
      <c r="CB245">
        <v>5.94</v>
      </c>
      <c r="CC245" t="s">
        <v>135</v>
      </c>
      <c r="CD245" t="s">
        <v>286</v>
      </c>
      <c r="CE245">
        <v>0.41</v>
      </c>
      <c r="CF245" t="s">
        <v>287</v>
      </c>
      <c r="CG245" t="s">
        <v>286</v>
      </c>
      <c r="CH245">
        <v>0.41</v>
      </c>
      <c r="CI245" t="s">
        <v>287</v>
      </c>
      <c r="CJ245" t="s">
        <v>286</v>
      </c>
      <c r="CK245">
        <v>0.41</v>
      </c>
      <c r="CL245" t="s">
        <v>287</v>
      </c>
      <c r="CM245" t="s">
        <v>286</v>
      </c>
      <c r="CN245">
        <v>0.41</v>
      </c>
      <c r="CO245" t="s">
        <v>287</v>
      </c>
      <c r="CP245" t="s">
        <v>286</v>
      </c>
      <c r="CQ245">
        <v>0.4</v>
      </c>
      <c r="CR245" t="s">
        <v>287</v>
      </c>
      <c r="CS245" t="s">
        <v>286</v>
      </c>
      <c r="CT245">
        <v>0.41</v>
      </c>
      <c r="CU245" t="s">
        <v>287</v>
      </c>
      <c r="CV245" t="s">
        <v>286</v>
      </c>
      <c r="CW245">
        <v>0.39</v>
      </c>
      <c r="CX245" t="s">
        <v>287</v>
      </c>
      <c r="CY245" t="s">
        <v>286</v>
      </c>
      <c r="CZ245">
        <v>0.39</v>
      </c>
      <c r="DA245" t="s">
        <v>287</v>
      </c>
      <c r="DB245" t="s">
        <v>286</v>
      </c>
      <c r="DC245">
        <v>0.39</v>
      </c>
      <c r="DD245" t="s">
        <v>287</v>
      </c>
      <c r="DE245" t="s">
        <v>286</v>
      </c>
      <c r="DF245">
        <v>0.4</v>
      </c>
      <c r="DG245" t="s">
        <v>287</v>
      </c>
      <c r="DH245" t="s">
        <v>286</v>
      </c>
      <c r="DI245">
        <v>0.38</v>
      </c>
      <c r="DJ245" t="s">
        <v>287</v>
      </c>
      <c r="DK245" t="s">
        <v>288</v>
      </c>
      <c r="DL245">
        <v>47.4</v>
      </c>
      <c r="DM245" t="s">
        <v>27</v>
      </c>
      <c r="DN245" t="s">
        <v>288</v>
      </c>
      <c r="DO245">
        <v>45</v>
      </c>
      <c r="DP245" t="s">
        <v>27</v>
      </c>
      <c r="DQ245" t="s">
        <v>288</v>
      </c>
      <c r="DR245">
        <v>48.18</v>
      </c>
      <c r="DS245" t="s">
        <v>27</v>
      </c>
      <c r="DT245" t="s">
        <v>316</v>
      </c>
      <c r="DU245">
        <v>48.72</v>
      </c>
      <c r="DV245" t="s">
        <v>462</v>
      </c>
      <c r="DW245" t="s">
        <v>316</v>
      </c>
      <c r="DX245">
        <v>49.5</v>
      </c>
      <c r="DY245" t="s">
        <v>462</v>
      </c>
      <c r="DZ245" t="s">
        <v>316</v>
      </c>
      <c r="EA245">
        <v>52.8</v>
      </c>
      <c r="EB245" t="s">
        <v>462</v>
      </c>
      <c r="EC245" t="s">
        <v>316</v>
      </c>
      <c r="ED245">
        <v>52.5</v>
      </c>
      <c r="EE245" t="s">
        <v>462</v>
      </c>
      <c r="EF245" t="s">
        <v>316</v>
      </c>
      <c r="EG245">
        <v>50.02</v>
      </c>
      <c r="EH245" t="s">
        <v>462</v>
      </c>
      <c r="EI245" t="s">
        <v>316</v>
      </c>
      <c r="EJ245">
        <v>44</v>
      </c>
      <c r="EK245" t="s">
        <v>462</v>
      </c>
    </row>
    <row r="246" spans="1:141">
      <c r="A246" t="s">
        <v>443</v>
      </c>
      <c r="B246">
        <v>3.36</v>
      </c>
      <c r="C246" t="s">
        <v>289</v>
      </c>
      <c r="D246" t="s">
        <v>443</v>
      </c>
      <c r="E246">
        <v>3.3</v>
      </c>
      <c r="F246" t="s">
        <v>289</v>
      </c>
      <c r="G246" t="s">
        <v>447</v>
      </c>
      <c r="H246">
        <v>83.53</v>
      </c>
      <c r="I246" t="s">
        <v>290</v>
      </c>
      <c r="J246" t="s">
        <v>447</v>
      </c>
      <c r="K246">
        <v>84.25</v>
      </c>
      <c r="L246" t="s">
        <v>290</v>
      </c>
      <c r="M246" t="s">
        <v>447</v>
      </c>
      <c r="N246">
        <v>82.77</v>
      </c>
      <c r="O246" t="s">
        <v>290</v>
      </c>
      <c r="P246" t="s">
        <v>284</v>
      </c>
      <c r="Q246">
        <v>8.8699999999999992</v>
      </c>
      <c r="R246" t="s">
        <v>285</v>
      </c>
      <c r="S246" t="s">
        <v>447</v>
      </c>
      <c r="T246">
        <v>81.77</v>
      </c>
      <c r="U246" t="s">
        <v>290</v>
      </c>
      <c r="V246" t="s">
        <v>447</v>
      </c>
      <c r="W246">
        <v>75.88</v>
      </c>
      <c r="X246" t="s">
        <v>290</v>
      </c>
      <c r="Y246" t="s">
        <v>447</v>
      </c>
      <c r="Z246">
        <v>77</v>
      </c>
      <c r="AA246" t="s">
        <v>290</v>
      </c>
      <c r="AB246" t="s">
        <v>447</v>
      </c>
      <c r="AC246">
        <v>80.930000000000007</v>
      </c>
      <c r="AD246" t="s">
        <v>290</v>
      </c>
      <c r="AE246" t="s">
        <v>447</v>
      </c>
      <c r="AF246">
        <v>79.22</v>
      </c>
      <c r="AG246" t="s">
        <v>290</v>
      </c>
      <c r="AH246" t="s">
        <v>447</v>
      </c>
      <c r="AI246">
        <v>78.7</v>
      </c>
      <c r="AJ246" t="s">
        <v>290</v>
      </c>
      <c r="AK246" t="s">
        <v>447</v>
      </c>
      <c r="AL246">
        <v>78</v>
      </c>
      <c r="AM246" t="s">
        <v>290</v>
      </c>
      <c r="AN246" t="s">
        <v>447</v>
      </c>
      <c r="AO246">
        <v>75.099999999999994</v>
      </c>
      <c r="AP246" t="s">
        <v>290</v>
      </c>
      <c r="AQ246" t="s">
        <v>447</v>
      </c>
      <c r="AR246">
        <v>75.3</v>
      </c>
      <c r="AS246" t="s">
        <v>290</v>
      </c>
      <c r="AT246" t="s">
        <v>447</v>
      </c>
      <c r="AU246">
        <v>79.11</v>
      </c>
      <c r="AV246" t="s">
        <v>290</v>
      </c>
      <c r="AW246" t="s">
        <v>447</v>
      </c>
      <c r="AX246">
        <v>84.97</v>
      </c>
      <c r="AY246" t="s">
        <v>290</v>
      </c>
      <c r="AZ246" t="s">
        <v>447</v>
      </c>
      <c r="BA246">
        <v>88</v>
      </c>
      <c r="BB246" t="s">
        <v>290</v>
      </c>
      <c r="BC246" t="s">
        <v>447</v>
      </c>
      <c r="BD246">
        <v>81.010000000000005</v>
      </c>
      <c r="BE246" t="s">
        <v>290</v>
      </c>
      <c r="BF246" t="s">
        <v>447</v>
      </c>
      <c r="BG246">
        <v>79.010000000000005</v>
      </c>
      <c r="BH246" t="s">
        <v>290</v>
      </c>
      <c r="BI246" t="s">
        <v>447</v>
      </c>
      <c r="BJ246">
        <v>79.099999999999994</v>
      </c>
      <c r="BK246" t="s">
        <v>290</v>
      </c>
      <c r="BL246" t="s">
        <v>288</v>
      </c>
      <c r="BM246">
        <v>48.05</v>
      </c>
      <c r="BN246" t="s">
        <v>27</v>
      </c>
      <c r="BO246" t="s">
        <v>288</v>
      </c>
      <c r="BP246">
        <v>47.91</v>
      </c>
      <c r="BQ246" t="s">
        <v>27</v>
      </c>
      <c r="BR246" t="s">
        <v>288</v>
      </c>
      <c r="BS246">
        <v>48.65</v>
      </c>
      <c r="BT246" t="s">
        <v>27</v>
      </c>
      <c r="BU246" t="s">
        <v>288</v>
      </c>
      <c r="BV246">
        <v>48.61</v>
      </c>
      <c r="BW246" t="s">
        <v>27</v>
      </c>
      <c r="BX246" t="s">
        <v>288</v>
      </c>
      <c r="BY246">
        <v>48.33</v>
      </c>
      <c r="BZ246" t="s">
        <v>27</v>
      </c>
      <c r="CA246" t="s">
        <v>320</v>
      </c>
      <c r="CB246">
        <v>5.5</v>
      </c>
      <c r="CC246" t="s">
        <v>463</v>
      </c>
      <c r="CD246" t="s">
        <v>288</v>
      </c>
      <c r="CE246">
        <v>50.14</v>
      </c>
      <c r="CF246" t="s">
        <v>27</v>
      </c>
      <c r="CG246" t="s">
        <v>288</v>
      </c>
      <c r="CH246">
        <v>50.47</v>
      </c>
      <c r="CI246" t="s">
        <v>27</v>
      </c>
      <c r="CJ246" t="s">
        <v>288</v>
      </c>
      <c r="CK246">
        <v>49.63</v>
      </c>
      <c r="CL246" t="s">
        <v>27</v>
      </c>
      <c r="CM246" t="s">
        <v>288</v>
      </c>
      <c r="CN246">
        <v>49.44</v>
      </c>
      <c r="CO246" t="s">
        <v>27</v>
      </c>
      <c r="CP246" t="s">
        <v>288</v>
      </c>
      <c r="CQ246">
        <v>49.3</v>
      </c>
      <c r="CR246" t="s">
        <v>27</v>
      </c>
      <c r="CS246" t="s">
        <v>288</v>
      </c>
      <c r="CT246">
        <v>49</v>
      </c>
      <c r="CU246" t="s">
        <v>27</v>
      </c>
      <c r="CV246" t="s">
        <v>288</v>
      </c>
      <c r="CW246">
        <v>48.6</v>
      </c>
      <c r="CX246" t="s">
        <v>27</v>
      </c>
      <c r="CY246" t="s">
        <v>288</v>
      </c>
      <c r="CZ246">
        <v>48.85</v>
      </c>
      <c r="DA246" t="s">
        <v>27</v>
      </c>
      <c r="DB246" t="s">
        <v>288</v>
      </c>
      <c r="DC246">
        <v>48.37</v>
      </c>
      <c r="DD246" t="s">
        <v>27</v>
      </c>
      <c r="DE246" t="s">
        <v>288</v>
      </c>
      <c r="DF246">
        <v>49.47</v>
      </c>
      <c r="DG246" t="s">
        <v>27</v>
      </c>
      <c r="DH246" t="s">
        <v>288</v>
      </c>
      <c r="DI246">
        <v>48.42</v>
      </c>
      <c r="DJ246" t="s">
        <v>27</v>
      </c>
      <c r="DK246" t="s">
        <v>443</v>
      </c>
      <c r="DL246">
        <v>4.0999999999999996</v>
      </c>
      <c r="DM246" t="s">
        <v>289</v>
      </c>
      <c r="DN246" t="s">
        <v>443</v>
      </c>
      <c r="DO246">
        <v>4</v>
      </c>
      <c r="DP246" t="s">
        <v>289</v>
      </c>
      <c r="DQ246" t="s">
        <v>443</v>
      </c>
      <c r="DR246">
        <v>4.3600000000000003</v>
      </c>
      <c r="DS246" t="s">
        <v>289</v>
      </c>
      <c r="DT246" t="s">
        <v>664</v>
      </c>
      <c r="DU246">
        <v>0.06</v>
      </c>
      <c r="DV246" t="s">
        <v>637</v>
      </c>
      <c r="DW246" t="s">
        <v>664</v>
      </c>
      <c r="DX246">
        <v>0.06</v>
      </c>
      <c r="DY246" t="s">
        <v>637</v>
      </c>
      <c r="DZ246" t="s">
        <v>664</v>
      </c>
      <c r="EA246">
        <v>0.06</v>
      </c>
      <c r="EB246" t="s">
        <v>637</v>
      </c>
      <c r="EC246" t="s">
        <v>664</v>
      </c>
      <c r="ED246">
        <v>0.06</v>
      </c>
      <c r="EE246" t="s">
        <v>637</v>
      </c>
      <c r="EF246" t="s">
        <v>664</v>
      </c>
      <c r="EG246">
        <v>0.06</v>
      </c>
      <c r="EH246" t="s">
        <v>637</v>
      </c>
      <c r="EI246" t="s">
        <v>664</v>
      </c>
      <c r="EJ246">
        <v>0.06</v>
      </c>
      <c r="EK246" t="s">
        <v>637</v>
      </c>
    </row>
    <row r="247" spans="1:141">
      <c r="A247" t="s">
        <v>447</v>
      </c>
      <c r="B247">
        <v>86.5</v>
      </c>
      <c r="C247" t="s">
        <v>290</v>
      </c>
      <c r="D247" t="s">
        <v>447</v>
      </c>
      <c r="E247">
        <v>85.48</v>
      </c>
      <c r="F247" t="s">
        <v>290</v>
      </c>
      <c r="G247" t="s">
        <v>291</v>
      </c>
      <c r="H247">
        <v>10.63</v>
      </c>
      <c r="I247" t="s">
        <v>292</v>
      </c>
      <c r="J247" t="s">
        <v>291</v>
      </c>
      <c r="K247">
        <v>10.039999999999999</v>
      </c>
      <c r="L247" t="s">
        <v>292</v>
      </c>
      <c r="M247" t="s">
        <v>291</v>
      </c>
      <c r="N247">
        <v>9.9700000000000006</v>
      </c>
      <c r="O247" t="s">
        <v>292</v>
      </c>
      <c r="P247" t="s">
        <v>286</v>
      </c>
      <c r="Q247">
        <v>0.36</v>
      </c>
      <c r="R247" t="s">
        <v>287</v>
      </c>
      <c r="S247" t="s">
        <v>291</v>
      </c>
      <c r="T247">
        <v>10.039999999999999</v>
      </c>
      <c r="U247" t="s">
        <v>292</v>
      </c>
      <c r="V247" t="s">
        <v>291</v>
      </c>
      <c r="W247">
        <v>10.130000000000001</v>
      </c>
      <c r="X247" t="s">
        <v>292</v>
      </c>
      <c r="Y247" t="s">
        <v>291</v>
      </c>
      <c r="Z247">
        <v>10.15</v>
      </c>
      <c r="AA247" t="s">
        <v>292</v>
      </c>
      <c r="AB247" t="s">
        <v>291</v>
      </c>
      <c r="AC247">
        <v>10</v>
      </c>
      <c r="AD247" t="s">
        <v>292</v>
      </c>
      <c r="AE247" t="s">
        <v>291</v>
      </c>
      <c r="AF247">
        <v>10.25</v>
      </c>
      <c r="AG247" t="s">
        <v>292</v>
      </c>
      <c r="AH247" t="s">
        <v>291</v>
      </c>
      <c r="AI247">
        <v>10.62</v>
      </c>
      <c r="AJ247" t="s">
        <v>292</v>
      </c>
      <c r="AK247" t="s">
        <v>291</v>
      </c>
      <c r="AL247">
        <v>10.45</v>
      </c>
      <c r="AM247" t="s">
        <v>292</v>
      </c>
      <c r="AN247" t="s">
        <v>291</v>
      </c>
      <c r="AO247">
        <v>10.23</v>
      </c>
      <c r="AP247" t="s">
        <v>292</v>
      </c>
      <c r="AQ247" t="s">
        <v>291</v>
      </c>
      <c r="AR247">
        <v>10.37</v>
      </c>
      <c r="AS247" t="s">
        <v>292</v>
      </c>
      <c r="AT247" t="s">
        <v>291</v>
      </c>
      <c r="AU247">
        <v>10.41</v>
      </c>
      <c r="AV247" t="s">
        <v>292</v>
      </c>
      <c r="AW247" t="s">
        <v>291</v>
      </c>
      <c r="AX247">
        <v>0.63</v>
      </c>
      <c r="AY247" t="s">
        <v>292</v>
      </c>
      <c r="AZ247" t="s">
        <v>291</v>
      </c>
      <c r="BA247">
        <v>10.98</v>
      </c>
      <c r="BB247" t="s">
        <v>292</v>
      </c>
      <c r="BC247" t="s">
        <v>291</v>
      </c>
      <c r="BD247">
        <v>11.6</v>
      </c>
      <c r="BE247" t="s">
        <v>292</v>
      </c>
      <c r="BF247" t="s">
        <v>291</v>
      </c>
      <c r="BG247">
        <v>11.48</v>
      </c>
      <c r="BH247" t="s">
        <v>292</v>
      </c>
      <c r="BI247" t="s">
        <v>291</v>
      </c>
      <c r="BJ247">
        <v>11.46</v>
      </c>
      <c r="BK247" t="s">
        <v>292</v>
      </c>
      <c r="BL247" t="s">
        <v>443</v>
      </c>
      <c r="BM247">
        <v>4.5</v>
      </c>
      <c r="BN247" t="s">
        <v>289</v>
      </c>
      <c r="BO247" t="s">
        <v>443</v>
      </c>
      <c r="BP247">
        <v>4.5199999999999996</v>
      </c>
      <c r="BQ247" t="s">
        <v>289</v>
      </c>
      <c r="BR247" t="s">
        <v>443</v>
      </c>
      <c r="BS247">
        <v>4.68</v>
      </c>
      <c r="BT247" t="s">
        <v>289</v>
      </c>
      <c r="BU247" t="s">
        <v>443</v>
      </c>
      <c r="BV247">
        <v>4.71</v>
      </c>
      <c r="BW247" t="s">
        <v>289</v>
      </c>
      <c r="BX247" t="s">
        <v>443</v>
      </c>
      <c r="BY247">
        <v>4.6900000000000004</v>
      </c>
      <c r="BZ247" t="s">
        <v>289</v>
      </c>
      <c r="CA247" t="s">
        <v>547</v>
      </c>
      <c r="CB247">
        <v>2.5499999999999998</v>
      </c>
      <c r="CC247" t="s">
        <v>136</v>
      </c>
      <c r="CD247" t="s">
        <v>443</v>
      </c>
      <c r="CE247">
        <v>4.6399999999999997</v>
      </c>
      <c r="CF247" t="s">
        <v>289</v>
      </c>
      <c r="CG247" t="s">
        <v>443</v>
      </c>
      <c r="CH247">
        <v>4.59</v>
      </c>
      <c r="CI247" t="s">
        <v>289</v>
      </c>
      <c r="CJ247" t="s">
        <v>443</v>
      </c>
      <c r="CK247">
        <v>4.59</v>
      </c>
      <c r="CL247" t="s">
        <v>289</v>
      </c>
      <c r="CM247" t="s">
        <v>443</v>
      </c>
      <c r="CN247">
        <v>4.58</v>
      </c>
      <c r="CO247" t="s">
        <v>289</v>
      </c>
      <c r="CP247" t="s">
        <v>443</v>
      </c>
      <c r="CQ247">
        <v>4.51</v>
      </c>
      <c r="CR247" t="s">
        <v>289</v>
      </c>
      <c r="CS247" t="s">
        <v>443</v>
      </c>
      <c r="CT247">
        <v>4.41</v>
      </c>
      <c r="CU247" t="s">
        <v>289</v>
      </c>
      <c r="CV247" t="s">
        <v>443</v>
      </c>
      <c r="CW247">
        <v>4.43</v>
      </c>
      <c r="CX247" t="s">
        <v>289</v>
      </c>
      <c r="CY247" t="s">
        <v>443</v>
      </c>
      <c r="CZ247">
        <v>4.3</v>
      </c>
      <c r="DA247" t="s">
        <v>289</v>
      </c>
      <c r="DB247" t="s">
        <v>443</v>
      </c>
      <c r="DC247">
        <v>4.3499999999999996</v>
      </c>
      <c r="DD247" t="s">
        <v>289</v>
      </c>
      <c r="DE247" t="s">
        <v>443</v>
      </c>
      <c r="DF247">
        <v>4.5999999999999996</v>
      </c>
      <c r="DG247" t="s">
        <v>289</v>
      </c>
      <c r="DH247" t="s">
        <v>443</v>
      </c>
      <c r="DI247">
        <v>4.32</v>
      </c>
      <c r="DJ247" t="s">
        <v>289</v>
      </c>
      <c r="DK247" t="s">
        <v>447</v>
      </c>
      <c r="DL247">
        <v>79.83</v>
      </c>
      <c r="DM247" t="s">
        <v>290</v>
      </c>
      <c r="DN247" t="s">
        <v>447</v>
      </c>
      <c r="DO247">
        <v>76.3</v>
      </c>
      <c r="DP247" t="s">
        <v>290</v>
      </c>
      <c r="DQ247" t="s">
        <v>447</v>
      </c>
      <c r="DR247">
        <v>82</v>
      </c>
      <c r="DS247" t="s">
        <v>290</v>
      </c>
      <c r="DT247" t="s">
        <v>329</v>
      </c>
      <c r="DU247">
        <v>0.04</v>
      </c>
      <c r="DV247" t="s">
        <v>53</v>
      </c>
      <c r="DW247" t="s">
        <v>329</v>
      </c>
      <c r="DX247">
        <v>0.04</v>
      </c>
      <c r="DY247" t="s">
        <v>53</v>
      </c>
      <c r="DZ247" t="s">
        <v>329</v>
      </c>
      <c r="EA247">
        <v>0.04</v>
      </c>
      <c r="EB247" t="s">
        <v>53</v>
      </c>
      <c r="EC247" t="s">
        <v>329</v>
      </c>
      <c r="ED247">
        <v>0.04</v>
      </c>
      <c r="EE247" t="s">
        <v>53</v>
      </c>
      <c r="EF247" t="s">
        <v>329</v>
      </c>
      <c r="EG247">
        <v>0.04</v>
      </c>
      <c r="EH247" t="s">
        <v>53</v>
      </c>
      <c r="EI247" t="s">
        <v>329</v>
      </c>
      <c r="EJ247">
        <v>0.04</v>
      </c>
      <c r="EK247" t="s">
        <v>53</v>
      </c>
    </row>
    <row r="248" spans="1:141">
      <c r="A248" t="s">
        <v>291</v>
      </c>
      <c r="B248">
        <v>10.26</v>
      </c>
      <c r="C248" t="s">
        <v>292</v>
      </c>
      <c r="D248" t="s">
        <v>291</v>
      </c>
      <c r="E248">
        <v>10.64</v>
      </c>
      <c r="F248" t="s">
        <v>292</v>
      </c>
      <c r="G248" t="s">
        <v>426</v>
      </c>
      <c r="H248">
        <v>3.45</v>
      </c>
      <c r="I248" t="s">
        <v>92</v>
      </c>
      <c r="J248" t="s">
        <v>426</v>
      </c>
      <c r="K248">
        <v>3.77</v>
      </c>
      <c r="L248" t="s">
        <v>92</v>
      </c>
      <c r="M248" t="s">
        <v>426</v>
      </c>
      <c r="N248">
        <v>3.63</v>
      </c>
      <c r="O248" t="s">
        <v>92</v>
      </c>
      <c r="P248" t="s">
        <v>288</v>
      </c>
      <c r="Q248">
        <v>51.11</v>
      </c>
      <c r="R248" t="s">
        <v>27</v>
      </c>
      <c r="S248" t="s">
        <v>426</v>
      </c>
      <c r="T248">
        <v>3.53</v>
      </c>
      <c r="U248" t="s">
        <v>92</v>
      </c>
      <c r="V248" t="s">
        <v>426</v>
      </c>
      <c r="W248">
        <v>3.41</v>
      </c>
      <c r="X248" t="s">
        <v>92</v>
      </c>
      <c r="Y248" t="s">
        <v>426</v>
      </c>
      <c r="Z248">
        <v>3.53</v>
      </c>
      <c r="AA248" t="s">
        <v>92</v>
      </c>
      <c r="AB248" t="s">
        <v>426</v>
      </c>
      <c r="AC248">
        <v>3.54</v>
      </c>
      <c r="AD248" t="s">
        <v>92</v>
      </c>
      <c r="AE248" t="s">
        <v>426</v>
      </c>
      <c r="AF248">
        <v>3.56</v>
      </c>
      <c r="AG248" t="s">
        <v>92</v>
      </c>
      <c r="AH248" t="s">
        <v>426</v>
      </c>
      <c r="AI248">
        <v>3.42</v>
      </c>
      <c r="AJ248" t="s">
        <v>92</v>
      </c>
      <c r="AK248" t="s">
        <v>426</v>
      </c>
      <c r="AL248">
        <v>3.36</v>
      </c>
      <c r="AM248" t="s">
        <v>92</v>
      </c>
      <c r="AN248" t="s">
        <v>426</v>
      </c>
      <c r="AO248">
        <v>3.19</v>
      </c>
      <c r="AP248" t="s">
        <v>92</v>
      </c>
      <c r="AQ248" t="s">
        <v>426</v>
      </c>
      <c r="AR248">
        <v>3.28</v>
      </c>
      <c r="AS248" t="s">
        <v>92</v>
      </c>
      <c r="AT248" t="s">
        <v>426</v>
      </c>
      <c r="AU248">
        <v>3.26</v>
      </c>
      <c r="AV248" t="s">
        <v>92</v>
      </c>
      <c r="AW248" t="s">
        <v>426</v>
      </c>
      <c r="AX248">
        <v>3.37</v>
      </c>
      <c r="AY248" t="s">
        <v>92</v>
      </c>
      <c r="AZ248" t="s">
        <v>426</v>
      </c>
      <c r="BA248">
        <v>3.35</v>
      </c>
      <c r="BB248" t="s">
        <v>92</v>
      </c>
      <c r="BC248" t="s">
        <v>426</v>
      </c>
      <c r="BD248">
        <v>3.29</v>
      </c>
      <c r="BE248" t="s">
        <v>92</v>
      </c>
      <c r="BF248" t="s">
        <v>426</v>
      </c>
      <c r="BG248">
        <v>3.25</v>
      </c>
      <c r="BH248" t="s">
        <v>92</v>
      </c>
      <c r="BI248" t="s">
        <v>426</v>
      </c>
      <c r="BJ248">
        <v>3.3</v>
      </c>
      <c r="BK248" t="s">
        <v>92</v>
      </c>
      <c r="BL248" t="s">
        <v>447</v>
      </c>
      <c r="BM248">
        <v>77.12</v>
      </c>
      <c r="BN248" t="s">
        <v>290</v>
      </c>
      <c r="BO248" t="s">
        <v>447</v>
      </c>
      <c r="BP248">
        <v>77.790000000000006</v>
      </c>
      <c r="BQ248" t="s">
        <v>290</v>
      </c>
      <c r="BR248" t="s">
        <v>447</v>
      </c>
      <c r="BS248">
        <v>81.39</v>
      </c>
      <c r="BT248" t="s">
        <v>290</v>
      </c>
      <c r="BU248" t="s">
        <v>447</v>
      </c>
      <c r="BV248">
        <v>82.24</v>
      </c>
      <c r="BW248" t="s">
        <v>290</v>
      </c>
      <c r="BX248" t="s">
        <v>447</v>
      </c>
      <c r="BY248">
        <v>82.47</v>
      </c>
      <c r="BZ248" t="s">
        <v>290</v>
      </c>
      <c r="CA248" t="s">
        <v>284</v>
      </c>
      <c r="CB248">
        <v>8.82</v>
      </c>
      <c r="CC248" t="s">
        <v>285</v>
      </c>
      <c r="CD248" t="s">
        <v>447</v>
      </c>
      <c r="CE248">
        <v>81.42</v>
      </c>
      <c r="CF248" t="s">
        <v>290</v>
      </c>
      <c r="CG248" t="s">
        <v>447</v>
      </c>
      <c r="CH248">
        <v>82</v>
      </c>
      <c r="CI248" t="s">
        <v>290</v>
      </c>
      <c r="CJ248" t="s">
        <v>447</v>
      </c>
      <c r="CK248">
        <v>81.58</v>
      </c>
      <c r="CL248" t="s">
        <v>290</v>
      </c>
      <c r="CM248" t="s">
        <v>447</v>
      </c>
      <c r="CN248">
        <v>81.17</v>
      </c>
      <c r="CO248" t="s">
        <v>290</v>
      </c>
      <c r="CP248" t="s">
        <v>447</v>
      </c>
      <c r="CQ248">
        <v>80.430000000000007</v>
      </c>
      <c r="CR248" t="s">
        <v>290</v>
      </c>
      <c r="CS248" t="s">
        <v>447</v>
      </c>
      <c r="CT248">
        <v>82.5</v>
      </c>
      <c r="CU248" t="s">
        <v>290</v>
      </c>
      <c r="CV248" t="s">
        <v>447</v>
      </c>
      <c r="CW248">
        <v>82.88</v>
      </c>
      <c r="CX248" t="s">
        <v>290</v>
      </c>
      <c r="CY248" t="s">
        <v>447</v>
      </c>
      <c r="CZ248">
        <v>81.84</v>
      </c>
      <c r="DA248" t="s">
        <v>290</v>
      </c>
      <c r="DB248" t="s">
        <v>447</v>
      </c>
      <c r="DC248">
        <v>84.8</v>
      </c>
      <c r="DD248" t="s">
        <v>290</v>
      </c>
      <c r="DE248" t="s">
        <v>447</v>
      </c>
      <c r="DF248">
        <v>83.51</v>
      </c>
      <c r="DG248" t="s">
        <v>290</v>
      </c>
      <c r="DH248" t="s">
        <v>447</v>
      </c>
      <c r="DI248">
        <v>80.5</v>
      </c>
      <c r="DJ248" t="s">
        <v>290</v>
      </c>
      <c r="DK248" t="s">
        <v>291</v>
      </c>
      <c r="DL248">
        <v>10.88</v>
      </c>
      <c r="DM248" t="s">
        <v>292</v>
      </c>
      <c r="DN248" t="s">
        <v>291</v>
      </c>
      <c r="DO248">
        <v>11.8</v>
      </c>
      <c r="DP248" t="s">
        <v>292</v>
      </c>
      <c r="DQ248" t="s">
        <v>291</v>
      </c>
      <c r="DR248">
        <v>10.97</v>
      </c>
      <c r="DS248" t="s">
        <v>292</v>
      </c>
      <c r="DT248" t="s">
        <v>361</v>
      </c>
      <c r="DU248">
        <v>0.53</v>
      </c>
      <c r="DV248" t="s">
        <v>295</v>
      </c>
      <c r="DW248" t="s">
        <v>361</v>
      </c>
      <c r="DX248">
        <v>0.55000000000000004</v>
      </c>
      <c r="DY248" t="s">
        <v>295</v>
      </c>
      <c r="DZ248" t="s">
        <v>361</v>
      </c>
      <c r="EA248">
        <v>0.52</v>
      </c>
      <c r="EB248" t="s">
        <v>295</v>
      </c>
      <c r="EC248" t="s">
        <v>361</v>
      </c>
      <c r="ED248">
        <v>0.51</v>
      </c>
      <c r="EE248" t="s">
        <v>295</v>
      </c>
      <c r="EF248" t="s">
        <v>361</v>
      </c>
      <c r="EG248">
        <v>0.52</v>
      </c>
      <c r="EH248" t="s">
        <v>295</v>
      </c>
      <c r="EI248" t="s">
        <v>361</v>
      </c>
      <c r="EJ248">
        <v>0.51</v>
      </c>
      <c r="EK248" t="s">
        <v>295</v>
      </c>
    </row>
    <row r="249" spans="1:141">
      <c r="A249" t="s">
        <v>426</v>
      </c>
      <c r="B249">
        <v>3.66</v>
      </c>
      <c r="C249" t="s">
        <v>92</v>
      </c>
      <c r="D249" t="s">
        <v>426</v>
      </c>
      <c r="E249">
        <v>3.5</v>
      </c>
      <c r="F249" t="s">
        <v>92</v>
      </c>
      <c r="G249" t="s">
        <v>293</v>
      </c>
      <c r="H249">
        <v>12.41</v>
      </c>
      <c r="I249" t="s">
        <v>98</v>
      </c>
      <c r="J249" t="s">
        <v>293</v>
      </c>
      <c r="K249">
        <v>12.52</v>
      </c>
      <c r="L249" t="s">
        <v>98</v>
      </c>
      <c r="M249" t="s">
        <v>293</v>
      </c>
      <c r="N249">
        <v>12.1</v>
      </c>
      <c r="O249" t="s">
        <v>98</v>
      </c>
      <c r="P249" t="s">
        <v>443</v>
      </c>
      <c r="Q249">
        <v>3.31</v>
      </c>
      <c r="R249" t="s">
        <v>289</v>
      </c>
      <c r="S249" t="s">
        <v>293</v>
      </c>
      <c r="T249">
        <v>12.19</v>
      </c>
      <c r="U249" t="s">
        <v>98</v>
      </c>
      <c r="V249" t="s">
        <v>293</v>
      </c>
      <c r="W249">
        <v>11.82</v>
      </c>
      <c r="X249" t="s">
        <v>98</v>
      </c>
      <c r="Y249" t="s">
        <v>293</v>
      </c>
      <c r="Z249">
        <v>12.19</v>
      </c>
      <c r="AA249" t="s">
        <v>98</v>
      </c>
      <c r="AB249" t="s">
        <v>293</v>
      </c>
      <c r="AC249">
        <v>12.21</v>
      </c>
      <c r="AD249" t="s">
        <v>98</v>
      </c>
      <c r="AE249" t="s">
        <v>293</v>
      </c>
      <c r="AF249">
        <v>12.21</v>
      </c>
      <c r="AG249" t="s">
        <v>98</v>
      </c>
      <c r="AH249" t="s">
        <v>293</v>
      </c>
      <c r="AI249">
        <v>12.16</v>
      </c>
      <c r="AJ249" t="s">
        <v>98</v>
      </c>
      <c r="AK249" t="s">
        <v>293</v>
      </c>
      <c r="AL249">
        <v>12.01</v>
      </c>
      <c r="AM249" t="s">
        <v>98</v>
      </c>
      <c r="AN249" t="s">
        <v>293</v>
      </c>
      <c r="AO249">
        <v>11.77</v>
      </c>
      <c r="AP249" t="s">
        <v>98</v>
      </c>
      <c r="AQ249" t="s">
        <v>293</v>
      </c>
      <c r="AR249">
        <v>11.9</v>
      </c>
      <c r="AS249" t="s">
        <v>98</v>
      </c>
      <c r="AT249" t="s">
        <v>293</v>
      </c>
      <c r="AU249">
        <v>12.2</v>
      </c>
      <c r="AV249" t="s">
        <v>98</v>
      </c>
      <c r="AW249" t="s">
        <v>293</v>
      </c>
      <c r="AX249">
        <v>12.55</v>
      </c>
      <c r="AY249" t="s">
        <v>98</v>
      </c>
      <c r="AZ249" t="s">
        <v>293</v>
      </c>
      <c r="BA249">
        <v>12.41</v>
      </c>
      <c r="BB249" t="s">
        <v>98</v>
      </c>
      <c r="BC249" t="s">
        <v>293</v>
      </c>
      <c r="BD249">
        <v>12.22</v>
      </c>
      <c r="BE249" t="s">
        <v>98</v>
      </c>
      <c r="BF249" t="s">
        <v>293</v>
      </c>
      <c r="BG249">
        <v>12.13</v>
      </c>
      <c r="BH249" t="s">
        <v>98</v>
      </c>
      <c r="BI249" t="s">
        <v>293</v>
      </c>
      <c r="BJ249">
        <v>12.29</v>
      </c>
      <c r="BK249" t="s">
        <v>98</v>
      </c>
      <c r="BL249" t="s">
        <v>291</v>
      </c>
      <c r="BM249">
        <v>11.3</v>
      </c>
      <c r="BN249" t="s">
        <v>292</v>
      </c>
      <c r="BO249" t="s">
        <v>291</v>
      </c>
      <c r="BP249">
        <v>0.61</v>
      </c>
      <c r="BQ249" t="s">
        <v>292</v>
      </c>
      <c r="BR249" t="s">
        <v>291</v>
      </c>
      <c r="BS249">
        <v>11.54</v>
      </c>
      <c r="BT249" t="s">
        <v>292</v>
      </c>
      <c r="BU249" t="s">
        <v>291</v>
      </c>
      <c r="BV249">
        <v>0.61</v>
      </c>
      <c r="BW249" t="s">
        <v>292</v>
      </c>
      <c r="BX249" t="s">
        <v>291</v>
      </c>
      <c r="BY249">
        <v>0.61</v>
      </c>
      <c r="BZ249" t="s">
        <v>292</v>
      </c>
      <c r="CA249" t="s">
        <v>286</v>
      </c>
      <c r="CB249">
        <v>0.42</v>
      </c>
      <c r="CC249" t="s">
        <v>287</v>
      </c>
      <c r="CD249" t="s">
        <v>291</v>
      </c>
      <c r="CE249">
        <v>0.62</v>
      </c>
      <c r="CF249" t="s">
        <v>292</v>
      </c>
      <c r="CG249" t="s">
        <v>291</v>
      </c>
      <c r="CH249">
        <v>11.74</v>
      </c>
      <c r="CI249" t="s">
        <v>292</v>
      </c>
      <c r="CJ249" t="s">
        <v>291</v>
      </c>
      <c r="CK249">
        <v>11.68</v>
      </c>
      <c r="CL249" t="s">
        <v>292</v>
      </c>
      <c r="CM249" t="s">
        <v>291</v>
      </c>
      <c r="CN249">
        <v>11.6</v>
      </c>
      <c r="CO249" t="s">
        <v>292</v>
      </c>
      <c r="CP249" t="s">
        <v>291</v>
      </c>
      <c r="CQ249">
        <v>11.5</v>
      </c>
      <c r="CR249" t="s">
        <v>292</v>
      </c>
      <c r="CS249" t="s">
        <v>291</v>
      </c>
      <c r="CT249">
        <v>11.32</v>
      </c>
      <c r="CU249" t="s">
        <v>292</v>
      </c>
      <c r="CV249" t="s">
        <v>291</v>
      </c>
      <c r="CW249">
        <v>11.35</v>
      </c>
      <c r="CX249" t="s">
        <v>292</v>
      </c>
      <c r="CY249" t="s">
        <v>291</v>
      </c>
      <c r="CZ249">
        <v>11.3</v>
      </c>
      <c r="DA249" t="s">
        <v>292</v>
      </c>
      <c r="DB249" t="s">
        <v>291</v>
      </c>
      <c r="DC249">
        <v>11.48</v>
      </c>
      <c r="DD249" t="s">
        <v>292</v>
      </c>
      <c r="DE249" t="s">
        <v>291</v>
      </c>
      <c r="DF249">
        <v>11.56</v>
      </c>
      <c r="DG249" t="s">
        <v>292</v>
      </c>
      <c r="DH249" t="s">
        <v>291</v>
      </c>
      <c r="DI249">
        <v>11</v>
      </c>
      <c r="DJ249" t="s">
        <v>292</v>
      </c>
      <c r="DK249" t="s">
        <v>426</v>
      </c>
      <c r="DL249">
        <v>3.39</v>
      </c>
      <c r="DM249" t="s">
        <v>92</v>
      </c>
      <c r="DN249" t="s">
        <v>426</v>
      </c>
      <c r="DO249">
        <v>3.38</v>
      </c>
      <c r="DP249" t="s">
        <v>92</v>
      </c>
      <c r="DQ249" t="s">
        <v>426</v>
      </c>
      <c r="DR249">
        <v>3.62</v>
      </c>
      <c r="DS249" t="s">
        <v>92</v>
      </c>
      <c r="DT249" t="s">
        <v>898</v>
      </c>
      <c r="DU249">
        <v>14.06</v>
      </c>
      <c r="DV249" t="s">
        <v>899</v>
      </c>
      <c r="DW249" t="s">
        <v>898</v>
      </c>
      <c r="DX249">
        <v>14.03</v>
      </c>
      <c r="DY249" t="s">
        <v>899</v>
      </c>
      <c r="DZ249" t="s">
        <v>898</v>
      </c>
      <c r="EA249">
        <v>14</v>
      </c>
      <c r="EB249" t="s">
        <v>899</v>
      </c>
      <c r="EC249" t="s">
        <v>898</v>
      </c>
      <c r="ED249">
        <v>14</v>
      </c>
      <c r="EE249" t="s">
        <v>899</v>
      </c>
      <c r="EF249" t="s">
        <v>898</v>
      </c>
      <c r="EG249">
        <v>13.95</v>
      </c>
      <c r="EH249" t="s">
        <v>899</v>
      </c>
      <c r="EI249" t="s">
        <v>898</v>
      </c>
      <c r="EJ249">
        <v>13.87</v>
      </c>
      <c r="EK249" t="s">
        <v>899</v>
      </c>
    </row>
    <row r="250" spans="1:141">
      <c r="A250" t="s">
        <v>293</v>
      </c>
      <c r="B250">
        <v>12.79</v>
      </c>
      <c r="C250" t="s">
        <v>98</v>
      </c>
      <c r="D250" t="s">
        <v>293</v>
      </c>
      <c r="E250">
        <v>12.45</v>
      </c>
      <c r="F250" t="s">
        <v>98</v>
      </c>
      <c r="G250" t="s">
        <v>294</v>
      </c>
      <c r="H250">
        <v>55.7</v>
      </c>
      <c r="I250" t="s">
        <v>104</v>
      </c>
      <c r="J250" t="s">
        <v>294</v>
      </c>
      <c r="K250">
        <v>55.54</v>
      </c>
      <c r="L250" t="s">
        <v>104</v>
      </c>
      <c r="M250" t="s">
        <v>294</v>
      </c>
      <c r="N250">
        <v>56.4</v>
      </c>
      <c r="O250" t="s">
        <v>104</v>
      </c>
      <c r="P250" t="s">
        <v>447</v>
      </c>
      <c r="Q250">
        <v>81.06</v>
      </c>
      <c r="R250" t="s">
        <v>290</v>
      </c>
      <c r="S250" t="s">
        <v>294</v>
      </c>
      <c r="T250">
        <v>56.75</v>
      </c>
      <c r="U250" t="s">
        <v>104</v>
      </c>
      <c r="V250" t="s">
        <v>294</v>
      </c>
      <c r="W250">
        <v>56</v>
      </c>
      <c r="X250" t="s">
        <v>104</v>
      </c>
      <c r="Y250" t="s">
        <v>294</v>
      </c>
      <c r="Z250">
        <v>55.25</v>
      </c>
      <c r="AA250" t="s">
        <v>104</v>
      </c>
      <c r="AB250" t="s">
        <v>294</v>
      </c>
      <c r="AC250">
        <v>54.2</v>
      </c>
      <c r="AD250" t="s">
        <v>104</v>
      </c>
      <c r="AE250" t="s">
        <v>294</v>
      </c>
      <c r="AF250">
        <v>53.5</v>
      </c>
      <c r="AG250" t="s">
        <v>104</v>
      </c>
      <c r="AH250" t="s">
        <v>294</v>
      </c>
      <c r="AI250">
        <v>52.5</v>
      </c>
      <c r="AJ250" t="s">
        <v>104</v>
      </c>
      <c r="AK250" t="s">
        <v>294</v>
      </c>
      <c r="AL250">
        <v>51.8</v>
      </c>
      <c r="AM250" t="s">
        <v>104</v>
      </c>
      <c r="AN250" t="s">
        <v>294</v>
      </c>
      <c r="AO250">
        <v>52.72</v>
      </c>
      <c r="AP250" t="s">
        <v>104</v>
      </c>
      <c r="AQ250" t="s">
        <v>294</v>
      </c>
      <c r="AR250">
        <v>55.19</v>
      </c>
      <c r="AS250" t="s">
        <v>104</v>
      </c>
      <c r="AT250" t="s">
        <v>294</v>
      </c>
      <c r="AU250">
        <v>54.64</v>
      </c>
      <c r="AV250" t="s">
        <v>104</v>
      </c>
      <c r="AW250" t="s">
        <v>294</v>
      </c>
      <c r="AX250">
        <v>54.65</v>
      </c>
      <c r="AY250" t="s">
        <v>104</v>
      </c>
      <c r="AZ250" t="s">
        <v>294</v>
      </c>
      <c r="BA250">
        <v>54.6</v>
      </c>
      <c r="BB250" t="s">
        <v>104</v>
      </c>
      <c r="BC250" t="s">
        <v>294</v>
      </c>
      <c r="BD250">
        <v>54</v>
      </c>
      <c r="BE250" t="s">
        <v>104</v>
      </c>
      <c r="BF250" t="s">
        <v>294</v>
      </c>
      <c r="BG250">
        <v>52.8</v>
      </c>
      <c r="BH250" t="s">
        <v>104</v>
      </c>
      <c r="BI250" t="s">
        <v>294</v>
      </c>
      <c r="BJ250">
        <v>51.9</v>
      </c>
      <c r="BK250" t="s">
        <v>104</v>
      </c>
      <c r="BL250" t="s">
        <v>426</v>
      </c>
      <c r="BM250">
        <v>3.2</v>
      </c>
      <c r="BN250" t="s">
        <v>92</v>
      </c>
      <c r="BO250" t="s">
        <v>426</v>
      </c>
      <c r="BP250">
        <v>3.36</v>
      </c>
      <c r="BQ250" t="s">
        <v>92</v>
      </c>
      <c r="BR250" t="s">
        <v>426</v>
      </c>
      <c r="BS250">
        <v>3.27</v>
      </c>
      <c r="BT250" t="s">
        <v>92</v>
      </c>
      <c r="BU250" t="s">
        <v>426</v>
      </c>
      <c r="BV250">
        <v>3.28</v>
      </c>
      <c r="BW250" t="s">
        <v>92</v>
      </c>
      <c r="BX250" t="s">
        <v>426</v>
      </c>
      <c r="BY250">
        <v>3.32</v>
      </c>
      <c r="BZ250" t="s">
        <v>92</v>
      </c>
      <c r="CA250" t="s">
        <v>288</v>
      </c>
      <c r="CB250">
        <v>48.49</v>
      </c>
      <c r="CC250" t="s">
        <v>27</v>
      </c>
      <c r="CD250" t="s">
        <v>426</v>
      </c>
      <c r="CE250">
        <v>3.32</v>
      </c>
      <c r="CF250" t="s">
        <v>92</v>
      </c>
      <c r="CG250" t="s">
        <v>426</v>
      </c>
      <c r="CH250">
        <v>3.35</v>
      </c>
      <c r="CI250" t="s">
        <v>92</v>
      </c>
      <c r="CJ250" t="s">
        <v>426</v>
      </c>
      <c r="CK250">
        <v>3.33</v>
      </c>
      <c r="CL250" t="s">
        <v>92</v>
      </c>
      <c r="CM250" t="s">
        <v>426</v>
      </c>
      <c r="CN250">
        <v>3.3</v>
      </c>
      <c r="CO250" t="s">
        <v>92</v>
      </c>
      <c r="CP250" t="s">
        <v>426</v>
      </c>
      <c r="CQ250">
        <v>3.3</v>
      </c>
      <c r="CR250" t="s">
        <v>92</v>
      </c>
      <c r="CS250" t="s">
        <v>426</v>
      </c>
      <c r="CT250">
        <v>3.29</v>
      </c>
      <c r="CU250" t="s">
        <v>92</v>
      </c>
      <c r="CV250" t="s">
        <v>426</v>
      </c>
      <c r="CW250">
        <v>3.21</v>
      </c>
      <c r="CX250" t="s">
        <v>92</v>
      </c>
      <c r="CY250" t="s">
        <v>426</v>
      </c>
      <c r="CZ250">
        <v>3.25</v>
      </c>
      <c r="DA250" t="s">
        <v>92</v>
      </c>
      <c r="DB250" t="s">
        <v>426</v>
      </c>
      <c r="DC250">
        <v>3.37</v>
      </c>
      <c r="DD250" t="s">
        <v>92</v>
      </c>
      <c r="DE250" t="s">
        <v>426</v>
      </c>
      <c r="DF250">
        <v>3.27</v>
      </c>
      <c r="DG250" t="s">
        <v>92</v>
      </c>
      <c r="DH250" t="s">
        <v>426</v>
      </c>
      <c r="DI250">
        <v>3.38</v>
      </c>
      <c r="DJ250" t="s">
        <v>92</v>
      </c>
      <c r="DK250" t="s">
        <v>293</v>
      </c>
      <c r="DL250">
        <v>11.8</v>
      </c>
      <c r="DM250" t="s">
        <v>98</v>
      </c>
      <c r="DN250" t="s">
        <v>293</v>
      </c>
      <c r="DO250">
        <v>11.73</v>
      </c>
      <c r="DP250" t="s">
        <v>98</v>
      </c>
      <c r="DQ250" t="s">
        <v>293</v>
      </c>
      <c r="DR250">
        <v>12.4</v>
      </c>
      <c r="DS250" t="s">
        <v>98</v>
      </c>
      <c r="DT250" t="s">
        <v>365</v>
      </c>
      <c r="DU250">
        <v>287.13</v>
      </c>
      <c r="DV250" t="s">
        <v>76</v>
      </c>
      <c r="DW250" t="s">
        <v>365</v>
      </c>
      <c r="DX250">
        <v>348.45</v>
      </c>
      <c r="DY250" t="s">
        <v>76</v>
      </c>
      <c r="DZ250" t="s">
        <v>365</v>
      </c>
      <c r="EA250">
        <v>414.95</v>
      </c>
      <c r="EB250" t="s">
        <v>76</v>
      </c>
      <c r="EC250" t="s">
        <v>365</v>
      </c>
      <c r="ED250">
        <v>395.04</v>
      </c>
      <c r="EE250" t="s">
        <v>76</v>
      </c>
      <c r="EF250" t="s">
        <v>365</v>
      </c>
      <c r="EG250">
        <v>539</v>
      </c>
      <c r="EH250" t="s">
        <v>76</v>
      </c>
      <c r="EI250" t="s">
        <v>365</v>
      </c>
      <c r="EJ250">
        <v>567.12</v>
      </c>
      <c r="EK250" t="s">
        <v>76</v>
      </c>
    </row>
    <row r="251" spans="1:141">
      <c r="A251" t="s">
        <v>294</v>
      </c>
      <c r="B251">
        <v>57.49</v>
      </c>
      <c r="C251" t="s">
        <v>104</v>
      </c>
      <c r="D251" t="s">
        <v>294</v>
      </c>
      <c r="E251">
        <v>56.26</v>
      </c>
      <c r="F251" t="s">
        <v>104</v>
      </c>
      <c r="G251" t="s">
        <v>316</v>
      </c>
      <c r="H251">
        <v>60.26</v>
      </c>
      <c r="I251" t="s">
        <v>462</v>
      </c>
      <c r="J251" t="s">
        <v>316</v>
      </c>
      <c r="K251">
        <v>60.26</v>
      </c>
      <c r="L251" t="s">
        <v>462</v>
      </c>
      <c r="M251" t="s">
        <v>316</v>
      </c>
      <c r="N251">
        <v>61.5</v>
      </c>
      <c r="O251" t="s">
        <v>462</v>
      </c>
      <c r="P251" t="s">
        <v>291</v>
      </c>
      <c r="Q251">
        <v>9.8000000000000007</v>
      </c>
      <c r="R251" t="s">
        <v>292</v>
      </c>
      <c r="S251" t="s">
        <v>316</v>
      </c>
      <c r="T251">
        <v>59.76</v>
      </c>
      <c r="U251" t="s">
        <v>462</v>
      </c>
      <c r="V251" t="s">
        <v>316</v>
      </c>
      <c r="W251">
        <v>59.96</v>
      </c>
      <c r="X251" t="s">
        <v>462</v>
      </c>
      <c r="Y251" t="s">
        <v>316</v>
      </c>
      <c r="Z251">
        <v>59.96</v>
      </c>
      <c r="AA251" t="s">
        <v>462</v>
      </c>
      <c r="AB251" t="s">
        <v>316</v>
      </c>
      <c r="AC251">
        <v>59.01</v>
      </c>
      <c r="AD251" t="s">
        <v>462</v>
      </c>
      <c r="AE251" t="s">
        <v>316</v>
      </c>
      <c r="AF251">
        <v>59.5</v>
      </c>
      <c r="AG251" t="s">
        <v>462</v>
      </c>
      <c r="AH251" t="s">
        <v>316</v>
      </c>
      <c r="AI251">
        <v>59.5</v>
      </c>
      <c r="AJ251" t="s">
        <v>462</v>
      </c>
      <c r="AK251" t="s">
        <v>316</v>
      </c>
      <c r="AL251">
        <v>59.5</v>
      </c>
      <c r="AM251" t="s">
        <v>462</v>
      </c>
      <c r="AN251" t="s">
        <v>316</v>
      </c>
      <c r="AO251">
        <v>63.7</v>
      </c>
      <c r="AP251" t="s">
        <v>462</v>
      </c>
      <c r="AQ251" t="s">
        <v>316</v>
      </c>
      <c r="AR251">
        <v>63.01</v>
      </c>
      <c r="AS251" t="s">
        <v>462</v>
      </c>
      <c r="AT251" t="s">
        <v>316</v>
      </c>
      <c r="AU251">
        <v>63.01</v>
      </c>
      <c r="AV251" t="s">
        <v>462</v>
      </c>
      <c r="AW251" t="s">
        <v>316</v>
      </c>
      <c r="AX251">
        <v>64.03</v>
      </c>
      <c r="AY251" t="s">
        <v>462</v>
      </c>
      <c r="AZ251" t="s">
        <v>316</v>
      </c>
      <c r="BA251">
        <v>61.01</v>
      </c>
      <c r="BB251" t="s">
        <v>462</v>
      </c>
      <c r="BC251" t="s">
        <v>316</v>
      </c>
      <c r="BD251">
        <v>57</v>
      </c>
      <c r="BE251" t="s">
        <v>462</v>
      </c>
      <c r="BF251" t="s">
        <v>316</v>
      </c>
      <c r="BG251">
        <v>61</v>
      </c>
      <c r="BH251" t="s">
        <v>462</v>
      </c>
      <c r="BI251" t="s">
        <v>316</v>
      </c>
      <c r="BJ251">
        <v>61</v>
      </c>
      <c r="BK251" t="s">
        <v>462</v>
      </c>
      <c r="BL251" t="s">
        <v>293</v>
      </c>
      <c r="BM251">
        <v>12.45</v>
      </c>
      <c r="BN251" t="s">
        <v>98</v>
      </c>
      <c r="BO251" t="s">
        <v>293</v>
      </c>
      <c r="BP251">
        <v>12.3</v>
      </c>
      <c r="BQ251" t="s">
        <v>98</v>
      </c>
      <c r="BR251" t="s">
        <v>293</v>
      </c>
      <c r="BS251">
        <v>12.39</v>
      </c>
      <c r="BT251" t="s">
        <v>98</v>
      </c>
      <c r="BU251" t="s">
        <v>293</v>
      </c>
      <c r="BV251">
        <v>12.26</v>
      </c>
      <c r="BW251" t="s">
        <v>98</v>
      </c>
      <c r="BX251" t="s">
        <v>293</v>
      </c>
      <c r="BY251">
        <v>12.38</v>
      </c>
      <c r="BZ251" t="s">
        <v>98</v>
      </c>
      <c r="CA251" t="s">
        <v>443</v>
      </c>
      <c r="CB251">
        <v>4.66</v>
      </c>
      <c r="CC251" t="s">
        <v>289</v>
      </c>
      <c r="CD251" t="s">
        <v>293</v>
      </c>
      <c r="CE251">
        <v>12.65</v>
      </c>
      <c r="CF251" t="s">
        <v>98</v>
      </c>
      <c r="CG251" t="s">
        <v>293</v>
      </c>
      <c r="CH251">
        <v>12.64</v>
      </c>
      <c r="CI251" t="s">
        <v>98</v>
      </c>
      <c r="CJ251" t="s">
        <v>293</v>
      </c>
      <c r="CK251">
        <v>12.47</v>
      </c>
      <c r="CL251" t="s">
        <v>98</v>
      </c>
      <c r="CM251" t="s">
        <v>293</v>
      </c>
      <c r="CN251">
        <v>12.47</v>
      </c>
      <c r="CO251" t="s">
        <v>98</v>
      </c>
      <c r="CP251" t="s">
        <v>293</v>
      </c>
      <c r="CQ251">
        <v>12.36</v>
      </c>
      <c r="CR251" t="s">
        <v>98</v>
      </c>
      <c r="CS251" t="s">
        <v>293</v>
      </c>
      <c r="CT251">
        <v>12.37</v>
      </c>
      <c r="CU251" t="s">
        <v>98</v>
      </c>
      <c r="CV251" t="s">
        <v>293</v>
      </c>
      <c r="CW251">
        <v>12.12</v>
      </c>
      <c r="CX251" t="s">
        <v>98</v>
      </c>
      <c r="CY251" t="s">
        <v>293</v>
      </c>
      <c r="CZ251">
        <v>12.16</v>
      </c>
      <c r="DA251" t="s">
        <v>98</v>
      </c>
      <c r="DB251" t="s">
        <v>293</v>
      </c>
      <c r="DC251">
        <v>12.1</v>
      </c>
      <c r="DD251" t="s">
        <v>98</v>
      </c>
      <c r="DE251" t="s">
        <v>293</v>
      </c>
      <c r="DF251">
        <v>12.28</v>
      </c>
      <c r="DG251" t="s">
        <v>98</v>
      </c>
      <c r="DH251" t="s">
        <v>293</v>
      </c>
      <c r="DI251">
        <v>12.2</v>
      </c>
      <c r="DJ251" t="s">
        <v>98</v>
      </c>
      <c r="DK251" t="s">
        <v>294</v>
      </c>
      <c r="DL251">
        <v>49.6</v>
      </c>
      <c r="DM251" t="s">
        <v>104</v>
      </c>
      <c r="DN251" t="s">
        <v>294</v>
      </c>
      <c r="DO251">
        <v>46.9</v>
      </c>
      <c r="DP251" t="s">
        <v>104</v>
      </c>
      <c r="DQ251" t="s">
        <v>294</v>
      </c>
      <c r="DR251">
        <v>51.93</v>
      </c>
      <c r="DS251" t="s">
        <v>104</v>
      </c>
      <c r="DT251" t="s">
        <v>399</v>
      </c>
      <c r="DU251">
        <v>1.1200000000000001</v>
      </c>
      <c r="DV251" t="s">
        <v>29</v>
      </c>
      <c r="DW251" t="s">
        <v>399</v>
      </c>
      <c r="DX251">
        <v>1.08</v>
      </c>
      <c r="DY251" t="s">
        <v>29</v>
      </c>
      <c r="DZ251" t="s">
        <v>399</v>
      </c>
      <c r="EA251">
        <v>1.06</v>
      </c>
      <c r="EB251" t="s">
        <v>29</v>
      </c>
      <c r="EC251" t="s">
        <v>399</v>
      </c>
      <c r="ED251">
        <v>1.05</v>
      </c>
      <c r="EE251" t="s">
        <v>29</v>
      </c>
      <c r="EF251" t="s">
        <v>399</v>
      </c>
      <c r="EG251">
        <v>1.01</v>
      </c>
      <c r="EH251" t="s">
        <v>29</v>
      </c>
      <c r="EI251" t="s">
        <v>399</v>
      </c>
      <c r="EJ251">
        <v>1.03</v>
      </c>
      <c r="EK251" t="s">
        <v>29</v>
      </c>
    </row>
    <row r="252" spans="1:141">
      <c r="A252" t="s">
        <v>316</v>
      </c>
      <c r="B252">
        <v>62.5</v>
      </c>
      <c r="C252" t="s">
        <v>462</v>
      </c>
      <c r="D252" t="s">
        <v>316</v>
      </c>
      <c r="E252">
        <v>60.26</v>
      </c>
      <c r="F252" t="s">
        <v>462</v>
      </c>
      <c r="G252" t="s">
        <v>664</v>
      </c>
      <c r="H252">
        <v>0.06</v>
      </c>
      <c r="I252" t="s">
        <v>637</v>
      </c>
      <c r="J252" t="s">
        <v>664</v>
      </c>
      <c r="K252">
        <v>0.06</v>
      </c>
      <c r="L252" t="s">
        <v>637</v>
      </c>
      <c r="M252" t="s">
        <v>664</v>
      </c>
      <c r="N252">
        <v>0.06</v>
      </c>
      <c r="O252" t="s">
        <v>637</v>
      </c>
      <c r="P252" t="s">
        <v>426</v>
      </c>
      <c r="Q252">
        <v>3.64</v>
      </c>
      <c r="R252" t="s">
        <v>92</v>
      </c>
      <c r="S252" t="s">
        <v>664</v>
      </c>
      <c r="T252">
        <v>0.06</v>
      </c>
      <c r="U252" t="s">
        <v>637</v>
      </c>
      <c r="V252" t="s">
        <v>664</v>
      </c>
      <c r="W252">
        <v>0.06</v>
      </c>
      <c r="X252" t="s">
        <v>637</v>
      </c>
      <c r="Y252" t="s">
        <v>664</v>
      </c>
      <c r="Z252">
        <v>0.06</v>
      </c>
      <c r="AA252" t="s">
        <v>637</v>
      </c>
      <c r="AB252" t="s">
        <v>664</v>
      </c>
      <c r="AC252">
        <v>0.06</v>
      </c>
      <c r="AD252" t="s">
        <v>637</v>
      </c>
      <c r="AE252" t="s">
        <v>664</v>
      </c>
      <c r="AF252">
        <v>0.06</v>
      </c>
      <c r="AG252" t="s">
        <v>637</v>
      </c>
      <c r="AH252" t="s">
        <v>664</v>
      </c>
      <c r="AI252">
        <v>0.06</v>
      </c>
      <c r="AJ252" t="s">
        <v>637</v>
      </c>
      <c r="AK252" t="s">
        <v>664</v>
      </c>
      <c r="AL252">
        <v>0.06</v>
      </c>
      <c r="AM252" t="s">
        <v>637</v>
      </c>
      <c r="AN252" t="s">
        <v>664</v>
      </c>
      <c r="AO252">
        <v>0.06</v>
      </c>
      <c r="AP252" t="s">
        <v>637</v>
      </c>
      <c r="AQ252" t="s">
        <v>664</v>
      </c>
      <c r="AR252">
        <v>0.06</v>
      </c>
      <c r="AS252" t="s">
        <v>637</v>
      </c>
      <c r="AT252" t="s">
        <v>664</v>
      </c>
      <c r="AU252">
        <v>0.06</v>
      </c>
      <c r="AV252" t="s">
        <v>637</v>
      </c>
      <c r="AW252" t="s">
        <v>664</v>
      </c>
      <c r="AX252">
        <v>0.06</v>
      </c>
      <c r="AY252" t="s">
        <v>637</v>
      </c>
      <c r="AZ252" t="s">
        <v>664</v>
      </c>
      <c r="BA252">
        <v>0.06</v>
      </c>
      <c r="BB252" t="s">
        <v>637</v>
      </c>
      <c r="BC252" t="s">
        <v>664</v>
      </c>
      <c r="BD252">
        <v>0.06</v>
      </c>
      <c r="BE252" t="s">
        <v>637</v>
      </c>
      <c r="BF252" t="s">
        <v>664</v>
      </c>
      <c r="BG252">
        <v>0.06</v>
      </c>
      <c r="BH252" t="s">
        <v>637</v>
      </c>
      <c r="BI252" t="s">
        <v>664</v>
      </c>
      <c r="BJ252">
        <v>0.06</v>
      </c>
      <c r="BK252" t="s">
        <v>637</v>
      </c>
      <c r="BL252" t="s">
        <v>294</v>
      </c>
      <c r="BM252">
        <v>50.9</v>
      </c>
      <c r="BN252" t="s">
        <v>104</v>
      </c>
      <c r="BO252" t="s">
        <v>294</v>
      </c>
      <c r="BP252">
        <v>51.27</v>
      </c>
      <c r="BQ252" t="s">
        <v>104</v>
      </c>
      <c r="BR252" t="s">
        <v>294</v>
      </c>
      <c r="BS252">
        <v>51.79</v>
      </c>
      <c r="BT252" t="s">
        <v>104</v>
      </c>
      <c r="BU252" t="s">
        <v>294</v>
      </c>
      <c r="BV252">
        <v>50.77</v>
      </c>
      <c r="BW252" t="s">
        <v>104</v>
      </c>
      <c r="BX252" t="s">
        <v>294</v>
      </c>
      <c r="BY252">
        <v>51</v>
      </c>
      <c r="BZ252" t="s">
        <v>104</v>
      </c>
      <c r="CA252" t="s">
        <v>447</v>
      </c>
      <c r="CB252">
        <v>81.89</v>
      </c>
      <c r="CC252" t="s">
        <v>290</v>
      </c>
      <c r="CD252" t="s">
        <v>294</v>
      </c>
      <c r="CE252">
        <v>51.89</v>
      </c>
      <c r="CF252" t="s">
        <v>104</v>
      </c>
      <c r="CG252" t="s">
        <v>294</v>
      </c>
      <c r="CH252">
        <v>51.5</v>
      </c>
      <c r="CI252" t="s">
        <v>104</v>
      </c>
      <c r="CJ252" t="s">
        <v>294</v>
      </c>
      <c r="CK252">
        <v>51.3</v>
      </c>
      <c r="CL252" t="s">
        <v>104</v>
      </c>
      <c r="CM252" t="s">
        <v>294</v>
      </c>
      <c r="CN252">
        <v>50.76</v>
      </c>
      <c r="CO252" t="s">
        <v>104</v>
      </c>
      <c r="CP252" t="s">
        <v>294</v>
      </c>
      <c r="CQ252">
        <v>54</v>
      </c>
      <c r="CR252" t="s">
        <v>104</v>
      </c>
      <c r="CS252" t="s">
        <v>294</v>
      </c>
      <c r="CT252">
        <v>53.61</v>
      </c>
      <c r="CU252" t="s">
        <v>104</v>
      </c>
      <c r="CV252" t="s">
        <v>294</v>
      </c>
      <c r="CW252">
        <v>52.88</v>
      </c>
      <c r="CX252" t="s">
        <v>104</v>
      </c>
      <c r="CY252" t="s">
        <v>294</v>
      </c>
      <c r="CZ252">
        <v>53.11</v>
      </c>
      <c r="DA252" t="s">
        <v>104</v>
      </c>
      <c r="DB252" t="s">
        <v>294</v>
      </c>
      <c r="DC252">
        <v>53.53</v>
      </c>
      <c r="DD252" t="s">
        <v>104</v>
      </c>
      <c r="DE252" t="s">
        <v>294</v>
      </c>
      <c r="DF252">
        <v>54</v>
      </c>
      <c r="DG252" t="s">
        <v>104</v>
      </c>
      <c r="DH252" t="s">
        <v>294</v>
      </c>
      <c r="DI252">
        <v>53.09</v>
      </c>
      <c r="DJ252" t="s">
        <v>104</v>
      </c>
      <c r="DK252" t="s">
        <v>316</v>
      </c>
      <c r="DL252">
        <v>52</v>
      </c>
      <c r="DM252" t="s">
        <v>462</v>
      </c>
      <c r="DN252" t="s">
        <v>316</v>
      </c>
      <c r="DO252">
        <v>49.99</v>
      </c>
      <c r="DP252" t="s">
        <v>462</v>
      </c>
      <c r="DQ252" t="s">
        <v>316</v>
      </c>
      <c r="DR252">
        <v>50.45</v>
      </c>
      <c r="DS252" t="s">
        <v>462</v>
      </c>
      <c r="DT252" t="s">
        <v>396</v>
      </c>
      <c r="DU252">
        <v>1.23</v>
      </c>
      <c r="DV252" t="s">
        <v>592</v>
      </c>
      <c r="DW252" t="s">
        <v>396</v>
      </c>
      <c r="DX252">
        <v>1.17</v>
      </c>
      <c r="DY252" t="s">
        <v>592</v>
      </c>
      <c r="DZ252" t="s">
        <v>396</v>
      </c>
      <c r="EA252">
        <v>1.23</v>
      </c>
      <c r="EB252" t="s">
        <v>592</v>
      </c>
      <c r="EC252" t="s">
        <v>396</v>
      </c>
      <c r="ED252">
        <v>1.29</v>
      </c>
      <c r="EE252" t="s">
        <v>592</v>
      </c>
      <c r="EF252" t="s">
        <v>396</v>
      </c>
      <c r="EG252">
        <v>1.29</v>
      </c>
      <c r="EH252" t="s">
        <v>592</v>
      </c>
      <c r="EI252" t="s">
        <v>396</v>
      </c>
      <c r="EJ252">
        <v>1.24</v>
      </c>
      <c r="EK252" t="s">
        <v>592</v>
      </c>
    </row>
    <row r="253" spans="1:141">
      <c r="A253" t="s">
        <v>664</v>
      </c>
      <c r="B253">
        <v>0.06</v>
      </c>
      <c r="C253" t="s">
        <v>637</v>
      </c>
      <c r="D253" t="s">
        <v>664</v>
      </c>
      <c r="E253">
        <v>0.06</v>
      </c>
      <c r="F253" t="s">
        <v>637</v>
      </c>
      <c r="G253" t="s">
        <v>329</v>
      </c>
      <c r="H253">
        <v>0.04</v>
      </c>
      <c r="I253" t="s">
        <v>53</v>
      </c>
      <c r="J253" t="s">
        <v>329</v>
      </c>
      <c r="K253">
        <v>0.04</v>
      </c>
      <c r="L253" t="s">
        <v>53</v>
      </c>
      <c r="M253" t="s">
        <v>329</v>
      </c>
      <c r="N253">
        <v>0.04</v>
      </c>
      <c r="O253" t="s">
        <v>53</v>
      </c>
      <c r="P253" t="s">
        <v>293</v>
      </c>
      <c r="Q253">
        <v>12.01</v>
      </c>
      <c r="R253" t="s">
        <v>98</v>
      </c>
      <c r="S253" t="s">
        <v>329</v>
      </c>
      <c r="T253">
        <v>0.04</v>
      </c>
      <c r="U253" t="s">
        <v>53</v>
      </c>
      <c r="V253" t="s">
        <v>329</v>
      </c>
      <c r="W253">
        <v>0.04</v>
      </c>
      <c r="X253" t="s">
        <v>53</v>
      </c>
      <c r="Y253" t="s">
        <v>329</v>
      </c>
      <c r="Z253">
        <v>0.04</v>
      </c>
      <c r="AA253" t="s">
        <v>53</v>
      </c>
      <c r="AB253" t="s">
        <v>329</v>
      </c>
      <c r="AC253">
        <v>0.04</v>
      </c>
      <c r="AD253" t="s">
        <v>53</v>
      </c>
      <c r="AE253" t="s">
        <v>329</v>
      </c>
      <c r="AF253">
        <v>0.04</v>
      </c>
      <c r="AG253" t="s">
        <v>53</v>
      </c>
      <c r="AH253" t="s">
        <v>329</v>
      </c>
      <c r="AI253">
        <v>0.04</v>
      </c>
      <c r="AJ253" t="s">
        <v>53</v>
      </c>
      <c r="AK253" t="s">
        <v>329</v>
      </c>
      <c r="AL253">
        <v>0.04</v>
      </c>
      <c r="AM253" t="s">
        <v>53</v>
      </c>
      <c r="AN253" t="s">
        <v>329</v>
      </c>
      <c r="AO253">
        <v>0.04</v>
      </c>
      <c r="AP253" t="s">
        <v>53</v>
      </c>
      <c r="AQ253" t="s">
        <v>329</v>
      </c>
      <c r="AR253">
        <v>0.04</v>
      </c>
      <c r="AS253" t="s">
        <v>53</v>
      </c>
      <c r="AT253" t="s">
        <v>329</v>
      </c>
      <c r="AU253">
        <v>0.04</v>
      </c>
      <c r="AV253" t="s">
        <v>53</v>
      </c>
      <c r="AW253" t="s">
        <v>329</v>
      </c>
      <c r="AX253">
        <v>0.04</v>
      </c>
      <c r="AY253" t="s">
        <v>53</v>
      </c>
      <c r="AZ253" t="s">
        <v>329</v>
      </c>
      <c r="BA253">
        <v>0.04</v>
      </c>
      <c r="BB253" t="s">
        <v>53</v>
      </c>
      <c r="BC253" t="s">
        <v>329</v>
      </c>
      <c r="BD253">
        <v>0.04</v>
      </c>
      <c r="BE253" t="s">
        <v>53</v>
      </c>
      <c r="BF253" t="s">
        <v>329</v>
      </c>
      <c r="BG253">
        <v>0.04</v>
      </c>
      <c r="BH253" t="s">
        <v>53</v>
      </c>
      <c r="BI253" t="s">
        <v>329</v>
      </c>
      <c r="BJ253">
        <v>0.04</v>
      </c>
      <c r="BK253" t="s">
        <v>53</v>
      </c>
      <c r="BL253" t="s">
        <v>316</v>
      </c>
      <c r="BM253">
        <v>57</v>
      </c>
      <c r="BN253" t="s">
        <v>462</v>
      </c>
      <c r="BO253" t="s">
        <v>316</v>
      </c>
      <c r="BP253">
        <v>56.07</v>
      </c>
      <c r="BQ253" t="s">
        <v>462</v>
      </c>
      <c r="BR253" t="s">
        <v>316</v>
      </c>
      <c r="BS253">
        <v>56.07</v>
      </c>
      <c r="BT253" t="s">
        <v>462</v>
      </c>
      <c r="BU253" t="s">
        <v>316</v>
      </c>
      <c r="BV253">
        <v>58</v>
      </c>
      <c r="BW253" t="s">
        <v>462</v>
      </c>
      <c r="BX253" t="s">
        <v>316</v>
      </c>
      <c r="BY253">
        <v>58</v>
      </c>
      <c r="BZ253" t="s">
        <v>462</v>
      </c>
      <c r="CA253" t="s">
        <v>291</v>
      </c>
      <c r="CB253">
        <v>0.62</v>
      </c>
      <c r="CC253" t="s">
        <v>292</v>
      </c>
      <c r="CD253" t="s">
        <v>316</v>
      </c>
      <c r="CE253">
        <v>56</v>
      </c>
      <c r="CF253" t="s">
        <v>462</v>
      </c>
      <c r="CG253" t="s">
        <v>316</v>
      </c>
      <c r="CH253">
        <v>56</v>
      </c>
      <c r="CI253" t="s">
        <v>462</v>
      </c>
      <c r="CJ253" t="s">
        <v>316</v>
      </c>
      <c r="CK253">
        <v>51.55</v>
      </c>
      <c r="CL253" t="s">
        <v>462</v>
      </c>
      <c r="CM253" t="s">
        <v>316</v>
      </c>
      <c r="CN253">
        <v>51.55</v>
      </c>
      <c r="CO253" t="s">
        <v>462</v>
      </c>
      <c r="CP253" t="s">
        <v>316</v>
      </c>
      <c r="CQ253">
        <v>52.99</v>
      </c>
      <c r="CR253" t="s">
        <v>462</v>
      </c>
      <c r="CS253" t="s">
        <v>316</v>
      </c>
      <c r="CT253">
        <v>52</v>
      </c>
      <c r="CU253" t="s">
        <v>462</v>
      </c>
      <c r="CV253" t="s">
        <v>316</v>
      </c>
      <c r="CW253">
        <v>49</v>
      </c>
      <c r="CX253" t="s">
        <v>462</v>
      </c>
      <c r="CY253" t="s">
        <v>316</v>
      </c>
      <c r="CZ253">
        <v>49</v>
      </c>
      <c r="DA253" t="s">
        <v>462</v>
      </c>
      <c r="DB253" t="s">
        <v>316</v>
      </c>
      <c r="DC253">
        <v>50</v>
      </c>
      <c r="DD253" t="s">
        <v>462</v>
      </c>
      <c r="DE253" t="s">
        <v>316</v>
      </c>
      <c r="DF253">
        <v>50</v>
      </c>
      <c r="DG253" t="s">
        <v>462</v>
      </c>
      <c r="DH253" t="s">
        <v>316</v>
      </c>
      <c r="DI253">
        <v>51.5</v>
      </c>
      <c r="DJ253" t="s">
        <v>462</v>
      </c>
      <c r="DK253" t="s">
        <v>664</v>
      </c>
      <c r="DL253">
        <v>0.06</v>
      </c>
      <c r="DM253" t="s">
        <v>637</v>
      </c>
      <c r="DN253" t="s">
        <v>664</v>
      </c>
      <c r="DO253">
        <v>0.06</v>
      </c>
      <c r="DP253" t="s">
        <v>637</v>
      </c>
      <c r="DQ253" t="s">
        <v>664</v>
      </c>
      <c r="DR253">
        <v>0.06</v>
      </c>
      <c r="DS253" t="s">
        <v>637</v>
      </c>
      <c r="DT253" t="s">
        <v>296</v>
      </c>
      <c r="DU253">
        <v>7.66</v>
      </c>
      <c r="DV253" t="s">
        <v>85</v>
      </c>
      <c r="DW253" t="s">
        <v>296</v>
      </c>
      <c r="DX253">
        <v>7.48</v>
      </c>
      <c r="DY253" t="s">
        <v>85</v>
      </c>
      <c r="DZ253" t="s">
        <v>296</v>
      </c>
      <c r="EA253">
        <v>7.44</v>
      </c>
      <c r="EB253" t="s">
        <v>85</v>
      </c>
      <c r="EC253" t="s">
        <v>296</v>
      </c>
      <c r="ED253">
        <v>7.62</v>
      </c>
      <c r="EE253" t="s">
        <v>85</v>
      </c>
      <c r="EF253" t="s">
        <v>296</v>
      </c>
      <c r="EG253">
        <v>7.73</v>
      </c>
      <c r="EH253" t="s">
        <v>85</v>
      </c>
      <c r="EI253" t="s">
        <v>296</v>
      </c>
      <c r="EJ253">
        <v>8.09</v>
      </c>
      <c r="EK253" t="s">
        <v>85</v>
      </c>
    </row>
    <row r="254" spans="1:141">
      <c r="A254" t="s">
        <v>329</v>
      </c>
      <c r="B254">
        <v>0.04</v>
      </c>
      <c r="C254" t="s">
        <v>53</v>
      </c>
      <c r="D254" t="s">
        <v>329</v>
      </c>
      <c r="E254">
        <v>0.04</v>
      </c>
      <c r="F254" t="s">
        <v>53</v>
      </c>
      <c r="G254" t="s">
        <v>361</v>
      </c>
      <c r="H254">
        <v>0.54</v>
      </c>
      <c r="I254" t="s">
        <v>295</v>
      </c>
      <c r="J254" t="s">
        <v>361</v>
      </c>
      <c r="K254">
        <v>0.54</v>
      </c>
      <c r="L254" t="s">
        <v>295</v>
      </c>
      <c r="M254" t="s">
        <v>361</v>
      </c>
      <c r="N254">
        <v>0.52</v>
      </c>
      <c r="O254" t="s">
        <v>295</v>
      </c>
      <c r="P254" t="s">
        <v>294</v>
      </c>
      <c r="Q254">
        <v>56.5</v>
      </c>
      <c r="R254" t="s">
        <v>104</v>
      </c>
      <c r="S254" t="s">
        <v>361</v>
      </c>
      <c r="T254">
        <v>0.53</v>
      </c>
      <c r="U254" t="s">
        <v>295</v>
      </c>
      <c r="V254" t="s">
        <v>361</v>
      </c>
      <c r="W254">
        <v>0.47</v>
      </c>
      <c r="X254" t="s">
        <v>295</v>
      </c>
      <c r="Y254" t="s">
        <v>361</v>
      </c>
      <c r="Z254">
        <v>0.47</v>
      </c>
      <c r="AA254" t="s">
        <v>295</v>
      </c>
      <c r="AB254" t="s">
        <v>361</v>
      </c>
      <c r="AC254">
        <v>0.53</v>
      </c>
      <c r="AD254" t="s">
        <v>295</v>
      </c>
      <c r="AE254" t="s">
        <v>361</v>
      </c>
      <c r="AF254">
        <v>0.56000000000000005</v>
      </c>
      <c r="AG254" t="s">
        <v>295</v>
      </c>
      <c r="AH254" t="s">
        <v>361</v>
      </c>
      <c r="AI254">
        <v>0.56000000000000005</v>
      </c>
      <c r="AJ254" t="s">
        <v>295</v>
      </c>
      <c r="AK254" t="s">
        <v>361</v>
      </c>
      <c r="AL254">
        <v>0.56000000000000005</v>
      </c>
      <c r="AM254" t="s">
        <v>295</v>
      </c>
      <c r="AN254" t="s">
        <v>361</v>
      </c>
      <c r="AO254">
        <v>0.56000000000000005</v>
      </c>
      <c r="AP254" t="s">
        <v>295</v>
      </c>
      <c r="AQ254" t="s">
        <v>361</v>
      </c>
      <c r="AR254">
        <v>0.54</v>
      </c>
      <c r="AS254" t="s">
        <v>295</v>
      </c>
      <c r="AT254" t="s">
        <v>361</v>
      </c>
      <c r="AU254">
        <v>0.54</v>
      </c>
      <c r="AV254" t="s">
        <v>295</v>
      </c>
      <c r="AW254" t="s">
        <v>361</v>
      </c>
      <c r="AX254">
        <v>0.56999999999999995</v>
      </c>
      <c r="AY254" t="s">
        <v>295</v>
      </c>
      <c r="AZ254" t="s">
        <v>361</v>
      </c>
      <c r="BA254">
        <v>0.51</v>
      </c>
      <c r="BB254" t="s">
        <v>295</v>
      </c>
      <c r="BC254" t="s">
        <v>361</v>
      </c>
      <c r="BD254">
        <v>0.53</v>
      </c>
      <c r="BE254" t="s">
        <v>295</v>
      </c>
      <c r="BF254" t="s">
        <v>361</v>
      </c>
      <c r="BG254">
        <v>0.51</v>
      </c>
      <c r="BH254" t="s">
        <v>295</v>
      </c>
      <c r="BI254" t="s">
        <v>361</v>
      </c>
      <c r="BJ254">
        <v>0.51</v>
      </c>
      <c r="BK254" t="s">
        <v>295</v>
      </c>
      <c r="BL254" t="s">
        <v>664</v>
      </c>
      <c r="BM254">
        <v>0.06</v>
      </c>
      <c r="BN254" t="s">
        <v>637</v>
      </c>
      <c r="BO254" t="s">
        <v>664</v>
      </c>
      <c r="BP254">
        <v>0.06</v>
      </c>
      <c r="BQ254" t="s">
        <v>637</v>
      </c>
      <c r="BR254" t="s">
        <v>664</v>
      </c>
      <c r="BS254">
        <v>0.06</v>
      </c>
      <c r="BT254" t="s">
        <v>637</v>
      </c>
      <c r="BU254" t="s">
        <v>664</v>
      </c>
      <c r="BV254">
        <v>0.06</v>
      </c>
      <c r="BW254" t="s">
        <v>637</v>
      </c>
      <c r="BX254" t="s">
        <v>664</v>
      </c>
      <c r="BY254">
        <v>0.06</v>
      </c>
      <c r="BZ254" t="s">
        <v>637</v>
      </c>
      <c r="CA254" t="s">
        <v>426</v>
      </c>
      <c r="CB254">
        <v>3.31</v>
      </c>
      <c r="CC254" t="s">
        <v>92</v>
      </c>
      <c r="CD254" t="s">
        <v>664</v>
      </c>
      <c r="CE254">
        <v>0.06</v>
      </c>
      <c r="CF254" t="s">
        <v>637</v>
      </c>
      <c r="CG254" t="s">
        <v>664</v>
      </c>
      <c r="CH254">
        <v>0.06</v>
      </c>
      <c r="CI254" t="s">
        <v>637</v>
      </c>
      <c r="CJ254" t="s">
        <v>664</v>
      </c>
      <c r="CK254">
        <v>0.06</v>
      </c>
      <c r="CL254" t="s">
        <v>637</v>
      </c>
      <c r="CM254" t="s">
        <v>664</v>
      </c>
      <c r="CN254">
        <v>0.06</v>
      </c>
      <c r="CO254" t="s">
        <v>637</v>
      </c>
      <c r="CP254" t="s">
        <v>664</v>
      </c>
      <c r="CQ254">
        <v>0.06</v>
      </c>
      <c r="CR254" t="s">
        <v>637</v>
      </c>
      <c r="CS254" t="s">
        <v>664</v>
      </c>
      <c r="CT254">
        <v>0.06</v>
      </c>
      <c r="CU254" t="s">
        <v>637</v>
      </c>
      <c r="CV254" t="s">
        <v>664</v>
      </c>
      <c r="CW254">
        <v>0.06</v>
      </c>
      <c r="CX254" t="s">
        <v>637</v>
      </c>
      <c r="CY254" t="s">
        <v>664</v>
      </c>
      <c r="CZ254">
        <v>0.06</v>
      </c>
      <c r="DA254" t="s">
        <v>637</v>
      </c>
      <c r="DB254" t="s">
        <v>664</v>
      </c>
      <c r="DC254">
        <v>0.06</v>
      </c>
      <c r="DD254" t="s">
        <v>637</v>
      </c>
      <c r="DE254" t="s">
        <v>664</v>
      </c>
      <c r="DF254">
        <v>0.06</v>
      </c>
      <c r="DG254" t="s">
        <v>637</v>
      </c>
      <c r="DH254" t="s">
        <v>664</v>
      </c>
      <c r="DI254">
        <v>0.06</v>
      </c>
      <c r="DJ254" t="s">
        <v>637</v>
      </c>
      <c r="DK254" t="s">
        <v>329</v>
      </c>
      <c r="DL254">
        <v>0.03</v>
      </c>
      <c r="DM254" t="s">
        <v>53</v>
      </c>
      <c r="DN254" t="s">
        <v>329</v>
      </c>
      <c r="DO254">
        <v>0.03</v>
      </c>
      <c r="DP254" t="s">
        <v>53</v>
      </c>
      <c r="DQ254" t="s">
        <v>329</v>
      </c>
      <c r="DR254">
        <v>0.03</v>
      </c>
      <c r="DS254" t="s">
        <v>53</v>
      </c>
      <c r="DT254" t="s">
        <v>498</v>
      </c>
      <c r="DU254">
        <v>8.9700000000000006</v>
      </c>
      <c r="DV254" t="s">
        <v>638</v>
      </c>
      <c r="DW254" t="s">
        <v>498</v>
      </c>
      <c r="DX254">
        <v>8.75</v>
      </c>
      <c r="DY254" t="s">
        <v>638</v>
      </c>
      <c r="DZ254" t="s">
        <v>498</v>
      </c>
      <c r="EA254">
        <v>8.0399999999999991</v>
      </c>
      <c r="EB254" t="s">
        <v>638</v>
      </c>
      <c r="EC254" t="s">
        <v>498</v>
      </c>
      <c r="ED254">
        <v>7.15</v>
      </c>
      <c r="EE254" t="s">
        <v>638</v>
      </c>
      <c r="EF254" t="s">
        <v>498</v>
      </c>
      <c r="EG254">
        <v>6.76</v>
      </c>
      <c r="EH254" t="s">
        <v>638</v>
      </c>
      <c r="EI254" t="s">
        <v>498</v>
      </c>
      <c r="EJ254">
        <v>7.38</v>
      </c>
      <c r="EK254" t="s">
        <v>638</v>
      </c>
    </row>
    <row r="255" spans="1:141">
      <c r="A255" t="s">
        <v>361</v>
      </c>
      <c r="B255">
        <v>0.54</v>
      </c>
      <c r="C255" t="s">
        <v>295</v>
      </c>
      <c r="D255" t="s">
        <v>361</v>
      </c>
      <c r="E255">
        <v>0.54</v>
      </c>
      <c r="F255" t="s">
        <v>295</v>
      </c>
      <c r="G255" t="s">
        <v>898</v>
      </c>
      <c r="H255">
        <v>14.1</v>
      </c>
      <c r="I255" t="s">
        <v>899</v>
      </c>
      <c r="J255" t="s">
        <v>898</v>
      </c>
      <c r="K255">
        <v>14.16</v>
      </c>
      <c r="L255" t="s">
        <v>899</v>
      </c>
      <c r="M255" t="s">
        <v>898</v>
      </c>
      <c r="N255">
        <v>14.19</v>
      </c>
      <c r="O255" t="s">
        <v>899</v>
      </c>
      <c r="P255" t="s">
        <v>316</v>
      </c>
      <c r="Q255">
        <v>61.5</v>
      </c>
      <c r="R255" t="s">
        <v>462</v>
      </c>
      <c r="S255" t="s">
        <v>898</v>
      </c>
      <c r="T255">
        <v>14.25</v>
      </c>
      <c r="U255" t="s">
        <v>899</v>
      </c>
      <c r="V255" t="s">
        <v>898</v>
      </c>
      <c r="W255">
        <v>14.35</v>
      </c>
      <c r="X255" t="s">
        <v>899</v>
      </c>
      <c r="Y255" t="s">
        <v>898</v>
      </c>
      <c r="Z255">
        <v>14.37</v>
      </c>
      <c r="AA255" t="s">
        <v>899</v>
      </c>
      <c r="AB255" t="s">
        <v>898</v>
      </c>
      <c r="AC255">
        <v>14.4</v>
      </c>
      <c r="AD255" t="s">
        <v>899</v>
      </c>
      <c r="AE255" t="s">
        <v>898</v>
      </c>
      <c r="AF255">
        <v>14.4</v>
      </c>
      <c r="AG255" t="s">
        <v>899</v>
      </c>
      <c r="AH255" t="s">
        <v>898</v>
      </c>
      <c r="AI255">
        <v>14.41</v>
      </c>
      <c r="AJ255" t="s">
        <v>899</v>
      </c>
      <c r="AK255" t="s">
        <v>898</v>
      </c>
      <c r="AL255">
        <v>14.42</v>
      </c>
      <c r="AM255" t="s">
        <v>899</v>
      </c>
      <c r="AN255" t="s">
        <v>898</v>
      </c>
      <c r="AO255">
        <v>14.43</v>
      </c>
      <c r="AP255" t="s">
        <v>899</v>
      </c>
      <c r="AQ255" t="s">
        <v>898</v>
      </c>
      <c r="AR255">
        <v>14.43</v>
      </c>
      <c r="AS255" t="s">
        <v>899</v>
      </c>
      <c r="AT255" t="s">
        <v>898</v>
      </c>
      <c r="AU255">
        <v>14.44</v>
      </c>
      <c r="AV255" t="s">
        <v>899</v>
      </c>
      <c r="AW255" t="s">
        <v>898</v>
      </c>
      <c r="AX255">
        <v>14.43</v>
      </c>
      <c r="AY255" t="s">
        <v>899</v>
      </c>
      <c r="AZ255" t="s">
        <v>898</v>
      </c>
      <c r="BA255">
        <v>14.43</v>
      </c>
      <c r="BB255" t="s">
        <v>899</v>
      </c>
      <c r="BC255" t="s">
        <v>898</v>
      </c>
      <c r="BD255">
        <v>14.44</v>
      </c>
      <c r="BE255" t="s">
        <v>899</v>
      </c>
      <c r="BF255" t="s">
        <v>898</v>
      </c>
      <c r="BG255">
        <v>14.44</v>
      </c>
      <c r="BH255" t="s">
        <v>899</v>
      </c>
      <c r="BI255" t="s">
        <v>898</v>
      </c>
      <c r="BJ255">
        <v>14.4</v>
      </c>
      <c r="BK255" t="s">
        <v>899</v>
      </c>
      <c r="BL255" t="s">
        <v>329</v>
      </c>
      <c r="BM255">
        <v>0.04</v>
      </c>
      <c r="BN255" t="s">
        <v>53</v>
      </c>
      <c r="BO255" t="s">
        <v>329</v>
      </c>
      <c r="BP255">
        <v>0.04</v>
      </c>
      <c r="BQ255" t="s">
        <v>53</v>
      </c>
      <c r="BR255" t="s">
        <v>329</v>
      </c>
      <c r="BS255">
        <v>0.04</v>
      </c>
      <c r="BT255" t="s">
        <v>53</v>
      </c>
      <c r="BU255" t="s">
        <v>329</v>
      </c>
      <c r="BV255">
        <v>0.04</v>
      </c>
      <c r="BW255" t="s">
        <v>53</v>
      </c>
      <c r="BX255" t="s">
        <v>329</v>
      </c>
      <c r="BY255">
        <v>0.04</v>
      </c>
      <c r="BZ255" t="s">
        <v>53</v>
      </c>
      <c r="CA255" t="s">
        <v>293</v>
      </c>
      <c r="CB255">
        <v>12.41</v>
      </c>
      <c r="CC255" t="s">
        <v>98</v>
      </c>
      <c r="CD255" t="s">
        <v>329</v>
      </c>
      <c r="CE255">
        <v>0.04</v>
      </c>
      <c r="CF255" t="s">
        <v>53</v>
      </c>
      <c r="CG255" t="s">
        <v>329</v>
      </c>
      <c r="CH255">
        <v>0.04</v>
      </c>
      <c r="CI255" t="s">
        <v>53</v>
      </c>
      <c r="CJ255" t="s">
        <v>329</v>
      </c>
      <c r="CK255">
        <v>0.04</v>
      </c>
      <c r="CL255" t="s">
        <v>53</v>
      </c>
      <c r="CM255" t="s">
        <v>329</v>
      </c>
      <c r="CN255">
        <v>0.04</v>
      </c>
      <c r="CO255" t="s">
        <v>53</v>
      </c>
      <c r="CP255" t="s">
        <v>329</v>
      </c>
      <c r="CQ255">
        <v>0.04</v>
      </c>
      <c r="CR255" t="s">
        <v>53</v>
      </c>
      <c r="CS255" t="s">
        <v>329</v>
      </c>
      <c r="CT255">
        <v>0.04</v>
      </c>
      <c r="CU255" t="s">
        <v>53</v>
      </c>
      <c r="CV255" t="s">
        <v>329</v>
      </c>
      <c r="CW255">
        <v>0.04</v>
      </c>
      <c r="CX255" t="s">
        <v>53</v>
      </c>
      <c r="CY255" t="s">
        <v>329</v>
      </c>
      <c r="CZ255">
        <v>0.03</v>
      </c>
      <c r="DA255" t="s">
        <v>53</v>
      </c>
      <c r="DB255" t="s">
        <v>329</v>
      </c>
      <c r="DC255">
        <v>0.03</v>
      </c>
      <c r="DD255" t="s">
        <v>53</v>
      </c>
      <c r="DE255" t="s">
        <v>329</v>
      </c>
      <c r="DF255">
        <v>0.03</v>
      </c>
      <c r="DG255" t="s">
        <v>53</v>
      </c>
      <c r="DH255" t="s">
        <v>329</v>
      </c>
      <c r="DI255">
        <v>0.04</v>
      </c>
      <c r="DJ255" t="s">
        <v>53</v>
      </c>
      <c r="DK255" t="s">
        <v>361</v>
      </c>
      <c r="DL255">
        <v>0.49</v>
      </c>
      <c r="DM255" t="s">
        <v>295</v>
      </c>
      <c r="DN255" t="s">
        <v>361</v>
      </c>
      <c r="DO255">
        <v>0.49</v>
      </c>
      <c r="DP255" t="s">
        <v>295</v>
      </c>
      <c r="DQ255" t="s">
        <v>361</v>
      </c>
      <c r="DR255">
        <v>0.49</v>
      </c>
      <c r="DS255" t="s">
        <v>295</v>
      </c>
      <c r="DT255" t="s">
        <v>495</v>
      </c>
      <c r="DU255">
        <v>39.39</v>
      </c>
      <c r="DV255" t="s">
        <v>10</v>
      </c>
      <c r="DW255" t="s">
        <v>495</v>
      </c>
      <c r="DX255">
        <v>39.380000000000003</v>
      </c>
      <c r="DY255" t="s">
        <v>10</v>
      </c>
      <c r="DZ255" t="s">
        <v>495</v>
      </c>
      <c r="EA255">
        <v>38.29</v>
      </c>
      <c r="EB255" t="s">
        <v>10</v>
      </c>
      <c r="EC255" t="s">
        <v>495</v>
      </c>
      <c r="ED255">
        <v>39.75</v>
      </c>
      <c r="EE255" t="s">
        <v>10</v>
      </c>
      <c r="EF255" t="s">
        <v>495</v>
      </c>
      <c r="EG255">
        <v>35.200000000000003</v>
      </c>
      <c r="EH255" t="s">
        <v>10</v>
      </c>
      <c r="EI255" t="s">
        <v>495</v>
      </c>
      <c r="EJ255">
        <v>36.47</v>
      </c>
      <c r="EK255" t="s">
        <v>10</v>
      </c>
    </row>
    <row r="256" spans="1:141">
      <c r="A256" t="s">
        <v>898</v>
      </c>
      <c r="B256">
        <v>13.85</v>
      </c>
      <c r="C256" t="s">
        <v>899</v>
      </c>
      <c r="D256" t="s">
        <v>898</v>
      </c>
      <c r="E256">
        <v>14.01</v>
      </c>
      <c r="F256" t="s">
        <v>899</v>
      </c>
      <c r="G256" t="s">
        <v>365</v>
      </c>
      <c r="H256">
        <v>268</v>
      </c>
      <c r="I256" t="s">
        <v>76</v>
      </c>
      <c r="J256" t="s">
        <v>365</v>
      </c>
      <c r="K256">
        <v>260.01</v>
      </c>
      <c r="L256" t="s">
        <v>76</v>
      </c>
      <c r="M256" t="s">
        <v>365</v>
      </c>
      <c r="N256">
        <v>262</v>
      </c>
      <c r="O256" t="s">
        <v>76</v>
      </c>
      <c r="P256" t="s">
        <v>664</v>
      </c>
      <c r="Q256">
        <v>0.06</v>
      </c>
      <c r="R256" t="s">
        <v>637</v>
      </c>
      <c r="S256" t="s">
        <v>365</v>
      </c>
      <c r="T256">
        <v>272.5</v>
      </c>
      <c r="U256" t="s">
        <v>76</v>
      </c>
      <c r="V256" t="s">
        <v>365</v>
      </c>
      <c r="W256">
        <v>289.48</v>
      </c>
      <c r="X256" t="s">
        <v>76</v>
      </c>
      <c r="Y256" t="s">
        <v>365</v>
      </c>
      <c r="Z256">
        <v>283.5</v>
      </c>
      <c r="AA256" t="s">
        <v>76</v>
      </c>
      <c r="AB256" t="s">
        <v>365</v>
      </c>
      <c r="AC256">
        <v>270.35000000000002</v>
      </c>
      <c r="AD256" t="s">
        <v>76</v>
      </c>
      <c r="AE256" t="s">
        <v>365</v>
      </c>
      <c r="AF256">
        <v>274.86</v>
      </c>
      <c r="AG256" t="s">
        <v>76</v>
      </c>
      <c r="AH256" t="s">
        <v>365</v>
      </c>
      <c r="AI256">
        <v>274.88</v>
      </c>
      <c r="AJ256" t="s">
        <v>76</v>
      </c>
      <c r="AK256" t="s">
        <v>365</v>
      </c>
      <c r="AL256">
        <v>269</v>
      </c>
      <c r="AM256" t="s">
        <v>76</v>
      </c>
      <c r="AN256" t="s">
        <v>365</v>
      </c>
      <c r="AO256">
        <v>264</v>
      </c>
      <c r="AP256" t="s">
        <v>76</v>
      </c>
      <c r="AQ256" t="s">
        <v>365</v>
      </c>
      <c r="AR256">
        <v>267.02</v>
      </c>
      <c r="AS256" t="s">
        <v>76</v>
      </c>
      <c r="AT256" t="s">
        <v>365</v>
      </c>
      <c r="AU256">
        <v>266.39999999999998</v>
      </c>
      <c r="AV256" t="s">
        <v>76</v>
      </c>
      <c r="AW256" t="s">
        <v>365</v>
      </c>
      <c r="AX256">
        <v>271.2</v>
      </c>
      <c r="AY256" t="s">
        <v>76</v>
      </c>
      <c r="AZ256" t="s">
        <v>365</v>
      </c>
      <c r="BA256">
        <v>270.5</v>
      </c>
      <c r="BB256" t="s">
        <v>76</v>
      </c>
      <c r="BC256" t="s">
        <v>365</v>
      </c>
      <c r="BD256">
        <v>231.8</v>
      </c>
      <c r="BE256" t="s">
        <v>76</v>
      </c>
      <c r="BF256" t="s">
        <v>365</v>
      </c>
      <c r="BG256">
        <v>233.71</v>
      </c>
      <c r="BH256" t="s">
        <v>76</v>
      </c>
      <c r="BI256" t="s">
        <v>365</v>
      </c>
      <c r="BJ256">
        <v>228.52</v>
      </c>
      <c r="BK256" t="s">
        <v>76</v>
      </c>
      <c r="BL256" t="s">
        <v>361</v>
      </c>
      <c r="BM256">
        <v>0.5</v>
      </c>
      <c r="BN256" t="s">
        <v>295</v>
      </c>
      <c r="BO256" t="s">
        <v>361</v>
      </c>
      <c r="BP256">
        <v>0.5</v>
      </c>
      <c r="BQ256" t="s">
        <v>295</v>
      </c>
      <c r="BR256" t="s">
        <v>361</v>
      </c>
      <c r="BS256">
        <v>0.5</v>
      </c>
      <c r="BT256" t="s">
        <v>295</v>
      </c>
      <c r="BU256" t="s">
        <v>361</v>
      </c>
      <c r="BV256">
        <v>0.51</v>
      </c>
      <c r="BW256" t="s">
        <v>295</v>
      </c>
      <c r="BX256" t="s">
        <v>361</v>
      </c>
      <c r="BY256">
        <v>0.51</v>
      </c>
      <c r="BZ256" t="s">
        <v>295</v>
      </c>
      <c r="CA256" t="s">
        <v>294</v>
      </c>
      <c r="CB256">
        <v>51.39</v>
      </c>
      <c r="CC256" t="s">
        <v>104</v>
      </c>
      <c r="CD256" t="s">
        <v>361</v>
      </c>
      <c r="CE256">
        <v>0.51</v>
      </c>
      <c r="CF256" t="s">
        <v>295</v>
      </c>
      <c r="CG256" t="s">
        <v>361</v>
      </c>
      <c r="CH256">
        <v>0.51</v>
      </c>
      <c r="CI256" t="s">
        <v>295</v>
      </c>
      <c r="CJ256" t="s">
        <v>361</v>
      </c>
      <c r="CK256">
        <v>0.5</v>
      </c>
      <c r="CL256" t="s">
        <v>295</v>
      </c>
      <c r="CM256" t="s">
        <v>361</v>
      </c>
      <c r="CN256">
        <v>0.5</v>
      </c>
      <c r="CO256" t="s">
        <v>295</v>
      </c>
      <c r="CP256" t="s">
        <v>361</v>
      </c>
      <c r="CQ256">
        <v>0.5</v>
      </c>
      <c r="CR256" t="s">
        <v>295</v>
      </c>
      <c r="CS256" t="s">
        <v>361</v>
      </c>
      <c r="CT256">
        <v>0.51</v>
      </c>
      <c r="CU256" t="s">
        <v>295</v>
      </c>
      <c r="CV256" t="s">
        <v>361</v>
      </c>
      <c r="CW256">
        <v>0.48</v>
      </c>
      <c r="CX256" t="s">
        <v>295</v>
      </c>
      <c r="CY256" t="s">
        <v>361</v>
      </c>
      <c r="CZ256">
        <v>0.48</v>
      </c>
      <c r="DA256" t="s">
        <v>295</v>
      </c>
      <c r="DB256" t="s">
        <v>361</v>
      </c>
      <c r="DC256">
        <v>0.49</v>
      </c>
      <c r="DD256" t="s">
        <v>295</v>
      </c>
      <c r="DE256" t="s">
        <v>361</v>
      </c>
      <c r="DF256">
        <v>0.49</v>
      </c>
      <c r="DG256" t="s">
        <v>295</v>
      </c>
      <c r="DH256" t="s">
        <v>361</v>
      </c>
      <c r="DI256">
        <v>0.47</v>
      </c>
      <c r="DJ256" t="s">
        <v>295</v>
      </c>
      <c r="DK256" t="s">
        <v>898</v>
      </c>
      <c r="DL256">
        <v>14.1</v>
      </c>
      <c r="DM256" t="s">
        <v>899</v>
      </c>
      <c r="DN256" t="s">
        <v>898</v>
      </c>
      <c r="DO256">
        <v>14.08</v>
      </c>
      <c r="DP256" t="s">
        <v>899</v>
      </c>
      <c r="DQ256" t="s">
        <v>898</v>
      </c>
      <c r="DR256">
        <v>14</v>
      </c>
      <c r="DS256" t="s">
        <v>899</v>
      </c>
      <c r="DT256" t="s">
        <v>497</v>
      </c>
      <c r="DU256">
        <v>1.34</v>
      </c>
      <c r="DV256" t="s">
        <v>636</v>
      </c>
      <c r="DW256" t="s">
        <v>497</v>
      </c>
      <c r="DX256">
        <v>1.29</v>
      </c>
      <c r="DY256" t="s">
        <v>636</v>
      </c>
      <c r="DZ256" t="s">
        <v>497</v>
      </c>
      <c r="EA256">
        <v>1.25</v>
      </c>
      <c r="EB256" t="s">
        <v>636</v>
      </c>
      <c r="EC256" t="s">
        <v>497</v>
      </c>
      <c r="ED256">
        <v>1.21</v>
      </c>
      <c r="EE256" t="s">
        <v>636</v>
      </c>
      <c r="EF256" t="s">
        <v>497</v>
      </c>
      <c r="EG256">
        <v>1.1299999999999999</v>
      </c>
      <c r="EH256" t="s">
        <v>636</v>
      </c>
      <c r="EI256" t="s">
        <v>497</v>
      </c>
      <c r="EJ256">
        <v>1.33</v>
      </c>
      <c r="EK256" t="s">
        <v>636</v>
      </c>
    </row>
    <row r="257" spans="1:141">
      <c r="A257" t="s">
        <v>365</v>
      </c>
      <c r="B257">
        <v>263.25</v>
      </c>
      <c r="C257" t="s">
        <v>76</v>
      </c>
      <c r="D257" t="s">
        <v>365</v>
      </c>
      <c r="E257">
        <v>280</v>
      </c>
      <c r="F257" t="s">
        <v>76</v>
      </c>
      <c r="G257" t="s">
        <v>399</v>
      </c>
      <c r="H257">
        <v>0.92</v>
      </c>
      <c r="I257" t="s">
        <v>29</v>
      </c>
      <c r="J257" t="s">
        <v>399</v>
      </c>
      <c r="K257">
        <v>0.91</v>
      </c>
      <c r="L257" t="s">
        <v>29</v>
      </c>
      <c r="M257" t="s">
        <v>399</v>
      </c>
      <c r="N257">
        <v>0.89</v>
      </c>
      <c r="O257" t="s">
        <v>29</v>
      </c>
      <c r="P257" t="s">
        <v>329</v>
      </c>
      <c r="Q257">
        <v>0.04</v>
      </c>
      <c r="R257" t="s">
        <v>53</v>
      </c>
      <c r="S257" t="s">
        <v>399</v>
      </c>
      <c r="T257">
        <v>0.88</v>
      </c>
      <c r="U257" t="s">
        <v>29</v>
      </c>
      <c r="V257" t="s">
        <v>399</v>
      </c>
      <c r="W257">
        <v>0.86</v>
      </c>
      <c r="X257" t="s">
        <v>29</v>
      </c>
      <c r="Y257" t="s">
        <v>399</v>
      </c>
      <c r="Z257">
        <v>0.88</v>
      </c>
      <c r="AA257" t="s">
        <v>29</v>
      </c>
      <c r="AB257" t="s">
        <v>399</v>
      </c>
      <c r="AC257">
        <v>0.94</v>
      </c>
      <c r="AD257" t="s">
        <v>29</v>
      </c>
      <c r="AE257" t="s">
        <v>399</v>
      </c>
      <c r="AF257">
        <v>0.94</v>
      </c>
      <c r="AG257" t="s">
        <v>29</v>
      </c>
      <c r="AH257" t="s">
        <v>399</v>
      </c>
      <c r="AI257">
        <v>0.93</v>
      </c>
      <c r="AJ257" t="s">
        <v>29</v>
      </c>
      <c r="AK257" t="s">
        <v>399</v>
      </c>
      <c r="AL257">
        <v>0.9</v>
      </c>
      <c r="AM257" t="s">
        <v>29</v>
      </c>
      <c r="AN257" t="s">
        <v>399</v>
      </c>
      <c r="AO257">
        <v>0.89</v>
      </c>
      <c r="AP257" t="s">
        <v>29</v>
      </c>
      <c r="AQ257" t="s">
        <v>399</v>
      </c>
      <c r="AR257">
        <v>0.91</v>
      </c>
      <c r="AS257" t="s">
        <v>29</v>
      </c>
      <c r="AT257" t="s">
        <v>399</v>
      </c>
      <c r="AU257">
        <v>0.93</v>
      </c>
      <c r="AV257" t="s">
        <v>29</v>
      </c>
      <c r="AW257" t="s">
        <v>399</v>
      </c>
      <c r="AX257">
        <v>0.95</v>
      </c>
      <c r="AY257" t="s">
        <v>29</v>
      </c>
      <c r="AZ257" t="s">
        <v>399</v>
      </c>
      <c r="BA257">
        <v>0.94</v>
      </c>
      <c r="BB257" t="s">
        <v>29</v>
      </c>
      <c r="BC257" t="s">
        <v>399</v>
      </c>
      <c r="BD257">
        <v>0.93</v>
      </c>
      <c r="BE257" t="s">
        <v>29</v>
      </c>
      <c r="BF257" t="s">
        <v>399</v>
      </c>
      <c r="BG257">
        <v>0.99</v>
      </c>
      <c r="BH257" t="s">
        <v>29</v>
      </c>
      <c r="BI257" t="s">
        <v>399</v>
      </c>
      <c r="BJ257">
        <v>0.97</v>
      </c>
      <c r="BK257" t="s">
        <v>29</v>
      </c>
      <c r="BL257" t="s">
        <v>898</v>
      </c>
      <c r="BM257">
        <v>14.39</v>
      </c>
      <c r="BN257" t="s">
        <v>899</v>
      </c>
      <c r="BO257" t="s">
        <v>898</v>
      </c>
      <c r="BP257">
        <v>14.3</v>
      </c>
      <c r="BQ257" t="s">
        <v>899</v>
      </c>
      <c r="BR257" t="s">
        <v>898</v>
      </c>
      <c r="BS257">
        <v>14.3</v>
      </c>
      <c r="BT257" t="s">
        <v>899</v>
      </c>
      <c r="BU257" t="s">
        <v>898</v>
      </c>
      <c r="BV257">
        <v>14.38</v>
      </c>
      <c r="BW257" t="s">
        <v>899</v>
      </c>
      <c r="BX257" t="s">
        <v>898</v>
      </c>
      <c r="BY257">
        <v>14.34</v>
      </c>
      <c r="BZ257" t="s">
        <v>899</v>
      </c>
      <c r="CA257" t="s">
        <v>316</v>
      </c>
      <c r="CB257">
        <v>56</v>
      </c>
      <c r="CC257" t="s">
        <v>462</v>
      </c>
      <c r="CD257" t="s">
        <v>898</v>
      </c>
      <c r="CE257">
        <v>14.25</v>
      </c>
      <c r="CF257" t="s">
        <v>899</v>
      </c>
      <c r="CG257" t="s">
        <v>898</v>
      </c>
      <c r="CH257">
        <v>14.26</v>
      </c>
      <c r="CI257" t="s">
        <v>899</v>
      </c>
      <c r="CJ257" t="s">
        <v>898</v>
      </c>
      <c r="CK257">
        <v>14.22</v>
      </c>
      <c r="CL257" t="s">
        <v>899</v>
      </c>
      <c r="CM257" t="s">
        <v>898</v>
      </c>
      <c r="CN257">
        <v>14.2</v>
      </c>
      <c r="CO257" t="s">
        <v>899</v>
      </c>
      <c r="CP257" t="s">
        <v>898</v>
      </c>
      <c r="CQ257">
        <v>14.2</v>
      </c>
      <c r="CR257" t="s">
        <v>899</v>
      </c>
      <c r="CS257" t="s">
        <v>898</v>
      </c>
      <c r="CT257">
        <v>14.25</v>
      </c>
      <c r="CU257" t="s">
        <v>899</v>
      </c>
      <c r="CV257" t="s">
        <v>898</v>
      </c>
      <c r="CW257">
        <v>14.2</v>
      </c>
      <c r="CX257" t="s">
        <v>899</v>
      </c>
      <c r="CY257" t="s">
        <v>898</v>
      </c>
      <c r="CZ257">
        <v>14.08</v>
      </c>
      <c r="DA257" t="s">
        <v>899</v>
      </c>
      <c r="DB257" t="s">
        <v>898</v>
      </c>
      <c r="DC257">
        <v>14.2</v>
      </c>
      <c r="DD257" t="s">
        <v>899</v>
      </c>
      <c r="DE257" t="s">
        <v>898</v>
      </c>
      <c r="DF257">
        <v>14.2</v>
      </c>
      <c r="DG257" t="s">
        <v>899</v>
      </c>
      <c r="DH257" t="s">
        <v>898</v>
      </c>
      <c r="DI257">
        <v>14.2</v>
      </c>
      <c r="DJ257" t="s">
        <v>899</v>
      </c>
      <c r="DK257" t="s">
        <v>365</v>
      </c>
      <c r="DL257">
        <v>247.2</v>
      </c>
      <c r="DM257" t="s">
        <v>76</v>
      </c>
      <c r="DN257" t="s">
        <v>365</v>
      </c>
      <c r="DO257">
        <v>246.25</v>
      </c>
      <c r="DP257" t="s">
        <v>76</v>
      </c>
      <c r="DQ257" t="s">
        <v>365</v>
      </c>
      <c r="DR257">
        <v>280.91000000000003</v>
      </c>
      <c r="DS257" t="s">
        <v>76</v>
      </c>
      <c r="DT257" t="s">
        <v>323</v>
      </c>
      <c r="DU257">
        <v>400</v>
      </c>
      <c r="DV257" t="s">
        <v>49</v>
      </c>
      <c r="DW257" t="s">
        <v>323</v>
      </c>
      <c r="DX257">
        <v>395.18</v>
      </c>
      <c r="DY257" t="s">
        <v>49</v>
      </c>
      <c r="DZ257" t="s">
        <v>323</v>
      </c>
      <c r="EA257">
        <v>405</v>
      </c>
      <c r="EB257" t="s">
        <v>49</v>
      </c>
      <c r="EC257" t="s">
        <v>323</v>
      </c>
      <c r="ED257">
        <v>400</v>
      </c>
      <c r="EE257" t="s">
        <v>49</v>
      </c>
      <c r="EF257" t="s">
        <v>323</v>
      </c>
      <c r="EG257">
        <v>403</v>
      </c>
      <c r="EH257" t="s">
        <v>49</v>
      </c>
      <c r="EI257" t="s">
        <v>323</v>
      </c>
      <c r="EJ257">
        <v>397.1</v>
      </c>
      <c r="EK257" t="s">
        <v>49</v>
      </c>
    </row>
    <row r="258" spans="1:141">
      <c r="A258" t="s">
        <v>399</v>
      </c>
      <c r="B258">
        <v>0.93</v>
      </c>
      <c r="C258" t="s">
        <v>29</v>
      </c>
      <c r="D258" t="s">
        <v>399</v>
      </c>
      <c r="E258">
        <v>0.91</v>
      </c>
      <c r="F258" t="s">
        <v>29</v>
      </c>
      <c r="G258" t="s">
        <v>714</v>
      </c>
      <c r="H258">
        <v>3.5</v>
      </c>
      <c r="I258" t="s">
        <v>695</v>
      </c>
      <c r="J258" t="s">
        <v>714</v>
      </c>
      <c r="K258">
        <v>3.5</v>
      </c>
      <c r="L258" t="s">
        <v>695</v>
      </c>
      <c r="M258" t="s">
        <v>714</v>
      </c>
      <c r="N258">
        <v>3.5</v>
      </c>
      <c r="O258" t="s">
        <v>695</v>
      </c>
      <c r="P258" t="s">
        <v>361</v>
      </c>
      <c r="Q258">
        <v>0.52</v>
      </c>
      <c r="R258" t="s">
        <v>295</v>
      </c>
      <c r="S258" t="s">
        <v>714</v>
      </c>
      <c r="T258">
        <v>3.5</v>
      </c>
      <c r="U258" t="s">
        <v>695</v>
      </c>
      <c r="V258" t="s">
        <v>714</v>
      </c>
      <c r="W258">
        <v>3.5</v>
      </c>
      <c r="X258" t="s">
        <v>695</v>
      </c>
      <c r="Y258" t="s">
        <v>714</v>
      </c>
      <c r="Z258">
        <v>3.5</v>
      </c>
      <c r="AA258" t="s">
        <v>695</v>
      </c>
      <c r="AB258" t="s">
        <v>714</v>
      </c>
      <c r="AC258">
        <v>3.5</v>
      </c>
      <c r="AD258" t="s">
        <v>695</v>
      </c>
      <c r="AE258" t="s">
        <v>714</v>
      </c>
      <c r="AF258">
        <v>3.5</v>
      </c>
      <c r="AG258" t="s">
        <v>695</v>
      </c>
      <c r="AH258" t="s">
        <v>714</v>
      </c>
      <c r="AI258">
        <v>3.5</v>
      </c>
      <c r="AJ258" t="s">
        <v>695</v>
      </c>
      <c r="AK258" t="s">
        <v>714</v>
      </c>
      <c r="AL258">
        <v>3.5</v>
      </c>
      <c r="AM258" t="s">
        <v>695</v>
      </c>
      <c r="AN258" t="s">
        <v>714</v>
      </c>
      <c r="AO258">
        <v>3.5</v>
      </c>
      <c r="AP258" t="s">
        <v>695</v>
      </c>
      <c r="AQ258" t="s">
        <v>714</v>
      </c>
      <c r="AR258">
        <v>3.5</v>
      </c>
      <c r="AS258" t="s">
        <v>695</v>
      </c>
      <c r="AT258" t="s">
        <v>714</v>
      </c>
      <c r="AU258">
        <v>3.5</v>
      </c>
      <c r="AV258" t="s">
        <v>695</v>
      </c>
      <c r="AW258" t="s">
        <v>714</v>
      </c>
      <c r="AX258">
        <v>3.5</v>
      </c>
      <c r="AY258" t="s">
        <v>695</v>
      </c>
      <c r="AZ258" t="s">
        <v>714</v>
      </c>
      <c r="BA258">
        <v>3.5</v>
      </c>
      <c r="BB258" t="s">
        <v>695</v>
      </c>
      <c r="BC258" t="s">
        <v>714</v>
      </c>
      <c r="BD258">
        <v>3.5</v>
      </c>
      <c r="BE258" t="s">
        <v>695</v>
      </c>
      <c r="BF258" t="s">
        <v>714</v>
      </c>
      <c r="BG258">
        <v>3.5</v>
      </c>
      <c r="BH258" t="s">
        <v>695</v>
      </c>
      <c r="BI258" t="s">
        <v>714</v>
      </c>
      <c r="BJ258">
        <v>3.5</v>
      </c>
      <c r="BK258" t="s">
        <v>695</v>
      </c>
      <c r="BL258" t="s">
        <v>365</v>
      </c>
      <c r="BM258">
        <v>228.3</v>
      </c>
      <c r="BN258" t="s">
        <v>76</v>
      </c>
      <c r="BO258" t="s">
        <v>365</v>
      </c>
      <c r="BP258">
        <v>227.99</v>
      </c>
      <c r="BQ258" t="s">
        <v>76</v>
      </c>
      <c r="BR258" t="s">
        <v>365</v>
      </c>
      <c r="BS258">
        <v>222.9</v>
      </c>
      <c r="BT258" t="s">
        <v>76</v>
      </c>
      <c r="BU258" t="s">
        <v>365</v>
      </c>
      <c r="BV258">
        <v>227</v>
      </c>
      <c r="BW258" t="s">
        <v>76</v>
      </c>
      <c r="BX258" t="s">
        <v>365</v>
      </c>
      <c r="BY258">
        <v>215</v>
      </c>
      <c r="BZ258" t="s">
        <v>76</v>
      </c>
      <c r="CA258" t="s">
        <v>664</v>
      </c>
      <c r="CB258">
        <v>0.06</v>
      </c>
      <c r="CC258" t="s">
        <v>637</v>
      </c>
      <c r="CD258" t="s">
        <v>365</v>
      </c>
      <c r="CE258">
        <v>218.59</v>
      </c>
      <c r="CF258" t="s">
        <v>76</v>
      </c>
      <c r="CG258" t="s">
        <v>365</v>
      </c>
      <c r="CH258">
        <v>212.16</v>
      </c>
      <c r="CI258" t="s">
        <v>76</v>
      </c>
      <c r="CJ258" t="s">
        <v>365</v>
      </c>
      <c r="CK258">
        <v>215.9</v>
      </c>
      <c r="CL258" t="s">
        <v>76</v>
      </c>
      <c r="CM258" t="s">
        <v>365</v>
      </c>
      <c r="CN258">
        <v>212.16</v>
      </c>
      <c r="CO258" t="s">
        <v>76</v>
      </c>
      <c r="CP258" t="s">
        <v>365</v>
      </c>
      <c r="CQ258">
        <v>218</v>
      </c>
      <c r="CR258" t="s">
        <v>76</v>
      </c>
      <c r="CS258" t="s">
        <v>365</v>
      </c>
      <c r="CT258">
        <v>214</v>
      </c>
      <c r="CU258" t="s">
        <v>76</v>
      </c>
      <c r="CV258" t="s">
        <v>365</v>
      </c>
      <c r="CW258">
        <v>234.8</v>
      </c>
      <c r="CX258" t="s">
        <v>76</v>
      </c>
      <c r="CY258" t="s">
        <v>365</v>
      </c>
      <c r="CZ258">
        <v>225</v>
      </c>
      <c r="DA258" t="s">
        <v>76</v>
      </c>
      <c r="DB258" t="s">
        <v>365</v>
      </c>
      <c r="DC258">
        <v>262.45</v>
      </c>
      <c r="DD258" t="s">
        <v>76</v>
      </c>
      <c r="DE258" t="s">
        <v>365</v>
      </c>
      <c r="DF258">
        <v>278.24</v>
      </c>
      <c r="DG258" t="s">
        <v>76</v>
      </c>
      <c r="DH258" t="s">
        <v>365</v>
      </c>
      <c r="DI258">
        <v>244.5</v>
      </c>
      <c r="DJ258" t="s">
        <v>76</v>
      </c>
      <c r="DK258" t="s">
        <v>399</v>
      </c>
      <c r="DL258">
        <v>0.98</v>
      </c>
      <c r="DM258" t="s">
        <v>29</v>
      </c>
      <c r="DN258" t="s">
        <v>399</v>
      </c>
      <c r="DO258">
        <v>0.98</v>
      </c>
      <c r="DP258" t="s">
        <v>29</v>
      </c>
      <c r="DQ258" t="s">
        <v>399</v>
      </c>
      <c r="DR258">
        <v>1.0900000000000001</v>
      </c>
      <c r="DS258" t="s">
        <v>29</v>
      </c>
      <c r="DT258" t="s">
        <v>327</v>
      </c>
      <c r="DU258">
        <v>109.5</v>
      </c>
      <c r="DV258" t="s">
        <v>297</v>
      </c>
      <c r="DW258" t="s">
        <v>327</v>
      </c>
      <c r="DX258">
        <v>103.9</v>
      </c>
      <c r="DY258" t="s">
        <v>297</v>
      </c>
      <c r="DZ258" t="s">
        <v>327</v>
      </c>
      <c r="EA258">
        <v>105.25</v>
      </c>
      <c r="EB258" t="s">
        <v>297</v>
      </c>
      <c r="EC258" t="s">
        <v>327</v>
      </c>
      <c r="ED258">
        <v>103.11</v>
      </c>
      <c r="EE258" t="s">
        <v>297</v>
      </c>
      <c r="EF258" t="s">
        <v>327</v>
      </c>
      <c r="EG258">
        <v>148.99</v>
      </c>
      <c r="EH258" t="s">
        <v>297</v>
      </c>
      <c r="EI258" t="s">
        <v>327</v>
      </c>
      <c r="EJ258">
        <v>154.26</v>
      </c>
      <c r="EK258" t="s">
        <v>297</v>
      </c>
    </row>
    <row r="259" spans="1:141">
      <c r="A259" t="s">
        <v>714</v>
      </c>
      <c r="B259">
        <v>3.5</v>
      </c>
      <c r="C259" t="s">
        <v>695</v>
      </c>
      <c r="D259" t="s">
        <v>714</v>
      </c>
      <c r="E259">
        <v>3.5</v>
      </c>
      <c r="F259" t="s">
        <v>695</v>
      </c>
      <c r="G259" t="s">
        <v>652</v>
      </c>
      <c r="H259">
        <v>2.7</v>
      </c>
      <c r="I259" t="s">
        <v>716</v>
      </c>
      <c r="J259" t="s">
        <v>652</v>
      </c>
      <c r="K259">
        <v>2.7</v>
      </c>
      <c r="L259" t="s">
        <v>716</v>
      </c>
      <c r="M259" t="s">
        <v>652</v>
      </c>
      <c r="N259">
        <v>2.7</v>
      </c>
      <c r="O259" t="s">
        <v>716</v>
      </c>
      <c r="P259" t="s">
        <v>898</v>
      </c>
      <c r="Q259">
        <v>14.22</v>
      </c>
      <c r="R259" t="s">
        <v>899</v>
      </c>
      <c r="S259" t="s">
        <v>652</v>
      </c>
      <c r="T259">
        <v>2.7</v>
      </c>
      <c r="U259" t="s">
        <v>716</v>
      </c>
      <c r="V259" t="s">
        <v>652</v>
      </c>
      <c r="W259">
        <v>2.7</v>
      </c>
      <c r="X259" t="s">
        <v>716</v>
      </c>
      <c r="Y259" t="s">
        <v>652</v>
      </c>
      <c r="Z259">
        <v>2.7</v>
      </c>
      <c r="AA259" t="s">
        <v>716</v>
      </c>
      <c r="AB259" t="s">
        <v>652</v>
      </c>
      <c r="AC259">
        <v>2.7</v>
      </c>
      <c r="AD259" t="s">
        <v>716</v>
      </c>
      <c r="AE259" t="s">
        <v>652</v>
      </c>
      <c r="AF259">
        <v>2.7</v>
      </c>
      <c r="AG259" t="s">
        <v>716</v>
      </c>
      <c r="AH259" t="s">
        <v>652</v>
      </c>
      <c r="AI259">
        <v>2.7</v>
      </c>
      <c r="AJ259" t="s">
        <v>716</v>
      </c>
      <c r="AK259" t="s">
        <v>652</v>
      </c>
      <c r="AL259">
        <v>2.7</v>
      </c>
      <c r="AM259" t="s">
        <v>716</v>
      </c>
      <c r="AN259" t="s">
        <v>652</v>
      </c>
      <c r="AO259">
        <v>2.7</v>
      </c>
      <c r="AP259" t="s">
        <v>716</v>
      </c>
      <c r="AQ259" t="s">
        <v>652</v>
      </c>
      <c r="AR259">
        <v>2.7</v>
      </c>
      <c r="AS259" t="s">
        <v>716</v>
      </c>
      <c r="AT259" t="s">
        <v>652</v>
      </c>
      <c r="AU259">
        <v>2.7</v>
      </c>
      <c r="AV259" t="s">
        <v>716</v>
      </c>
      <c r="AW259" t="s">
        <v>652</v>
      </c>
      <c r="AX259">
        <v>2.7</v>
      </c>
      <c r="AY259" t="s">
        <v>716</v>
      </c>
      <c r="AZ259" t="s">
        <v>652</v>
      </c>
      <c r="BA259">
        <v>2.7</v>
      </c>
      <c r="BB259" t="s">
        <v>716</v>
      </c>
      <c r="BC259" t="s">
        <v>652</v>
      </c>
      <c r="BD259">
        <v>2.7</v>
      </c>
      <c r="BE259" t="s">
        <v>716</v>
      </c>
      <c r="BF259" t="s">
        <v>652</v>
      </c>
      <c r="BG259">
        <v>2.7</v>
      </c>
      <c r="BH259" t="s">
        <v>716</v>
      </c>
      <c r="BI259" t="s">
        <v>652</v>
      </c>
      <c r="BJ259">
        <v>2.7</v>
      </c>
      <c r="BK259" t="s">
        <v>716</v>
      </c>
      <c r="BL259" t="s">
        <v>399</v>
      </c>
      <c r="BM259">
        <v>0.97</v>
      </c>
      <c r="BN259" t="s">
        <v>29</v>
      </c>
      <c r="BO259" t="s">
        <v>399</v>
      </c>
      <c r="BP259">
        <v>0.97</v>
      </c>
      <c r="BQ259" t="s">
        <v>29</v>
      </c>
      <c r="BR259" t="s">
        <v>399</v>
      </c>
      <c r="BS259">
        <v>1.03</v>
      </c>
      <c r="BT259" t="s">
        <v>29</v>
      </c>
      <c r="BU259" t="s">
        <v>399</v>
      </c>
      <c r="BV259">
        <v>1.01</v>
      </c>
      <c r="BW259" t="s">
        <v>29</v>
      </c>
      <c r="BX259" t="s">
        <v>399</v>
      </c>
      <c r="BY259">
        <v>1.01</v>
      </c>
      <c r="BZ259" t="s">
        <v>29</v>
      </c>
      <c r="CA259" t="s">
        <v>329</v>
      </c>
      <c r="CB259">
        <v>0.04</v>
      </c>
      <c r="CC259" t="s">
        <v>53</v>
      </c>
      <c r="CD259" t="s">
        <v>399</v>
      </c>
      <c r="CE259">
        <v>1.01</v>
      </c>
      <c r="CF259" t="s">
        <v>29</v>
      </c>
      <c r="CG259" t="s">
        <v>399</v>
      </c>
      <c r="CH259">
        <v>1.0900000000000001</v>
      </c>
      <c r="CI259" t="s">
        <v>29</v>
      </c>
      <c r="CJ259" t="s">
        <v>399</v>
      </c>
      <c r="CK259">
        <v>1.1200000000000001</v>
      </c>
      <c r="CL259" t="s">
        <v>29</v>
      </c>
      <c r="CM259" t="s">
        <v>399</v>
      </c>
      <c r="CN259">
        <v>1.08</v>
      </c>
      <c r="CO259" t="s">
        <v>29</v>
      </c>
      <c r="CP259" t="s">
        <v>399</v>
      </c>
      <c r="CQ259">
        <v>1.06</v>
      </c>
      <c r="CR259" t="s">
        <v>29</v>
      </c>
      <c r="CS259" t="s">
        <v>399</v>
      </c>
      <c r="CT259">
        <v>1.06</v>
      </c>
      <c r="CU259" t="s">
        <v>29</v>
      </c>
      <c r="CV259" t="s">
        <v>399</v>
      </c>
      <c r="CW259">
        <v>1.05</v>
      </c>
      <c r="CX259" t="s">
        <v>29</v>
      </c>
      <c r="CY259" t="s">
        <v>399</v>
      </c>
      <c r="CZ259">
        <v>1.08</v>
      </c>
      <c r="DA259" t="s">
        <v>29</v>
      </c>
      <c r="DB259" t="s">
        <v>399</v>
      </c>
      <c r="DC259">
        <v>1.1599999999999999</v>
      </c>
      <c r="DD259" t="s">
        <v>29</v>
      </c>
      <c r="DE259" t="s">
        <v>399</v>
      </c>
      <c r="DF259">
        <v>1.1299999999999999</v>
      </c>
      <c r="DG259" t="s">
        <v>29</v>
      </c>
      <c r="DH259" t="s">
        <v>399</v>
      </c>
      <c r="DI259">
        <v>1.02</v>
      </c>
      <c r="DJ259" t="s">
        <v>29</v>
      </c>
      <c r="DK259" t="s">
        <v>714</v>
      </c>
      <c r="DL259">
        <v>3.5</v>
      </c>
      <c r="DM259" t="s">
        <v>695</v>
      </c>
      <c r="DN259" t="s">
        <v>714</v>
      </c>
      <c r="DO259">
        <v>3.5</v>
      </c>
      <c r="DP259" t="s">
        <v>695</v>
      </c>
      <c r="DQ259" t="s">
        <v>714</v>
      </c>
      <c r="DR259">
        <v>3.5</v>
      </c>
      <c r="DS259" t="s">
        <v>695</v>
      </c>
      <c r="DT259" t="s">
        <v>298</v>
      </c>
      <c r="DU259">
        <v>3.56</v>
      </c>
      <c r="DV259" t="s">
        <v>299</v>
      </c>
      <c r="DW259" t="s">
        <v>298</v>
      </c>
      <c r="DX259">
        <v>3.5</v>
      </c>
      <c r="DY259" t="s">
        <v>299</v>
      </c>
      <c r="DZ259" t="s">
        <v>298</v>
      </c>
      <c r="EA259">
        <v>3.53</v>
      </c>
      <c r="EB259" t="s">
        <v>299</v>
      </c>
      <c r="EC259" t="s">
        <v>298</v>
      </c>
      <c r="ED259">
        <v>3.46</v>
      </c>
      <c r="EE259" t="s">
        <v>299</v>
      </c>
      <c r="EF259" t="s">
        <v>298</v>
      </c>
      <c r="EG259">
        <v>3.42</v>
      </c>
      <c r="EH259" t="s">
        <v>299</v>
      </c>
      <c r="EI259" t="s">
        <v>298</v>
      </c>
      <c r="EJ259">
        <v>3.46</v>
      </c>
      <c r="EK259" t="s">
        <v>299</v>
      </c>
    </row>
    <row r="260" spans="1:141">
      <c r="A260" t="s">
        <v>652</v>
      </c>
      <c r="B260">
        <v>2.7</v>
      </c>
      <c r="C260" t="s">
        <v>716</v>
      </c>
      <c r="D260" t="s">
        <v>652</v>
      </c>
      <c r="E260">
        <v>2.7</v>
      </c>
      <c r="F260" t="s">
        <v>716</v>
      </c>
      <c r="G260" t="s">
        <v>396</v>
      </c>
      <c r="H260">
        <v>0.54</v>
      </c>
      <c r="I260" t="s">
        <v>592</v>
      </c>
      <c r="J260" t="s">
        <v>396</v>
      </c>
      <c r="K260">
        <v>0.55000000000000004</v>
      </c>
      <c r="L260" t="s">
        <v>592</v>
      </c>
      <c r="M260" t="s">
        <v>396</v>
      </c>
      <c r="N260">
        <v>0.53</v>
      </c>
      <c r="O260" t="s">
        <v>592</v>
      </c>
      <c r="P260" t="s">
        <v>365</v>
      </c>
      <c r="Q260">
        <v>270</v>
      </c>
      <c r="R260" t="s">
        <v>76</v>
      </c>
      <c r="S260" t="s">
        <v>396</v>
      </c>
      <c r="T260">
        <v>0.53</v>
      </c>
      <c r="U260" t="s">
        <v>592</v>
      </c>
      <c r="V260" t="s">
        <v>396</v>
      </c>
      <c r="W260">
        <v>0.52</v>
      </c>
      <c r="X260" t="s">
        <v>592</v>
      </c>
      <c r="Y260" t="s">
        <v>396</v>
      </c>
      <c r="Z260">
        <v>0.53</v>
      </c>
      <c r="AA260" t="s">
        <v>592</v>
      </c>
      <c r="AB260" t="s">
        <v>396</v>
      </c>
      <c r="AC260">
        <v>0.54</v>
      </c>
      <c r="AD260" t="s">
        <v>592</v>
      </c>
      <c r="AE260" t="s">
        <v>396</v>
      </c>
      <c r="AF260">
        <v>0.53</v>
      </c>
      <c r="AG260" t="s">
        <v>592</v>
      </c>
      <c r="AH260" t="s">
        <v>396</v>
      </c>
      <c r="AI260">
        <v>0.53</v>
      </c>
      <c r="AJ260" t="s">
        <v>592</v>
      </c>
      <c r="AK260" t="s">
        <v>396</v>
      </c>
      <c r="AL260">
        <v>0.52</v>
      </c>
      <c r="AM260" t="s">
        <v>592</v>
      </c>
      <c r="AN260" t="s">
        <v>396</v>
      </c>
      <c r="AO260">
        <v>0.5</v>
      </c>
      <c r="AP260" t="s">
        <v>592</v>
      </c>
      <c r="AQ260" t="s">
        <v>396</v>
      </c>
      <c r="AR260">
        <v>0.51</v>
      </c>
      <c r="AS260" t="s">
        <v>592</v>
      </c>
      <c r="AT260" t="s">
        <v>396</v>
      </c>
      <c r="AU260">
        <v>0.52</v>
      </c>
      <c r="AV260" t="s">
        <v>592</v>
      </c>
      <c r="AW260" t="s">
        <v>396</v>
      </c>
      <c r="AX260">
        <v>0.54</v>
      </c>
      <c r="AY260" t="s">
        <v>592</v>
      </c>
      <c r="AZ260" t="s">
        <v>396</v>
      </c>
      <c r="BA260">
        <v>0.56000000000000005</v>
      </c>
      <c r="BB260" t="s">
        <v>592</v>
      </c>
      <c r="BC260" t="s">
        <v>396</v>
      </c>
      <c r="BD260">
        <v>0.54</v>
      </c>
      <c r="BE260" t="s">
        <v>592</v>
      </c>
      <c r="BF260" t="s">
        <v>396</v>
      </c>
      <c r="BG260">
        <v>0.56999999999999995</v>
      </c>
      <c r="BH260" t="s">
        <v>592</v>
      </c>
      <c r="BI260" t="s">
        <v>396</v>
      </c>
      <c r="BJ260">
        <v>0.56000000000000005</v>
      </c>
      <c r="BK260" t="s">
        <v>592</v>
      </c>
      <c r="BL260" t="s">
        <v>714</v>
      </c>
      <c r="BM260">
        <v>3.5</v>
      </c>
      <c r="BN260" t="s">
        <v>695</v>
      </c>
      <c r="BO260" t="s">
        <v>714</v>
      </c>
      <c r="BP260">
        <v>3.5</v>
      </c>
      <c r="BQ260" t="s">
        <v>695</v>
      </c>
      <c r="BR260" t="s">
        <v>714</v>
      </c>
      <c r="BS260">
        <v>3.5</v>
      </c>
      <c r="BT260" t="s">
        <v>695</v>
      </c>
      <c r="BU260" t="s">
        <v>714</v>
      </c>
      <c r="BV260">
        <v>3.5</v>
      </c>
      <c r="BW260" t="s">
        <v>695</v>
      </c>
      <c r="BX260" t="s">
        <v>714</v>
      </c>
      <c r="BY260">
        <v>3.5</v>
      </c>
      <c r="BZ260" t="s">
        <v>695</v>
      </c>
      <c r="CA260" t="s">
        <v>361</v>
      </c>
      <c r="CB260">
        <v>0.51</v>
      </c>
      <c r="CC260" t="s">
        <v>295</v>
      </c>
      <c r="CD260" t="s">
        <v>714</v>
      </c>
      <c r="CE260">
        <v>3.5</v>
      </c>
      <c r="CF260" t="s">
        <v>695</v>
      </c>
      <c r="CG260" t="s">
        <v>714</v>
      </c>
      <c r="CH260">
        <v>3.5</v>
      </c>
      <c r="CI260" t="s">
        <v>695</v>
      </c>
      <c r="CJ260" t="s">
        <v>714</v>
      </c>
      <c r="CK260">
        <v>3.5</v>
      </c>
      <c r="CL260" t="s">
        <v>695</v>
      </c>
      <c r="CM260" t="s">
        <v>714</v>
      </c>
      <c r="CN260">
        <v>3.5</v>
      </c>
      <c r="CO260" t="s">
        <v>695</v>
      </c>
      <c r="CP260" t="s">
        <v>714</v>
      </c>
      <c r="CQ260">
        <v>3.5</v>
      </c>
      <c r="CR260" t="s">
        <v>695</v>
      </c>
      <c r="CS260" t="s">
        <v>714</v>
      </c>
      <c r="CT260">
        <v>3.5</v>
      </c>
      <c r="CU260" t="s">
        <v>695</v>
      </c>
      <c r="CV260" t="s">
        <v>714</v>
      </c>
      <c r="CW260">
        <v>3.5</v>
      </c>
      <c r="CX260" t="s">
        <v>695</v>
      </c>
      <c r="CY260" t="s">
        <v>714</v>
      </c>
      <c r="CZ260">
        <v>3.5</v>
      </c>
      <c r="DA260" t="s">
        <v>695</v>
      </c>
      <c r="DB260" t="s">
        <v>714</v>
      </c>
      <c r="DC260">
        <v>3.5</v>
      </c>
      <c r="DD260" t="s">
        <v>695</v>
      </c>
      <c r="DE260" t="s">
        <v>714</v>
      </c>
      <c r="DF260">
        <v>3.5</v>
      </c>
      <c r="DG260" t="s">
        <v>695</v>
      </c>
      <c r="DH260" t="s">
        <v>714</v>
      </c>
      <c r="DI260">
        <v>3.5</v>
      </c>
      <c r="DJ260" t="s">
        <v>695</v>
      </c>
      <c r="DK260" t="s">
        <v>652</v>
      </c>
      <c r="DL260">
        <v>2.7</v>
      </c>
      <c r="DM260" t="s">
        <v>716</v>
      </c>
      <c r="DN260" t="s">
        <v>652</v>
      </c>
      <c r="DO260">
        <v>2.7</v>
      </c>
      <c r="DP260" t="s">
        <v>716</v>
      </c>
      <c r="DQ260" t="s">
        <v>652</v>
      </c>
      <c r="DR260">
        <v>2.7</v>
      </c>
      <c r="DS260" t="s">
        <v>716</v>
      </c>
      <c r="DT260" t="s">
        <v>300</v>
      </c>
      <c r="DU260">
        <v>3.51</v>
      </c>
      <c r="DV260" t="s">
        <v>81</v>
      </c>
      <c r="DW260" t="s">
        <v>300</v>
      </c>
      <c r="DX260">
        <v>3.42</v>
      </c>
      <c r="DY260" t="s">
        <v>81</v>
      </c>
      <c r="DZ260" t="s">
        <v>300</v>
      </c>
      <c r="EA260">
        <v>3.63</v>
      </c>
      <c r="EB260" t="s">
        <v>81</v>
      </c>
      <c r="EC260" t="s">
        <v>300</v>
      </c>
      <c r="ED260">
        <v>3.61</v>
      </c>
      <c r="EE260" t="s">
        <v>81</v>
      </c>
      <c r="EF260" t="s">
        <v>300</v>
      </c>
      <c r="EG260">
        <v>3.55</v>
      </c>
      <c r="EH260" t="s">
        <v>81</v>
      </c>
      <c r="EI260" t="s">
        <v>300</v>
      </c>
      <c r="EJ260">
        <v>3.76</v>
      </c>
      <c r="EK260" t="s">
        <v>81</v>
      </c>
    </row>
    <row r="261" spans="1:141">
      <c r="A261" t="s">
        <v>396</v>
      </c>
      <c r="B261">
        <v>0.56000000000000005</v>
      </c>
      <c r="C261" t="s">
        <v>592</v>
      </c>
      <c r="D261" t="s">
        <v>396</v>
      </c>
      <c r="E261">
        <v>0.55000000000000004</v>
      </c>
      <c r="F261" t="s">
        <v>592</v>
      </c>
      <c r="G261" t="s">
        <v>296</v>
      </c>
      <c r="H261">
        <v>6.68</v>
      </c>
      <c r="I261" t="s">
        <v>85</v>
      </c>
      <c r="J261" t="s">
        <v>296</v>
      </c>
      <c r="K261">
        <v>6.48</v>
      </c>
      <c r="L261" t="s">
        <v>85</v>
      </c>
      <c r="M261" t="s">
        <v>296</v>
      </c>
      <c r="N261">
        <v>6.27</v>
      </c>
      <c r="O261" t="s">
        <v>85</v>
      </c>
      <c r="P261" t="s">
        <v>399</v>
      </c>
      <c r="Q261">
        <v>0.88</v>
      </c>
      <c r="R261" t="s">
        <v>29</v>
      </c>
      <c r="S261" t="s">
        <v>296</v>
      </c>
      <c r="T261">
        <v>6.1</v>
      </c>
      <c r="U261" t="s">
        <v>85</v>
      </c>
      <c r="V261" t="s">
        <v>296</v>
      </c>
      <c r="W261">
        <v>6.01</v>
      </c>
      <c r="X261" t="s">
        <v>85</v>
      </c>
      <c r="Y261" t="s">
        <v>296</v>
      </c>
      <c r="Z261">
        <v>6.15</v>
      </c>
      <c r="AA261" t="s">
        <v>85</v>
      </c>
      <c r="AB261" t="s">
        <v>296</v>
      </c>
      <c r="AC261">
        <v>6.15</v>
      </c>
      <c r="AD261" t="s">
        <v>85</v>
      </c>
      <c r="AE261" t="s">
        <v>296</v>
      </c>
      <c r="AF261">
        <v>6.1</v>
      </c>
      <c r="AG261" t="s">
        <v>85</v>
      </c>
      <c r="AH261" t="s">
        <v>296</v>
      </c>
      <c r="AI261">
        <v>6.1</v>
      </c>
      <c r="AJ261" t="s">
        <v>85</v>
      </c>
      <c r="AK261" t="s">
        <v>296</v>
      </c>
      <c r="AL261">
        <v>6.02</v>
      </c>
      <c r="AM261" t="s">
        <v>85</v>
      </c>
      <c r="AN261" t="s">
        <v>296</v>
      </c>
      <c r="AO261">
        <v>5.93</v>
      </c>
      <c r="AP261" t="s">
        <v>85</v>
      </c>
      <c r="AQ261" t="s">
        <v>296</v>
      </c>
      <c r="AR261">
        <v>6.2</v>
      </c>
      <c r="AS261" t="s">
        <v>85</v>
      </c>
      <c r="AT261" t="s">
        <v>296</v>
      </c>
      <c r="AU261">
        <v>6.3</v>
      </c>
      <c r="AV261" t="s">
        <v>85</v>
      </c>
      <c r="AW261" t="s">
        <v>296</v>
      </c>
      <c r="AX261">
        <v>6.12</v>
      </c>
      <c r="AY261" t="s">
        <v>85</v>
      </c>
      <c r="AZ261" t="s">
        <v>296</v>
      </c>
      <c r="BA261">
        <v>6.09</v>
      </c>
      <c r="BB261" t="s">
        <v>85</v>
      </c>
      <c r="BC261" t="s">
        <v>296</v>
      </c>
      <c r="BD261">
        <v>5.96</v>
      </c>
      <c r="BE261" t="s">
        <v>85</v>
      </c>
      <c r="BF261" t="s">
        <v>296</v>
      </c>
      <c r="BG261">
        <v>6.21</v>
      </c>
      <c r="BH261" t="s">
        <v>85</v>
      </c>
      <c r="BI261" t="s">
        <v>296</v>
      </c>
      <c r="BJ261">
        <v>6.2</v>
      </c>
      <c r="BK261" t="s">
        <v>85</v>
      </c>
      <c r="BL261" t="s">
        <v>652</v>
      </c>
      <c r="BM261">
        <v>2.7</v>
      </c>
      <c r="BN261" t="s">
        <v>716</v>
      </c>
      <c r="BO261" t="s">
        <v>652</v>
      </c>
      <c r="BP261">
        <v>2.7</v>
      </c>
      <c r="BQ261" t="s">
        <v>716</v>
      </c>
      <c r="BR261" t="s">
        <v>652</v>
      </c>
      <c r="BS261">
        <v>2.7</v>
      </c>
      <c r="BT261" t="s">
        <v>716</v>
      </c>
      <c r="BU261" t="s">
        <v>652</v>
      </c>
      <c r="BV261">
        <v>2.7</v>
      </c>
      <c r="BW261" t="s">
        <v>716</v>
      </c>
      <c r="BX261" t="s">
        <v>652</v>
      </c>
      <c r="BY261">
        <v>2.7</v>
      </c>
      <c r="BZ261" t="s">
        <v>716</v>
      </c>
      <c r="CA261" t="s">
        <v>898</v>
      </c>
      <c r="CB261">
        <v>14.3</v>
      </c>
      <c r="CC261" t="s">
        <v>899</v>
      </c>
      <c r="CD261" t="s">
        <v>652</v>
      </c>
      <c r="CE261">
        <v>2.7</v>
      </c>
      <c r="CF261" t="s">
        <v>716</v>
      </c>
      <c r="CG261" t="s">
        <v>652</v>
      </c>
      <c r="CH261">
        <v>2.7</v>
      </c>
      <c r="CI261" t="s">
        <v>716</v>
      </c>
      <c r="CJ261" t="s">
        <v>652</v>
      </c>
      <c r="CK261">
        <v>2.7</v>
      </c>
      <c r="CL261" t="s">
        <v>716</v>
      </c>
      <c r="CM261" t="s">
        <v>652</v>
      </c>
      <c r="CN261">
        <v>2.7</v>
      </c>
      <c r="CO261" t="s">
        <v>716</v>
      </c>
      <c r="CP261" t="s">
        <v>652</v>
      </c>
      <c r="CQ261">
        <v>2.7</v>
      </c>
      <c r="CR261" t="s">
        <v>716</v>
      </c>
      <c r="CS261" t="s">
        <v>652</v>
      </c>
      <c r="CT261">
        <v>2.7</v>
      </c>
      <c r="CU261" t="s">
        <v>716</v>
      </c>
      <c r="CV261" t="s">
        <v>652</v>
      </c>
      <c r="CW261">
        <v>2.7</v>
      </c>
      <c r="CX261" t="s">
        <v>716</v>
      </c>
      <c r="CY261" t="s">
        <v>652</v>
      </c>
      <c r="CZ261">
        <v>2.7</v>
      </c>
      <c r="DA261" t="s">
        <v>716</v>
      </c>
      <c r="DB261" t="s">
        <v>652</v>
      </c>
      <c r="DC261">
        <v>2.7</v>
      </c>
      <c r="DD261" t="s">
        <v>716</v>
      </c>
      <c r="DE261" t="s">
        <v>652</v>
      </c>
      <c r="DF261">
        <v>2.7</v>
      </c>
      <c r="DG261" t="s">
        <v>716</v>
      </c>
      <c r="DH261" t="s">
        <v>652</v>
      </c>
      <c r="DI261">
        <v>2.7</v>
      </c>
      <c r="DJ261" t="s">
        <v>716</v>
      </c>
      <c r="DK261" t="s">
        <v>396</v>
      </c>
      <c r="DL261">
        <v>0.73</v>
      </c>
      <c r="DM261" t="s">
        <v>592</v>
      </c>
      <c r="DN261" t="s">
        <v>396</v>
      </c>
      <c r="DO261">
        <v>0.73</v>
      </c>
      <c r="DP261" t="s">
        <v>592</v>
      </c>
      <c r="DQ261" t="s">
        <v>396</v>
      </c>
      <c r="DR261">
        <v>0.78</v>
      </c>
      <c r="DS261" t="s">
        <v>592</v>
      </c>
      <c r="DT261" t="s">
        <v>679</v>
      </c>
      <c r="DU261">
        <v>1068.92</v>
      </c>
      <c r="DV261" t="e">
        <v>#N/A</v>
      </c>
      <c r="DW261" t="s">
        <v>1075</v>
      </c>
      <c r="DX261">
        <v>0.83</v>
      </c>
      <c r="DY261" t="e">
        <v>#N/A</v>
      </c>
      <c r="DZ261" t="s">
        <v>679</v>
      </c>
      <c r="EA261">
        <v>1068.92</v>
      </c>
      <c r="EB261" t="e">
        <v>#N/A</v>
      </c>
      <c r="EC261" t="s">
        <v>679</v>
      </c>
      <c r="ED261">
        <v>1068.92</v>
      </c>
      <c r="EE261" t="e">
        <v>#N/A</v>
      </c>
      <c r="EF261" t="s">
        <v>879</v>
      </c>
      <c r="EG261">
        <v>12.15</v>
      </c>
      <c r="EH261" t="e">
        <v>#N/A</v>
      </c>
      <c r="EI261" t="s">
        <v>995</v>
      </c>
      <c r="EJ261">
        <v>60</v>
      </c>
      <c r="EK261" t="e">
        <v>#N/A</v>
      </c>
    </row>
    <row r="262" spans="1:141">
      <c r="A262" t="s">
        <v>296</v>
      </c>
      <c r="B262">
        <v>6.71</v>
      </c>
      <c r="C262" t="s">
        <v>85</v>
      </c>
      <c r="D262" t="s">
        <v>296</v>
      </c>
      <c r="E262">
        <v>6.44</v>
      </c>
      <c r="F262" t="s">
        <v>85</v>
      </c>
      <c r="G262" t="s">
        <v>498</v>
      </c>
      <c r="H262">
        <v>2.74</v>
      </c>
      <c r="I262" t="s">
        <v>638</v>
      </c>
      <c r="J262" t="s">
        <v>498</v>
      </c>
      <c r="K262">
        <v>2.52</v>
      </c>
      <c r="L262" t="s">
        <v>638</v>
      </c>
      <c r="M262" t="s">
        <v>498</v>
      </c>
      <c r="N262">
        <v>2.56</v>
      </c>
      <c r="O262" t="s">
        <v>638</v>
      </c>
      <c r="P262" t="s">
        <v>714</v>
      </c>
      <c r="Q262">
        <v>3.5</v>
      </c>
      <c r="R262" t="s">
        <v>695</v>
      </c>
      <c r="S262" t="s">
        <v>498</v>
      </c>
      <c r="T262">
        <v>2.78</v>
      </c>
      <c r="U262" t="s">
        <v>638</v>
      </c>
      <c r="V262" t="s">
        <v>498</v>
      </c>
      <c r="W262">
        <v>2.87</v>
      </c>
      <c r="X262" t="s">
        <v>638</v>
      </c>
      <c r="Y262" t="s">
        <v>498</v>
      </c>
      <c r="Z262">
        <v>3.15</v>
      </c>
      <c r="AA262" t="s">
        <v>638</v>
      </c>
      <c r="AB262" t="s">
        <v>498</v>
      </c>
      <c r="AC262">
        <v>3.8</v>
      </c>
      <c r="AD262" t="s">
        <v>638</v>
      </c>
      <c r="AE262" t="s">
        <v>498</v>
      </c>
      <c r="AF262">
        <v>4.18</v>
      </c>
      <c r="AG262" t="s">
        <v>638</v>
      </c>
      <c r="AH262" t="s">
        <v>498</v>
      </c>
      <c r="AI262">
        <v>4.3</v>
      </c>
      <c r="AJ262" t="s">
        <v>638</v>
      </c>
      <c r="AK262" t="s">
        <v>498</v>
      </c>
      <c r="AL262">
        <v>3.87</v>
      </c>
      <c r="AM262" t="s">
        <v>638</v>
      </c>
      <c r="AN262" t="s">
        <v>498</v>
      </c>
      <c r="AO262">
        <v>3.32</v>
      </c>
      <c r="AP262" t="s">
        <v>638</v>
      </c>
      <c r="AQ262" t="s">
        <v>498</v>
      </c>
      <c r="AR262">
        <v>3.36</v>
      </c>
      <c r="AS262" t="s">
        <v>638</v>
      </c>
      <c r="AT262" t="s">
        <v>498</v>
      </c>
      <c r="AU262">
        <v>3.69</v>
      </c>
      <c r="AV262" t="s">
        <v>638</v>
      </c>
      <c r="AW262" t="s">
        <v>498</v>
      </c>
      <c r="AX262">
        <v>3.6</v>
      </c>
      <c r="AY262" t="s">
        <v>638</v>
      </c>
      <c r="AZ262" t="s">
        <v>498</v>
      </c>
      <c r="BA262">
        <v>3.42</v>
      </c>
      <c r="BB262" t="s">
        <v>638</v>
      </c>
      <c r="BC262" t="s">
        <v>498</v>
      </c>
      <c r="BD262">
        <v>3.14</v>
      </c>
      <c r="BE262" t="s">
        <v>638</v>
      </c>
      <c r="BF262" t="s">
        <v>498</v>
      </c>
      <c r="BG262">
        <v>3.04</v>
      </c>
      <c r="BH262" t="s">
        <v>638</v>
      </c>
      <c r="BI262" t="s">
        <v>498</v>
      </c>
      <c r="BJ262">
        <v>2.92</v>
      </c>
      <c r="BK262" t="s">
        <v>638</v>
      </c>
      <c r="BL262" t="s">
        <v>396</v>
      </c>
      <c r="BM262">
        <v>0.54</v>
      </c>
      <c r="BN262" t="s">
        <v>592</v>
      </c>
      <c r="BO262" t="s">
        <v>396</v>
      </c>
      <c r="BP262">
        <v>0.53</v>
      </c>
      <c r="BQ262" t="s">
        <v>592</v>
      </c>
      <c r="BR262" t="s">
        <v>396</v>
      </c>
      <c r="BS262">
        <v>0.54</v>
      </c>
      <c r="BT262" t="s">
        <v>592</v>
      </c>
      <c r="BU262" t="s">
        <v>396</v>
      </c>
      <c r="BV262">
        <v>0.54</v>
      </c>
      <c r="BW262" t="s">
        <v>592</v>
      </c>
      <c r="BX262" t="s">
        <v>396</v>
      </c>
      <c r="BY262">
        <v>0.54</v>
      </c>
      <c r="BZ262" t="s">
        <v>592</v>
      </c>
      <c r="CA262" t="s">
        <v>365</v>
      </c>
      <c r="CB262">
        <v>223</v>
      </c>
      <c r="CC262" t="s">
        <v>76</v>
      </c>
      <c r="CD262" t="s">
        <v>396</v>
      </c>
      <c r="CE262">
        <v>0.54</v>
      </c>
      <c r="CF262" t="s">
        <v>592</v>
      </c>
      <c r="CG262" t="s">
        <v>396</v>
      </c>
      <c r="CH262">
        <v>0.55000000000000004</v>
      </c>
      <c r="CI262" t="s">
        <v>592</v>
      </c>
      <c r="CJ262" t="s">
        <v>396</v>
      </c>
      <c r="CK262">
        <v>0.56000000000000005</v>
      </c>
      <c r="CL262" t="s">
        <v>592</v>
      </c>
      <c r="CM262" t="s">
        <v>396</v>
      </c>
      <c r="CN262">
        <v>0.59</v>
      </c>
      <c r="CO262" t="s">
        <v>592</v>
      </c>
      <c r="CP262" t="s">
        <v>396</v>
      </c>
      <c r="CQ262">
        <v>0.57999999999999996</v>
      </c>
      <c r="CR262" t="s">
        <v>592</v>
      </c>
      <c r="CS262" t="s">
        <v>396</v>
      </c>
      <c r="CT262">
        <v>0.59</v>
      </c>
      <c r="CU262" t="s">
        <v>592</v>
      </c>
      <c r="CV262" t="s">
        <v>396</v>
      </c>
      <c r="CW262">
        <v>0.63</v>
      </c>
      <c r="CX262" t="s">
        <v>592</v>
      </c>
      <c r="CY262" t="s">
        <v>396</v>
      </c>
      <c r="CZ262">
        <v>0.74</v>
      </c>
      <c r="DA262" t="s">
        <v>592</v>
      </c>
      <c r="DB262" t="s">
        <v>396</v>
      </c>
      <c r="DC262">
        <v>0.8</v>
      </c>
      <c r="DD262" t="s">
        <v>592</v>
      </c>
      <c r="DE262" t="s">
        <v>396</v>
      </c>
      <c r="DF262">
        <v>0.78</v>
      </c>
      <c r="DG262" t="s">
        <v>592</v>
      </c>
      <c r="DH262" t="s">
        <v>396</v>
      </c>
      <c r="DI262">
        <v>0.82</v>
      </c>
      <c r="DJ262" t="s">
        <v>592</v>
      </c>
      <c r="DK262" t="s">
        <v>296</v>
      </c>
      <c r="DL262">
        <v>8.98</v>
      </c>
      <c r="DM262" t="s">
        <v>85</v>
      </c>
      <c r="DN262" t="s">
        <v>296</v>
      </c>
      <c r="DO262">
        <v>7.68</v>
      </c>
      <c r="DP262" t="s">
        <v>85</v>
      </c>
      <c r="DQ262" t="s">
        <v>296</v>
      </c>
      <c r="DR262">
        <v>7.6</v>
      </c>
      <c r="DS262" t="s">
        <v>85</v>
      </c>
      <c r="DT262" t="s">
        <v>679</v>
      </c>
      <c r="DU262">
        <v>1068.08</v>
      </c>
      <c r="DV262" t="e">
        <v>#N/A</v>
      </c>
      <c r="DW262" t="s">
        <v>679</v>
      </c>
      <c r="DX262">
        <v>1068.92</v>
      </c>
      <c r="DY262" t="e">
        <v>#N/A</v>
      </c>
      <c r="DZ262" t="s">
        <v>679</v>
      </c>
      <c r="EA262">
        <v>1068.08</v>
      </c>
      <c r="EB262" t="e">
        <v>#N/A</v>
      </c>
      <c r="EC262" t="s">
        <v>679</v>
      </c>
      <c r="ED262">
        <v>1068.08</v>
      </c>
      <c r="EE262" t="e">
        <v>#N/A</v>
      </c>
      <c r="EF262" t="s">
        <v>995</v>
      </c>
      <c r="EG262">
        <v>58.99</v>
      </c>
      <c r="EH262" t="e">
        <v>#N/A</v>
      </c>
      <c r="EI262" t="s">
        <v>679</v>
      </c>
      <c r="EJ262">
        <v>1068.92</v>
      </c>
      <c r="EK262" t="e">
        <v>#N/A</v>
      </c>
    </row>
    <row r="263" spans="1:141">
      <c r="A263" t="s">
        <v>498</v>
      </c>
      <c r="B263">
        <v>2.93</v>
      </c>
      <c r="C263" t="s">
        <v>638</v>
      </c>
      <c r="D263" t="s">
        <v>498</v>
      </c>
      <c r="E263">
        <v>2.95</v>
      </c>
      <c r="F263" t="s">
        <v>638</v>
      </c>
      <c r="G263" t="s">
        <v>495</v>
      </c>
      <c r="H263">
        <v>30.6</v>
      </c>
      <c r="I263" t="s">
        <v>10</v>
      </c>
      <c r="J263" t="s">
        <v>495</v>
      </c>
      <c r="K263">
        <v>30.6</v>
      </c>
      <c r="L263" t="s">
        <v>10</v>
      </c>
      <c r="M263" t="s">
        <v>495</v>
      </c>
      <c r="N263">
        <v>30.6</v>
      </c>
      <c r="O263" t="s">
        <v>10</v>
      </c>
      <c r="P263" t="s">
        <v>652</v>
      </c>
      <c r="Q263">
        <v>2.7</v>
      </c>
      <c r="R263" t="s">
        <v>716</v>
      </c>
      <c r="S263" t="s">
        <v>495</v>
      </c>
      <c r="T263">
        <v>30.47</v>
      </c>
      <c r="U263" t="s">
        <v>10</v>
      </c>
      <c r="V263" t="s">
        <v>495</v>
      </c>
      <c r="W263">
        <v>30.01</v>
      </c>
      <c r="X263" t="s">
        <v>10</v>
      </c>
      <c r="Y263" t="s">
        <v>495</v>
      </c>
      <c r="Z263">
        <v>30.62</v>
      </c>
      <c r="AA263" t="s">
        <v>10</v>
      </c>
      <c r="AB263" t="s">
        <v>495</v>
      </c>
      <c r="AC263">
        <v>32</v>
      </c>
      <c r="AD263" t="s">
        <v>10</v>
      </c>
      <c r="AE263" t="s">
        <v>495</v>
      </c>
      <c r="AF263">
        <v>30</v>
      </c>
      <c r="AG263" t="s">
        <v>10</v>
      </c>
      <c r="AH263" t="s">
        <v>495</v>
      </c>
      <c r="AI263">
        <v>32</v>
      </c>
      <c r="AJ263" t="s">
        <v>10</v>
      </c>
      <c r="AK263" t="s">
        <v>495</v>
      </c>
      <c r="AL263">
        <v>29.8</v>
      </c>
      <c r="AM263" t="s">
        <v>10</v>
      </c>
      <c r="AN263" t="s">
        <v>495</v>
      </c>
      <c r="AO263">
        <v>30.5</v>
      </c>
      <c r="AP263" t="s">
        <v>10</v>
      </c>
      <c r="AQ263" t="s">
        <v>495</v>
      </c>
      <c r="AR263">
        <v>31.25</v>
      </c>
      <c r="AS263" t="s">
        <v>10</v>
      </c>
      <c r="AT263" t="s">
        <v>495</v>
      </c>
      <c r="AU263">
        <v>31.75</v>
      </c>
      <c r="AV263" t="s">
        <v>10</v>
      </c>
      <c r="AW263" t="s">
        <v>495</v>
      </c>
      <c r="AX263">
        <v>31.01</v>
      </c>
      <c r="AY263" t="s">
        <v>10</v>
      </c>
      <c r="AZ263" t="s">
        <v>495</v>
      </c>
      <c r="BA263">
        <v>31.75</v>
      </c>
      <c r="BB263" t="s">
        <v>10</v>
      </c>
      <c r="BC263" t="s">
        <v>495</v>
      </c>
      <c r="BD263">
        <v>32</v>
      </c>
      <c r="BE263" t="s">
        <v>10</v>
      </c>
      <c r="BF263" t="s">
        <v>495</v>
      </c>
      <c r="BG263">
        <v>32.96</v>
      </c>
      <c r="BH263" t="s">
        <v>10</v>
      </c>
      <c r="BI263" t="s">
        <v>495</v>
      </c>
      <c r="BJ263">
        <v>32.96</v>
      </c>
      <c r="BK263" t="s">
        <v>10</v>
      </c>
      <c r="BL263" t="s">
        <v>296</v>
      </c>
      <c r="BM263">
        <v>5.9</v>
      </c>
      <c r="BN263" t="s">
        <v>85</v>
      </c>
      <c r="BO263" t="s">
        <v>296</v>
      </c>
      <c r="BP263">
        <v>5.9</v>
      </c>
      <c r="BQ263" t="s">
        <v>85</v>
      </c>
      <c r="BR263" t="s">
        <v>296</v>
      </c>
      <c r="BS263">
        <v>6.03</v>
      </c>
      <c r="BT263" t="s">
        <v>85</v>
      </c>
      <c r="BU263" t="s">
        <v>296</v>
      </c>
      <c r="BV263">
        <v>6.02</v>
      </c>
      <c r="BW263" t="s">
        <v>85</v>
      </c>
      <c r="BX263" t="s">
        <v>296</v>
      </c>
      <c r="BY263">
        <v>6.03</v>
      </c>
      <c r="BZ263" t="s">
        <v>85</v>
      </c>
      <c r="CA263" t="s">
        <v>399</v>
      </c>
      <c r="CB263">
        <v>1.01</v>
      </c>
      <c r="CC263" t="s">
        <v>29</v>
      </c>
      <c r="CD263" t="s">
        <v>296</v>
      </c>
      <c r="CE263">
        <v>5.97</v>
      </c>
      <c r="CF263" t="s">
        <v>85</v>
      </c>
      <c r="CG263" t="s">
        <v>296</v>
      </c>
      <c r="CH263">
        <v>6.52</v>
      </c>
      <c r="CI263" t="s">
        <v>85</v>
      </c>
      <c r="CJ263" t="s">
        <v>296</v>
      </c>
      <c r="CK263">
        <v>7.1</v>
      </c>
      <c r="CL263" t="s">
        <v>85</v>
      </c>
      <c r="CM263" t="s">
        <v>296</v>
      </c>
      <c r="CN263">
        <v>7.25</v>
      </c>
      <c r="CO263" t="s">
        <v>85</v>
      </c>
      <c r="CP263" t="s">
        <v>296</v>
      </c>
      <c r="CQ263">
        <v>7.04</v>
      </c>
      <c r="CR263" t="s">
        <v>85</v>
      </c>
      <c r="CS263" t="s">
        <v>296</v>
      </c>
      <c r="CT263">
        <v>7.6</v>
      </c>
      <c r="CU263" t="s">
        <v>85</v>
      </c>
      <c r="CV263" t="s">
        <v>296</v>
      </c>
      <c r="CW263">
        <v>7.42</v>
      </c>
      <c r="CX263" t="s">
        <v>85</v>
      </c>
      <c r="CY263" t="s">
        <v>296</v>
      </c>
      <c r="CZ263">
        <v>7.67</v>
      </c>
      <c r="DA263" t="s">
        <v>85</v>
      </c>
      <c r="DB263" t="s">
        <v>296</v>
      </c>
      <c r="DC263">
        <v>7.92</v>
      </c>
      <c r="DD263" t="s">
        <v>85</v>
      </c>
      <c r="DE263" t="s">
        <v>296</v>
      </c>
      <c r="DF263">
        <v>7.71</v>
      </c>
      <c r="DG263" t="s">
        <v>85</v>
      </c>
      <c r="DH263" t="s">
        <v>296</v>
      </c>
      <c r="DI263">
        <v>9.17</v>
      </c>
      <c r="DJ263" t="s">
        <v>85</v>
      </c>
      <c r="DK263" t="s">
        <v>498</v>
      </c>
      <c r="DL263">
        <v>3.02</v>
      </c>
      <c r="DM263" t="s">
        <v>638</v>
      </c>
      <c r="DN263" t="s">
        <v>498</v>
      </c>
      <c r="DO263">
        <v>2.95</v>
      </c>
      <c r="DP263" t="s">
        <v>638</v>
      </c>
      <c r="DQ263" t="s">
        <v>498</v>
      </c>
      <c r="DR263">
        <v>4.6500000000000004</v>
      </c>
      <c r="DS263" t="s">
        <v>638</v>
      </c>
      <c r="DT263" t="s">
        <v>679</v>
      </c>
      <c r="DU263">
        <v>1067.3499999999999</v>
      </c>
      <c r="DV263" t="e">
        <v>#N/A</v>
      </c>
      <c r="DW263" t="s">
        <v>679</v>
      </c>
      <c r="DX263">
        <v>1068.08</v>
      </c>
      <c r="DY263" t="e">
        <v>#N/A</v>
      </c>
      <c r="DZ263" t="s">
        <v>679</v>
      </c>
      <c r="EA263">
        <v>1067.3499999999999</v>
      </c>
      <c r="EB263" t="e">
        <v>#N/A</v>
      </c>
      <c r="EC263" t="s">
        <v>679</v>
      </c>
      <c r="ED263">
        <v>1067.3499999999999</v>
      </c>
      <c r="EE263" t="e">
        <v>#N/A</v>
      </c>
      <c r="EF263" t="s">
        <v>679</v>
      </c>
      <c r="EG263">
        <v>1068.92</v>
      </c>
      <c r="EH263" t="e">
        <v>#N/A</v>
      </c>
      <c r="EI263" t="s">
        <v>679</v>
      </c>
      <c r="EJ263">
        <v>1068.08</v>
      </c>
      <c r="EK263" t="e">
        <v>#N/A</v>
      </c>
    </row>
    <row r="264" spans="1:141">
      <c r="A264" t="s">
        <v>495</v>
      </c>
      <c r="B264">
        <v>30.62</v>
      </c>
      <c r="C264" t="s">
        <v>10</v>
      </c>
      <c r="D264" t="s">
        <v>495</v>
      </c>
      <c r="E264">
        <v>32</v>
      </c>
      <c r="F264" t="s">
        <v>10</v>
      </c>
      <c r="G264" t="s">
        <v>497</v>
      </c>
      <c r="H264">
        <v>1.42</v>
      </c>
      <c r="I264" t="s">
        <v>636</v>
      </c>
      <c r="J264" t="s">
        <v>497</v>
      </c>
      <c r="K264">
        <v>1.42</v>
      </c>
      <c r="L264" t="s">
        <v>636</v>
      </c>
      <c r="M264" t="s">
        <v>497</v>
      </c>
      <c r="N264">
        <v>1.42</v>
      </c>
      <c r="O264" t="s">
        <v>636</v>
      </c>
      <c r="P264" t="s">
        <v>396</v>
      </c>
      <c r="Q264">
        <v>0.53</v>
      </c>
      <c r="R264" t="s">
        <v>592</v>
      </c>
      <c r="S264" t="s">
        <v>497</v>
      </c>
      <c r="T264">
        <v>1.42</v>
      </c>
      <c r="U264" t="s">
        <v>636</v>
      </c>
      <c r="V264" t="s">
        <v>497</v>
      </c>
      <c r="W264">
        <v>1.42</v>
      </c>
      <c r="X264" t="s">
        <v>636</v>
      </c>
      <c r="Y264" t="s">
        <v>497</v>
      </c>
      <c r="Z264">
        <v>1.42</v>
      </c>
      <c r="AA264" t="s">
        <v>636</v>
      </c>
      <c r="AB264" t="s">
        <v>497</v>
      </c>
      <c r="AC264">
        <v>1.42</v>
      </c>
      <c r="AD264" t="s">
        <v>636</v>
      </c>
      <c r="AE264" t="s">
        <v>497</v>
      </c>
      <c r="AF264">
        <v>1.42</v>
      </c>
      <c r="AG264" t="s">
        <v>636</v>
      </c>
      <c r="AH264" t="s">
        <v>497</v>
      </c>
      <c r="AI264">
        <v>1.42</v>
      </c>
      <c r="AJ264" t="s">
        <v>636</v>
      </c>
      <c r="AK264" t="s">
        <v>497</v>
      </c>
      <c r="AL264">
        <v>1.42</v>
      </c>
      <c r="AM264" t="s">
        <v>636</v>
      </c>
      <c r="AN264" t="s">
        <v>497</v>
      </c>
      <c r="AO264">
        <v>1.42</v>
      </c>
      <c r="AP264" t="s">
        <v>636</v>
      </c>
      <c r="AQ264" t="s">
        <v>497</v>
      </c>
      <c r="AR264">
        <v>1.42</v>
      </c>
      <c r="AS264" t="s">
        <v>636</v>
      </c>
      <c r="AT264" t="s">
        <v>497</v>
      </c>
      <c r="AU264">
        <v>1.42</v>
      </c>
      <c r="AV264" t="s">
        <v>636</v>
      </c>
      <c r="AW264" t="s">
        <v>497</v>
      </c>
      <c r="AX264">
        <v>1.42</v>
      </c>
      <c r="AY264" t="s">
        <v>636</v>
      </c>
      <c r="AZ264" t="s">
        <v>497</v>
      </c>
      <c r="BA264">
        <v>1.42</v>
      </c>
      <c r="BB264" t="s">
        <v>636</v>
      </c>
      <c r="BC264" t="s">
        <v>497</v>
      </c>
      <c r="BD264">
        <v>1.42</v>
      </c>
      <c r="BE264" t="s">
        <v>636</v>
      </c>
      <c r="BF264" t="s">
        <v>497</v>
      </c>
      <c r="BG264">
        <v>1.42</v>
      </c>
      <c r="BH264" t="s">
        <v>636</v>
      </c>
      <c r="BI264" t="s">
        <v>497</v>
      </c>
      <c r="BJ264">
        <v>1.42</v>
      </c>
      <c r="BK264" t="s">
        <v>636</v>
      </c>
      <c r="BL264" t="s">
        <v>498</v>
      </c>
      <c r="BM264">
        <v>3.04</v>
      </c>
      <c r="BN264" t="s">
        <v>638</v>
      </c>
      <c r="BO264" t="s">
        <v>498</v>
      </c>
      <c r="BP264">
        <v>3.23</v>
      </c>
      <c r="BQ264" t="s">
        <v>638</v>
      </c>
      <c r="BR264" t="s">
        <v>498</v>
      </c>
      <c r="BS264">
        <v>3.55</v>
      </c>
      <c r="BT264" t="s">
        <v>638</v>
      </c>
      <c r="BU264" t="s">
        <v>498</v>
      </c>
      <c r="BV264">
        <v>3.64</v>
      </c>
      <c r="BW264" t="s">
        <v>638</v>
      </c>
      <c r="BX264" t="s">
        <v>498</v>
      </c>
      <c r="BY264">
        <v>3.56</v>
      </c>
      <c r="BZ264" t="s">
        <v>638</v>
      </c>
      <c r="CA264" t="s">
        <v>714</v>
      </c>
      <c r="CB264">
        <v>3.5</v>
      </c>
      <c r="CC264" t="s">
        <v>695</v>
      </c>
      <c r="CD264" t="s">
        <v>498</v>
      </c>
      <c r="CE264">
        <v>3.6</v>
      </c>
      <c r="CF264" t="s">
        <v>638</v>
      </c>
      <c r="CG264" t="s">
        <v>498</v>
      </c>
      <c r="CH264">
        <v>3.58</v>
      </c>
      <c r="CI264" t="s">
        <v>638</v>
      </c>
      <c r="CJ264" t="s">
        <v>498</v>
      </c>
      <c r="CK264">
        <v>3.58</v>
      </c>
      <c r="CL264" t="s">
        <v>638</v>
      </c>
      <c r="CM264" t="s">
        <v>498</v>
      </c>
      <c r="CN264">
        <v>3.58</v>
      </c>
      <c r="CO264" t="s">
        <v>638</v>
      </c>
      <c r="CP264" t="s">
        <v>498</v>
      </c>
      <c r="CQ264">
        <v>3.62</v>
      </c>
      <c r="CR264" t="s">
        <v>638</v>
      </c>
      <c r="CS264" t="s">
        <v>498</v>
      </c>
      <c r="CT264">
        <v>3.52</v>
      </c>
      <c r="CU264" t="s">
        <v>638</v>
      </c>
      <c r="CV264" t="s">
        <v>498</v>
      </c>
      <c r="CW264">
        <v>3.52</v>
      </c>
      <c r="CX264" t="s">
        <v>638</v>
      </c>
      <c r="CY264" t="s">
        <v>498</v>
      </c>
      <c r="CZ264">
        <v>3.4</v>
      </c>
      <c r="DA264" t="s">
        <v>638</v>
      </c>
      <c r="DB264" t="s">
        <v>498</v>
      </c>
      <c r="DC264">
        <v>3.27</v>
      </c>
      <c r="DD264" t="s">
        <v>638</v>
      </c>
      <c r="DE264" t="s">
        <v>498</v>
      </c>
      <c r="DF264">
        <v>3.32</v>
      </c>
      <c r="DG264" t="s">
        <v>638</v>
      </c>
      <c r="DH264" t="s">
        <v>498</v>
      </c>
      <c r="DI264">
        <v>3.07</v>
      </c>
      <c r="DJ264" t="s">
        <v>638</v>
      </c>
      <c r="DK264" t="s">
        <v>495</v>
      </c>
      <c r="DL264">
        <v>34.450000000000003</v>
      </c>
      <c r="DM264" t="s">
        <v>10</v>
      </c>
      <c r="DN264" t="s">
        <v>495</v>
      </c>
      <c r="DO264">
        <v>34</v>
      </c>
      <c r="DP264" t="s">
        <v>10</v>
      </c>
      <c r="DQ264" t="s">
        <v>495</v>
      </c>
      <c r="DR264">
        <v>36.71</v>
      </c>
      <c r="DS264" t="s">
        <v>10</v>
      </c>
      <c r="DT264" t="s">
        <v>679</v>
      </c>
      <c r="DU264">
        <v>1066.5</v>
      </c>
      <c r="DV264" t="e">
        <v>#N/A</v>
      </c>
      <c r="DW264" t="s">
        <v>679</v>
      </c>
      <c r="DX264">
        <v>1067.3499999999999</v>
      </c>
      <c r="DY264" t="e">
        <v>#N/A</v>
      </c>
      <c r="DZ264" t="s">
        <v>679</v>
      </c>
      <c r="EA264">
        <v>1066.5</v>
      </c>
      <c r="EB264" t="e">
        <v>#N/A</v>
      </c>
      <c r="EC264" t="s">
        <v>679</v>
      </c>
      <c r="ED264">
        <v>1066.5</v>
      </c>
      <c r="EE264" t="e">
        <v>#N/A</v>
      </c>
      <c r="EF264" t="s">
        <v>679</v>
      </c>
      <c r="EG264">
        <v>1068.08</v>
      </c>
      <c r="EH264" t="e">
        <v>#N/A</v>
      </c>
      <c r="EI264" t="s">
        <v>679</v>
      </c>
      <c r="EJ264">
        <v>1067.3499999999999</v>
      </c>
      <c r="EK264" t="e">
        <v>#N/A</v>
      </c>
    </row>
    <row r="265" spans="1:141">
      <c r="A265" t="s">
        <v>497</v>
      </c>
      <c r="B265">
        <v>1.42</v>
      </c>
      <c r="C265" t="s">
        <v>636</v>
      </c>
      <c r="D265" t="s">
        <v>497</v>
      </c>
      <c r="E265">
        <v>1.42</v>
      </c>
      <c r="F265" t="s">
        <v>636</v>
      </c>
      <c r="G265" t="s">
        <v>656</v>
      </c>
      <c r="H265">
        <v>122</v>
      </c>
      <c r="I265" t="s">
        <v>688</v>
      </c>
      <c r="J265" t="s">
        <v>656</v>
      </c>
      <c r="K265">
        <v>122</v>
      </c>
      <c r="L265" t="s">
        <v>688</v>
      </c>
      <c r="M265" t="s">
        <v>656</v>
      </c>
      <c r="N265">
        <v>122</v>
      </c>
      <c r="O265" t="s">
        <v>688</v>
      </c>
      <c r="P265" t="s">
        <v>296</v>
      </c>
      <c r="Q265">
        <v>6.12</v>
      </c>
      <c r="R265" t="s">
        <v>85</v>
      </c>
      <c r="S265" t="s">
        <v>656</v>
      </c>
      <c r="T265">
        <v>122</v>
      </c>
      <c r="U265" t="s">
        <v>688</v>
      </c>
      <c r="V265" t="s">
        <v>656</v>
      </c>
      <c r="W265">
        <v>122</v>
      </c>
      <c r="X265" t="s">
        <v>688</v>
      </c>
      <c r="Y265" t="s">
        <v>656</v>
      </c>
      <c r="Z265">
        <v>122</v>
      </c>
      <c r="AA265" t="s">
        <v>688</v>
      </c>
      <c r="AB265" t="s">
        <v>656</v>
      </c>
      <c r="AC265">
        <v>122</v>
      </c>
      <c r="AD265" t="s">
        <v>688</v>
      </c>
      <c r="AE265" t="s">
        <v>656</v>
      </c>
      <c r="AF265">
        <v>122</v>
      </c>
      <c r="AG265" t="s">
        <v>688</v>
      </c>
      <c r="AH265" t="s">
        <v>656</v>
      </c>
      <c r="AI265">
        <v>122</v>
      </c>
      <c r="AJ265" t="s">
        <v>688</v>
      </c>
      <c r="AK265" t="s">
        <v>656</v>
      </c>
      <c r="AL265">
        <v>122</v>
      </c>
      <c r="AM265" t="s">
        <v>688</v>
      </c>
      <c r="AN265" t="s">
        <v>656</v>
      </c>
      <c r="AO265">
        <v>122</v>
      </c>
      <c r="AP265" t="s">
        <v>688</v>
      </c>
      <c r="AQ265" t="s">
        <v>656</v>
      </c>
      <c r="AR265">
        <v>122</v>
      </c>
      <c r="AS265" t="s">
        <v>688</v>
      </c>
      <c r="AT265" t="s">
        <v>656</v>
      </c>
      <c r="AU265">
        <v>122</v>
      </c>
      <c r="AV265" t="s">
        <v>688</v>
      </c>
      <c r="AW265" t="s">
        <v>656</v>
      </c>
      <c r="AX265">
        <v>122</v>
      </c>
      <c r="AY265" t="s">
        <v>688</v>
      </c>
      <c r="AZ265" t="s">
        <v>656</v>
      </c>
      <c r="BA265">
        <v>122</v>
      </c>
      <c r="BB265" t="s">
        <v>688</v>
      </c>
      <c r="BC265" t="s">
        <v>656</v>
      </c>
      <c r="BD265">
        <v>122</v>
      </c>
      <c r="BE265" t="s">
        <v>688</v>
      </c>
      <c r="BF265" t="s">
        <v>656</v>
      </c>
      <c r="BG265">
        <v>122</v>
      </c>
      <c r="BH265" t="s">
        <v>688</v>
      </c>
      <c r="BI265" t="s">
        <v>656</v>
      </c>
      <c r="BJ265">
        <v>122</v>
      </c>
      <c r="BK265" t="s">
        <v>688</v>
      </c>
      <c r="BL265" t="s">
        <v>495</v>
      </c>
      <c r="BM265">
        <v>30.93</v>
      </c>
      <c r="BN265" t="s">
        <v>10</v>
      </c>
      <c r="BO265" t="s">
        <v>495</v>
      </c>
      <c r="BP265">
        <v>32.89</v>
      </c>
      <c r="BQ265" t="s">
        <v>10</v>
      </c>
      <c r="BR265" t="s">
        <v>495</v>
      </c>
      <c r="BS265">
        <v>30.51</v>
      </c>
      <c r="BT265" t="s">
        <v>10</v>
      </c>
      <c r="BU265" t="s">
        <v>495</v>
      </c>
      <c r="BV265">
        <v>30.51</v>
      </c>
      <c r="BW265" t="s">
        <v>10</v>
      </c>
      <c r="BX265" t="s">
        <v>495</v>
      </c>
      <c r="BY265">
        <v>30.51</v>
      </c>
      <c r="BZ265" t="s">
        <v>10</v>
      </c>
      <c r="CA265" t="s">
        <v>652</v>
      </c>
      <c r="CB265">
        <v>2.7</v>
      </c>
      <c r="CC265" t="s">
        <v>716</v>
      </c>
      <c r="CD265" t="s">
        <v>495</v>
      </c>
      <c r="CE265">
        <v>32</v>
      </c>
      <c r="CF265" t="s">
        <v>10</v>
      </c>
      <c r="CG265" t="s">
        <v>495</v>
      </c>
      <c r="CH265">
        <v>31.01</v>
      </c>
      <c r="CI265" t="s">
        <v>10</v>
      </c>
      <c r="CJ265" t="s">
        <v>495</v>
      </c>
      <c r="CK265">
        <v>30.53</v>
      </c>
      <c r="CL265" t="s">
        <v>10</v>
      </c>
      <c r="CM265" t="s">
        <v>495</v>
      </c>
      <c r="CN265">
        <v>29.5</v>
      </c>
      <c r="CO265" t="s">
        <v>10</v>
      </c>
      <c r="CP265" t="s">
        <v>495</v>
      </c>
      <c r="CQ265">
        <v>30</v>
      </c>
      <c r="CR265" t="s">
        <v>10</v>
      </c>
      <c r="CS265" t="s">
        <v>495</v>
      </c>
      <c r="CT265">
        <v>31.98</v>
      </c>
      <c r="CU265" t="s">
        <v>10</v>
      </c>
      <c r="CV265" t="s">
        <v>495</v>
      </c>
      <c r="CW265">
        <v>30.88</v>
      </c>
      <c r="CX265" t="s">
        <v>10</v>
      </c>
      <c r="CY265" t="s">
        <v>495</v>
      </c>
      <c r="CZ265">
        <v>30.01</v>
      </c>
      <c r="DA265" t="s">
        <v>10</v>
      </c>
      <c r="DB265" t="s">
        <v>495</v>
      </c>
      <c r="DC265">
        <v>32</v>
      </c>
      <c r="DD265" t="s">
        <v>10</v>
      </c>
      <c r="DE265" t="s">
        <v>495</v>
      </c>
      <c r="DF265">
        <v>33.25</v>
      </c>
      <c r="DG265" t="s">
        <v>10</v>
      </c>
      <c r="DH265" t="s">
        <v>495</v>
      </c>
      <c r="DI265">
        <v>35.979999999999997</v>
      </c>
      <c r="DJ265" t="s">
        <v>10</v>
      </c>
      <c r="DK265" t="s">
        <v>497</v>
      </c>
      <c r="DL265">
        <v>1.42</v>
      </c>
      <c r="DM265" t="s">
        <v>636</v>
      </c>
      <c r="DN265" t="s">
        <v>497</v>
      </c>
      <c r="DO265">
        <v>1.42</v>
      </c>
      <c r="DP265" t="s">
        <v>636</v>
      </c>
      <c r="DQ265" t="s">
        <v>497</v>
      </c>
      <c r="DR265">
        <v>1.35</v>
      </c>
      <c r="DS265" t="s">
        <v>636</v>
      </c>
      <c r="DT265" t="s">
        <v>722</v>
      </c>
      <c r="DU265">
        <v>1247.17</v>
      </c>
      <c r="DV265" t="e">
        <v>#N/A</v>
      </c>
      <c r="DW265" t="s">
        <v>679</v>
      </c>
      <c r="DX265">
        <v>1066.5</v>
      </c>
      <c r="DY265" t="e">
        <v>#N/A</v>
      </c>
      <c r="DZ265" t="s">
        <v>722</v>
      </c>
      <c r="EA265">
        <v>1247.17</v>
      </c>
      <c r="EB265" t="e">
        <v>#N/A</v>
      </c>
      <c r="EC265" t="s">
        <v>722</v>
      </c>
      <c r="ED265">
        <v>1247.17</v>
      </c>
      <c r="EE265" t="e">
        <v>#N/A</v>
      </c>
      <c r="EF265" t="s">
        <v>679</v>
      </c>
      <c r="EG265">
        <v>1067.3499999999999</v>
      </c>
      <c r="EH265" t="e">
        <v>#N/A</v>
      </c>
      <c r="EI265" t="s">
        <v>679</v>
      </c>
      <c r="EJ265">
        <v>1066.5</v>
      </c>
      <c r="EK265" t="e">
        <v>#N/A</v>
      </c>
    </row>
    <row r="266" spans="1:141">
      <c r="A266" t="s">
        <v>656</v>
      </c>
      <c r="B266">
        <v>122</v>
      </c>
      <c r="C266" t="s">
        <v>688</v>
      </c>
      <c r="D266" t="s">
        <v>656</v>
      </c>
      <c r="E266">
        <v>122</v>
      </c>
      <c r="F266" t="s">
        <v>688</v>
      </c>
      <c r="G266" t="s">
        <v>323</v>
      </c>
      <c r="H266">
        <v>320</v>
      </c>
      <c r="I266" t="s">
        <v>49</v>
      </c>
      <c r="J266" t="s">
        <v>323</v>
      </c>
      <c r="K266">
        <v>320.33999999999997</v>
      </c>
      <c r="L266" t="s">
        <v>49</v>
      </c>
      <c r="M266" t="s">
        <v>323</v>
      </c>
      <c r="N266">
        <v>314</v>
      </c>
      <c r="O266" t="s">
        <v>49</v>
      </c>
      <c r="P266" t="s">
        <v>498</v>
      </c>
      <c r="Q266">
        <v>2.6</v>
      </c>
      <c r="R266" t="s">
        <v>638</v>
      </c>
      <c r="S266" t="s">
        <v>323</v>
      </c>
      <c r="T266">
        <v>316.32</v>
      </c>
      <c r="U266" t="s">
        <v>49</v>
      </c>
      <c r="V266" t="s">
        <v>323</v>
      </c>
      <c r="W266">
        <v>314.39999999999998</v>
      </c>
      <c r="X266" t="s">
        <v>49</v>
      </c>
      <c r="Y266" t="s">
        <v>323</v>
      </c>
      <c r="Z266">
        <v>317</v>
      </c>
      <c r="AA266" t="s">
        <v>49</v>
      </c>
      <c r="AB266" t="s">
        <v>323</v>
      </c>
      <c r="AC266">
        <v>320.12</v>
      </c>
      <c r="AD266" t="s">
        <v>49</v>
      </c>
      <c r="AE266" t="s">
        <v>323</v>
      </c>
      <c r="AF266">
        <v>328.72</v>
      </c>
      <c r="AG266" t="s">
        <v>49</v>
      </c>
      <c r="AH266" t="s">
        <v>323</v>
      </c>
      <c r="AI266">
        <v>327.33999999999997</v>
      </c>
      <c r="AJ266" t="s">
        <v>49</v>
      </c>
      <c r="AK266" t="s">
        <v>323</v>
      </c>
      <c r="AL266">
        <v>319</v>
      </c>
      <c r="AM266" t="s">
        <v>49</v>
      </c>
      <c r="AN266" t="s">
        <v>323</v>
      </c>
      <c r="AO266">
        <v>334</v>
      </c>
      <c r="AP266" t="s">
        <v>49</v>
      </c>
      <c r="AQ266" t="s">
        <v>323</v>
      </c>
      <c r="AR266">
        <v>330</v>
      </c>
      <c r="AS266" t="s">
        <v>49</v>
      </c>
      <c r="AT266" t="s">
        <v>323</v>
      </c>
      <c r="AU266">
        <v>333</v>
      </c>
      <c r="AV266" t="s">
        <v>49</v>
      </c>
      <c r="AW266" t="s">
        <v>323</v>
      </c>
      <c r="AX266">
        <v>340</v>
      </c>
      <c r="AY266" t="s">
        <v>49</v>
      </c>
      <c r="AZ266" t="s">
        <v>323</v>
      </c>
      <c r="BA266">
        <v>330</v>
      </c>
      <c r="BB266" t="s">
        <v>49</v>
      </c>
      <c r="BC266" t="s">
        <v>323</v>
      </c>
      <c r="BD266">
        <v>320</v>
      </c>
      <c r="BE266" t="s">
        <v>49</v>
      </c>
      <c r="BF266" t="s">
        <v>323</v>
      </c>
      <c r="BG266">
        <v>310</v>
      </c>
      <c r="BH266" t="s">
        <v>49</v>
      </c>
      <c r="BI266" t="s">
        <v>323</v>
      </c>
      <c r="BJ266">
        <v>301.63</v>
      </c>
      <c r="BK266" t="s">
        <v>49</v>
      </c>
      <c r="BL266" t="s">
        <v>497</v>
      </c>
      <c r="BM266">
        <v>1.42</v>
      </c>
      <c r="BN266" t="s">
        <v>636</v>
      </c>
      <c r="BO266" t="s">
        <v>497</v>
      </c>
      <c r="BP266">
        <v>1.42</v>
      </c>
      <c r="BQ266" t="s">
        <v>636</v>
      </c>
      <c r="BR266" t="s">
        <v>497</v>
      </c>
      <c r="BS266">
        <v>1.42</v>
      </c>
      <c r="BT266" t="s">
        <v>636</v>
      </c>
      <c r="BU266" t="s">
        <v>497</v>
      </c>
      <c r="BV266">
        <v>1.42</v>
      </c>
      <c r="BW266" t="s">
        <v>636</v>
      </c>
      <c r="BX266" t="s">
        <v>497</v>
      </c>
      <c r="BY266">
        <v>1.42</v>
      </c>
      <c r="BZ266" t="s">
        <v>636</v>
      </c>
      <c r="CA266" t="s">
        <v>396</v>
      </c>
      <c r="CB266">
        <v>0.54</v>
      </c>
      <c r="CC266" t="s">
        <v>592</v>
      </c>
      <c r="CD266" t="s">
        <v>497</v>
      </c>
      <c r="CE266">
        <v>1.42</v>
      </c>
      <c r="CF266" t="s">
        <v>636</v>
      </c>
      <c r="CG266" t="s">
        <v>497</v>
      </c>
      <c r="CH266">
        <v>1.42</v>
      </c>
      <c r="CI266" t="s">
        <v>636</v>
      </c>
      <c r="CJ266" t="s">
        <v>497</v>
      </c>
      <c r="CK266">
        <v>1.42</v>
      </c>
      <c r="CL266" t="s">
        <v>636</v>
      </c>
      <c r="CM266" t="s">
        <v>497</v>
      </c>
      <c r="CN266">
        <v>1.42</v>
      </c>
      <c r="CO266" t="s">
        <v>636</v>
      </c>
      <c r="CP266" t="s">
        <v>497</v>
      </c>
      <c r="CQ266">
        <v>1.42</v>
      </c>
      <c r="CR266" t="s">
        <v>636</v>
      </c>
      <c r="CS266" t="s">
        <v>497</v>
      </c>
      <c r="CT266">
        <v>1.42</v>
      </c>
      <c r="CU266" t="s">
        <v>636</v>
      </c>
      <c r="CV266" t="s">
        <v>497</v>
      </c>
      <c r="CW266">
        <v>1.42</v>
      </c>
      <c r="CX266" t="s">
        <v>636</v>
      </c>
      <c r="CY266" t="s">
        <v>497</v>
      </c>
      <c r="CZ266">
        <v>1.42</v>
      </c>
      <c r="DA266" t="s">
        <v>636</v>
      </c>
      <c r="DB266" t="s">
        <v>497</v>
      </c>
      <c r="DC266">
        <v>1.42</v>
      </c>
      <c r="DD266" t="s">
        <v>636</v>
      </c>
      <c r="DE266" t="s">
        <v>497</v>
      </c>
      <c r="DF266">
        <v>1.42</v>
      </c>
      <c r="DG266" t="s">
        <v>636</v>
      </c>
      <c r="DH266" t="s">
        <v>497</v>
      </c>
      <c r="DI266">
        <v>1.42</v>
      </c>
      <c r="DJ266" t="s">
        <v>636</v>
      </c>
      <c r="DK266" t="s">
        <v>656</v>
      </c>
      <c r="DL266">
        <v>122</v>
      </c>
      <c r="DM266" t="s">
        <v>688</v>
      </c>
      <c r="DN266" t="s">
        <v>656</v>
      </c>
      <c r="DO266">
        <v>122</v>
      </c>
      <c r="DP266" t="s">
        <v>688</v>
      </c>
      <c r="DQ266" t="s">
        <v>656</v>
      </c>
      <c r="DR266">
        <v>122</v>
      </c>
      <c r="DS266" t="s">
        <v>688</v>
      </c>
      <c r="DT266" t="s">
        <v>665</v>
      </c>
      <c r="DU266">
        <v>61.32</v>
      </c>
      <c r="DV266" t="e">
        <v>#N/A</v>
      </c>
      <c r="DW266" t="s">
        <v>722</v>
      </c>
      <c r="DX266">
        <v>1247.17</v>
      </c>
      <c r="DY266" t="e">
        <v>#N/A</v>
      </c>
      <c r="DZ266" t="s">
        <v>665</v>
      </c>
      <c r="EA266">
        <v>61.32</v>
      </c>
      <c r="EB266" t="e">
        <v>#N/A</v>
      </c>
      <c r="EC266" t="s">
        <v>665</v>
      </c>
      <c r="ED266">
        <v>61.32</v>
      </c>
      <c r="EE266" t="e">
        <v>#N/A</v>
      </c>
      <c r="EF266" t="s">
        <v>679</v>
      </c>
      <c r="EG266">
        <v>1066.5</v>
      </c>
      <c r="EH266" t="e">
        <v>#N/A</v>
      </c>
      <c r="EI266" t="s">
        <v>722</v>
      </c>
      <c r="EJ266">
        <v>1247.17</v>
      </c>
      <c r="EK266" t="e">
        <v>#N/A</v>
      </c>
    </row>
    <row r="267" spans="1:141">
      <c r="A267" t="s">
        <v>323</v>
      </c>
      <c r="B267">
        <v>305.01</v>
      </c>
      <c r="C267" t="s">
        <v>49</v>
      </c>
      <c r="D267" t="s">
        <v>323</v>
      </c>
      <c r="E267">
        <v>306</v>
      </c>
      <c r="F267" t="s">
        <v>49</v>
      </c>
      <c r="G267" t="s">
        <v>327</v>
      </c>
      <c r="H267">
        <v>90.5</v>
      </c>
      <c r="I267" t="s">
        <v>297</v>
      </c>
      <c r="J267" t="s">
        <v>327</v>
      </c>
      <c r="K267">
        <v>90.8</v>
      </c>
      <c r="L267" t="s">
        <v>297</v>
      </c>
      <c r="M267" t="s">
        <v>327</v>
      </c>
      <c r="N267">
        <v>89.61</v>
      </c>
      <c r="O267" t="s">
        <v>297</v>
      </c>
      <c r="P267" t="s">
        <v>495</v>
      </c>
      <c r="Q267">
        <v>30.47</v>
      </c>
      <c r="R267" t="s">
        <v>10</v>
      </c>
      <c r="S267" t="s">
        <v>327</v>
      </c>
      <c r="T267">
        <v>90.53</v>
      </c>
      <c r="U267" t="s">
        <v>297</v>
      </c>
      <c r="V267" t="s">
        <v>327</v>
      </c>
      <c r="W267">
        <v>89.04</v>
      </c>
      <c r="X267" t="s">
        <v>297</v>
      </c>
      <c r="Y267" t="s">
        <v>327</v>
      </c>
      <c r="Z267">
        <v>91</v>
      </c>
      <c r="AA267" t="s">
        <v>297</v>
      </c>
      <c r="AB267" t="s">
        <v>327</v>
      </c>
      <c r="AC267">
        <v>105</v>
      </c>
      <c r="AD267" t="s">
        <v>297</v>
      </c>
      <c r="AE267" t="s">
        <v>327</v>
      </c>
      <c r="AF267">
        <v>108.68</v>
      </c>
      <c r="AG267" t="s">
        <v>297</v>
      </c>
      <c r="AH267" t="s">
        <v>327</v>
      </c>
      <c r="AI267">
        <v>103.45</v>
      </c>
      <c r="AJ267" t="s">
        <v>297</v>
      </c>
      <c r="AK267" t="s">
        <v>327</v>
      </c>
      <c r="AL267">
        <v>107.53</v>
      </c>
      <c r="AM267" t="s">
        <v>297</v>
      </c>
      <c r="AN267" t="s">
        <v>327</v>
      </c>
      <c r="AO267">
        <v>98.17</v>
      </c>
      <c r="AP267" t="s">
        <v>297</v>
      </c>
      <c r="AQ267" t="s">
        <v>327</v>
      </c>
      <c r="AR267">
        <v>98.33</v>
      </c>
      <c r="AS267" t="s">
        <v>297</v>
      </c>
      <c r="AT267" t="s">
        <v>327</v>
      </c>
      <c r="AU267">
        <v>96.9</v>
      </c>
      <c r="AV267" t="s">
        <v>297</v>
      </c>
      <c r="AW267" t="s">
        <v>327</v>
      </c>
      <c r="AX267">
        <v>101.24</v>
      </c>
      <c r="AY267" t="s">
        <v>297</v>
      </c>
      <c r="AZ267" t="s">
        <v>327</v>
      </c>
      <c r="BA267">
        <v>100.03</v>
      </c>
      <c r="BB267" t="s">
        <v>297</v>
      </c>
      <c r="BC267" t="s">
        <v>327</v>
      </c>
      <c r="BD267">
        <v>97.1</v>
      </c>
      <c r="BE267" t="s">
        <v>297</v>
      </c>
      <c r="BF267" t="s">
        <v>327</v>
      </c>
      <c r="BG267">
        <v>96.4</v>
      </c>
      <c r="BH267" t="s">
        <v>297</v>
      </c>
      <c r="BI267" t="s">
        <v>327</v>
      </c>
      <c r="BJ267">
        <v>96.45</v>
      </c>
      <c r="BK267" t="s">
        <v>297</v>
      </c>
      <c r="BL267" t="s">
        <v>656</v>
      </c>
      <c r="BM267">
        <v>122</v>
      </c>
      <c r="BN267" t="s">
        <v>688</v>
      </c>
      <c r="BO267" t="s">
        <v>656</v>
      </c>
      <c r="BP267">
        <v>122</v>
      </c>
      <c r="BQ267" t="s">
        <v>688</v>
      </c>
      <c r="BR267" t="s">
        <v>656</v>
      </c>
      <c r="BS267">
        <v>122</v>
      </c>
      <c r="BT267" t="s">
        <v>688</v>
      </c>
      <c r="BU267" t="s">
        <v>656</v>
      </c>
      <c r="BV267">
        <v>122</v>
      </c>
      <c r="BW267" t="s">
        <v>688</v>
      </c>
      <c r="BX267" t="s">
        <v>656</v>
      </c>
      <c r="BY267">
        <v>122</v>
      </c>
      <c r="BZ267" t="s">
        <v>688</v>
      </c>
      <c r="CA267" t="s">
        <v>296</v>
      </c>
      <c r="CB267">
        <v>6</v>
      </c>
      <c r="CC267" t="s">
        <v>85</v>
      </c>
      <c r="CD267" t="s">
        <v>656</v>
      </c>
      <c r="CE267">
        <v>122</v>
      </c>
      <c r="CF267" t="s">
        <v>688</v>
      </c>
      <c r="CG267" t="s">
        <v>656</v>
      </c>
      <c r="CH267">
        <v>122</v>
      </c>
      <c r="CI267" t="s">
        <v>688</v>
      </c>
      <c r="CJ267" t="s">
        <v>656</v>
      </c>
      <c r="CK267">
        <v>122</v>
      </c>
      <c r="CL267" t="s">
        <v>688</v>
      </c>
      <c r="CM267" t="s">
        <v>656</v>
      </c>
      <c r="CN267">
        <v>122</v>
      </c>
      <c r="CO267" t="s">
        <v>688</v>
      </c>
      <c r="CP267" t="s">
        <v>656</v>
      </c>
      <c r="CQ267">
        <v>122</v>
      </c>
      <c r="CR267" t="s">
        <v>688</v>
      </c>
      <c r="CS267" t="s">
        <v>656</v>
      </c>
      <c r="CT267">
        <v>122</v>
      </c>
      <c r="CU267" t="s">
        <v>688</v>
      </c>
      <c r="CV267" t="s">
        <v>656</v>
      </c>
      <c r="CW267">
        <v>122</v>
      </c>
      <c r="CX267" t="s">
        <v>688</v>
      </c>
      <c r="CY267" t="s">
        <v>656</v>
      </c>
      <c r="CZ267">
        <v>122</v>
      </c>
      <c r="DA267" t="s">
        <v>688</v>
      </c>
      <c r="DB267" t="s">
        <v>656</v>
      </c>
      <c r="DC267">
        <v>122</v>
      </c>
      <c r="DD267" t="s">
        <v>688</v>
      </c>
      <c r="DE267" t="s">
        <v>656</v>
      </c>
      <c r="DF267">
        <v>122</v>
      </c>
      <c r="DG267" t="s">
        <v>688</v>
      </c>
      <c r="DH267" t="s">
        <v>656</v>
      </c>
      <c r="DI267">
        <v>122</v>
      </c>
      <c r="DJ267" t="s">
        <v>688</v>
      </c>
      <c r="DK267" t="s">
        <v>323</v>
      </c>
      <c r="DL267">
        <v>324.95</v>
      </c>
      <c r="DM267" t="s">
        <v>49</v>
      </c>
      <c r="DN267" t="s">
        <v>323</v>
      </c>
      <c r="DO267">
        <v>316.11</v>
      </c>
      <c r="DP267" t="s">
        <v>49</v>
      </c>
      <c r="DQ267" t="s">
        <v>323</v>
      </c>
      <c r="DR267">
        <v>345.11</v>
      </c>
      <c r="DS267" t="s">
        <v>49</v>
      </c>
      <c r="DT267" t="s">
        <v>722</v>
      </c>
      <c r="DU267">
        <v>1033.67</v>
      </c>
      <c r="DV267" t="e">
        <v>#N/A</v>
      </c>
      <c r="DW267" t="s">
        <v>665</v>
      </c>
      <c r="DX267">
        <v>61.32</v>
      </c>
      <c r="DY267" t="e">
        <v>#N/A</v>
      </c>
      <c r="DZ267" t="s">
        <v>722</v>
      </c>
      <c r="EA267">
        <v>1033.67</v>
      </c>
      <c r="EB267" t="e">
        <v>#N/A</v>
      </c>
      <c r="EC267" t="s">
        <v>722</v>
      </c>
      <c r="ED267">
        <v>1033.67</v>
      </c>
      <c r="EE267" t="e">
        <v>#N/A</v>
      </c>
      <c r="EF267" t="s">
        <v>722</v>
      </c>
      <c r="EG267">
        <v>1247.17</v>
      </c>
      <c r="EH267" t="e">
        <v>#N/A</v>
      </c>
      <c r="EI267" t="s">
        <v>665</v>
      </c>
      <c r="EJ267">
        <v>61.32</v>
      </c>
      <c r="EK267" t="e">
        <v>#N/A</v>
      </c>
    </row>
    <row r="268" spans="1:141">
      <c r="A268" t="s">
        <v>327</v>
      </c>
      <c r="B268">
        <v>91.4</v>
      </c>
      <c r="C268" t="s">
        <v>297</v>
      </c>
      <c r="D268" t="s">
        <v>327</v>
      </c>
      <c r="E268">
        <v>90.02</v>
      </c>
      <c r="F268" t="s">
        <v>297</v>
      </c>
      <c r="G268" t="s">
        <v>298</v>
      </c>
      <c r="H268">
        <v>3.8</v>
      </c>
      <c r="I268" t="s">
        <v>299</v>
      </c>
      <c r="J268" t="s">
        <v>298</v>
      </c>
      <c r="K268">
        <v>3.92</v>
      </c>
      <c r="L268" t="s">
        <v>299</v>
      </c>
      <c r="M268" t="s">
        <v>298</v>
      </c>
      <c r="N268">
        <v>3.81</v>
      </c>
      <c r="O268" t="s">
        <v>299</v>
      </c>
      <c r="P268" t="s">
        <v>497</v>
      </c>
      <c r="Q268">
        <v>1.42</v>
      </c>
      <c r="R268" t="s">
        <v>636</v>
      </c>
      <c r="S268" t="s">
        <v>298</v>
      </c>
      <c r="T268">
        <v>3.78</v>
      </c>
      <c r="U268" t="s">
        <v>299</v>
      </c>
      <c r="V268" t="s">
        <v>298</v>
      </c>
      <c r="W268">
        <v>3.53</v>
      </c>
      <c r="X268" t="s">
        <v>299</v>
      </c>
      <c r="Y268" t="s">
        <v>298</v>
      </c>
      <c r="Z268">
        <v>3.61</v>
      </c>
      <c r="AA268" t="s">
        <v>299</v>
      </c>
      <c r="AB268" t="s">
        <v>298</v>
      </c>
      <c r="AC268">
        <v>3.61</v>
      </c>
      <c r="AD268" t="s">
        <v>299</v>
      </c>
      <c r="AE268" t="s">
        <v>298</v>
      </c>
      <c r="AF268">
        <v>3.65</v>
      </c>
      <c r="AG268" t="s">
        <v>299</v>
      </c>
      <c r="AH268" t="s">
        <v>298</v>
      </c>
      <c r="AI268">
        <v>3.55</v>
      </c>
      <c r="AJ268" t="s">
        <v>299</v>
      </c>
      <c r="AK268" t="s">
        <v>298</v>
      </c>
      <c r="AL268">
        <v>3.53</v>
      </c>
      <c r="AM268" t="s">
        <v>299</v>
      </c>
      <c r="AN268" t="s">
        <v>298</v>
      </c>
      <c r="AO268">
        <v>3.36</v>
      </c>
      <c r="AP268" t="s">
        <v>299</v>
      </c>
      <c r="AQ268" t="s">
        <v>298</v>
      </c>
      <c r="AR268">
        <v>3.45</v>
      </c>
      <c r="AS268" t="s">
        <v>299</v>
      </c>
      <c r="AT268" t="s">
        <v>298</v>
      </c>
      <c r="AU268">
        <v>3.61</v>
      </c>
      <c r="AV268" t="s">
        <v>299</v>
      </c>
      <c r="AW268" t="s">
        <v>298</v>
      </c>
      <c r="AX268">
        <v>3.6</v>
      </c>
      <c r="AY268" t="s">
        <v>299</v>
      </c>
      <c r="AZ268" t="s">
        <v>298</v>
      </c>
      <c r="BA268">
        <v>3.52</v>
      </c>
      <c r="BB268" t="s">
        <v>299</v>
      </c>
      <c r="BC268" t="s">
        <v>298</v>
      </c>
      <c r="BD268">
        <v>3.87</v>
      </c>
      <c r="BE268" t="s">
        <v>299</v>
      </c>
      <c r="BF268" t="s">
        <v>298</v>
      </c>
      <c r="BG268">
        <v>3.72</v>
      </c>
      <c r="BH268" t="s">
        <v>299</v>
      </c>
      <c r="BI268" t="s">
        <v>298</v>
      </c>
      <c r="BJ268">
        <v>3.67</v>
      </c>
      <c r="BK268" t="s">
        <v>299</v>
      </c>
      <c r="BL268" t="s">
        <v>323</v>
      </c>
      <c r="BM268">
        <v>295</v>
      </c>
      <c r="BN268" t="s">
        <v>49</v>
      </c>
      <c r="BO268" t="s">
        <v>323</v>
      </c>
      <c r="BP268">
        <v>299.99</v>
      </c>
      <c r="BQ268" t="s">
        <v>49</v>
      </c>
      <c r="BR268" t="s">
        <v>323</v>
      </c>
      <c r="BS268">
        <v>303</v>
      </c>
      <c r="BT268" t="s">
        <v>49</v>
      </c>
      <c r="BU268" t="s">
        <v>323</v>
      </c>
      <c r="BV268">
        <v>295.10000000000002</v>
      </c>
      <c r="BW268" t="s">
        <v>49</v>
      </c>
      <c r="BX268" t="s">
        <v>323</v>
      </c>
      <c r="BY268">
        <v>298</v>
      </c>
      <c r="BZ268" t="s">
        <v>49</v>
      </c>
      <c r="CA268" t="s">
        <v>498</v>
      </c>
      <c r="CB268">
        <v>3.6</v>
      </c>
      <c r="CC268" t="s">
        <v>638</v>
      </c>
      <c r="CD268" t="s">
        <v>323</v>
      </c>
      <c r="CE268">
        <v>302</v>
      </c>
      <c r="CF268" t="s">
        <v>49</v>
      </c>
      <c r="CG268" t="s">
        <v>323</v>
      </c>
      <c r="CH268">
        <v>296</v>
      </c>
      <c r="CI268" t="s">
        <v>49</v>
      </c>
      <c r="CJ268" t="s">
        <v>323</v>
      </c>
      <c r="CK268">
        <v>301</v>
      </c>
      <c r="CL268" t="s">
        <v>49</v>
      </c>
      <c r="CM268" t="s">
        <v>323</v>
      </c>
      <c r="CN268">
        <v>301</v>
      </c>
      <c r="CO268" t="s">
        <v>49</v>
      </c>
      <c r="CP268" t="s">
        <v>323</v>
      </c>
      <c r="CQ268">
        <v>301</v>
      </c>
      <c r="CR268" t="s">
        <v>49</v>
      </c>
      <c r="CS268" t="s">
        <v>323</v>
      </c>
      <c r="CT268">
        <v>296</v>
      </c>
      <c r="CU268" t="s">
        <v>49</v>
      </c>
      <c r="CV268" t="s">
        <v>323</v>
      </c>
      <c r="CW268">
        <v>303.54000000000002</v>
      </c>
      <c r="CX268" t="s">
        <v>49</v>
      </c>
      <c r="CY268" t="s">
        <v>323</v>
      </c>
      <c r="CZ268">
        <v>303.60000000000002</v>
      </c>
      <c r="DA268" t="s">
        <v>49</v>
      </c>
      <c r="DB268" t="s">
        <v>323</v>
      </c>
      <c r="DC268">
        <v>300</v>
      </c>
      <c r="DD268" t="s">
        <v>49</v>
      </c>
      <c r="DE268" t="s">
        <v>323</v>
      </c>
      <c r="DF268">
        <v>303</v>
      </c>
      <c r="DG268" t="s">
        <v>49</v>
      </c>
      <c r="DH268" t="s">
        <v>323</v>
      </c>
      <c r="DI268">
        <v>315</v>
      </c>
      <c r="DJ268" t="s">
        <v>49</v>
      </c>
      <c r="DK268" t="s">
        <v>327</v>
      </c>
      <c r="DL268">
        <v>102.98</v>
      </c>
      <c r="DM268" t="s">
        <v>297</v>
      </c>
      <c r="DN268" t="s">
        <v>327</v>
      </c>
      <c r="DO268">
        <v>100.72</v>
      </c>
      <c r="DP268" t="s">
        <v>297</v>
      </c>
      <c r="DQ268" t="s">
        <v>327</v>
      </c>
      <c r="DR268">
        <v>114.99</v>
      </c>
      <c r="DS268" t="s">
        <v>297</v>
      </c>
      <c r="DT268" t="s">
        <v>722</v>
      </c>
      <c r="DU268">
        <v>1219.72</v>
      </c>
      <c r="DV268" t="e">
        <v>#N/A</v>
      </c>
      <c r="DW268" t="s">
        <v>722</v>
      </c>
      <c r="DX268">
        <v>1033.67</v>
      </c>
      <c r="DY268" t="e">
        <v>#N/A</v>
      </c>
      <c r="DZ268" t="s">
        <v>1035</v>
      </c>
      <c r="EA268">
        <v>102</v>
      </c>
      <c r="EB268" t="e">
        <v>#N/A</v>
      </c>
      <c r="EC268" t="s">
        <v>879</v>
      </c>
      <c r="ED268">
        <v>8.5</v>
      </c>
      <c r="EE268" t="e">
        <v>#N/A</v>
      </c>
      <c r="EF268" t="s">
        <v>665</v>
      </c>
      <c r="EG268">
        <v>61.32</v>
      </c>
      <c r="EH268" t="e">
        <v>#N/A</v>
      </c>
      <c r="EI268" t="s">
        <v>722</v>
      </c>
      <c r="EJ268">
        <v>1033.67</v>
      </c>
      <c r="EK268" t="e">
        <v>#N/A</v>
      </c>
    </row>
    <row r="269" spans="1:141">
      <c r="A269" t="s">
        <v>298</v>
      </c>
      <c r="B269">
        <v>3.81</v>
      </c>
      <c r="C269" t="s">
        <v>299</v>
      </c>
      <c r="D269" t="s">
        <v>298</v>
      </c>
      <c r="E269">
        <v>3.67</v>
      </c>
      <c r="F269" t="s">
        <v>299</v>
      </c>
      <c r="G269" t="s">
        <v>300</v>
      </c>
      <c r="H269">
        <v>3.65</v>
      </c>
      <c r="I269" t="s">
        <v>81</v>
      </c>
      <c r="J269" t="s">
        <v>300</v>
      </c>
      <c r="K269">
        <v>3.6</v>
      </c>
      <c r="L269" t="s">
        <v>81</v>
      </c>
      <c r="M269" t="s">
        <v>300</v>
      </c>
      <c r="N269">
        <v>3.41</v>
      </c>
      <c r="O269" t="s">
        <v>81</v>
      </c>
      <c r="P269" t="s">
        <v>656</v>
      </c>
      <c r="Q269">
        <v>122</v>
      </c>
      <c r="R269" t="s">
        <v>688</v>
      </c>
      <c r="S269" t="s">
        <v>300</v>
      </c>
      <c r="T269">
        <v>3.37</v>
      </c>
      <c r="U269" t="s">
        <v>81</v>
      </c>
      <c r="V269" t="s">
        <v>300</v>
      </c>
      <c r="W269">
        <v>3.21</v>
      </c>
      <c r="X269" t="s">
        <v>81</v>
      </c>
      <c r="Y269" t="s">
        <v>300</v>
      </c>
      <c r="Z269">
        <v>3.32</v>
      </c>
      <c r="AA269" t="s">
        <v>81</v>
      </c>
      <c r="AB269" t="s">
        <v>300</v>
      </c>
      <c r="AC269">
        <v>3.37</v>
      </c>
      <c r="AD269" t="s">
        <v>81</v>
      </c>
      <c r="AE269" t="s">
        <v>300</v>
      </c>
      <c r="AF269">
        <v>3.36</v>
      </c>
      <c r="AG269" t="s">
        <v>81</v>
      </c>
      <c r="AH269" t="s">
        <v>300</v>
      </c>
      <c r="AI269">
        <v>3.32</v>
      </c>
      <c r="AJ269" t="s">
        <v>81</v>
      </c>
      <c r="AK269" t="s">
        <v>300</v>
      </c>
      <c r="AL269">
        <v>3.26</v>
      </c>
      <c r="AM269" t="s">
        <v>81</v>
      </c>
      <c r="AN269" t="s">
        <v>300</v>
      </c>
      <c r="AO269">
        <v>3.14</v>
      </c>
      <c r="AP269" t="s">
        <v>81</v>
      </c>
      <c r="AQ269" t="s">
        <v>300</v>
      </c>
      <c r="AR269">
        <v>3.28</v>
      </c>
      <c r="AS269" t="s">
        <v>81</v>
      </c>
      <c r="AT269" t="s">
        <v>300</v>
      </c>
      <c r="AU269">
        <v>3.32</v>
      </c>
      <c r="AV269" t="s">
        <v>81</v>
      </c>
      <c r="AW269" t="s">
        <v>300</v>
      </c>
      <c r="AX269">
        <v>3.36</v>
      </c>
      <c r="AY269" t="s">
        <v>81</v>
      </c>
      <c r="AZ269" t="s">
        <v>300</v>
      </c>
      <c r="BA269">
        <v>3.38</v>
      </c>
      <c r="BB269" t="s">
        <v>81</v>
      </c>
      <c r="BC269" t="s">
        <v>300</v>
      </c>
      <c r="BD269">
        <v>3.4</v>
      </c>
      <c r="BE269" t="s">
        <v>81</v>
      </c>
      <c r="BF269" t="s">
        <v>300</v>
      </c>
      <c r="BG269">
        <v>3.34</v>
      </c>
      <c r="BH269" t="s">
        <v>81</v>
      </c>
      <c r="BI269" t="s">
        <v>300</v>
      </c>
      <c r="BJ269">
        <v>3.38</v>
      </c>
      <c r="BK269" t="s">
        <v>81</v>
      </c>
      <c r="BL269" t="s">
        <v>327</v>
      </c>
      <c r="BM269">
        <v>92.32</v>
      </c>
      <c r="BN269" t="s">
        <v>297</v>
      </c>
      <c r="BO269" t="s">
        <v>327</v>
      </c>
      <c r="BP269">
        <v>93</v>
      </c>
      <c r="BQ269" t="s">
        <v>297</v>
      </c>
      <c r="BR269" t="s">
        <v>327</v>
      </c>
      <c r="BS269">
        <v>93.83</v>
      </c>
      <c r="BT269" t="s">
        <v>297</v>
      </c>
      <c r="BU269" t="s">
        <v>327</v>
      </c>
      <c r="BV269">
        <v>94.51</v>
      </c>
      <c r="BW269" t="s">
        <v>297</v>
      </c>
      <c r="BX269" t="s">
        <v>327</v>
      </c>
      <c r="BY269">
        <v>95.25</v>
      </c>
      <c r="BZ269" t="s">
        <v>297</v>
      </c>
      <c r="CA269" t="s">
        <v>495</v>
      </c>
      <c r="CB269">
        <v>30.2</v>
      </c>
      <c r="CC269" t="s">
        <v>10</v>
      </c>
      <c r="CD269" t="s">
        <v>327</v>
      </c>
      <c r="CE269">
        <v>93.04</v>
      </c>
      <c r="CF269" t="s">
        <v>297</v>
      </c>
      <c r="CG269" t="s">
        <v>327</v>
      </c>
      <c r="CH269">
        <v>93.05</v>
      </c>
      <c r="CI269" t="s">
        <v>297</v>
      </c>
      <c r="CJ269" t="s">
        <v>327</v>
      </c>
      <c r="CK269">
        <v>93.95</v>
      </c>
      <c r="CL269" t="s">
        <v>297</v>
      </c>
      <c r="CM269" t="s">
        <v>327</v>
      </c>
      <c r="CN269">
        <v>93.99</v>
      </c>
      <c r="CO269" t="s">
        <v>297</v>
      </c>
      <c r="CP269" t="s">
        <v>327</v>
      </c>
      <c r="CQ269">
        <v>94.11</v>
      </c>
      <c r="CR269" t="s">
        <v>297</v>
      </c>
      <c r="CS269" t="s">
        <v>327</v>
      </c>
      <c r="CT269">
        <v>93.2</v>
      </c>
      <c r="CU269" t="s">
        <v>297</v>
      </c>
      <c r="CV269" t="s">
        <v>327</v>
      </c>
      <c r="CW269">
        <v>92.89</v>
      </c>
      <c r="CX269" t="s">
        <v>297</v>
      </c>
      <c r="CY269" t="s">
        <v>327</v>
      </c>
      <c r="CZ269">
        <v>92.94</v>
      </c>
      <c r="DA269" t="s">
        <v>297</v>
      </c>
      <c r="DB269" t="s">
        <v>327</v>
      </c>
      <c r="DC269">
        <v>93.3</v>
      </c>
      <c r="DD269" t="s">
        <v>297</v>
      </c>
      <c r="DE269" t="s">
        <v>327</v>
      </c>
      <c r="DF269">
        <v>93.32</v>
      </c>
      <c r="DG269" t="s">
        <v>297</v>
      </c>
      <c r="DH269" t="s">
        <v>327</v>
      </c>
      <c r="DI269">
        <v>104.42</v>
      </c>
      <c r="DJ269" t="s">
        <v>297</v>
      </c>
      <c r="DK269" t="s">
        <v>298</v>
      </c>
      <c r="DL269">
        <v>3.17</v>
      </c>
      <c r="DM269" t="s">
        <v>299</v>
      </c>
      <c r="DN269" t="s">
        <v>298</v>
      </c>
      <c r="DO269">
        <v>3.12</v>
      </c>
      <c r="DP269" t="s">
        <v>299</v>
      </c>
      <c r="DQ269" t="s">
        <v>298</v>
      </c>
      <c r="DR269">
        <v>3.42</v>
      </c>
      <c r="DS269" t="s">
        <v>299</v>
      </c>
      <c r="DT269" t="s">
        <v>1035</v>
      </c>
      <c r="DU269">
        <v>102</v>
      </c>
      <c r="DV269" t="e">
        <v>#N/A</v>
      </c>
      <c r="DW269" t="s">
        <v>1035</v>
      </c>
      <c r="DX269">
        <v>102</v>
      </c>
      <c r="DY269" t="e">
        <v>#N/A</v>
      </c>
      <c r="EA269">
        <v>101.95</v>
      </c>
      <c r="EB269" t="e">
        <v>#N/A</v>
      </c>
      <c r="EC269" t="s">
        <v>1035</v>
      </c>
      <c r="ED269">
        <v>102</v>
      </c>
      <c r="EE269" t="e">
        <v>#N/A</v>
      </c>
      <c r="EF269" t="s">
        <v>722</v>
      </c>
      <c r="EG269">
        <v>1033.67</v>
      </c>
      <c r="EH269" t="e">
        <v>#N/A</v>
      </c>
      <c r="EI269" t="s">
        <v>1075</v>
      </c>
      <c r="EJ269">
        <v>0.68</v>
      </c>
      <c r="EK269" t="e">
        <v>#N/A</v>
      </c>
    </row>
    <row r="270" spans="1:141">
      <c r="A270" t="s">
        <v>300</v>
      </c>
      <c r="B270">
        <v>7.16</v>
      </c>
      <c r="C270" t="s">
        <v>81</v>
      </c>
      <c r="D270" t="s">
        <v>300</v>
      </c>
      <c r="E270">
        <v>7.12</v>
      </c>
      <c r="F270" t="s">
        <v>81</v>
      </c>
      <c r="G270" t="s">
        <v>679</v>
      </c>
      <c r="H270">
        <v>1068.92</v>
      </c>
      <c r="I270" t="e">
        <v>#N/A</v>
      </c>
      <c r="J270" t="s">
        <v>679</v>
      </c>
      <c r="K270">
        <v>1068.92</v>
      </c>
      <c r="L270" t="e">
        <v>#N/A</v>
      </c>
      <c r="M270" t="s">
        <v>679</v>
      </c>
      <c r="N270">
        <v>1068.92</v>
      </c>
      <c r="O270" t="e">
        <v>#N/A</v>
      </c>
      <c r="P270" t="s">
        <v>323</v>
      </c>
      <c r="Q270">
        <v>315.11</v>
      </c>
      <c r="R270" t="s">
        <v>49</v>
      </c>
      <c r="S270" t="s">
        <v>679</v>
      </c>
      <c r="T270">
        <v>1068.92</v>
      </c>
      <c r="U270" t="e">
        <v>#N/A</v>
      </c>
      <c r="V270" t="s">
        <v>934</v>
      </c>
      <c r="W270">
        <v>2.36</v>
      </c>
      <c r="X270" t="e">
        <v>#N/A</v>
      </c>
      <c r="Y270" t="s">
        <v>934</v>
      </c>
      <c r="Z270">
        <v>2.36</v>
      </c>
      <c r="AA270" t="e">
        <v>#N/A</v>
      </c>
      <c r="AB270" t="s">
        <v>934</v>
      </c>
      <c r="AC270">
        <v>2.84</v>
      </c>
      <c r="AD270" t="e">
        <v>#N/A</v>
      </c>
      <c r="AE270" t="s">
        <v>722</v>
      </c>
      <c r="AF270">
        <v>1147.3</v>
      </c>
      <c r="AG270" t="e">
        <v>#N/A</v>
      </c>
      <c r="AH270" t="s">
        <v>934</v>
      </c>
      <c r="AI270">
        <v>3.12</v>
      </c>
      <c r="AJ270" t="e">
        <v>#N/A</v>
      </c>
      <c r="AK270" t="s">
        <v>934</v>
      </c>
      <c r="AL270">
        <v>3.43</v>
      </c>
      <c r="AM270" t="e">
        <v>#N/A</v>
      </c>
      <c r="AN270" t="s">
        <v>934</v>
      </c>
      <c r="AO270">
        <v>4.08</v>
      </c>
      <c r="AP270" t="e">
        <v>#N/A</v>
      </c>
      <c r="AQ270" t="s">
        <v>934</v>
      </c>
      <c r="AR270">
        <v>4.38</v>
      </c>
      <c r="AS270" t="e">
        <v>#N/A</v>
      </c>
      <c r="AT270" t="s">
        <v>934</v>
      </c>
      <c r="AU270">
        <v>4.8</v>
      </c>
      <c r="AV270" t="e">
        <v>#N/A</v>
      </c>
      <c r="AW270" t="s">
        <v>879</v>
      </c>
      <c r="AX270">
        <v>11.71</v>
      </c>
      <c r="AY270" t="e">
        <v>#N/A</v>
      </c>
      <c r="AZ270" t="s">
        <v>679</v>
      </c>
      <c r="BA270">
        <v>1068.92</v>
      </c>
      <c r="BB270" t="e">
        <v>#N/A</v>
      </c>
      <c r="BC270" t="s">
        <v>679</v>
      </c>
      <c r="BD270">
        <v>1068.92</v>
      </c>
      <c r="BE270" t="e">
        <v>#N/A</v>
      </c>
      <c r="BF270" t="s">
        <v>679</v>
      </c>
      <c r="BG270">
        <v>1068.92</v>
      </c>
      <c r="BH270" t="e">
        <v>#N/A</v>
      </c>
      <c r="BI270" t="s">
        <v>679</v>
      </c>
      <c r="BJ270">
        <v>1068.92</v>
      </c>
      <c r="BK270" t="e">
        <v>#N/A</v>
      </c>
      <c r="BL270" t="s">
        <v>298</v>
      </c>
      <c r="BM270">
        <v>3.4</v>
      </c>
      <c r="BN270" t="s">
        <v>299</v>
      </c>
      <c r="BO270" t="s">
        <v>298</v>
      </c>
      <c r="BP270">
        <v>3.43</v>
      </c>
      <c r="BQ270" t="s">
        <v>299</v>
      </c>
      <c r="BR270" t="s">
        <v>298</v>
      </c>
      <c r="BS270">
        <v>3.5</v>
      </c>
      <c r="BT270" t="s">
        <v>299</v>
      </c>
      <c r="BU270" t="s">
        <v>298</v>
      </c>
      <c r="BV270">
        <v>3.42</v>
      </c>
      <c r="BW270" t="s">
        <v>299</v>
      </c>
      <c r="BX270" t="s">
        <v>298</v>
      </c>
      <c r="BY270">
        <v>3.43</v>
      </c>
      <c r="BZ270" t="s">
        <v>299</v>
      </c>
      <c r="CA270" t="s">
        <v>497</v>
      </c>
      <c r="CB270">
        <v>1.42</v>
      </c>
      <c r="CC270" t="s">
        <v>636</v>
      </c>
      <c r="CD270" t="s">
        <v>298</v>
      </c>
      <c r="CE270">
        <v>3.56</v>
      </c>
      <c r="CF270" t="s">
        <v>299</v>
      </c>
      <c r="CG270" t="s">
        <v>298</v>
      </c>
      <c r="CH270">
        <v>3.58</v>
      </c>
      <c r="CI270" t="s">
        <v>299</v>
      </c>
      <c r="CJ270" t="s">
        <v>298</v>
      </c>
      <c r="CK270">
        <v>3.56</v>
      </c>
      <c r="CL270" t="s">
        <v>299</v>
      </c>
      <c r="CM270" t="s">
        <v>298</v>
      </c>
      <c r="CN270">
        <v>3.51</v>
      </c>
      <c r="CO270" t="s">
        <v>299</v>
      </c>
      <c r="CP270" t="s">
        <v>298</v>
      </c>
      <c r="CQ270">
        <v>3.4</v>
      </c>
      <c r="CR270" t="s">
        <v>299</v>
      </c>
      <c r="CS270" t="s">
        <v>298</v>
      </c>
      <c r="CT270">
        <v>3.36</v>
      </c>
      <c r="CU270" t="s">
        <v>299</v>
      </c>
      <c r="CV270" t="s">
        <v>298</v>
      </c>
      <c r="CW270">
        <v>3.34</v>
      </c>
      <c r="CX270" t="s">
        <v>299</v>
      </c>
      <c r="CY270" t="s">
        <v>298</v>
      </c>
      <c r="CZ270">
        <v>3.3</v>
      </c>
      <c r="DA270" t="s">
        <v>299</v>
      </c>
      <c r="DB270" t="s">
        <v>298</v>
      </c>
      <c r="DC270">
        <v>3.37</v>
      </c>
      <c r="DD270" t="s">
        <v>299</v>
      </c>
      <c r="DE270" t="s">
        <v>298</v>
      </c>
      <c r="DF270">
        <v>3.37</v>
      </c>
      <c r="DG270" t="s">
        <v>299</v>
      </c>
      <c r="DH270" t="s">
        <v>298</v>
      </c>
      <c r="DI270">
        <v>3.25</v>
      </c>
      <c r="DJ270" t="s">
        <v>299</v>
      </c>
      <c r="DK270" t="s">
        <v>300</v>
      </c>
      <c r="DL270">
        <v>3.22</v>
      </c>
      <c r="DM270" t="s">
        <v>81</v>
      </c>
      <c r="DN270" t="s">
        <v>300</v>
      </c>
      <c r="DO270">
        <v>3.55</v>
      </c>
      <c r="DP270" t="s">
        <v>81</v>
      </c>
      <c r="DQ270" t="s">
        <v>300</v>
      </c>
      <c r="DR270">
        <v>3.65</v>
      </c>
      <c r="DS270" t="s">
        <v>81</v>
      </c>
      <c r="DU270">
        <v>101.95</v>
      </c>
      <c r="DV270" t="e">
        <v>#N/A</v>
      </c>
      <c r="DX270">
        <v>101.95</v>
      </c>
      <c r="DY270" t="e">
        <v>#N/A</v>
      </c>
      <c r="DZ270" t="s">
        <v>1097</v>
      </c>
      <c r="EA270">
        <v>101.01</v>
      </c>
      <c r="EB270" t="e">
        <v>#N/A</v>
      </c>
      <c r="ED270">
        <v>101.95</v>
      </c>
      <c r="EE270" t="e">
        <v>#N/A</v>
      </c>
      <c r="EF270" t="s">
        <v>1035</v>
      </c>
      <c r="EG270">
        <v>102</v>
      </c>
      <c r="EH270" t="e">
        <v>#N/A</v>
      </c>
      <c r="EI270" t="s">
        <v>1035</v>
      </c>
      <c r="EJ270">
        <v>102</v>
      </c>
      <c r="EK270" t="e">
        <v>#N/A</v>
      </c>
    </row>
    <row r="271" spans="1:141">
      <c r="A271" t="s">
        <v>679</v>
      </c>
      <c r="B271">
        <v>1068.92</v>
      </c>
      <c r="C271" t="e">
        <v>#N/A</v>
      </c>
      <c r="D271" t="s">
        <v>679</v>
      </c>
      <c r="E271">
        <v>1068.92</v>
      </c>
      <c r="F271" t="e">
        <v>#N/A</v>
      </c>
      <c r="G271" t="s">
        <v>679</v>
      </c>
      <c r="H271">
        <v>1068.08</v>
      </c>
      <c r="I271" t="e">
        <v>#N/A</v>
      </c>
      <c r="J271" t="s">
        <v>679</v>
      </c>
      <c r="K271">
        <v>1068.08</v>
      </c>
      <c r="L271" t="e">
        <v>#N/A</v>
      </c>
      <c r="M271" t="s">
        <v>679</v>
      </c>
      <c r="N271">
        <v>1068.08</v>
      </c>
      <c r="O271" t="e">
        <v>#N/A</v>
      </c>
      <c r="P271" t="s">
        <v>327</v>
      </c>
      <c r="Q271">
        <v>90</v>
      </c>
      <c r="R271" t="s">
        <v>297</v>
      </c>
      <c r="S271" t="s">
        <v>679</v>
      </c>
      <c r="T271">
        <v>1068.08</v>
      </c>
      <c r="U271" t="e">
        <v>#N/A</v>
      </c>
      <c r="V271" t="s">
        <v>679</v>
      </c>
      <c r="W271">
        <v>1068.92</v>
      </c>
      <c r="X271" t="e">
        <v>#N/A</v>
      </c>
      <c r="Y271" t="s">
        <v>679</v>
      </c>
      <c r="Z271">
        <v>1068.92</v>
      </c>
      <c r="AA271" t="e">
        <v>#N/A</v>
      </c>
      <c r="AB271" t="s">
        <v>679</v>
      </c>
      <c r="AC271">
        <v>1068.92</v>
      </c>
      <c r="AD271" t="e">
        <v>#N/A</v>
      </c>
      <c r="AE271" t="s">
        <v>934</v>
      </c>
      <c r="AF271">
        <v>2.84</v>
      </c>
      <c r="AG271" t="e">
        <v>#N/A</v>
      </c>
      <c r="AH271" t="s">
        <v>679</v>
      </c>
      <c r="AI271">
        <v>1068.92</v>
      </c>
      <c r="AJ271" t="e">
        <v>#N/A</v>
      </c>
      <c r="AK271" t="s">
        <v>679</v>
      </c>
      <c r="AL271">
        <v>1068.92</v>
      </c>
      <c r="AM271" t="e">
        <v>#N/A</v>
      </c>
      <c r="AN271" t="s">
        <v>679</v>
      </c>
      <c r="AO271">
        <v>1068.92</v>
      </c>
      <c r="AP271" t="e">
        <v>#N/A</v>
      </c>
      <c r="AQ271" t="s">
        <v>679</v>
      </c>
      <c r="AR271">
        <v>1068.92</v>
      </c>
      <c r="AS271" t="e">
        <v>#N/A</v>
      </c>
      <c r="AT271" t="s">
        <v>679</v>
      </c>
      <c r="AU271">
        <v>1068.92</v>
      </c>
      <c r="AV271" t="e">
        <v>#N/A</v>
      </c>
      <c r="AW271" t="s">
        <v>679</v>
      </c>
      <c r="AX271">
        <v>1068.92</v>
      </c>
      <c r="AY271" t="e">
        <v>#N/A</v>
      </c>
      <c r="AZ271" t="s">
        <v>679</v>
      </c>
      <c r="BA271">
        <v>1068.08</v>
      </c>
      <c r="BB271" t="e">
        <v>#N/A</v>
      </c>
      <c r="BC271" t="s">
        <v>679</v>
      </c>
      <c r="BD271">
        <v>1068.08</v>
      </c>
      <c r="BE271" t="e">
        <v>#N/A</v>
      </c>
      <c r="BF271" t="s">
        <v>679</v>
      </c>
      <c r="BG271">
        <v>1068.08</v>
      </c>
      <c r="BH271" t="e">
        <v>#N/A</v>
      </c>
      <c r="BI271" t="s">
        <v>679</v>
      </c>
      <c r="BJ271">
        <v>1068.08</v>
      </c>
      <c r="BK271" t="e">
        <v>#N/A</v>
      </c>
      <c r="BL271" t="s">
        <v>300</v>
      </c>
      <c r="BM271">
        <v>3.26</v>
      </c>
      <c r="BN271" t="s">
        <v>81</v>
      </c>
      <c r="BO271" t="s">
        <v>300</v>
      </c>
      <c r="BP271">
        <v>3.24</v>
      </c>
      <c r="BQ271" t="s">
        <v>81</v>
      </c>
      <c r="BR271" t="s">
        <v>300</v>
      </c>
      <c r="BS271">
        <v>3.39</v>
      </c>
      <c r="BT271" t="s">
        <v>81</v>
      </c>
      <c r="BU271" t="s">
        <v>300</v>
      </c>
      <c r="BV271">
        <v>3.36</v>
      </c>
      <c r="BW271" t="s">
        <v>81</v>
      </c>
      <c r="BX271" t="s">
        <v>300</v>
      </c>
      <c r="BY271">
        <v>3.36</v>
      </c>
      <c r="BZ271" t="s">
        <v>81</v>
      </c>
      <c r="CA271" t="s">
        <v>656</v>
      </c>
      <c r="CB271">
        <v>122</v>
      </c>
      <c r="CC271" t="s">
        <v>688</v>
      </c>
      <c r="CD271" t="s">
        <v>300</v>
      </c>
      <c r="CE271">
        <v>3.35</v>
      </c>
      <c r="CF271" t="s">
        <v>81</v>
      </c>
      <c r="CG271" t="s">
        <v>300</v>
      </c>
      <c r="CH271">
        <v>3.36</v>
      </c>
      <c r="CI271" t="s">
        <v>81</v>
      </c>
      <c r="CJ271" t="s">
        <v>300</v>
      </c>
      <c r="CK271">
        <v>3.35</v>
      </c>
      <c r="CL271" t="s">
        <v>81</v>
      </c>
      <c r="CM271" t="s">
        <v>300</v>
      </c>
      <c r="CN271">
        <v>3.31</v>
      </c>
      <c r="CO271" t="s">
        <v>81</v>
      </c>
      <c r="CP271" t="s">
        <v>300</v>
      </c>
      <c r="CQ271">
        <v>3.31</v>
      </c>
      <c r="CR271" t="s">
        <v>81</v>
      </c>
      <c r="CS271" t="s">
        <v>300</v>
      </c>
      <c r="CT271">
        <v>3.34</v>
      </c>
      <c r="CU271" t="s">
        <v>81</v>
      </c>
      <c r="CV271" t="s">
        <v>300</v>
      </c>
      <c r="CW271">
        <v>3.27</v>
      </c>
      <c r="CX271" t="s">
        <v>81</v>
      </c>
      <c r="CY271" t="s">
        <v>300</v>
      </c>
      <c r="CZ271">
        <v>3.28</v>
      </c>
      <c r="DA271" t="s">
        <v>81</v>
      </c>
      <c r="DB271" t="s">
        <v>300</v>
      </c>
      <c r="DC271">
        <v>3.3</v>
      </c>
      <c r="DD271" t="s">
        <v>81</v>
      </c>
      <c r="DE271" t="s">
        <v>300</v>
      </c>
      <c r="DF271">
        <v>3.3</v>
      </c>
      <c r="DG271" t="s">
        <v>81</v>
      </c>
      <c r="DH271" t="s">
        <v>300</v>
      </c>
      <c r="DI271">
        <v>3.44</v>
      </c>
      <c r="DJ271" t="s">
        <v>81</v>
      </c>
      <c r="DK271" t="s">
        <v>679</v>
      </c>
      <c r="DL271">
        <v>1068.92</v>
      </c>
      <c r="DM271" t="e">
        <v>#N/A</v>
      </c>
      <c r="DN271" t="s">
        <v>995</v>
      </c>
      <c r="DO271">
        <v>85</v>
      </c>
      <c r="DP271" t="e">
        <v>#N/A</v>
      </c>
      <c r="DQ271" t="s">
        <v>679</v>
      </c>
      <c r="DR271">
        <v>1068.92</v>
      </c>
      <c r="DS271" t="e">
        <v>#N/A</v>
      </c>
      <c r="DT271" t="s">
        <v>879</v>
      </c>
      <c r="DU271">
        <v>8.5399999999999991</v>
      </c>
      <c r="DV271" t="e">
        <v>#N/A</v>
      </c>
      <c r="DW271" t="s">
        <v>1097</v>
      </c>
      <c r="DX271">
        <v>101.01</v>
      </c>
      <c r="DY271" t="e">
        <v>#N/A</v>
      </c>
      <c r="DZ271" t="s">
        <v>722</v>
      </c>
      <c r="EA271">
        <v>1005.45</v>
      </c>
      <c r="EB271" t="e">
        <v>#N/A</v>
      </c>
      <c r="EC271" t="s">
        <v>1097</v>
      </c>
      <c r="ED271">
        <v>101.01</v>
      </c>
      <c r="EE271" t="e">
        <v>#N/A</v>
      </c>
      <c r="EG271">
        <v>101.95</v>
      </c>
      <c r="EH271" t="e">
        <v>#N/A</v>
      </c>
      <c r="EJ271">
        <v>101.95</v>
      </c>
      <c r="EK271" t="e">
        <v>#N/A</v>
      </c>
    </row>
    <row r="272" spans="1:141">
      <c r="A272" t="s">
        <v>679</v>
      </c>
      <c r="B272">
        <v>1068.08</v>
      </c>
      <c r="C272" t="e">
        <v>#N/A</v>
      </c>
      <c r="D272" t="s">
        <v>679</v>
      </c>
      <c r="E272">
        <v>1068.08</v>
      </c>
      <c r="F272" t="e">
        <v>#N/A</v>
      </c>
      <c r="G272" t="s">
        <v>679</v>
      </c>
      <c r="H272">
        <v>1067.3499999999999</v>
      </c>
      <c r="I272" t="e">
        <v>#N/A</v>
      </c>
      <c r="J272" t="s">
        <v>679</v>
      </c>
      <c r="K272">
        <v>1067.3499999999999</v>
      </c>
      <c r="L272" t="e">
        <v>#N/A</v>
      </c>
      <c r="M272" t="s">
        <v>679</v>
      </c>
      <c r="N272">
        <v>1067.3499999999999</v>
      </c>
      <c r="O272" t="e">
        <v>#N/A</v>
      </c>
      <c r="P272" t="s">
        <v>298</v>
      </c>
      <c r="Q272">
        <v>3.85</v>
      </c>
      <c r="R272" t="s">
        <v>299</v>
      </c>
      <c r="S272" t="s">
        <v>679</v>
      </c>
      <c r="T272">
        <v>1067.3499999999999</v>
      </c>
      <c r="U272" t="e">
        <v>#N/A</v>
      </c>
      <c r="V272" t="s">
        <v>679</v>
      </c>
      <c r="W272">
        <v>1068.08</v>
      </c>
      <c r="X272" t="e">
        <v>#N/A</v>
      </c>
      <c r="Y272" t="s">
        <v>679</v>
      </c>
      <c r="Z272">
        <v>1068.08</v>
      </c>
      <c r="AA272" t="e">
        <v>#N/A</v>
      </c>
      <c r="AB272" t="s">
        <v>679</v>
      </c>
      <c r="AC272">
        <v>1068.08</v>
      </c>
      <c r="AD272" t="e">
        <v>#N/A</v>
      </c>
      <c r="AE272" t="s">
        <v>679</v>
      </c>
      <c r="AF272">
        <v>1068.92</v>
      </c>
      <c r="AG272" t="e">
        <v>#N/A</v>
      </c>
      <c r="AH272" t="s">
        <v>679</v>
      </c>
      <c r="AI272">
        <v>1068.08</v>
      </c>
      <c r="AJ272" t="e">
        <v>#N/A</v>
      </c>
      <c r="AK272" t="s">
        <v>679</v>
      </c>
      <c r="AL272">
        <v>1068.08</v>
      </c>
      <c r="AM272" t="e">
        <v>#N/A</v>
      </c>
      <c r="AN272" t="s">
        <v>679</v>
      </c>
      <c r="AO272">
        <v>1068.08</v>
      </c>
      <c r="AP272" t="e">
        <v>#N/A</v>
      </c>
      <c r="AQ272" t="s">
        <v>679</v>
      </c>
      <c r="AR272">
        <v>1068.08</v>
      </c>
      <c r="AS272" t="e">
        <v>#N/A</v>
      </c>
      <c r="AT272" t="s">
        <v>679</v>
      </c>
      <c r="AU272">
        <v>1068.08</v>
      </c>
      <c r="AV272" t="e">
        <v>#N/A</v>
      </c>
      <c r="AW272" t="s">
        <v>679</v>
      </c>
      <c r="AX272">
        <v>1068.08</v>
      </c>
      <c r="AY272" t="e">
        <v>#N/A</v>
      </c>
      <c r="AZ272" t="s">
        <v>679</v>
      </c>
      <c r="BA272">
        <v>1067.3499999999999</v>
      </c>
      <c r="BB272" t="e">
        <v>#N/A</v>
      </c>
      <c r="BC272" t="s">
        <v>679</v>
      </c>
      <c r="BD272">
        <v>1067.3499999999999</v>
      </c>
      <c r="BE272" t="e">
        <v>#N/A</v>
      </c>
      <c r="BF272" t="s">
        <v>679</v>
      </c>
      <c r="BG272">
        <v>1067.3499999999999</v>
      </c>
      <c r="BH272" t="e">
        <v>#N/A</v>
      </c>
      <c r="BI272" t="s">
        <v>679</v>
      </c>
      <c r="BJ272">
        <v>1067.3499999999999</v>
      </c>
      <c r="BK272" t="e">
        <v>#N/A</v>
      </c>
      <c r="BL272" t="s">
        <v>679</v>
      </c>
      <c r="BM272">
        <v>1068.92</v>
      </c>
      <c r="BN272" t="e">
        <v>#N/A</v>
      </c>
      <c r="BO272" t="s">
        <v>995</v>
      </c>
      <c r="BP272">
        <v>22.3</v>
      </c>
      <c r="BQ272" t="e">
        <v>#N/A</v>
      </c>
      <c r="BR272" t="s">
        <v>995</v>
      </c>
      <c r="BS272">
        <v>22.3</v>
      </c>
      <c r="BT272" t="e">
        <v>#N/A</v>
      </c>
      <c r="BU272" t="s">
        <v>995</v>
      </c>
      <c r="BV272">
        <v>33</v>
      </c>
      <c r="BW272" t="e">
        <v>#N/A</v>
      </c>
      <c r="BX272" t="s">
        <v>995</v>
      </c>
      <c r="BY272">
        <v>33</v>
      </c>
      <c r="BZ272" t="e">
        <v>#N/A</v>
      </c>
      <c r="CA272" t="s">
        <v>323</v>
      </c>
      <c r="CB272">
        <v>293.26</v>
      </c>
      <c r="CC272" t="s">
        <v>49</v>
      </c>
      <c r="CD272" t="s">
        <v>722</v>
      </c>
      <c r="CE272">
        <v>1016.32</v>
      </c>
      <c r="CF272" t="e">
        <v>#N/A</v>
      </c>
      <c r="CG272" t="s">
        <v>679</v>
      </c>
      <c r="CH272">
        <v>1068.92</v>
      </c>
      <c r="CI272" t="e">
        <v>#N/A</v>
      </c>
      <c r="CJ272" t="s">
        <v>995</v>
      </c>
      <c r="CK272">
        <v>45.58</v>
      </c>
      <c r="CL272" t="e">
        <v>#N/A</v>
      </c>
      <c r="CM272" t="s">
        <v>995</v>
      </c>
      <c r="CN272">
        <v>45.58</v>
      </c>
      <c r="CO272" t="e">
        <v>#N/A</v>
      </c>
      <c r="CP272" t="s">
        <v>679</v>
      </c>
      <c r="CQ272">
        <v>1068.92</v>
      </c>
      <c r="CR272" t="e">
        <v>#N/A</v>
      </c>
      <c r="CS272" t="s">
        <v>679</v>
      </c>
      <c r="CT272">
        <v>1068.92</v>
      </c>
      <c r="CU272" t="e">
        <v>#N/A</v>
      </c>
      <c r="CV272" t="s">
        <v>995</v>
      </c>
      <c r="CW272">
        <v>39.5</v>
      </c>
      <c r="CX272" t="e">
        <v>#N/A</v>
      </c>
      <c r="CY272" t="s">
        <v>995</v>
      </c>
      <c r="CZ272">
        <v>39.5</v>
      </c>
      <c r="DA272" t="e">
        <v>#N/A</v>
      </c>
      <c r="DB272" t="s">
        <v>995</v>
      </c>
      <c r="DC272">
        <v>55</v>
      </c>
      <c r="DD272" t="e">
        <v>#N/A</v>
      </c>
      <c r="DE272" t="s">
        <v>995</v>
      </c>
      <c r="DF272">
        <v>55</v>
      </c>
      <c r="DG272" t="e">
        <v>#N/A</v>
      </c>
      <c r="DH272" t="s">
        <v>679</v>
      </c>
      <c r="DI272">
        <v>1068.92</v>
      </c>
      <c r="DJ272" t="e">
        <v>#N/A</v>
      </c>
      <c r="DK272" t="s">
        <v>679</v>
      </c>
      <c r="DL272">
        <v>1068.08</v>
      </c>
      <c r="DM272" t="e">
        <v>#N/A</v>
      </c>
      <c r="DN272" t="s">
        <v>879</v>
      </c>
      <c r="DO272">
        <v>9.2899999999999991</v>
      </c>
      <c r="DP272" t="e">
        <v>#N/A</v>
      </c>
      <c r="DQ272" t="s">
        <v>679</v>
      </c>
      <c r="DR272">
        <v>1068.08</v>
      </c>
      <c r="DS272" t="e">
        <v>#N/A</v>
      </c>
      <c r="DT272" t="s">
        <v>1075</v>
      </c>
      <c r="DU272">
        <v>1.03</v>
      </c>
      <c r="DV272" t="e">
        <v>#N/A</v>
      </c>
      <c r="DW272" t="s">
        <v>722</v>
      </c>
      <c r="DX272">
        <v>1005.45</v>
      </c>
      <c r="DY272" t="e">
        <v>#N/A</v>
      </c>
      <c r="DZ272" t="s">
        <v>665</v>
      </c>
      <c r="EA272">
        <v>23.08</v>
      </c>
      <c r="EB272" t="e">
        <v>#N/A</v>
      </c>
      <c r="EC272" t="s">
        <v>722</v>
      </c>
      <c r="ED272">
        <v>1005.45</v>
      </c>
      <c r="EE272" t="e">
        <v>#N/A</v>
      </c>
      <c r="EF272" t="s">
        <v>1097</v>
      </c>
      <c r="EG272">
        <v>101.01</v>
      </c>
      <c r="EH272" t="e">
        <v>#N/A</v>
      </c>
      <c r="EI272" t="s">
        <v>1097</v>
      </c>
      <c r="EJ272">
        <v>101.01</v>
      </c>
      <c r="EK272" t="e">
        <v>#N/A</v>
      </c>
    </row>
    <row r="273" spans="1:141">
      <c r="A273" t="s">
        <v>679</v>
      </c>
      <c r="B273">
        <v>1067.3499999999999</v>
      </c>
      <c r="C273" t="e">
        <v>#N/A</v>
      </c>
      <c r="D273" t="s">
        <v>679</v>
      </c>
      <c r="E273">
        <v>1067.3499999999999</v>
      </c>
      <c r="F273" t="e">
        <v>#N/A</v>
      </c>
      <c r="G273" t="s">
        <v>679</v>
      </c>
      <c r="H273">
        <v>1066.5</v>
      </c>
      <c r="I273" t="e">
        <v>#N/A</v>
      </c>
      <c r="J273" t="s">
        <v>679</v>
      </c>
      <c r="K273">
        <v>1066.5</v>
      </c>
      <c r="L273" t="e">
        <v>#N/A</v>
      </c>
      <c r="M273" t="s">
        <v>679</v>
      </c>
      <c r="N273">
        <v>1066.5</v>
      </c>
      <c r="O273" t="e">
        <v>#N/A</v>
      </c>
      <c r="P273" t="s">
        <v>300</v>
      </c>
      <c r="Q273">
        <v>3.38</v>
      </c>
      <c r="R273" t="s">
        <v>81</v>
      </c>
      <c r="S273" t="s">
        <v>679</v>
      </c>
      <c r="T273">
        <v>1066.5</v>
      </c>
      <c r="U273" t="e">
        <v>#N/A</v>
      </c>
      <c r="V273" t="s">
        <v>679</v>
      </c>
      <c r="W273">
        <v>1067.3499999999999</v>
      </c>
      <c r="X273" t="e">
        <v>#N/A</v>
      </c>
      <c r="Y273" t="s">
        <v>679</v>
      </c>
      <c r="Z273">
        <v>1067.3499999999999</v>
      </c>
      <c r="AA273" t="e">
        <v>#N/A</v>
      </c>
      <c r="AB273" t="s">
        <v>679</v>
      </c>
      <c r="AC273">
        <v>1067.3499999999999</v>
      </c>
      <c r="AD273" t="e">
        <v>#N/A</v>
      </c>
      <c r="AE273" t="s">
        <v>679</v>
      </c>
      <c r="AF273">
        <v>1068.08</v>
      </c>
      <c r="AG273" t="e">
        <v>#N/A</v>
      </c>
      <c r="AH273" t="s">
        <v>679</v>
      </c>
      <c r="AI273">
        <v>1067.3499999999999</v>
      </c>
      <c r="AJ273" t="e">
        <v>#N/A</v>
      </c>
      <c r="AK273" t="s">
        <v>679</v>
      </c>
      <c r="AL273">
        <v>1067.3499999999999</v>
      </c>
      <c r="AM273" t="e">
        <v>#N/A</v>
      </c>
      <c r="AN273" t="s">
        <v>679</v>
      </c>
      <c r="AO273">
        <v>1067.3499999999999</v>
      </c>
      <c r="AP273" t="e">
        <v>#N/A</v>
      </c>
      <c r="AQ273" t="s">
        <v>679</v>
      </c>
      <c r="AR273">
        <v>1067.3499999999999</v>
      </c>
      <c r="AS273" t="e">
        <v>#N/A</v>
      </c>
      <c r="AT273" t="s">
        <v>679</v>
      </c>
      <c r="AU273">
        <v>1067.3499999999999</v>
      </c>
      <c r="AV273" t="e">
        <v>#N/A</v>
      </c>
      <c r="AW273" t="s">
        <v>679</v>
      </c>
      <c r="AX273">
        <v>1067.3499999999999</v>
      </c>
      <c r="AY273" t="e">
        <v>#N/A</v>
      </c>
      <c r="AZ273" t="s">
        <v>679</v>
      </c>
      <c r="BA273">
        <v>1066.5</v>
      </c>
      <c r="BB273" t="e">
        <v>#N/A</v>
      </c>
      <c r="BC273" t="s">
        <v>679</v>
      </c>
      <c r="BD273">
        <v>1066.5</v>
      </c>
      <c r="BE273" t="e">
        <v>#N/A</v>
      </c>
      <c r="BF273" t="s">
        <v>679</v>
      </c>
      <c r="BG273">
        <v>1066.5</v>
      </c>
      <c r="BH273" t="e">
        <v>#N/A</v>
      </c>
      <c r="BI273" t="s">
        <v>679</v>
      </c>
      <c r="BJ273">
        <v>1066.5</v>
      </c>
      <c r="BK273" t="e">
        <v>#N/A</v>
      </c>
      <c r="BL273" t="s">
        <v>679</v>
      </c>
      <c r="BM273">
        <v>1068.08</v>
      </c>
      <c r="BN273" t="e">
        <v>#N/A</v>
      </c>
      <c r="BO273" t="s">
        <v>679</v>
      </c>
      <c r="BP273">
        <v>1068.92</v>
      </c>
      <c r="BQ273" t="e">
        <v>#N/A</v>
      </c>
      <c r="BR273" t="s">
        <v>679</v>
      </c>
      <c r="BS273">
        <v>1068.92</v>
      </c>
      <c r="BT273" t="e">
        <v>#N/A</v>
      </c>
      <c r="BU273" t="s">
        <v>679</v>
      </c>
      <c r="BV273">
        <v>1068.92</v>
      </c>
      <c r="BW273" t="e">
        <v>#N/A</v>
      </c>
      <c r="BX273" t="s">
        <v>679</v>
      </c>
      <c r="BY273">
        <v>1068.92</v>
      </c>
      <c r="BZ273" t="e">
        <v>#N/A</v>
      </c>
      <c r="CA273" t="s">
        <v>327</v>
      </c>
      <c r="CB273">
        <v>95</v>
      </c>
      <c r="CC273" t="s">
        <v>297</v>
      </c>
      <c r="CD273" t="s">
        <v>679</v>
      </c>
      <c r="CE273">
        <v>1068.92</v>
      </c>
      <c r="CF273" t="e">
        <v>#N/A</v>
      </c>
      <c r="CG273" t="s">
        <v>679</v>
      </c>
      <c r="CH273">
        <v>1068.08</v>
      </c>
      <c r="CI273" t="e">
        <v>#N/A</v>
      </c>
      <c r="CJ273" t="s">
        <v>679</v>
      </c>
      <c r="CK273">
        <v>1068.92</v>
      </c>
      <c r="CL273" t="e">
        <v>#N/A</v>
      </c>
      <c r="CM273" t="s">
        <v>679</v>
      </c>
      <c r="CN273">
        <v>1068.92</v>
      </c>
      <c r="CO273" t="e">
        <v>#N/A</v>
      </c>
      <c r="CP273" t="s">
        <v>679</v>
      </c>
      <c r="CQ273">
        <v>1068.08</v>
      </c>
      <c r="CR273" t="e">
        <v>#N/A</v>
      </c>
      <c r="CS273" t="s">
        <v>679</v>
      </c>
      <c r="CT273">
        <v>1068.08</v>
      </c>
      <c r="CU273" t="e">
        <v>#N/A</v>
      </c>
      <c r="CV273" t="s">
        <v>679</v>
      </c>
      <c r="CW273">
        <v>1068.92</v>
      </c>
      <c r="CX273" t="e">
        <v>#N/A</v>
      </c>
      <c r="CY273" t="s">
        <v>679</v>
      </c>
      <c r="CZ273">
        <v>1068.92</v>
      </c>
      <c r="DA273" t="e">
        <v>#N/A</v>
      </c>
      <c r="DB273" t="s">
        <v>679</v>
      </c>
      <c r="DC273">
        <v>1068.92</v>
      </c>
      <c r="DD273" t="e">
        <v>#N/A</v>
      </c>
      <c r="DE273" t="s">
        <v>679</v>
      </c>
      <c r="DF273">
        <v>1068.92</v>
      </c>
      <c r="DG273" t="e">
        <v>#N/A</v>
      </c>
      <c r="DH273" t="s">
        <v>679</v>
      </c>
      <c r="DI273">
        <v>1068.08</v>
      </c>
      <c r="DJ273" t="e">
        <v>#N/A</v>
      </c>
      <c r="DK273" t="s">
        <v>679</v>
      </c>
      <c r="DL273">
        <v>1067.3499999999999</v>
      </c>
      <c r="DM273" t="e">
        <v>#N/A</v>
      </c>
      <c r="DN273" t="s">
        <v>679</v>
      </c>
      <c r="DO273">
        <v>1068.92</v>
      </c>
      <c r="DP273" t="e">
        <v>#N/A</v>
      </c>
      <c r="DQ273" t="s">
        <v>679</v>
      </c>
      <c r="DR273">
        <v>1067.3499999999999</v>
      </c>
      <c r="DS273" t="e">
        <v>#N/A</v>
      </c>
      <c r="DT273" t="s">
        <v>1097</v>
      </c>
      <c r="DU273">
        <v>101.01</v>
      </c>
      <c r="DV273" t="e">
        <v>#N/A</v>
      </c>
      <c r="DW273" t="s">
        <v>665</v>
      </c>
      <c r="DX273">
        <v>23.08</v>
      </c>
      <c r="DY273" t="e">
        <v>#N/A</v>
      </c>
      <c r="DZ273" t="s">
        <v>722</v>
      </c>
      <c r="EA273">
        <v>998.33</v>
      </c>
      <c r="EB273" t="e">
        <v>#N/A</v>
      </c>
      <c r="EC273" t="s">
        <v>665</v>
      </c>
      <c r="ED273">
        <v>23.08</v>
      </c>
      <c r="EE273" t="e">
        <v>#N/A</v>
      </c>
      <c r="EF273" t="s">
        <v>722</v>
      </c>
      <c r="EG273">
        <v>1005.45</v>
      </c>
      <c r="EH273" t="e">
        <v>#N/A</v>
      </c>
      <c r="EI273" t="s">
        <v>722</v>
      </c>
      <c r="EJ273">
        <v>1005.45</v>
      </c>
      <c r="EK273" t="e">
        <v>#N/A</v>
      </c>
    </row>
    <row r="274" spans="1:141">
      <c r="A274" t="s">
        <v>679</v>
      </c>
      <c r="B274">
        <v>1066.5</v>
      </c>
      <c r="C274" t="e">
        <v>#N/A</v>
      </c>
      <c r="D274" t="s">
        <v>679</v>
      </c>
      <c r="E274">
        <v>1066.5</v>
      </c>
      <c r="F274" t="e">
        <v>#N/A</v>
      </c>
      <c r="G274" t="s">
        <v>722</v>
      </c>
      <c r="H274">
        <v>0.86</v>
      </c>
      <c r="I274" t="e">
        <v>#N/A</v>
      </c>
      <c r="J274" t="s">
        <v>722</v>
      </c>
      <c r="K274">
        <v>0.86</v>
      </c>
      <c r="L274" t="e">
        <v>#N/A</v>
      </c>
      <c r="M274" t="s">
        <v>722</v>
      </c>
      <c r="N274">
        <v>0.86</v>
      </c>
      <c r="O274" t="e">
        <v>#N/A</v>
      </c>
      <c r="P274" t="s">
        <v>679</v>
      </c>
      <c r="Q274">
        <v>1068.92</v>
      </c>
      <c r="R274" t="e">
        <v>#N/A</v>
      </c>
      <c r="S274" t="s">
        <v>722</v>
      </c>
      <c r="T274">
        <v>1247.17</v>
      </c>
      <c r="U274" t="e">
        <v>#N/A</v>
      </c>
      <c r="V274" t="s">
        <v>679</v>
      </c>
      <c r="W274">
        <v>1066.5</v>
      </c>
      <c r="X274" t="e">
        <v>#N/A</v>
      </c>
      <c r="Y274" t="s">
        <v>679</v>
      </c>
      <c r="Z274">
        <v>1066.5</v>
      </c>
      <c r="AA274" t="e">
        <v>#N/A</v>
      </c>
      <c r="AB274" t="s">
        <v>679</v>
      </c>
      <c r="AC274">
        <v>1066.5</v>
      </c>
      <c r="AD274" t="e">
        <v>#N/A</v>
      </c>
      <c r="AE274" t="s">
        <v>679</v>
      </c>
      <c r="AF274">
        <v>1067.3499999999999</v>
      </c>
      <c r="AG274" t="e">
        <v>#N/A</v>
      </c>
      <c r="AH274" t="s">
        <v>679</v>
      </c>
      <c r="AI274">
        <v>1066.5</v>
      </c>
      <c r="AJ274" t="e">
        <v>#N/A</v>
      </c>
      <c r="AK274" t="s">
        <v>679</v>
      </c>
      <c r="AL274">
        <v>1066.5</v>
      </c>
      <c r="AM274" t="e">
        <v>#N/A</v>
      </c>
      <c r="AN274" t="s">
        <v>679</v>
      </c>
      <c r="AO274">
        <v>1066.5</v>
      </c>
      <c r="AP274" t="e">
        <v>#N/A</v>
      </c>
      <c r="AQ274" t="s">
        <v>679</v>
      </c>
      <c r="AR274">
        <v>1066.5</v>
      </c>
      <c r="AS274" t="e">
        <v>#N/A</v>
      </c>
      <c r="AT274" t="s">
        <v>679</v>
      </c>
      <c r="AU274">
        <v>1066.5</v>
      </c>
      <c r="AV274" t="e">
        <v>#N/A</v>
      </c>
      <c r="AW274" t="s">
        <v>679</v>
      </c>
      <c r="AX274">
        <v>1066.5</v>
      </c>
      <c r="AY274" t="e">
        <v>#N/A</v>
      </c>
      <c r="AZ274" t="s">
        <v>722</v>
      </c>
      <c r="BA274">
        <v>1247.17</v>
      </c>
      <c r="BB274" t="e">
        <v>#N/A</v>
      </c>
      <c r="BC274" t="s">
        <v>722</v>
      </c>
      <c r="BD274">
        <v>1247.17</v>
      </c>
      <c r="BE274" t="e">
        <v>#N/A</v>
      </c>
      <c r="BF274" t="s">
        <v>722</v>
      </c>
      <c r="BG274">
        <v>1247.17</v>
      </c>
      <c r="BH274" t="e">
        <v>#N/A</v>
      </c>
      <c r="BI274" t="s">
        <v>722</v>
      </c>
      <c r="BJ274">
        <v>1247.17</v>
      </c>
      <c r="BK274" t="e">
        <v>#N/A</v>
      </c>
      <c r="BL274" t="s">
        <v>679</v>
      </c>
      <c r="BM274">
        <v>1067.3499999999999</v>
      </c>
      <c r="BN274" t="e">
        <v>#N/A</v>
      </c>
      <c r="BO274" t="s">
        <v>679</v>
      </c>
      <c r="BP274">
        <v>1068.08</v>
      </c>
      <c r="BQ274" t="e">
        <v>#N/A</v>
      </c>
      <c r="BR274" t="s">
        <v>679</v>
      </c>
      <c r="BS274">
        <v>1068.08</v>
      </c>
      <c r="BT274" t="e">
        <v>#N/A</v>
      </c>
      <c r="BU274" t="s">
        <v>679</v>
      </c>
      <c r="BV274">
        <v>1068.08</v>
      </c>
      <c r="BW274" t="e">
        <v>#N/A</v>
      </c>
      <c r="BX274" t="s">
        <v>679</v>
      </c>
      <c r="BY274">
        <v>1068.08</v>
      </c>
      <c r="BZ274" t="e">
        <v>#N/A</v>
      </c>
      <c r="CA274" t="s">
        <v>298</v>
      </c>
      <c r="CB274">
        <v>3.52</v>
      </c>
      <c r="CC274" t="s">
        <v>299</v>
      </c>
      <c r="CD274" t="s">
        <v>679</v>
      </c>
      <c r="CE274">
        <v>1068.08</v>
      </c>
      <c r="CF274" t="e">
        <v>#N/A</v>
      </c>
      <c r="CG274" t="s">
        <v>679</v>
      </c>
      <c r="CH274">
        <v>1067.3499999999999</v>
      </c>
      <c r="CI274" t="e">
        <v>#N/A</v>
      </c>
      <c r="CJ274" t="s">
        <v>679</v>
      </c>
      <c r="CK274">
        <v>1068.08</v>
      </c>
      <c r="CL274" t="e">
        <v>#N/A</v>
      </c>
      <c r="CM274" t="s">
        <v>679</v>
      </c>
      <c r="CN274">
        <v>1068.08</v>
      </c>
      <c r="CO274" t="e">
        <v>#N/A</v>
      </c>
      <c r="CP274" t="s">
        <v>679</v>
      </c>
      <c r="CQ274">
        <v>1067.3499999999999</v>
      </c>
      <c r="CR274" t="e">
        <v>#N/A</v>
      </c>
      <c r="CS274" t="s">
        <v>679</v>
      </c>
      <c r="CT274">
        <v>1067.3499999999999</v>
      </c>
      <c r="CU274" t="e">
        <v>#N/A</v>
      </c>
      <c r="CV274" t="s">
        <v>679</v>
      </c>
      <c r="CW274">
        <v>1068.08</v>
      </c>
      <c r="CX274" t="e">
        <v>#N/A</v>
      </c>
      <c r="CY274" t="s">
        <v>679</v>
      </c>
      <c r="CZ274">
        <v>1068.08</v>
      </c>
      <c r="DA274" t="e">
        <v>#N/A</v>
      </c>
      <c r="DB274" t="s">
        <v>679</v>
      </c>
      <c r="DC274">
        <v>1068.08</v>
      </c>
      <c r="DD274" t="e">
        <v>#N/A</v>
      </c>
      <c r="DE274" t="s">
        <v>679</v>
      </c>
      <c r="DF274">
        <v>1068.08</v>
      </c>
      <c r="DG274" t="e">
        <v>#N/A</v>
      </c>
      <c r="DH274" t="s">
        <v>679</v>
      </c>
      <c r="DI274">
        <v>1067.3499999999999</v>
      </c>
      <c r="DJ274" t="e">
        <v>#N/A</v>
      </c>
      <c r="DK274" t="s">
        <v>679</v>
      </c>
      <c r="DL274">
        <v>1066.5</v>
      </c>
      <c r="DM274" t="e">
        <v>#N/A</v>
      </c>
      <c r="DN274" t="s">
        <v>679</v>
      </c>
      <c r="DO274">
        <v>1068.08</v>
      </c>
      <c r="DP274" t="e">
        <v>#N/A</v>
      </c>
      <c r="DQ274" t="s">
        <v>679</v>
      </c>
      <c r="DR274">
        <v>1066.5</v>
      </c>
      <c r="DS274" t="e">
        <v>#N/A</v>
      </c>
      <c r="DT274" t="s">
        <v>722</v>
      </c>
      <c r="DU274">
        <v>1005.45</v>
      </c>
      <c r="DV274" t="e">
        <v>#N/A</v>
      </c>
      <c r="DW274" t="s">
        <v>722</v>
      </c>
      <c r="DX274">
        <v>998.33</v>
      </c>
      <c r="DY274" t="e">
        <v>#N/A</v>
      </c>
      <c r="DZ274" t="s">
        <v>758</v>
      </c>
      <c r="EA274">
        <v>68.180000000000007</v>
      </c>
      <c r="EB274" t="e">
        <v>#N/A</v>
      </c>
      <c r="EC274" t="s">
        <v>722</v>
      </c>
      <c r="ED274">
        <v>998.33</v>
      </c>
      <c r="EE274" t="e">
        <v>#N/A</v>
      </c>
      <c r="EF274" t="s">
        <v>665</v>
      </c>
      <c r="EG274">
        <v>23.08</v>
      </c>
      <c r="EH274" t="e">
        <v>#N/A</v>
      </c>
      <c r="EI274" t="s">
        <v>665</v>
      </c>
      <c r="EJ274">
        <v>23.08</v>
      </c>
      <c r="EK274" t="e">
        <v>#N/A</v>
      </c>
    </row>
    <row r="275" spans="1:141">
      <c r="A275" t="s">
        <v>722</v>
      </c>
      <c r="B275">
        <v>0.86</v>
      </c>
      <c r="C275" t="e">
        <v>#N/A</v>
      </c>
      <c r="D275" t="s">
        <v>722</v>
      </c>
      <c r="E275">
        <v>0.97</v>
      </c>
      <c r="F275" t="e">
        <v>#N/A</v>
      </c>
      <c r="G275" t="s">
        <v>722</v>
      </c>
      <c r="H275">
        <v>1247.17</v>
      </c>
      <c r="I275" t="e">
        <v>#N/A</v>
      </c>
      <c r="J275" t="s">
        <v>722</v>
      </c>
      <c r="K275">
        <v>1247.17</v>
      </c>
      <c r="L275" t="e">
        <v>#N/A</v>
      </c>
      <c r="M275" t="s">
        <v>722</v>
      </c>
      <c r="N275">
        <v>1247.17</v>
      </c>
      <c r="O275" t="e">
        <v>#N/A</v>
      </c>
      <c r="P275" t="s">
        <v>679</v>
      </c>
      <c r="Q275">
        <v>1068.08</v>
      </c>
      <c r="R275" t="e">
        <v>#N/A</v>
      </c>
      <c r="S275" t="s">
        <v>722</v>
      </c>
      <c r="T275">
        <v>1033.67</v>
      </c>
      <c r="U275" t="e">
        <v>#N/A</v>
      </c>
      <c r="V275" t="s">
        <v>722</v>
      </c>
      <c r="W275">
        <v>1247.17</v>
      </c>
      <c r="X275" t="e">
        <v>#N/A</v>
      </c>
      <c r="Y275" t="s">
        <v>722</v>
      </c>
      <c r="Z275">
        <v>1247.17</v>
      </c>
      <c r="AA275" t="e">
        <v>#N/A</v>
      </c>
      <c r="AB275" t="s">
        <v>722</v>
      </c>
      <c r="AC275">
        <v>1247.17</v>
      </c>
      <c r="AD275" t="e">
        <v>#N/A</v>
      </c>
      <c r="AE275" t="s">
        <v>679</v>
      </c>
      <c r="AF275">
        <v>1066.5</v>
      </c>
      <c r="AG275" t="e">
        <v>#N/A</v>
      </c>
      <c r="AH275" t="s">
        <v>722</v>
      </c>
      <c r="AI275">
        <v>1247.17</v>
      </c>
      <c r="AJ275" t="e">
        <v>#N/A</v>
      </c>
      <c r="AK275" t="s">
        <v>722</v>
      </c>
      <c r="AL275">
        <v>1247.17</v>
      </c>
      <c r="AM275" t="e">
        <v>#N/A</v>
      </c>
      <c r="AN275" t="s">
        <v>722</v>
      </c>
      <c r="AO275">
        <v>1247.17</v>
      </c>
      <c r="AP275" t="e">
        <v>#N/A</v>
      </c>
      <c r="AQ275" t="s">
        <v>722</v>
      </c>
      <c r="AR275">
        <v>1247.17</v>
      </c>
      <c r="AS275" t="e">
        <v>#N/A</v>
      </c>
      <c r="AT275" t="s">
        <v>722</v>
      </c>
      <c r="AU275">
        <v>1247.17</v>
      </c>
      <c r="AV275" t="e">
        <v>#N/A</v>
      </c>
      <c r="AW275" t="s">
        <v>722</v>
      </c>
      <c r="AX275">
        <v>1091.3399999999999</v>
      </c>
      <c r="AY275" t="e">
        <v>#N/A</v>
      </c>
      <c r="AZ275" t="s">
        <v>722</v>
      </c>
      <c r="BA275">
        <v>1033.67</v>
      </c>
      <c r="BB275" t="e">
        <v>#N/A</v>
      </c>
      <c r="BC275" t="s">
        <v>722</v>
      </c>
      <c r="BD275">
        <v>1033.67</v>
      </c>
      <c r="BE275" t="e">
        <v>#N/A</v>
      </c>
      <c r="BF275" t="s">
        <v>722</v>
      </c>
      <c r="BG275">
        <v>1033.67</v>
      </c>
      <c r="BH275" t="e">
        <v>#N/A</v>
      </c>
      <c r="BI275" t="s">
        <v>722</v>
      </c>
      <c r="BJ275">
        <v>1033.67</v>
      </c>
      <c r="BK275" t="e">
        <v>#N/A</v>
      </c>
      <c r="BL275" t="s">
        <v>679</v>
      </c>
      <c r="BM275">
        <v>1066.5</v>
      </c>
      <c r="BN275" t="e">
        <v>#N/A</v>
      </c>
      <c r="BO275" t="s">
        <v>679</v>
      </c>
      <c r="BP275">
        <v>1067.3499999999999</v>
      </c>
      <c r="BQ275" t="e">
        <v>#N/A</v>
      </c>
      <c r="BR275" t="s">
        <v>679</v>
      </c>
      <c r="BS275">
        <v>1067.3499999999999</v>
      </c>
      <c r="BT275" t="e">
        <v>#N/A</v>
      </c>
      <c r="BU275" t="s">
        <v>679</v>
      </c>
      <c r="BV275">
        <v>1067.3499999999999</v>
      </c>
      <c r="BW275" t="e">
        <v>#N/A</v>
      </c>
      <c r="BX275" t="s">
        <v>679</v>
      </c>
      <c r="BY275">
        <v>1067.3499999999999</v>
      </c>
      <c r="BZ275" t="e">
        <v>#N/A</v>
      </c>
      <c r="CA275" t="s">
        <v>300</v>
      </c>
      <c r="CB275">
        <v>3.34</v>
      </c>
      <c r="CC275" t="s">
        <v>81</v>
      </c>
      <c r="CD275" t="s">
        <v>679</v>
      </c>
      <c r="CE275">
        <v>1067.3499999999999</v>
      </c>
      <c r="CF275" t="e">
        <v>#N/A</v>
      </c>
      <c r="CG275" t="s">
        <v>679</v>
      </c>
      <c r="CH275">
        <v>1066.5</v>
      </c>
      <c r="CI275" t="e">
        <v>#N/A</v>
      </c>
      <c r="CJ275" t="s">
        <v>679</v>
      </c>
      <c r="CK275">
        <v>1067.3499999999999</v>
      </c>
      <c r="CL275" t="e">
        <v>#N/A</v>
      </c>
      <c r="CM275" t="s">
        <v>679</v>
      </c>
      <c r="CN275">
        <v>1067.3499999999999</v>
      </c>
      <c r="CO275" t="e">
        <v>#N/A</v>
      </c>
      <c r="CP275" t="s">
        <v>679</v>
      </c>
      <c r="CQ275">
        <v>1066.5</v>
      </c>
      <c r="CR275" t="e">
        <v>#N/A</v>
      </c>
      <c r="CS275" t="s">
        <v>679</v>
      </c>
      <c r="CT275">
        <v>1066.5</v>
      </c>
      <c r="CU275" t="e">
        <v>#N/A</v>
      </c>
      <c r="CV275" t="s">
        <v>679</v>
      </c>
      <c r="CW275">
        <v>1067.3499999999999</v>
      </c>
      <c r="CX275" t="e">
        <v>#N/A</v>
      </c>
      <c r="CY275" t="s">
        <v>679</v>
      </c>
      <c r="CZ275">
        <v>1067.3499999999999</v>
      </c>
      <c r="DA275" t="e">
        <v>#N/A</v>
      </c>
      <c r="DB275" t="s">
        <v>679</v>
      </c>
      <c r="DC275">
        <v>1067.3499999999999</v>
      </c>
      <c r="DD275" t="e">
        <v>#N/A</v>
      </c>
      <c r="DE275" t="s">
        <v>679</v>
      </c>
      <c r="DF275">
        <v>1067.3499999999999</v>
      </c>
      <c r="DG275" t="e">
        <v>#N/A</v>
      </c>
      <c r="DH275" t="s">
        <v>679</v>
      </c>
      <c r="DI275">
        <v>1066.5</v>
      </c>
      <c r="DJ275" t="e">
        <v>#N/A</v>
      </c>
      <c r="DK275" t="s">
        <v>722</v>
      </c>
      <c r="DL275">
        <v>1247.17</v>
      </c>
      <c r="DM275" t="e">
        <v>#N/A</v>
      </c>
      <c r="DN275" t="s">
        <v>679</v>
      </c>
      <c r="DO275">
        <v>1067.3499999999999</v>
      </c>
      <c r="DP275" t="e">
        <v>#N/A</v>
      </c>
      <c r="DQ275" t="s">
        <v>722</v>
      </c>
      <c r="DR275">
        <v>1247.17</v>
      </c>
      <c r="DS275" t="e">
        <v>#N/A</v>
      </c>
      <c r="DT275" t="s">
        <v>665</v>
      </c>
      <c r="DU275">
        <v>23.08</v>
      </c>
      <c r="DV275" t="e">
        <v>#N/A</v>
      </c>
      <c r="DW275" t="s">
        <v>758</v>
      </c>
      <c r="DX275">
        <v>68.180000000000007</v>
      </c>
      <c r="DY275" t="e">
        <v>#N/A</v>
      </c>
      <c r="DZ275" t="s">
        <v>722</v>
      </c>
      <c r="EA275">
        <v>1039.0999999999999</v>
      </c>
      <c r="EB275" t="e">
        <v>#N/A</v>
      </c>
      <c r="EC275" t="s">
        <v>758</v>
      </c>
      <c r="ED275">
        <v>68.180000000000007</v>
      </c>
      <c r="EE275" t="e">
        <v>#N/A</v>
      </c>
      <c r="EF275" t="s">
        <v>722</v>
      </c>
      <c r="EG275">
        <v>998.33</v>
      </c>
      <c r="EH275" t="e">
        <v>#N/A</v>
      </c>
      <c r="EI275" t="s">
        <v>722</v>
      </c>
      <c r="EJ275">
        <v>998.33</v>
      </c>
      <c r="EK275" t="e">
        <v>#N/A</v>
      </c>
    </row>
    <row r="276" spans="1:141">
      <c r="A276" t="s">
        <v>722</v>
      </c>
      <c r="B276">
        <v>1247.17</v>
      </c>
      <c r="C276" t="e">
        <v>#N/A</v>
      </c>
      <c r="D276" t="s">
        <v>722</v>
      </c>
      <c r="E276">
        <v>0.86</v>
      </c>
      <c r="F276" t="e">
        <v>#N/A</v>
      </c>
      <c r="G276" t="s">
        <v>722</v>
      </c>
      <c r="H276">
        <v>1033.67</v>
      </c>
      <c r="I276" t="e">
        <v>#N/A</v>
      </c>
      <c r="J276" t="s">
        <v>722</v>
      </c>
      <c r="K276">
        <v>1033.67</v>
      </c>
      <c r="L276" t="e">
        <v>#N/A</v>
      </c>
      <c r="M276" t="s">
        <v>722</v>
      </c>
      <c r="N276">
        <v>1033.67</v>
      </c>
      <c r="O276" t="e">
        <v>#N/A</v>
      </c>
      <c r="P276" t="s">
        <v>679</v>
      </c>
      <c r="Q276">
        <v>1067.3499999999999</v>
      </c>
      <c r="R276" t="e">
        <v>#N/A</v>
      </c>
      <c r="S276" t="s">
        <v>879</v>
      </c>
      <c r="T276">
        <v>10</v>
      </c>
      <c r="U276" t="e">
        <v>#N/A</v>
      </c>
      <c r="V276" t="s">
        <v>722</v>
      </c>
      <c r="W276">
        <v>1033.67</v>
      </c>
      <c r="X276" t="e">
        <v>#N/A</v>
      </c>
      <c r="Y276" t="s">
        <v>722</v>
      </c>
      <c r="Z276">
        <v>1033.67</v>
      </c>
      <c r="AA276" t="e">
        <v>#N/A</v>
      </c>
      <c r="AB276" t="s">
        <v>722</v>
      </c>
      <c r="AC276">
        <v>1033.67</v>
      </c>
      <c r="AD276" t="e">
        <v>#N/A</v>
      </c>
      <c r="AE276" t="s">
        <v>722</v>
      </c>
      <c r="AF276">
        <v>0.85</v>
      </c>
      <c r="AG276" t="e">
        <v>#N/A</v>
      </c>
      <c r="AH276" t="s">
        <v>722</v>
      </c>
      <c r="AI276">
        <v>1033.67</v>
      </c>
      <c r="AJ276" t="e">
        <v>#N/A</v>
      </c>
      <c r="AK276" t="s">
        <v>722</v>
      </c>
      <c r="AL276">
        <v>1033.67</v>
      </c>
      <c r="AM276" t="e">
        <v>#N/A</v>
      </c>
      <c r="AN276" t="s">
        <v>722</v>
      </c>
      <c r="AO276">
        <v>1033.67</v>
      </c>
      <c r="AP276" t="e">
        <v>#N/A</v>
      </c>
      <c r="AQ276" t="s">
        <v>722</v>
      </c>
      <c r="AR276">
        <v>1033.67</v>
      </c>
      <c r="AS276" t="e">
        <v>#N/A</v>
      </c>
      <c r="AT276" t="s">
        <v>722</v>
      </c>
      <c r="AU276">
        <v>1033.67</v>
      </c>
      <c r="AV276" t="e">
        <v>#N/A</v>
      </c>
      <c r="AW276" t="s">
        <v>722</v>
      </c>
      <c r="AX276">
        <v>0.85</v>
      </c>
      <c r="AY276" t="e">
        <v>#N/A</v>
      </c>
      <c r="AZ276" t="s">
        <v>758</v>
      </c>
      <c r="BA276">
        <v>101</v>
      </c>
      <c r="BB276" t="e">
        <v>#N/A</v>
      </c>
      <c r="BC276" t="s">
        <v>758</v>
      </c>
      <c r="BD276">
        <v>101</v>
      </c>
      <c r="BE276" t="e">
        <v>#N/A</v>
      </c>
      <c r="BF276" t="s">
        <v>758</v>
      </c>
      <c r="BG276">
        <v>101</v>
      </c>
      <c r="BH276" t="e">
        <v>#N/A</v>
      </c>
      <c r="BI276" t="s">
        <v>758</v>
      </c>
      <c r="BJ276">
        <v>101</v>
      </c>
      <c r="BK276" t="e">
        <v>#N/A</v>
      </c>
      <c r="BL276" t="s">
        <v>722</v>
      </c>
      <c r="BM276">
        <v>1247.17</v>
      </c>
      <c r="BN276" t="e">
        <v>#N/A</v>
      </c>
      <c r="BO276" t="s">
        <v>679</v>
      </c>
      <c r="BP276">
        <v>1066.5</v>
      </c>
      <c r="BQ276" t="e">
        <v>#N/A</v>
      </c>
      <c r="BR276" t="s">
        <v>679</v>
      </c>
      <c r="BS276">
        <v>1066.5</v>
      </c>
      <c r="BT276" t="e">
        <v>#N/A</v>
      </c>
      <c r="BU276" t="s">
        <v>679</v>
      </c>
      <c r="BV276">
        <v>1066.5</v>
      </c>
      <c r="BW276" t="e">
        <v>#N/A</v>
      </c>
      <c r="BX276" t="s">
        <v>679</v>
      </c>
      <c r="BY276">
        <v>1066.5</v>
      </c>
      <c r="BZ276" t="e">
        <v>#N/A</v>
      </c>
      <c r="CA276" t="s">
        <v>679</v>
      </c>
      <c r="CB276">
        <v>1068.92</v>
      </c>
      <c r="CC276" t="e">
        <v>#N/A</v>
      </c>
      <c r="CD276" t="s">
        <v>679</v>
      </c>
      <c r="CE276">
        <v>1066.5</v>
      </c>
      <c r="CF276" t="e">
        <v>#N/A</v>
      </c>
      <c r="CG276" t="s">
        <v>722</v>
      </c>
      <c r="CH276">
        <v>1247.17</v>
      </c>
      <c r="CI276" t="e">
        <v>#N/A</v>
      </c>
      <c r="CJ276" t="s">
        <v>679</v>
      </c>
      <c r="CK276">
        <v>1066.5</v>
      </c>
      <c r="CL276" t="e">
        <v>#N/A</v>
      </c>
      <c r="CM276" t="s">
        <v>679</v>
      </c>
      <c r="CN276">
        <v>1066.5</v>
      </c>
      <c r="CO276" t="e">
        <v>#N/A</v>
      </c>
      <c r="CP276" t="s">
        <v>722</v>
      </c>
      <c r="CQ276">
        <v>1247.17</v>
      </c>
      <c r="CR276" t="e">
        <v>#N/A</v>
      </c>
      <c r="CS276" t="s">
        <v>722</v>
      </c>
      <c r="CT276">
        <v>1247.17</v>
      </c>
      <c r="CU276" t="e">
        <v>#N/A</v>
      </c>
      <c r="CV276" t="s">
        <v>679</v>
      </c>
      <c r="CW276">
        <v>1066.5</v>
      </c>
      <c r="CX276" t="e">
        <v>#N/A</v>
      </c>
      <c r="CY276" t="s">
        <v>679</v>
      </c>
      <c r="CZ276">
        <v>1066.5</v>
      </c>
      <c r="DA276" t="e">
        <v>#N/A</v>
      </c>
      <c r="DB276" t="s">
        <v>679</v>
      </c>
      <c r="DC276">
        <v>1066.5</v>
      </c>
      <c r="DD276" t="e">
        <v>#N/A</v>
      </c>
      <c r="DE276" t="s">
        <v>679</v>
      </c>
      <c r="DF276">
        <v>1066.5</v>
      </c>
      <c r="DG276" t="e">
        <v>#N/A</v>
      </c>
      <c r="DH276" t="s">
        <v>722</v>
      </c>
      <c r="DI276">
        <v>1247.17</v>
      </c>
      <c r="DJ276" t="e">
        <v>#N/A</v>
      </c>
      <c r="DK276" t="s">
        <v>665</v>
      </c>
      <c r="DL276">
        <v>61.32</v>
      </c>
      <c r="DM276" t="e">
        <v>#N/A</v>
      </c>
      <c r="DN276" t="s">
        <v>679</v>
      </c>
      <c r="DO276">
        <v>1066.5</v>
      </c>
      <c r="DP276" t="e">
        <v>#N/A</v>
      </c>
      <c r="DQ276" t="s">
        <v>665</v>
      </c>
      <c r="DR276">
        <v>61.32</v>
      </c>
      <c r="DS276" t="e">
        <v>#N/A</v>
      </c>
      <c r="DT276" t="s">
        <v>722</v>
      </c>
      <c r="DU276">
        <v>998.33</v>
      </c>
      <c r="DV276" t="e">
        <v>#N/A</v>
      </c>
      <c r="DW276" t="s">
        <v>722</v>
      </c>
      <c r="DX276">
        <v>1039.0999999999999</v>
      </c>
      <c r="DY276" t="e">
        <v>#N/A</v>
      </c>
      <c r="DZ276" t="s">
        <v>722</v>
      </c>
      <c r="EA276">
        <v>0.88</v>
      </c>
      <c r="EB276" t="e">
        <v>#N/A</v>
      </c>
      <c r="EC276" t="s">
        <v>317</v>
      </c>
      <c r="ED276">
        <v>37</v>
      </c>
      <c r="EE276" t="e">
        <v>#N/A</v>
      </c>
      <c r="EF276" t="s">
        <v>758</v>
      </c>
      <c r="EG276">
        <v>68.180000000000007</v>
      </c>
      <c r="EH276" t="e">
        <v>#N/A</v>
      </c>
      <c r="EI276" t="s">
        <v>758</v>
      </c>
      <c r="EJ276">
        <v>68.180000000000007</v>
      </c>
      <c r="EK276" t="e">
        <v>#N/A</v>
      </c>
    </row>
    <row r="277" spans="1:141">
      <c r="A277" t="s">
        <v>722</v>
      </c>
      <c r="B277">
        <v>1033.67</v>
      </c>
      <c r="C277" t="e">
        <v>#N/A</v>
      </c>
      <c r="D277" t="s">
        <v>722</v>
      </c>
      <c r="E277">
        <v>1247.17</v>
      </c>
      <c r="F277" t="e">
        <v>#N/A</v>
      </c>
      <c r="G277" t="s">
        <v>722</v>
      </c>
      <c r="H277">
        <v>0.92</v>
      </c>
      <c r="I277" t="e">
        <v>#N/A</v>
      </c>
      <c r="J277" t="s">
        <v>722</v>
      </c>
      <c r="K277">
        <v>0.86</v>
      </c>
      <c r="L277" t="e">
        <v>#N/A</v>
      </c>
      <c r="M277" t="s">
        <v>722</v>
      </c>
      <c r="N277">
        <v>0.86</v>
      </c>
      <c r="O277" t="e">
        <v>#N/A</v>
      </c>
      <c r="P277" t="s">
        <v>679</v>
      </c>
      <c r="Q277">
        <v>1066.5</v>
      </c>
      <c r="R277" t="e">
        <v>#N/A</v>
      </c>
      <c r="S277" t="s">
        <v>722</v>
      </c>
      <c r="T277">
        <v>0.86</v>
      </c>
      <c r="U277" t="e">
        <v>#N/A</v>
      </c>
      <c r="V277" t="s">
        <v>722</v>
      </c>
      <c r="W277">
        <v>0.86</v>
      </c>
      <c r="X277" t="e">
        <v>#N/A</v>
      </c>
      <c r="Y277" t="s">
        <v>722</v>
      </c>
      <c r="Z277">
        <v>0.86</v>
      </c>
      <c r="AA277" t="e">
        <v>#N/A</v>
      </c>
      <c r="AB277" t="s">
        <v>758</v>
      </c>
      <c r="AC277">
        <v>101</v>
      </c>
      <c r="AD277" t="e">
        <v>#N/A</v>
      </c>
      <c r="AE277" t="s">
        <v>722</v>
      </c>
      <c r="AF277">
        <v>0.81</v>
      </c>
      <c r="AG277" t="e">
        <v>#N/A</v>
      </c>
      <c r="AH277" t="s">
        <v>722</v>
      </c>
      <c r="AI277">
        <v>0.97</v>
      </c>
      <c r="AJ277" t="e">
        <v>#N/A</v>
      </c>
      <c r="AK277" t="s">
        <v>758</v>
      </c>
      <c r="AL277">
        <v>101</v>
      </c>
      <c r="AM277" t="e">
        <v>#N/A</v>
      </c>
      <c r="AN277" t="s">
        <v>317</v>
      </c>
      <c r="AO277">
        <v>32.450000000000003</v>
      </c>
      <c r="AP277" t="e">
        <v>#N/A</v>
      </c>
      <c r="AQ277" t="s">
        <v>758</v>
      </c>
      <c r="AR277">
        <v>101</v>
      </c>
      <c r="AS277" t="e">
        <v>#N/A</v>
      </c>
      <c r="AT277" t="s">
        <v>758</v>
      </c>
      <c r="AU277">
        <v>101</v>
      </c>
      <c r="AV277" t="e">
        <v>#N/A</v>
      </c>
      <c r="AW277" t="s">
        <v>722</v>
      </c>
      <c r="AX277">
        <v>1247.17</v>
      </c>
      <c r="AY277" t="e">
        <v>#N/A</v>
      </c>
      <c r="AZ277" t="s">
        <v>722</v>
      </c>
      <c r="BA277">
        <v>1005.45</v>
      </c>
      <c r="BB277" t="e">
        <v>#N/A</v>
      </c>
      <c r="BC277" t="s">
        <v>722</v>
      </c>
      <c r="BD277">
        <v>1005.45</v>
      </c>
      <c r="BE277" t="e">
        <v>#N/A</v>
      </c>
      <c r="BF277" t="s">
        <v>722</v>
      </c>
      <c r="BG277">
        <v>1005.45</v>
      </c>
      <c r="BH277" t="e">
        <v>#N/A</v>
      </c>
      <c r="BI277" t="s">
        <v>722</v>
      </c>
      <c r="BJ277">
        <v>1005.45</v>
      </c>
      <c r="BK277" t="e">
        <v>#N/A</v>
      </c>
      <c r="BL277" t="s">
        <v>722</v>
      </c>
      <c r="BM277">
        <v>1033.67</v>
      </c>
      <c r="BN277" t="e">
        <v>#N/A</v>
      </c>
      <c r="BO277" t="s">
        <v>722</v>
      </c>
      <c r="BP277">
        <v>0.81</v>
      </c>
      <c r="BQ277" t="e">
        <v>#N/A</v>
      </c>
      <c r="BR277" t="s">
        <v>722</v>
      </c>
      <c r="BS277">
        <v>0.79</v>
      </c>
      <c r="BT277" t="e">
        <v>#N/A</v>
      </c>
      <c r="BU277" t="s">
        <v>722</v>
      </c>
      <c r="BV277">
        <v>1247.17</v>
      </c>
      <c r="BW277" t="e">
        <v>#N/A</v>
      </c>
      <c r="BX277" t="s">
        <v>722</v>
      </c>
      <c r="BY277">
        <v>0.83</v>
      </c>
      <c r="BZ277" t="e">
        <v>#N/A</v>
      </c>
      <c r="CA277" t="s">
        <v>679</v>
      </c>
      <c r="CB277">
        <v>1068.08</v>
      </c>
      <c r="CC277" t="e">
        <v>#N/A</v>
      </c>
      <c r="CD277" t="s">
        <v>722</v>
      </c>
      <c r="CE277">
        <v>0.82</v>
      </c>
      <c r="CF277" t="e">
        <v>#N/A</v>
      </c>
      <c r="CG277" t="s">
        <v>722</v>
      </c>
      <c r="CH277">
        <v>1033.67</v>
      </c>
      <c r="CI277" t="e">
        <v>#N/A</v>
      </c>
      <c r="CJ277" t="s">
        <v>722</v>
      </c>
      <c r="CK277">
        <v>0.84</v>
      </c>
      <c r="CL277" t="e">
        <v>#N/A</v>
      </c>
      <c r="CM277" t="s">
        <v>722</v>
      </c>
      <c r="CN277">
        <v>1247.17</v>
      </c>
      <c r="CO277" t="e">
        <v>#N/A</v>
      </c>
      <c r="CP277" t="s">
        <v>665</v>
      </c>
      <c r="CQ277">
        <v>61.32</v>
      </c>
      <c r="CR277" t="e">
        <v>#N/A</v>
      </c>
      <c r="CS277" t="s">
        <v>665</v>
      </c>
      <c r="CT277">
        <v>61.32</v>
      </c>
      <c r="CU277" t="e">
        <v>#N/A</v>
      </c>
      <c r="CV277" t="s">
        <v>722</v>
      </c>
      <c r="CW277">
        <v>1247.17</v>
      </c>
      <c r="CX277" t="e">
        <v>#N/A</v>
      </c>
      <c r="CY277" t="s">
        <v>722</v>
      </c>
      <c r="CZ277">
        <v>1247.17</v>
      </c>
      <c r="DA277" t="e">
        <v>#N/A</v>
      </c>
      <c r="DB277" t="s">
        <v>722</v>
      </c>
      <c r="DC277">
        <v>1247.17</v>
      </c>
      <c r="DD277" t="e">
        <v>#N/A</v>
      </c>
      <c r="DE277" t="s">
        <v>722</v>
      </c>
      <c r="DF277">
        <v>1247.17</v>
      </c>
      <c r="DG277" t="e">
        <v>#N/A</v>
      </c>
      <c r="DH277" t="s">
        <v>665</v>
      </c>
      <c r="DI277">
        <v>61.32</v>
      </c>
      <c r="DJ277" t="e">
        <v>#N/A</v>
      </c>
      <c r="DK277" t="s">
        <v>722</v>
      </c>
      <c r="DL277">
        <v>1033.67</v>
      </c>
      <c r="DM277" t="e">
        <v>#N/A</v>
      </c>
      <c r="DN277" t="s">
        <v>722</v>
      </c>
      <c r="DO277">
        <v>1247.17</v>
      </c>
      <c r="DP277" t="e">
        <v>#N/A</v>
      </c>
      <c r="DQ277" t="s">
        <v>722</v>
      </c>
      <c r="DR277">
        <v>1033.67</v>
      </c>
      <c r="DS277" t="e">
        <v>#N/A</v>
      </c>
      <c r="DT277" t="s">
        <v>758</v>
      </c>
      <c r="DU277">
        <v>68.180000000000007</v>
      </c>
      <c r="DV277" t="e">
        <v>#N/A</v>
      </c>
      <c r="DW277" t="s">
        <v>722</v>
      </c>
      <c r="DX277">
        <v>0.88</v>
      </c>
      <c r="DY277" t="e">
        <v>#N/A</v>
      </c>
      <c r="DZ277" t="s">
        <v>722</v>
      </c>
      <c r="EA277">
        <v>0.85</v>
      </c>
      <c r="EB277" t="e">
        <v>#N/A</v>
      </c>
      <c r="EC277" t="s">
        <v>722</v>
      </c>
      <c r="ED277">
        <v>1039.0999999999999</v>
      </c>
      <c r="EE277" t="e">
        <v>#N/A</v>
      </c>
      <c r="EF277" t="s">
        <v>722</v>
      </c>
      <c r="EG277">
        <v>1039.0999999999999</v>
      </c>
      <c r="EH277" t="e">
        <v>#N/A</v>
      </c>
      <c r="EI277" t="s">
        <v>317</v>
      </c>
      <c r="EJ277">
        <v>37.4</v>
      </c>
      <c r="EK277" t="e">
        <v>#N/A</v>
      </c>
    </row>
    <row r="278" spans="1:141">
      <c r="A278" t="s">
        <v>722</v>
      </c>
      <c r="B278">
        <v>0.86</v>
      </c>
      <c r="C278" t="e">
        <v>#N/A</v>
      </c>
      <c r="D278" t="s">
        <v>722</v>
      </c>
      <c r="E278">
        <v>1033.67</v>
      </c>
      <c r="F278" t="e">
        <v>#N/A</v>
      </c>
      <c r="G278" t="s">
        <v>722</v>
      </c>
      <c r="H278">
        <v>0.86</v>
      </c>
      <c r="I278" t="e">
        <v>#N/A</v>
      </c>
      <c r="J278" t="s">
        <v>758</v>
      </c>
      <c r="K278">
        <v>101</v>
      </c>
      <c r="L278" t="e">
        <v>#N/A</v>
      </c>
      <c r="M278" t="s">
        <v>758</v>
      </c>
      <c r="N278">
        <v>101</v>
      </c>
      <c r="O278" t="e">
        <v>#N/A</v>
      </c>
      <c r="P278" t="s">
        <v>722</v>
      </c>
      <c r="Q278">
        <v>1247.17</v>
      </c>
      <c r="R278" t="e">
        <v>#N/A</v>
      </c>
      <c r="S278" t="s">
        <v>758</v>
      </c>
      <c r="T278">
        <v>101</v>
      </c>
      <c r="U278" t="e">
        <v>#N/A</v>
      </c>
      <c r="V278" t="s">
        <v>317</v>
      </c>
      <c r="W278">
        <v>33.340000000000003</v>
      </c>
      <c r="X278" t="e">
        <v>#N/A</v>
      </c>
      <c r="Y278" t="s">
        <v>317</v>
      </c>
      <c r="Z278">
        <v>33.9</v>
      </c>
      <c r="AA278" t="e">
        <v>#N/A</v>
      </c>
      <c r="AB278" t="s">
        <v>722</v>
      </c>
      <c r="AC278">
        <v>1005.45</v>
      </c>
      <c r="AD278" t="e">
        <v>#N/A</v>
      </c>
      <c r="AE278" t="s">
        <v>722</v>
      </c>
      <c r="AF278">
        <v>0.91</v>
      </c>
      <c r="AG278" t="e">
        <v>#N/A</v>
      </c>
      <c r="AH278" t="s">
        <v>722</v>
      </c>
      <c r="AI278">
        <v>0.82</v>
      </c>
      <c r="AJ278" t="e">
        <v>#N/A</v>
      </c>
      <c r="AK278" t="s">
        <v>722</v>
      </c>
      <c r="AL278">
        <v>1005.45</v>
      </c>
      <c r="AM278" t="e">
        <v>#N/A</v>
      </c>
      <c r="AN278" t="s">
        <v>758</v>
      </c>
      <c r="AO278">
        <v>101</v>
      </c>
      <c r="AP278" t="e">
        <v>#N/A</v>
      </c>
      <c r="AQ278" t="s">
        <v>722</v>
      </c>
      <c r="AR278">
        <v>1005.45</v>
      </c>
      <c r="AS278" t="e">
        <v>#N/A</v>
      </c>
      <c r="AT278" t="s">
        <v>722</v>
      </c>
      <c r="AU278">
        <v>1005.45</v>
      </c>
      <c r="AV278" t="e">
        <v>#N/A</v>
      </c>
      <c r="AW278" t="s">
        <v>722</v>
      </c>
      <c r="AX278">
        <v>1033.67</v>
      </c>
      <c r="AY278" t="e">
        <v>#N/A</v>
      </c>
      <c r="AZ278" t="s">
        <v>665</v>
      </c>
      <c r="BA278">
        <v>23.08</v>
      </c>
      <c r="BB278" t="e">
        <v>#N/A</v>
      </c>
      <c r="BC278" t="s">
        <v>665</v>
      </c>
      <c r="BD278">
        <v>23.08</v>
      </c>
      <c r="BE278" t="e">
        <v>#N/A</v>
      </c>
      <c r="BF278" t="s">
        <v>665</v>
      </c>
      <c r="BG278">
        <v>23.08</v>
      </c>
      <c r="BH278" t="e">
        <v>#N/A</v>
      </c>
      <c r="BI278" t="s">
        <v>665</v>
      </c>
      <c r="BJ278">
        <v>23.08</v>
      </c>
      <c r="BK278" t="e">
        <v>#N/A</v>
      </c>
      <c r="BL278" t="s">
        <v>758</v>
      </c>
      <c r="BM278">
        <v>101</v>
      </c>
      <c r="BN278" t="e">
        <v>#N/A</v>
      </c>
      <c r="BO278" t="s">
        <v>722</v>
      </c>
      <c r="BP278">
        <v>1247.17</v>
      </c>
      <c r="BQ278" t="e">
        <v>#N/A</v>
      </c>
      <c r="BR278" t="s">
        <v>317</v>
      </c>
      <c r="BS278">
        <v>34.25</v>
      </c>
      <c r="BT278" t="e">
        <v>#N/A</v>
      </c>
      <c r="BU278" t="s">
        <v>722</v>
      </c>
      <c r="BV278">
        <v>1033.67</v>
      </c>
      <c r="BW278" t="e">
        <v>#N/A</v>
      </c>
      <c r="BX278" t="s">
        <v>722</v>
      </c>
      <c r="BY278">
        <v>0.87</v>
      </c>
      <c r="BZ278" t="e">
        <v>#N/A</v>
      </c>
      <c r="CA278" t="s">
        <v>679</v>
      </c>
      <c r="CB278">
        <v>1067.3499999999999</v>
      </c>
      <c r="CC278" t="e">
        <v>#N/A</v>
      </c>
      <c r="CD278" t="s">
        <v>722</v>
      </c>
      <c r="CE278">
        <v>1045.4100000000001</v>
      </c>
      <c r="CF278" t="e">
        <v>#N/A</v>
      </c>
      <c r="CG278" t="s">
        <v>722</v>
      </c>
      <c r="CH278">
        <v>1145.24</v>
      </c>
      <c r="CI278" t="e">
        <v>#N/A</v>
      </c>
      <c r="CJ278" t="s">
        <v>722</v>
      </c>
      <c r="CK278">
        <v>1247.17</v>
      </c>
      <c r="CL278" t="e">
        <v>#N/A</v>
      </c>
      <c r="CM278" t="s">
        <v>665</v>
      </c>
      <c r="CN278">
        <v>61.32</v>
      </c>
      <c r="CO278" t="e">
        <v>#N/A</v>
      </c>
      <c r="CP278" t="s">
        <v>722</v>
      </c>
      <c r="CQ278">
        <v>1033.67</v>
      </c>
      <c r="CR278" t="e">
        <v>#N/A</v>
      </c>
      <c r="CS278" t="s">
        <v>722</v>
      </c>
      <c r="CT278">
        <v>1033.67</v>
      </c>
      <c r="CU278" t="e">
        <v>#N/A</v>
      </c>
      <c r="CV278" t="s">
        <v>665</v>
      </c>
      <c r="CW278">
        <v>61.32</v>
      </c>
      <c r="CX278" t="e">
        <v>#N/A</v>
      </c>
      <c r="CY278" t="s">
        <v>665</v>
      </c>
      <c r="CZ278">
        <v>61.32</v>
      </c>
      <c r="DA278" t="e">
        <v>#N/A</v>
      </c>
      <c r="DB278" t="s">
        <v>665</v>
      </c>
      <c r="DC278">
        <v>61.32</v>
      </c>
      <c r="DD278" t="e">
        <v>#N/A</v>
      </c>
      <c r="DE278" t="s">
        <v>665</v>
      </c>
      <c r="DF278">
        <v>61.32</v>
      </c>
      <c r="DG278" t="e">
        <v>#N/A</v>
      </c>
      <c r="DH278" t="s">
        <v>722</v>
      </c>
      <c r="DI278">
        <v>1033.67</v>
      </c>
      <c r="DJ278" t="e">
        <v>#N/A</v>
      </c>
      <c r="DK278" t="s">
        <v>1035</v>
      </c>
      <c r="DL278">
        <v>102</v>
      </c>
      <c r="DM278" t="e">
        <v>#N/A</v>
      </c>
      <c r="DN278" t="s">
        <v>665</v>
      </c>
      <c r="DO278">
        <v>61.32</v>
      </c>
      <c r="DP278" t="e">
        <v>#N/A</v>
      </c>
      <c r="DQ278" t="s">
        <v>1035</v>
      </c>
      <c r="DR278">
        <v>102</v>
      </c>
      <c r="DS278" t="e">
        <v>#N/A</v>
      </c>
      <c r="DT278" t="s">
        <v>722</v>
      </c>
      <c r="DU278">
        <v>1039.0999999999999</v>
      </c>
      <c r="DV278" t="e">
        <v>#N/A</v>
      </c>
      <c r="DW278" t="s">
        <v>722</v>
      </c>
      <c r="DX278">
        <v>0.85</v>
      </c>
      <c r="DY278" t="e">
        <v>#N/A</v>
      </c>
      <c r="DZ278" t="s">
        <v>722</v>
      </c>
      <c r="EA278">
        <v>0.97</v>
      </c>
      <c r="EB278" t="e">
        <v>#N/A</v>
      </c>
      <c r="EC278" t="s">
        <v>722</v>
      </c>
      <c r="ED278">
        <v>0.88</v>
      </c>
      <c r="EE278" t="e">
        <v>#N/A</v>
      </c>
      <c r="EF278" t="s">
        <v>722</v>
      </c>
      <c r="EG278">
        <v>0.88</v>
      </c>
      <c r="EH278" t="e">
        <v>#N/A</v>
      </c>
      <c r="EI278" t="s">
        <v>722</v>
      </c>
      <c r="EJ278">
        <v>1039.0999999999999</v>
      </c>
      <c r="EK278" t="e">
        <v>#N/A</v>
      </c>
    </row>
    <row r="279" spans="1:141">
      <c r="A279" t="s">
        <v>758</v>
      </c>
      <c r="B279">
        <v>101</v>
      </c>
      <c r="C279" t="e">
        <v>#N/A</v>
      </c>
      <c r="D279" t="s">
        <v>722</v>
      </c>
      <c r="E279">
        <v>0.86</v>
      </c>
      <c r="F279" t="e">
        <v>#N/A</v>
      </c>
      <c r="G279" t="s">
        <v>758</v>
      </c>
      <c r="H279">
        <v>101</v>
      </c>
      <c r="I279" t="e">
        <v>#N/A</v>
      </c>
      <c r="J279" t="s">
        <v>722</v>
      </c>
      <c r="K279">
        <v>1005.45</v>
      </c>
      <c r="L279" t="e">
        <v>#N/A</v>
      </c>
      <c r="M279" t="s">
        <v>722</v>
      </c>
      <c r="N279">
        <v>1005.45</v>
      </c>
      <c r="O279" t="e">
        <v>#N/A</v>
      </c>
      <c r="P279" t="s">
        <v>722</v>
      </c>
      <c r="Q279">
        <v>1033.67</v>
      </c>
      <c r="R279" t="e">
        <v>#N/A</v>
      </c>
      <c r="S279" t="s">
        <v>722</v>
      </c>
      <c r="T279">
        <v>1005.45</v>
      </c>
      <c r="U279" t="e">
        <v>#N/A</v>
      </c>
      <c r="V279" t="s">
        <v>758</v>
      </c>
      <c r="W279">
        <v>101</v>
      </c>
      <c r="X279" t="e">
        <v>#N/A</v>
      </c>
      <c r="Y279" t="s">
        <v>758</v>
      </c>
      <c r="Z279">
        <v>101</v>
      </c>
      <c r="AA279" t="e">
        <v>#N/A</v>
      </c>
      <c r="AB279" t="s">
        <v>722</v>
      </c>
      <c r="AC279">
        <v>0.82</v>
      </c>
      <c r="AD279" t="e">
        <v>#N/A</v>
      </c>
      <c r="AE279" t="s">
        <v>722</v>
      </c>
      <c r="AF279">
        <v>1247.17</v>
      </c>
      <c r="AG279" t="e">
        <v>#N/A</v>
      </c>
      <c r="AH279" t="s">
        <v>722</v>
      </c>
      <c r="AI279">
        <v>0.86</v>
      </c>
      <c r="AJ279" t="e">
        <v>#N/A</v>
      </c>
      <c r="AK279" t="s">
        <v>722</v>
      </c>
      <c r="AL279">
        <v>0.82</v>
      </c>
      <c r="AM279" t="e">
        <v>#N/A</v>
      </c>
      <c r="AN279" t="s">
        <v>722</v>
      </c>
      <c r="AO279">
        <v>1005.45</v>
      </c>
      <c r="AP279" t="e">
        <v>#N/A</v>
      </c>
      <c r="AQ279" t="s">
        <v>722</v>
      </c>
      <c r="AR279">
        <v>0.82</v>
      </c>
      <c r="AS279" t="e">
        <v>#N/A</v>
      </c>
      <c r="AT279" t="s">
        <v>722</v>
      </c>
      <c r="AU279">
        <v>0.82</v>
      </c>
      <c r="AV279" t="e">
        <v>#N/A</v>
      </c>
      <c r="AW279" t="s">
        <v>722</v>
      </c>
      <c r="AX279">
        <v>1057.18</v>
      </c>
      <c r="AY279" t="e">
        <v>#N/A</v>
      </c>
      <c r="AZ279" t="s">
        <v>722</v>
      </c>
      <c r="BA279">
        <v>1091.3399999999999</v>
      </c>
      <c r="BB279" t="e">
        <v>#N/A</v>
      </c>
      <c r="BC279" t="s">
        <v>722</v>
      </c>
      <c r="BD279">
        <v>1091.3399999999999</v>
      </c>
      <c r="BE279" t="e">
        <v>#N/A</v>
      </c>
      <c r="BF279" t="s">
        <v>722</v>
      </c>
      <c r="BG279">
        <v>0.87</v>
      </c>
      <c r="BH279" t="e">
        <v>#N/A</v>
      </c>
      <c r="BI279" t="s">
        <v>722</v>
      </c>
      <c r="BJ279">
        <v>0.87</v>
      </c>
      <c r="BK279" t="e">
        <v>#N/A</v>
      </c>
      <c r="BL279" t="s">
        <v>722</v>
      </c>
      <c r="BM279">
        <v>1005.45</v>
      </c>
      <c r="BN279" t="e">
        <v>#N/A</v>
      </c>
      <c r="BO279" t="s">
        <v>722</v>
      </c>
      <c r="BP279">
        <v>1033.67</v>
      </c>
      <c r="BQ279" t="e">
        <v>#N/A</v>
      </c>
      <c r="BR279" t="s">
        <v>722</v>
      </c>
      <c r="BS279">
        <v>1247.17</v>
      </c>
      <c r="BT279" t="e">
        <v>#N/A</v>
      </c>
      <c r="BU279" t="s">
        <v>758</v>
      </c>
      <c r="BV279">
        <v>101</v>
      </c>
      <c r="BW279" t="e">
        <v>#N/A</v>
      </c>
      <c r="BX279" t="s">
        <v>722</v>
      </c>
      <c r="BY279">
        <v>1247.17</v>
      </c>
      <c r="BZ279" t="e">
        <v>#N/A</v>
      </c>
      <c r="CA279" t="s">
        <v>679</v>
      </c>
      <c r="CB279">
        <v>1066.5</v>
      </c>
      <c r="CC279" t="e">
        <v>#N/A</v>
      </c>
      <c r="CD279" t="s">
        <v>722</v>
      </c>
      <c r="CE279">
        <v>1036.19</v>
      </c>
      <c r="CF279" t="e">
        <v>#N/A</v>
      </c>
      <c r="CG279" t="s">
        <v>758</v>
      </c>
      <c r="CH279">
        <v>101</v>
      </c>
      <c r="CI279" t="e">
        <v>#N/A</v>
      </c>
      <c r="CJ279" t="s">
        <v>665</v>
      </c>
      <c r="CK279">
        <v>61.32</v>
      </c>
      <c r="CL279" t="e">
        <v>#N/A</v>
      </c>
      <c r="CM279" t="s">
        <v>722</v>
      </c>
      <c r="CN279">
        <v>1033.67</v>
      </c>
      <c r="CO279" t="e">
        <v>#N/A</v>
      </c>
      <c r="CP279" t="s">
        <v>722</v>
      </c>
      <c r="CQ279">
        <v>0.81</v>
      </c>
      <c r="CR279" t="e">
        <v>#N/A</v>
      </c>
      <c r="CS279" t="s">
        <v>995</v>
      </c>
      <c r="CT279">
        <v>30.6</v>
      </c>
      <c r="CU279" t="e">
        <v>#N/A</v>
      </c>
      <c r="CV279" t="s">
        <v>722</v>
      </c>
      <c r="CW279">
        <v>1033.67</v>
      </c>
      <c r="CX279" t="e">
        <v>#N/A</v>
      </c>
      <c r="CY279" t="s">
        <v>722</v>
      </c>
      <c r="CZ279">
        <v>1033.67</v>
      </c>
      <c r="DA279" t="e">
        <v>#N/A</v>
      </c>
      <c r="DB279" t="s">
        <v>722</v>
      </c>
      <c r="DC279">
        <v>1033.67</v>
      </c>
      <c r="DD279" t="e">
        <v>#N/A</v>
      </c>
      <c r="DE279" t="s">
        <v>722</v>
      </c>
      <c r="DF279">
        <v>1033.67</v>
      </c>
      <c r="DG279" t="e">
        <v>#N/A</v>
      </c>
      <c r="DH279" t="s">
        <v>1035</v>
      </c>
      <c r="DI279">
        <v>102</v>
      </c>
      <c r="DJ279" t="e">
        <v>#N/A</v>
      </c>
      <c r="DL279">
        <v>101.95</v>
      </c>
      <c r="DM279" t="e">
        <v>#N/A</v>
      </c>
      <c r="DN279" t="s">
        <v>722</v>
      </c>
      <c r="DO279">
        <v>1033.67</v>
      </c>
      <c r="DP279" t="e">
        <v>#N/A</v>
      </c>
      <c r="DR279">
        <v>101.95</v>
      </c>
      <c r="DS279" t="e">
        <v>#N/A</v>
      </c>
      <c r="DT279" t="s">
        <v>722</v>
      </c>
      <c r="DU279">
        <v>0.87</v>
      </c>
      <c r="DV279" t="e">
        <v>#N/A</v>
      </c>
      <c r="DW279" t="s">
        <v>722</v>
      </c>
      <c r="DX279">
        <v>0.97</v>
      </c>
      <c r="DY279" t="e">
        <v>#N/A</v>
      </c>
      <c r="DZ279" t="s">
        <v>722</v>
      </c>
      <c r="EA279">
        <v>0.8</v>
      </c>
      <c r="EB279" t="e">
        <v>#N/A</v>
      </c>
      <c r="EC279" t="s">
        <v>722</v>
      </c>
      <c r="ED279">
        <v>0.85</v>
      </c>
      <c r="EE279" t="e">
        <v>#N/A</v>
      </c>
      <c r="EF279" t="s">
        <v>722</v>
      </c>
      <c r="EG279">
        <v>0.85</v>
      </c>
      <c r="EH279" t="e">
        <v>#N/A</v>
      </c>
      <c r="EI279" t="s">
        <v>722</v>
      </c>
      <c r="EJ279">
        <v>0.88</v>
      </c>
      <c r="EK279" t="e">
        <v>#N/A</v>
      </c>
    </row>
    <row r="280" spans="1:141">
      <c r="A280" t="s">
        <v>722</v>
      </c>
      <c r="B280">
        <v>1005.45</v>
      </c>
      <c r="C280" t="e">
        <v>#N/A</v>
      </c>
      <c r="D280" t="s">
        <v>758</v>
      </c>
      <c r="E280">
        <v>101</v>
      </c>
      <c r="F280" t="e">
        <v>#N/A</v>
      </c>
      <c r="G280" t="s">
        <v>722</v>
      </c>
      <c r="H280">
        <v>1005.45</v>
      </c>
      <c r="I280" t="e">
        <v>#N/A</v>
      </c>
      <c r="J280" t="s">
        <v>722</v>
      </c>
      <c r="K280">
        <v>0.82</v>
      </c>
      <c r="L280" t="e">
        <v>#N/A</v>
      </c>
      <c r="M280" t="s">
        <v>722</v>
      </c>
      <c r="N280">
        <v>0.82</v>
      </c>
      <c r="O280" t="e">
        <v>#N/A</v>
      </c>
      <c r="P280" t="s">
        <v>722</v>
      </c>
      <c r="Q280">
        <v>0.86</v>
      </c>
      <c r="R280" t="e">
        <v>#N/A</v>
      </c>
      <c r="S280" t="s">
        <v>722</v>
      </c>
      <c r="T280">
        <v>0.82</v>
      </c>
      <c r="U280" t="e">
        <v>#N/A</v>
      </c>
      <c r="V280" t="s">
        <v>722</v>
      </c>
      <c r="W280">
        <v>1005.45</v>
      </c>
      <c r="X280" t="e">
        <v>#N/A</v>
      </c>
      <c r="Y280" t="s">
        <v>722</v>
      </c>
      <c r="Z280">
        <v>1005.45</v>
      </c>
      <c r="AA280" t="e">
        <v>#N/A</v>
      </c>
      <c r="AB280" t="s">
        <v>665</v>
      </c>
      <c r="AC280">
        <v>23.08</v>
      </c>
      <c r="AD280" t="e">
        <v>#N/A</v>
      </c>
      <c r="AE280" t="s">
        <v>722</v>
      </c>
      <c r="AF280">
        <v>1033.67</v>
      </c>
      <c r="AG280" t="e">
        <v>#N/A</v>
      </c>
      <c r="AH280" t="s">
        <v>722</v>
      </c>
      <c r="AI280">
        <v>1014.7</v>
      </c>
      <c r="AJ280" t="e">
        <v>#N/A</v>
      </c>
      <c r="AK280" t="s">
        <v>665</v>
      </c>
      <c r="AL280">
        <v>23.08</v>
      </c>
      <c r="AM280" t="e">
        <v>#N/A</v>
      </c>
      <c r="AN280" t="s">
        <v>722</v>
      </c>
      <c r="AO280">
        <v>0.82</v>
      </c>
      <c r="AP280" t="e">
        <v>#N/A</v>
      </c>
      <c r="AQ280" t="s">
        <v>665</v>
      </c>
      <c r="AR280">
        <v>23.08</v>
      </c>
      <c r="AS280" t="e">
        <v>#N/A</v>
      </c>
      <c r="AT280" t="s">
        <v>665</v>
      </c>
      <c r="AU280">
        <v>23.08</v>
      </c>
      <c r="AV280" t="e">
        <v>#N/A</v>
      </c>
      <c r="AW280" t="s">
        <v>758</v>
      </c>
      <c r="AX280">
        <v>101</v>
      </c>
      <c r="AY280" t="e">
        <v>#N/A</v>
      </c>
      <c r="AZ280" t="s">
        <v>722</v>
      </c>
      <c r="BA280">
        <v>0.8</v>
      </c>
      <c r="BB280" t="e">
        <v>#N/A</v>
      </c>
      <c r="BC280" t="s">
        <v>722</v>
      </c>
      <c r="BD280">
        <v>0.87</v>
      </c>
      <c r="BE280" t="e">
        <v>#N/A</v>
      </c>
      <c r="BF280" t="s">
        <v>722</v>
      </c>
      <c r="BG280">
        <v>0.79</v>
      </c>
      <c r="BH280" t="e">
        <v>#N/A</v>
      </c>
      <c r="BI280" t="s">
        <v>722</v>
      </c>
      <c r="BJ280">
        <v>0.79</v>
      </c>
      <c r="BK280" t="e">
        <v>#N/A</v>
      </c>
      <c r="BL280" t="s">
        <v>665</v>
      </c>
      <c r="BM280">
        <v>23.08</v>
      </c>
      <c r="BN280" t="e">
        <v>#N/A</v>
      </c>
      <c r="BO280" t="s">
        <v>758</v>
      </c>
      <c r="BP280">
        <v>101</v>
      </c>
      <c r="BQ280" t="e">
        <v>#N/A</v>
      </c>
      <c r="BR280" t="s">
        <v>722</v>
      </c>
      <c r="BS280">
        <v>1033.67</v>
      </c>
      <c r="BT280" t="e">
        <v>#N/A</v>
      </c>
      <c r="BU280" t="s">
        <v>722</v>
      </c>
      <c r="BV280">
        <v>1005.45</v>
      </c>
      <c r="BW280" t="e">
        <v>#N/A</v>
      </c>
      <c r="BX280" t="s">
        <v>722</v>
      </c>
      <c r="BY280">
        <v>1033.67</v>
      </c>
      <c r="BZ280" t="e">
        <v>#N/A</v>
      </c>
      <c r="CA280" t="s">
        <v>722</v>
      </c>
      <c r="CB280">
        <v>1247.17</v>
      </c>
      <c r="CC280" t="e">
        <v>#N/A</v>
      </c>
      <c r="CD280" t="s">
        <v>722</v>
      </c>
      <c r="CE280">
        <v>1026.0899999999999</v>
      </c>
      <c r="CF280" t="e">
        <v>#N/A</v>
      </c>
      <c r="CG280" t="s">
        <v>317</v>
      </c>
      <c r="CH280">
        <v>34.979999999999997</v>
      </c>
      <c r="CI280" t="e">
        <v>#N/A</v>
      </c>
      <c r="CJ280" t="s">
        <v>722</v>
      </c>
      <c r="CK280">
        <v>1033.67</v>
      </c>
      <c r="CL280" t="e">
        <v>#N/A</v>
      </c>
      <c r="CM280" t="s">
        <v>1035</v>
      </c>
      <c r="CN280">
        <v>102</v>
      </c>
      <c r="CO280" t="e">
        <v>#N/A</v>
      </c>
      <c r="CP280" t="s">
        <v>879</v>
      </c>
      <c r="CQ280">
        <v>9.6999999999999993</v>
      </c>
      <c r="CR280" t="e">
        <v>#N/A</v>
      </c>
      <c r="CS280" t="s">
        <v>1035</v>
      </c>
      <c r="CT280">
        <v>102</v>
      </c>
      <c r="CU280" t="e">
        <v>#N/A</v>
      </c>
      <c r="CV280" t="s">
        <v>879</v>
      </c>
      <c r="CW280">
        <v>9.6</v>
      </c>
      <c r="CX280" t="e">
        <v>#N/A</v>
      </c>
      <c r="CY280" t="s">
        <v>879</v>
      </c>
      <c r="CZ280">
        <v>9.6</v>
      </c>
      <c r="DA280" t="e">
        <v>#N/A</v>
      </c>
      <c r="DB280" t="s">
        <v>1035</v>
      </c>
      <c r="DC280">
        <v>102</v>
      </c>
      <c r="DD280" t="e">
        <v>#N/A</v>
      </c>
      <c r="DE280" t="s">
        <v>1035</v>
      </c>
      <c r="DF280">
        <v>102</v>
      </c>
      <c r="DG280" t="e">
        <v>#N/A</v>
      </c>
      <c r="DI280">
        <v>101.95</v>
      </c>
      <c r="DJ280" t="e">
        <v>#N/A</v>
      </c>
      <c r="DK280" t="s">
        <v>1037</v>
      </c>
      <c r="DL280">
        <v>101.01</v>
      </c>
      <c r="DM280" t="e">
        <v>#N/A</v>
      </c>
      <c r="DN280" t="s">
        <v>1035</v>
      </c>
      <c r="DO280">
        <v>102</v>
      </c>
      <c r="DP280" t="e">
        <v>#N/A</v>
      </c>
      <c r="DQ280" t="s">
        <v>1037</v>
      </c>
      <c r="DR280">
        <v>101.01</v>
      </c>
      <c r="DS280" t="e">
        <v>#N/A</v>
      </c>
      <c r="DT280" t="s">
        <v>722</v>
      </c>
      <c r="DU280">
        <v>0.85</v>
      </c>
      <c r="DV280" t="e">
        <v>#N/A</v>
      </c>
      <c r="DW280" t="s">
        <v>722</v>
      </c>
      <c r="DX280">
        <v>0.8</v>
      </c>
      <c r="DY280" t="e">
        <v>#N/A</v>
      </c>
      <c r="DZ280" t="s">
        <v>722</v>
      </c>
      <c r="EA280">
        <v>1025.68</v>
      </c>
      <c r="EB280" t="e">
        <v>#N/A</v>
      </c>
      <c r="EC280" t="s">
        <v>722</v>
      </c>
      <c r="ED280">
        <v>0.97</v>
      </c>
      <c r="EE280" t="e">
        <v>#N/A</v>
      </c>
      <c r="EF280" t="s">
        <v>722</v>
      </c>
      <c r="EG280">
        <v>0.97</v>
      </c>
      <c r="EH280" t="e">
        <v>#N/A</v>
      </c>
      <c r="EI280" t="s">
        <v>722</v>
      </c>
      <c r="EJ280">
        <v>0.85</v>
      </c>
      <c r="EK280" t="e">
        <v>#N/A</v>
      </c>
    </row>
    <row r="281" spans="1:141">
      <c r="A281" t="s">
        <v>722</v>
      </c>
      <c r="B281">
        <v>0.82</v>
      </c>
      <c r="C281" t="e">
        <v>#N/A</v>
      </c>
      <c r="D281" t="s">
        <v>722</v>
      </c>
      <c r="E281">
        <v>1005.45</v>
      </c>
      <c r="F281" t="e">
        <v>#N/A</v>
      </c>
      <c r="G281" t="s">
        <v>722</v>
      </c>
      <c r="H281">
        <v>0.93</v>
      </c>
      <c r="I281" t="e">
        <v>#N/A</v>
      </c>
      <c r="J281" t="s">
        <v>665</v>
      </c>
      <c r="K281">
        <v>23.08</v>
      </c>
      <c r="L281" t="e">
        <v>#N/A</v>
      </c>
      <c r="M281" t="s">
        <v>665</v>
      </c>
      <c r="N281">
        <v>23.08</v>
      </c>
      <c r="O281" t="e">
        <v>#N/A</v>
      </c>
      <c r="P281" t="s">
        <v>758</v>
      </c>
      <c r="Q281">
        <v>101</v>
      </c>
      <c r="R281" t="e">
        <v>#N/A</v>
      </c>
      <c r="S281" t="s">
        <v>722</v>
      </c>
      <c r="T281">
        <v>0.98</v>
      </c>
      <c r="U281" t="e">
        <v>#N/A</v>
      </c>
      <c r="V281" t="s">
        <v>722</v>
      </c>
      <c r="W281">
        <v>0.82</v>
      </c>
      <c r="X281" t="e">
        <v>#N/A</v>
      </c>
      <c r="Y281" t="s">
        <v>722</v>
      </c>
      <c r="Z281">
        <v>0.82</v>
      </c>
      <c r="AA281" t="e">
        <v>#N/A</v>
      </c>
      <c r="AB281" t="s">
        <v>722</v>
      </c>
      <c r="AC281">
        <v>1047.6300000000001</v>
      </c>
      <c r="AD281" t="e">
        <v>#N/A</v>
      </c>
      <c r="AE281" t="s">
        <v>722</v>
      </c>
      <c r="AF281">
        <v>0.95</v>
      </c>
      <c r="AG281" t="e">
        <v>#N/A</v>
      </c>
      <c r="AH281" t="s">
        <v>758</v>
      </c>
      <c r="AI281">
        <v>101</v>
      </c>
      <c r="AJ281" t="e">
        <v>#N/A</v>
      </c>
      <c r="AK281" t="s">
        <v>722</v>
      </c>
      <c r="AL281">
        <v>1047.6300000000001</v>
      </c>
      <c r="AM281" t="e">
        <v>#N/A</v>
      </c>
      <c r="AN281" t="s">
        <v>665</v>
      </c>
      <c r="AO281">
        <v>23.08</v>
      </c>
      <c r="AP281" t="e">
        <v>#N/A</v>
      </c>
      <c r="AQ281" t="s">
        <v>722</v>
      </c>
      <c r="AR281">
        <v>1047.6300000000001</v>
      </c>
      <c r="AS281" t="e">
        <v>#N/A</v>
      </c>
      <c r="AT281" t="s">
        <v>722</v>
      </c>
      <c r="AU281">
        <v>1047.6300000000001</v>
      </c>
      <c r="AV281" t="e">
        <v>#N/A</v>
      </c>
      <c r="AW281" t="s">
        <v>722</v>
      </c>
      <c r="AX281">
        <v>1008.43</v>
      </c>
      <c r="AY281" t="e">
        <v>#N/A</v>
      </c>
      <c r="AZ281" t="s">
        <v>722</v>
      </c>
      <c r="BA281">
        <v>0.86</v>
      </c>
      <c r="BB281" t="e">
        <v>#N/A</v>
      </c>
      <c r="BC281" t="s">
        <v>722</v>
      </c>
      <c r="BD281">
        <v>0.79</v>
      </c>
      <c r="BE281" t="e">
        <v>#N/A</v>
      </c>
      <c r="BF281" t="s">
        <v>722</v>
      </c>
      <c r="BG281">
        <v>0.85</v>
      </c>
      <c r="BH281" t="e">
        <v>#N/A</v>
      </c>
      <c r="BI281" t="s">
        <v>722</v>
      </c>
      <c r="BJ281">
        <v>0.85</v>
      </c>
      <c r="BK281" t="e">
        <v>#N/A</v>
      </c>
      <c r="BL281" t="s">
        <v>722</v>
      </c>
      <c r="BM281">
        <v>0.87</v>
      </c>
      <c r="BN281" t="e">
        <v>#N/A</v>
      </c>
      <c r="BO281" t="s">
        <v>722</v>
      </c>
      <c r="BP281">
        <v>1005.45</v>
      </c>
      <c r="BQ281" t="e">
        <v>#N/A</v>
      </c>
      <c r="BR281" t="s">
        <v>722</v>
      </c>
      <c r="BS281">
        <v>0.91</v>
      </c>
      <c r="BT281" t="e">
        <v>#N/A</v>
      </c>
      <c r="BU281" t="s">
        <v>665</v>
      </c>
      <c r="BV281">
        <v>23.08</v>
      </c>
      <c r="BW281" t="e">
        <v>#N/A</v>
      </c>
      <c r="BX281" t="s">
        <v>722</v>
      </c>
      <c r="BY281">
        <v>0.88</v>
      </c>
      <c r="BZ281" t="e">
        <v>#N/A</v>
      </c>
      <c r="CA281" t="s">
        <v>722</v>
      </c>
      <c r="CB281">
        <v>1033.67</v>
      </c>
      <c r="CC281" t="e">
        <v>#N/A</v>
      </c>
      <c r="CD281" t="s">
        <v>722</v>
      </c>
      <c r="CE281">
        <v>0.81</v>
      </c>
      <c r="CF281" t="e">
        <v>#N/A</v>
      </c>
      <c r="CG281" t="s">
        <v>722</v>
      </c>
      <c r="CH281">
        <v>1005.45</v>
      </c>
      <c r="CI281" t="e">
        <v>#N/A</v>
      </c>
      <c r="CJ281" t="s">
        <v>722</v>
      </c>
      <c r="CK281">
        <v>1025.99</v>
      </c>
      <c r="CL281" t="e">
        <v>#N/A</v>
      </c>
      <c r="CN281">
        <v>101.95</v>
      </c>
      <c r="CO281" t="e">
        <v>#N/A</v>
      </c>
      <c r="CP281" t="s">
        <v>1035</v>
      </c>
      <c r="CQ281">
        <v>102</v>
      </c>
      <c r="CR281" t="e">
        <v>#N/A</v>
      </c>
      <c r="CT281">
        <v>101.95</v>
      </c>
      <c r="CU281" t="e">
        <v>#N/A</v>
      </c>
      <c r="CV281" t="s">
        <v>1035</v>
      </c>
      <c r="CW281">
        <v>102</v>
      </c>
      <c r="CX281" t="e">
        <v>#N/A</v>
      </c>
      <c r="CY281" t="s">
        <v>1035</v>
      </c>
      <c r="CZ281">
        <v>102</v>
      </c>
      <c r="DA281" t="e">
        <v>#N/A</v>
      </c>
      <c r="DC281">
        <v>101.95</v>
      </c>
      <c r="DD281" t="e">
        <v>#N/A</v>
      </c>
      <c r="DF281">
        <v>101.95</v>
      </c>
      <c r="DG281" t="e">
        <v>#N/A</v>
      </c>
      <c r="DH281" t="s">
        <v>722</v>
      </c>
      <c r="DI281">
        <v>1265.67</v>
      </c>
      <c r="DJ281" t="e">
        <v>#N/A</v>
      </c>
      <c r="DK281" t="s">
        <v>722</v>
      </c>
      <c r="DL281">
        <v>1005.45</v>
      </c>
      <c r="DM281" t="e">
        <v>#N/A</v>
      </c>
      <c r="DO281">
        <v>101.95</v>
      </c>
      <c r="DP281" t="e">
        <v>#N/A</v>
      </c>
      <c r="DQ281" t="s">
        <v>722</v>
      </c>
      <c r="DR281">
        <v>1005.45</v>
      </c>
      <c r="DS281" t="e">
        <v>#N/A</v>
      </c>
      <c r="DT281" t="s">
        <v>722</v>
      </c>
      <c r="DU281">
        <v>0.8</v>
      </c>
      <c r="DV281" t="e">
        <v>#N/A</v>
      </c>
      <c r="DW281" t="s">
        <v>722</v>
      </c>
      <c r="DX281">
        <v>1025.68</v>
      </c>
      <c r="DY281" t="e">
        <v>#N/A</v>
      </c>
      <c r="DZ281" t="s">
        <v>722</v>
      </c>
      <c r="EA281">
        <v>0.97</v>
      </c>
      <c r="EB281" t="e">
        <v>#N/A</v>
      </c>
      <c r="EC281" t="s">
        <v>722</v>
      </c>
      <c r="ED281">
        <v>0.8</v>
      </c>
      <c r="EE281" t="e">
        <v>#N/A</v>
      </c>
      <c r="EF281" t="s">
        <v>722</v>
      </c>
      <c r="EG281">
        <v>0.8</v>
      </c>
      <c r="EH281" t="e">
        <v>#N/A</v>
      </c>
      <c r="EI281" t="s">
        <v>722</v>
      </c>
      <c r="EJ281">
        <v>0.97</v>
      </c>
      <c r="EK281" t="e">
        <v>#N/A</v>
      </c>
    </row>
    <row r="282" spans="1:141">
      <c r="A282" t="s">
        <v>665</v>
      </c>
      <c r="B282">
        <v>23.08</v>
      </c>
      <c r="C282" t="e">
        <v>#N/A</v>
      </c>
      <c r="D282" t="s">
        <v>722</v>
      </c>
      <c r="E282">
        <v>0.95</v>
      </c>
      <c r="F282" t="e">
        <v>#N/A</v>
      </c>
      <c r="G282" t="s">
        <v>722</v>
      </c>
      <c r="H282">
        <v>0.82</v>
      </c>
      <c r="I282" t="e">
        <v>#N/A</v>
      </c>
      <c r="J282" t="s">
        <v>722</v>
      </c>
      <c r="K282">
        <v>1047.6300000000001</v>
      </c>
      <c r="L282" t="e">
        <v>#N/A</v>
      </c>
      <c r="M282" t="s">
        <v>722</v>
      </c>
      <c r="N282">
        <v>1047.6300000000001</v>
      </c>
      <c r="O282" t="e">
        <v>#N/A</v>
      </c>
      <c r="P282" t="s">
        <v>722</v>
      </c>
      <c r="Q282">
        <v>1005.45</v>
      </c>
      <c r="R282" t="e">
        <v>#N/A</v>
      </c>
      <c r="S282" t="s">
        <v>665</v>
      </c>
      <c r="T282">
        <v>23.08</v>
      </c>
      <c r="U282" t="e">
        <v>#N/A</v>
      </c>
      <c r="V282" t="s">
        <v>665</v>
      </c>
      <c r="W282">
        <v>23.08</v>
      </c>
      <c r="X282" t="e">
        <v>#N/A</v>
      </c>
      <c r="Y282" t="s">
        <v>722</v>
      </c>
      <c r="Z282">
        <v>1067.8399999999999</v>
      </c>
      <c r="AA282" t="e">
        <v>#N/A</v>
      </c>
      <c r="AB282" t="s">
        <v>722</v>
      </c>
      <c r="AC282">
        <v>0.81</v>
      </c>
      <c r="AD282" t="e">
        <v>#N/A</v>
      </c>
      <c r="AE282" t="s">
        <v>722</v>
      </c>
      <c r="AF282">
        <v>0.92</v>
      </c>
      <c r="AG282" t="e">
        <v>#N/A</v>
      </c>
      <c r="AH282" t="s">
        <v>722</v>
      </c>
      <c r="AI282">
        <v>0.93</v>
      </c>
      <c r="AJ282" t="e">
        <v>#N/A</v>
      </c>
      <c r="AK282" t="s">
        <v>722</v>
      </c>
      <c r="AL282">
        <v>0.81</v>
      </c>
      <c r="AM282" t="e">
        <v>#N/A</v>
      </c>
      <c r="AN282" t="s">
        <v>722</v>
      </c>
      <c r="AO282">
        <v>1047.6300000000001</v>
      </c>
      <c r="AP282" t="e">
        <v>#N/A</v>
      </c>
      <c r="AQ282" t="s">
        <v>317</v>
      </c>
      <c r="AR282">
        <v>33.15</v>
      </c>
      <c r="AS282" t="e">
        <v>#N/A</v>
      </c>
      <c r="AT282" t="s">
        <v>722</v>
      </c>
      <c r="AU282">
        <v>0.89</v>
      </c>
      <c r="AV282" t="e">
        <v>#N/A</v>
      </c>
      <c r="AW282" t="s">
        <v>722</v>
      </c>
      <c r="AX282">
        <v>1005.45</v>
      </c>
      <c r="AY282" t="e">
        <v>#N/A</v>
      </c>
      <c r="AZ282" t="s">
        <v>722</v>
      </c>
      <c r="BA282">
        <v>0.85</v>
      </c>
      <c r="BB282" t="e">
        <v>#N/A</v>
      </c>
      <c r="BC282" t="s">
        <v>722</v>
      </c>
      <c r="BD282">
        <v>0.85</v>
      </c>
      <c r="BE282" t="e">
        <v>#N/A</v>
      </c>
      <c r="BF282" t="s">
        <v>722</v>
      </c>
      <c r="BG282">
        <v>0.86</v>
      </c>
      <c r="BH282" t="e">
        <v>#N/A</v>
      </c>
      <c r="BI282" t="s">
        <v>722</v>
      </c>
      <c r="BJ282">
        <v>0.86</v>
      </c>
      <c r="BK282" t="e">
        <v>#N/A</v>
      </c>
      <c r="BL282" t="s">
        <v>722</v>
      </c>
      <c r="BM282">
        <v>0.79</v>
      </c>
      <c r="BN282" t="e">
        <v>#N/A</v>
      </c>
      <c r="BO282" t="s">
        <v>665</v>
      </c>
      <c r="BP282">
        <v>23.08</v>
      </c>
      <c r="BQ282" t="e">
        <v>#N/A</v>
      </c>
      <c r="BR282" t="s">
        <v>722</v>
      </c>
      <c r="BS282">
        <v>0.87</v>
      </c>
      <c r="BT282" t="e">
        <v>#N/A</v>
      </c>
      <c r="BU282" t="s">
        <v>722</v>
      </c>
      <c r="BV282">
        <v>0.87</v>
      </c>
      <c r="BW282" t="e">
        <v>#N/A</v>
      </c>
      <c r="BX282" t="s">
        <v>722</v>
      </c>
      <c r="BY282">
        <v>0.86</v>
      </c>
      <c r="BZ282" t="e">
        <v>#N/A</v>
      </c>
      <c r="CA282" t="s">
        <v>722</v>
      </c>
      <c r="CB282">
        <v>1145.24</v>
      </c>
      <c r="CC282" t="e">
        <v>#N/A</v>
      </c>
      <c r="CD282" t="s">
        <v>722</v>
      </c>
      <c r="CE282">
        <v>1020.13</v>
      </c>
      <c r="CF282" t="e">
        <v>#N/A</v>
      </c>
      <c r="CG282" t="s">
        <v>665</v>
      </c>
      <c r="CH282">
        <v>23.08</v>
      </c>
      <c r="CI282" t="e">
        <v>#N/A</v>
      </c>
      <c r="CJ282" t="s">
        <v>1035</v>
      </c>
      <c r="CK282">
        <v>102</v>
      </c>
      <c r="CL282" t="e">
        <v>#N/A</v>
      </c>
      <c r="CM282" t="s">
        <v>1037</v>
      </c>
      <c r="CN282">
        <v>101.01</v>
      </c>
      <c r="CO282" t="e">
        <v>#N/A</v>
      </c>
      <c r="CQ282">
        <v>101.95</v>
      </c>
      <c r="CR282" t="e">
        <v>#N/A</v>
      </c>
      <c r="CS282" t="s">
        <v>722</v>
      </c>
      <c r="CT282">
        <v>1140.55</v>
      </c>
      <c r="CU282" t="e">
        <v>#N/A</v>
      </c>
      <c r="CW282">
        <v>101.95</v>
      </c>
      <c r="CX282" t="e">
        <v>#N/A</v>
      </c>
      <c r="CZ282">
        <v>101.95</v>
      </c>
      <c r="DA282" t="e">
        <v>#N/A</v>
      </c>
      <c r="DB282" t="s">
        <v>722</v>
      </c>
      <c r="DC282">
        <v>1138.8499999999999</v>
      </c>
      <c r="DD282" t="e">
        <v>#N/A</v>
      </c>
      <c r="DE282" t="s">
        <v>722</v>
      </c>
      <c r="DF282">
        <v>1138.8499999999999</v>
      </c>
      <c r="DG282" t="e">
        <v>#N/A</v>
      </c>
      <c r="DH282" t="s">
        <v>1037</v>
      </c>
      <c r="DI282">
        <v>101.01</v>
      </c>
      <c r="DJ282" t="e">
        <v>#N/A</v>
      </c>
      <c r="DK282" t="s">
        <v>665</v>
      </c>
      <c r="DL282">
        <v>23.08</v>
      </c>
      <c r="DM282" t="e">
        <v>#N/A</v>
      </c>
      <c r="DN282" t="s">
        <v>1037</v>
      </c>
      <c r="DO282">
        <v>101.01</v>
      </c>
      <c r="DP282" t="e">
        <v>#N/A</v>
      </c>
      <c r="DQ282" t="s">
        <v>665</v>
      </c>
      <c r="DR282">
        <v>23.08</v>
      </c>
      <c r="DS282" t="e">
        <v>#N/A</v>
      </c>
      <c r="DT282" t="s">
        <v>722</v>
      </c>
      <c r="DU282">
        <v>1025.68</v>
      </c>
      <c r="DV282" t="e">
        <v>#N/A</v>
      </c>
      <c r="DW282" t="s">
        <v>722</v>
      </c>
      <c r="DX282">
        <v>0.97</v>
      </c>
      <c r="DY282" t="e">
        <v>#N/A</v>
      </c>
      <c r="DZ282" t="s">
        <v>722</v>
      </c>
      <c r="EA282">
        <v>0.94</v>
      </c>
      <c r="EB282" t="e">
        <v>#N/A</v>
      </c>
      <c r="EC282" t="s">
        <v>722</v>
      </c>
      <c r="ED282">
        <v>1025.68</v>
      </c>
      <c r="EE282" t="e">
        <v>#N/A</v>
      </c>
      <c r="EF282" t="s">
        <v>722</v>
      </c>
      <c r="EG282">
        <v>1025.68</v>
      </c>
      <c r="EH282" t="e">
        <v>#N/A</v>
      </c>
      <c r="EI282" t="s">
        <v>722</v>
      </c>
      <c r="EJ282">
        <v>0.8</v>
      </c>
      <c r="EK282" t="e">
        <v>#N/A</v>
      </c>
    </row>
    <row r="283" spans="1:141">
      <c r="A283" t="s">
        <v>722</v>
      </c>
      <c r="B283">
        <v>1047.6300000000001</v>
      </c>
      <c r="C283" t="e">
        <v>#N/A</v>
      </c>
      <c r="D283" t="s">
        <v>722</v>
      </c>
      <c r="E283">
        <v>0.94</v>
      </c>
      <c r="F283" t="e">
        <v>#N/A</v>
      </c>
      <c r="G283" t="s">
        <v>665</v>
      </c>
      <c r="H283">
        <v>23.08</v>
      </c>
      <c r="I283" t="e">
        <v>#N/A</v>
      </c>
      <c r="J283" t="s">
        <v>722</v>
      </c>
      <c r="K283">
        <v>0.92</v>
      </c>
      <c r="L283" t="e">
        <v>#N/A</v>
      </c>
      <c r="M283" t="s">
        <v>722</v>
      </c>
      <c r="N283">
        <v>0.82</v>
      </c>
      <c r="O283" t="e">
        <v>#N/A</v>
      </c>
      <c r="P283" t="s">
        <v>722</v>
      </c>
      <c r="Q283">
        <v>0.82</v>
      </c>
      <c r="R283" t="e">
        <v>#N/A</v>
      </c>
      <c r="S283" t="s">
        <v>722</v>
      </c>
      <c r="T283">
        <v>1047.6300000000001</v>
      </c>
      <c r="U283" t="e">
        <v>#N/A</v>
      </c>
      <c r="V283" t="s">
        <v>722</v>
      </c>
      <c r="W283">
        <v>1047.6300000000001</v>
      </c>
      <c r="X283" t="e">
        <v>#N/A</v>
      </c>
      <c r="Y283" t="s">
        <v>665</v>
      </c>
      <c r="Z283">
        <v>23.08</v>
      </c>
      <c r="AA283" t="e">
        <v>#N/A</v>
      </c>
      <c r="AB283" t="s">
        <v>722</v>
      </c>
      <c r="AC283">
        <v>0.81</v>
      </c>
      <c r="AD283" t="e">
        <v>#N/A</v>
      </c>
      <c r="AE283" t="s">
        <v>722</v>
      </c>
      <c r="AF283">
        <v>0.94</v>
      </c>
      <c r="AG283" t="e">
        <v>#N/A</v>
      </c>
      <c r="AH283" t="s">
        <v>722</v>
      </c>
      <c r="AI283">
        <v>1005.45</v>
      </c>
      <c r="AJ283" t="e">
        <v>#N/A</v>
      </c>
      <c r="AK283" t="s">
        <v>722</v>
      </c>
      <c r="AL283">
        <v>0.86</v>
      </c>
      <c r="AM283" t="e">
        <v>#N/A</v>
      </c>
      <c r="AN283" t="s">
        <v>722</v>
      </c>
      <c r="AO283">
        <v>0.86</v>
      </c>
      <c r="AP283" t="e">
        <v>#N/A</v>
      </c>
      <c r="AQ283" t="s">
        <v>722</v>
      </c>
      <c r="AR283">
        <v>0.89</v>
      </c>
      <c r="AS283" t="e">
        <v>#N/A</v>
      </c>
      <c r="AT283" t="s">
        <v>722</v>
      </c>
      <c r="AU283">
        <v>0.86</v>
      </c>
      <c r="AV283" t="e">
        <v>#N/A</v>
      </c>
      <c r="AW283" t="s">
        <v>722</v>
      </c>
      <c r="AX283">
        <v>0.8</v>
      </c>
      <c r="AY283" t="e">
        <v>#N/A</v>
      </c>
      <c r="AZ283" t="s">
        <v>722</v>
      </c>
      <c r="BA283">
        <v>0.82</v>
      </c>
      <c r="BB283" t="e">
        <v>#N/A</v>
      </c>
      <c r="BC283" t="s">
        <v>722</v>
      </c>
      <c r="BD283">
        <v>1053.57</v>
      </c>
      <c r="BE283" t="e">
        <v>#N/A</v>
      </c>
      <c r="BF283" t="s">
        <v>879</v>
      </c>
      <c r="BG283">
        <v>10.39</v>
      </c>
      <c r="BH283" t="e">
        <v>#N/A</v>
      </c>
      <c r="BI283" t="s">
        <v>879</v>
      </c>
      <c r="BJ283">
        <v>10.39</v>
      </c>
      <c r="BK283" t="e">
        <v>#N/A</v>
      </c>
      <c r="BL283" t="s">
        <v>722</v>
      </c>
      <c r="BM283">
        <v>0.85</v>
      </c>
      <c r="BN283" t="e">
        <v>#N/A</v>
      </c>
      <c r="BO283" t="s">
        <v>722</v>
      </c>
      <c r="BP283">
        <v>0.87</v>
      </c>
      <c r="BQ283" t="e">
        <v>#N/A</v>
      </c>
      <c r="BR283" t="s">
        <v>722</v>
      </c>
      <c r="BS283">
        <v>0.94</v>
      </c>
      <c r="BT283" t="e">
        <v>#N/A</v>
      </c>
      <c r="BU283" t="s">
        <v>722</v>
      </c>
      <c r="BV283">
        <v>0.79</v>
      </c>
      <c r="BW283" t="e">
        <v>#N/A</v>
      </c>
      <c r="BX283" t="s">
        <v>722</v>
      </c>
      <c r="BY283">
        <v>1015.09</v>
      </c>
      <c r="BZ283" t="e">
        <v>#N/A</v>
      </c>
      <c r="CA283" t="s">
        <v>722</v>
      </c>
      <c r="CB283">
        <v>0.81</v>
      </c>
      <c r="CC283" t="e">
        <v>#N/A</v>
      </c>
      <c r="CD283" t="s">
        <v>758</v>
      </c>
      <c r="CE283">
        <v>101</v>
      </c>
      <c r="CF283" t="e">
        <v>#N/A</v>
      </c>
      <c r="CG283" t="s">
        <v>722</v>
      </c>
      <c r="CH283">
        <v>0.79</v>
      </c>
      <c r="CI283" t="e">
        <v>#N/A</v>
      </c>
      <c r="CK283">
        <v>101.95</v>
      </c>
      <c r="CL283" t="e">
        <v>#N/A</v>
      </c>
      <c r="CM283" t="s">
        <v>722</v>
      </c>
      <c r="CN283">
        <v>0.88</v>
      </c>
      <c r="CO283" t="e">
        <v>#N/A</v>
      </c>
      <c r="CP283" t="s">
        <v>722</v>
      </c>
      <c r="CQ283">
        <v>0.88</v>
      </c>
      <c r="CR283" t="e">
        <v>#N/A</v>
      </c>
      <c r="CS283" t="s">
        <v>1037</v>
      </c>
      <c r="CT283">
        <v>101.01</v>
      </c>
      <c r="CU283" t="e">
        <v>#N/A</v>
      </c>
      <c r="CV283" t="s">
        <v>1037</v>
      </c>
      <c r="CW283">
        <v>101.01</v>
      </c>
      <c r="CX283" t="e">
        <v>#N/A</v>
      </c>
      <c r="CY283" t="s">
        <v>722</v>
      </c>
      <c r="CZ283">
        <v>1173.54</v>
      </c>
      <c r="DA283" t="e">
        <v>#N/A</v>
      </c>
      <c r="DB283" t="s">
        <v>1037</v>
      </c>
      <c r="DC283">
        <v>101.01</v>
      </c>
      <c r="DD283" t="e">
        <v>#N/A</v>
      </c>
      <c r="DE283" t="s">
        <v>1037</v>
      </c>
      <c r="DF283">
        <v>101.01</v>
      </c>
      <c r="DG283" t="e">
        <v>#N/A</v>
      </c>
      <c r="DH283" t="s">
        <v>722</v>
      </c>
      <c r="DI283">
        <v>1005.45</v>
      </c>
      <c r="DJ283" t="e">
        <v>#N/A</v>
      </c>
      <c r="DK283" t="s">
        <v>758</v>
      </c>
      <c r="DL283">
        <v>68.180000000000007</v>
      </c>
      <c r="DM283" t="e">
        <v>#N/A</v>
      </c>
      <c r="DN283" t="s">
        <v>722</v>
      </c>
      <c r="DO283">
        <v>1005.45</v>
      </c>
      <c r="DP283" t="e">
        <v>#N/A</v>
      </c>
      <c r="DQ283" t="s">
        <v>722</v>
      </c>
      <c r="DR283">
        <v>998.33</v>
      </c>
      <c r="DS283" t="e">
        <v>#N/A</v>
      </c>
      <c r="DT283" t="s">
        <v>722</v>
      </c>
      <c r="DU283">
        <v>0.88</v>
      </c>
      <c r="DV283" t="e">
        <v>#N/A</v>
      </c>
      <c r="DW283" t="s">
        <v>722</v>
      </c>
      <c r="DX283">
        <v>0.94</v>
      </c>
      <c r="DY283" t="e">
        <v>#N/A</v>
      </c>
      <c r="DZ283" t="s">
        <v>722</v>
      </c>
      <c r="EA283">
        <v>0.83</v>
      </c>
      <c r="EB283" t="e">
        <v>#N/A</v>
      </c>
      <c r="EC283" t="s">
        <v>722</v>
      </c>
      <c r="ED283">
        <v>0.97</v>
      </c>
      <c r="EE283" t="e">
        <v>#N/A</v>
      </c>
      <c r="EF283" t="s">
        <v>722</v>
      </c>
      <c r="EG283">
        <v>0.97</v>
      </c>
      <c r="EH283" t="e">
        <v>#N/A</v>
      </c>
      <c r="EI283" t="s">
        <v>722</v>
      </c>
      <c r="EJ283">
        <v>1025.68</v>
      </c>
      <c r="EK283" t="e">
        <v>#N/A</v>
      </c>
    </row>
    <row r="284" spans="1:141">
      <c r="A284" t="s">
        <v>722</v>
      </c>
      <c r="B284">
        <v>0.8</v>
      </c>
      <c r="C284" t="e">
        <v>#N/A</v>
      </c>
      <c r="D284" t="s">
        <v>722</v>
      </c>
      <c r="E284">
        <v>0.82</v>
      </c>
      <c r="F284" t="e">
        <v>#N/A</v>
      </c>
      <c r="G284" t="s">
        <v>722</v>
      </c>
      <c r="H284">
        <v>1047.6300000000001</v>
      </c>
      <c r="I284" t="e">
        <v>#N/A</v>
      </c>
      <c r="J284" t="s">
        <v>722</v>
      </c>
      <c r="K284">
        <v>0.8</v>
      </c>
      <c r="L284" t="e">
        <v>#N/A</v>
      </c>
      <c r="M284" t="s">
        <v>722</v>
      </c>
      <c r="N284">
        <v>0.92</v>
      </c>
      <c r="O284" t="e">
        <v>#N/A</v>
      </c>
      <c r="P284" t="s">
        <v>665</v>
      </c>
      <c r="Q284">
        <v>23.08</v>
      </c>
      <c r="R284" t="e">
        <v>#N/A</v>
      </c>
      <c r="S284" t="s">
        <v>722</v>
      </c>
      <c r="T284">
        <v>0.87</v>
      </c>
      <c r="U284" t="e">
        <v>#N/A</v>
      </c>
      <c r="V284" t="s">
        <v>722</v>
      </c>
      <c r="W284">
        <v>0.81</v>
      </c>
      <c r="X284" t="e">
        <v>#N/A</v>
      </c>
      <c r="Y284" t="s">
        <v>722</v>
      </c>
      <c r="Z284">
        <v>1047.6300000000001</v>
      </c>
      <c r="AA284" t="e">
        <v>#N/A</v>
      </c>
      <c r="AB284" t="s">
        <v>722</v>
      </c>
      <c r="AC284">
        <v>0.86</v>
      </c>
      <c r="AD284" t="e">
        <v>#N/A</v>
      </c>
      <c r="AE284" t="s">
        <v>722</v>
      </c>
      <c r="AF284">
        <v>0.91</v>
      </c>
      <c r="AG284" t="e">
        <v>#N/A</v>
      </c>
      <c r="AH284" t="s">
        <v>722</v>
      </c>
      <c r="AI284">
        <v>0.82</v>
      </c>
      <c r="AJ284" t="e">
        <v>#N/A</v>
      </c>
      <c r="AK284" t="s">
        <v>722</v>
      </c>
      <c r="AL284">
        <v>0.93</v>
      </c>
      <c r="AM284" t="e">
        <v>#N/A</v>
      </c>
      <c r="AN284" t="s">
        <v>722</v>
      </c>
      <c r="AO284">
        <v>0.88</v>
      </c>
      <c r="AP284" t="e">
        <v>#N/A</v>
      </c>
      <c r="AQ284" t="s">
        <v>722</v>
      </c>
      <c r="AR284">
        <v>0.86</v>
      </c>
      <c r="AS284" t="e">
        <v>#N/A</v>
      </c>
      <c r="AT284" t="s">
        <v>317</v>
      </c>
      <c r="AU284">
        <v>33.35</v>
      </c>
      <c r="AV284" t="e">
        <v>#N/A</v>
      </c>
      <c r="AW284" t="s">
        <v>665</v>
      </c>
      <c r="AX284">
        <v>23.08</v>
      </c>
      <c r="AY284" t="e">
        <v>#N/A</v>
      </c>
      <c r="BA284">
        <v>40.33</v>
      </c>
      <c r="BB284" t="e">
        <v>#N/A</v>
      </c>
      <c r="BC284" t="s">
        <v>722</v>
      </c>
      <c r="BD284">
        <v>0.82</v>
      </c>
      <c r="BE284" t="e">
        <v>#N/A</v>
      </c>
      <c r="BF284" t="s">
        <v>722</v>
      </c>
      <c r="BG284">
        <v>1053.57</v>
      </c>
      <c r="BH284" t="e">
        <v>#N/A</v>
      </c>
      <c r="BI284" t="s">
        <v>722</v>
      </c>
      <c r="BJ284">
        <v>0.88</v>
      </c>
      <c r="BK284" t="e">
        <v>#N/A</v>
      </c>
      <c r="BL284" t="s">
        <v>722</v>
      </c>
      <c r="BM284">
        <v>1053.57</v>
      </c>
      <c r="BN284" t="e">
        <v>#N/A</v>
      </c>
      <c r="BO284" t="s">
        <v>722</v>
      </c>
      <c r="BP284">
        <v>0.79</v>
      </c>
      <c r="BQ284" t="e">
        <v>#N/A</v>
      </c>
      <c r="BR284" t="s">
        <v>758</v>
      </c>
      <c r="BS284">
        <v>101</v>
      </c>
      <c r="BT284" t="e">
        <v>#N/A</v>
      </c>
      <c r="BU284" t="s">
        <v>722</v>
      </c>
      <c r="BV284">
        <v>0.79</v>
      </c>
      <c r="BW284" t="e">
        <v>#N/A</v>
      </c>
      <c r="BX284" t="s">
        <v>722</v>
      </c>
      <c r="BY284">
        <v>0.96</v>
      </c>
      <c r="BZ284" t="e">
        <v>#N/A</v>
      </c>
      <c r="CA284" t="s">
        <v>722</v>
      </c>
      <c r="CB284">
        <v>0.83</v>
      </c>
      <c r="CC284" t="e">
        <v>#N/A</v>
      </c>
      <c r="CD284" t="s">
        <v>722</v>
      </c>
      <c r="CE284">
        <v>0.93</v>
      </c>
      <c r="CF284" t="e">
        <v>#N/A</v>
      </c>
      <c r="CG284" t="s">
        <v>722</v>
      </c>
      <c r="CH284">
        <v>0.79</v>
      </c>
      <c r="CI284" t="e">
        <v>#N/A</v>
      </c>
      <c r="CJ284" t="s">
        <v>722</v>
      </c>
      <c r="CK284">
        <v>0.82</v>
      </c>
      <c r="CL284" t="e">
        <v>#N/A</v>
      </c>
      <c r="CM284" t="s">
        <v>722</v>
      </c>
      <c r="CN284">
        <v>1005.45</v>
      </c>
      <c r="CO284" t="e">
        <v>#N/A</v>
      </c>
      <c r="CP284" t="s">
        <v>1037</v>
      </c>
      <c r="CQ284">
        <v>101.01</v>
      </c>
      <c r="CR284" t="e">
        <v>#N/A</v>
      </c>
      <c r="CS284" t="s">
        <v>722</v>
      </c>
      <c r="CT284">
        <v>1005.45</v>
      </c>
      <c r="CU284" t="e">
        <v>#N/A</v>
      </c>
      <c r="CV284" t="s">
        <v>722</v>
      </c>
      <c r="CW284">
        <v>1005.45</v>
      </c>
      <c r="CX284" t="e">
        <v>#N/A</v>
      </c>
      <c r="CY284" t="s">
        <v>722</v>
      </c>
      <c r="CZ284">
        <v>0.83</v>
      </c>
      <c r="DA284" t="e">
        <v>#N/A</v>
      </c>
      <c r="DB284" t="s">
        <v>722</v>
      </c>
      <c r="DC284">
        <v>1005.45</v>
      </c>
      <c r="DD284" t="e">
        <v>#N/A</v>
      </c>
      <c r="DE284" t="s">
        <v>722</v>
      </c>
      <c r="DF284">
        <v>1005.45</v>
      </c>
      <c r="DG284" t="e">
        <v>#N/A</v>
      </c>
      <c r="DH284" t="s">
        <v>317</v>
      </c>
      <c r="DI284">
        <v>35.9</v>
      </c>
      <c r="DJ284" t="e">
        <v>#N/A</v>
      </c>
      <c r="DK284" t="s">
        <v>1075</v>
      </c>
      <c r="DL284">
        <v>0.67</v>
      </c>
      <c r="DM284" t="e">
        <v>#N/A</v>
      </c>
      <c r="DN284" t="s">
        <v>665</v>
      </c>
      <c r="DO284">
        <v>23.08</v>
      </c>
      <c r="DP284" t="e">
        <v>#N/A</v>
      </c>
      <c r="DQ284" t="s">
        <v>758</v>
      </c>
      <c r="DR284">
        <v>68.180000000000007</v>
      </c>
      <c r="DS284" t="e">
        <v>#N/A</v>
      </c>
      <c r="DT284" t="s">
        <v>722</v>
      </c>
      <c r="DU284">
        <v>0.83</v>
      </c>
      <c r="DV284" t="e">
        <v>#N/A</v>
      </c>
      <c r="DW284" t="s">
        <v>722</v>
      </c>
      <c r="DX284">
        <v>0.83</v>
      </c>
      <c r="DY284" t="e">
        <v>#N/A</v>
      </c>
      <c r="DZ284" t="s">
        <v>722</v>
      </c>
      <c r="EA284">
        <v>1171.6400000000001</v>
      </c>
      <c r="EB284" t="e">
        <v>#N/A</v>
      </c>
      <c r="EC284" t="s">
        <v>722</v>
      </c>
      <c r="ED284">
        <v>0.94</v>
      </c>
      <c r="EE284" t="e">
        <v>#N/A</v>
      </c>
      <c r="EF284" t="s">
        <v>722</v>
      </c>
      <c r="EG284">
        <v>0.94</v>
      </c>
      <c r="EH284" t="e">
        <v>#N/A</v>
      </c>
      <c r="EI284" t="s">
        <v>722</v>
      </c>
      <c r="EJ284">
        <v>0.97</v>
      </c>
      <c r="EK284" t="e">
        <v>#N/A</v>
      </c>
    </row>
    <row r="285" spans="1:141">
      <c r="A285" t="s">
        <v>722</v>
      </c>
      <c r="B285">
        <v>0.92</v>
      </c>
      <c r="C285" t="e">
        <v>#N/A</v>
      </c>
      <c r="D285" t="s">
        <v>665</v>
      </c>
      <c r="E285">
        <v>23.08</v>
      </c>
      <c r="F285" t="e">
        <v>#N/A</v>
      </c>
      <c r="G285" t="s">
        <v>722</v>
      </c>
      <c r="H285">
        <v>0.94</v>
      </c>
      <c r="I285" t="e">
        <v>#N/A</v>
      </c>
      <c r="J285" t="s">
        <v>722</v>
      </c>
      <c r="K285">
        <v>0.92</v>
      </c>
      <c r="L285" t="e">
        <v>#N/A</v>
      </c>
      <c r="M285" t="s">
        <v>722</v>
      </c>
      <c r="N285">
        <v>0.91</v>
      </c>
      <c r="O285" t="e">
        <v>#N/A</v>
      </c>
      <c r="P285" t="s">
        <v>722</v>
      </c>
      <c r="Q285">
        <v>1047.6300000000001</v>
      </c>
      <c r="R285" t="e">
        <v>#N/A</v>
      </c>
      <c r="S285" t="s">
        <v>722</v>
      </c>
      <c r="T285">
        <v>0.91</v>
      </c>
      <c r="U285" t="e">
        <v>#N/A</v>
      </c>
      <c r="V285" t="s">
        <v>722</v>
      </c>
      <c r="W285">
        <v>0.85</v>
      </c>
      <c r="X285" t="e">
        <v>#N/A</v>
      </c>
      <c r="Y285" t="s">
        <v>722</v>
      </c>
      <c r="Z285">
        <v>0.81</v>
      </c>
      <c r="AA285" t="e">
        <v>#N/A</v>
      </c>
      <c r="AB285" t="s">
        <v>722</v>
      </c>
      <c r="AC285">
        <v>0.93</v>
      </c>
      <c r="AD285" t="e">
        <v>#N/A</v>
      </c>
      <c r="AE285" t="s">
        <v>758</v>
      </c>
      <c r="AF285">
        <v>101</v>
      </c>
      <c r="AG285" t="e">
        <v>#N/A</v>
      </c>
      <c r="AH285" t="s">
        <v>665</v>
      </c>
      <c r="AI285">
        <v>23.08</v>
      </c>
      <c r="AJ285" t="e">
        <v>#N/A</v>
      </c>
      <c r="AK285" t="s">
        <v>722</v>
      </c>
      <c r="AL285">
        <v>0.88</v>
      </c>
      <c r="AM285" t="e">
        <v>#N/A</v>
      </c>
      <c r="AN285" t="s">
        <v>722</v>
      </c>
      <c r="AO285">
        <v>0.85</v>
      </c>
      <c r="AP285" t="e">
        <v>#N/A</v>
      </c>
      <c r="AQ285" t="s">
        <v>722</v>
      </c>
      <c r="AR285">
        <v>0.88</v>
      </c>
      <c r="AS285" t="e">
        <v>#N/A</v>
      </c>
      <c r="AT285" t="s">
        <v>722</v>
      </c>
      <c r="AU285">
        <v>1041.54</v>
      </c>
      <c r="AV285" t="e">
        <v>#N/A</v>
      </c>
      <c r="AW285" t="s">
        <v>722</v>
      </c>
      <c r="AX285">
        <v>0.94</v>
      </c>
      <c r="AY285" t="e">
        <v>#N/A</v>
      </c>
      <c r="AZ285" t="s">
        <v>722</v>
      </c>
      <c r="BA285">
        <v>1011.11</v>
      </c>
      <c r="BB285" t="e">
        <v>#N/A</v>
      </c>
      <c r="BD285">
        <v>40.33</v>
      </c>
      <c r="BE285" t="e">
        <v>#N/A</v>
      </c>
      <c r="BF285" t="s">
        <v>317</v>
      </c>
      <c r="BG285">
        <v>33.5</v>
      </c>
      <c r="BH285" t="e">
        <v>#N/A</v>
      </c>
      <c r="BI285" t="s">
        <v>722</v>
      </c>
      <c r="BJ285">
        <v>1053.57</v>
      </c>
      <c r="BK285" t="e">
        <v>#N/A</v>
      </c>
      <c r="BM285">
        <v>40.33</v>
      </c>
      <c r="BN285" t="e">
        <v>#N/A</v>
      </c>
      <c r="BO285" t="s">
        <v>317</v>
      </c>
      <c r="BP285">
        <v>33.6</v>
      </c>
      <c r="BQ285" t="e">
        <v>#N/A</v>
      </c>
      <c r="BR285" t="s">
        <v>722</v>
      </c>
      <c r="BS285">
        <v>0.93</v>
      </c>
      <c r="BT285" t="e">
        <v>#N/A</v>
      </c>
      <c r="BU285" t="s">
        <v>722</v>
      </c>
      <c r="BV285">
        <v>1</v>
      </c>
      <c r="BW285" t="e">
        <v>#N/A</v>
      </c>
      <c r="BX285" t="s">
        <v>722</v>
      </c>
      <c r="BY285">
        <v>0.9</v>
      </c>
      <c r="BZ285" t="e">
        <v>#N/A</v>
      </c>
      <c r="CA285" t="s">
        <v>317</v>
      </c>
      <c r="CB285">
        <v>34.450000000000003</v>
      </c>
      <c r="CC285" t="e">
        <v>#N/A</v>
      </c>
      <c r="CD285" t="s">
        <v>722</v>
      </c>
      <c r="CE285">
        <v>0.86</v>
      </c>
      <c r="CF285" t="e">
        <v>#N/A</v>
      </c>
      <c r="CG285" t="s">
        <v>722</v>
      </c>
      <c r="CH285">
        <v>1053.57</v>
      </c>
      <c r="CI285" t="e">
        <v>#N/A</v>
      </c>
      <c r="CJ285" t="s">
        <v>722</v>
      </c>
      <c r="CK285">
        <v>1145.24</v>
      </c>
      <c r="CL285" t="e">
        <v>#N/A</v>
      </c>
      <c r="CM285" t="s">
        <v>665</v>
      </c>
      <c r="CN285">
        <v>23.08</v>
      </c>
      <c r="CO285" t="e">
        <v>#N/A</v>
      </c>
      <c r="CP285" t="s">
        <v>722</v>
      </c>
      <c r="CQ285">
        <v>1005.45</v>
      </c>
      <c r="CR285" t="e">
        <v>#N/A</v>
      </c>
      <c r="CS285" t="s">
        <v>665</v>
      </c>
      <c r="CT285">
        <v>23.08</v>
      </c>
      <c r="CU285" t="e">
        <v>#N/A</v>
      </c>
      <c r="CV285" t="s">
        <v>665</v>
      </c>
      <c r="CW285">
        <v>23.08</v>
      </c>
      <c r="CX285" t="e">
        <v>#N/A</v>
      </c>
      <c r="CY285" t="s">
        <v>1037</v>
      </c>
      <c r="CZ285">
        <v>101.01</v>
      </c>
      <c r="DA285" t="e">
        <v>#N/A</v>
      </c>
      <c r="DB285" t="s">
        <v>665</v>
      </c>
      <c r="DC285">
        <v>23.08</v>
      </c>
      <c r="DD285" t="e">
        <v>#N/A</v>
      </c>
      <c r="DE285" t="s">
        <v>665</v>
      </c>
      <c r="DF285">
        <v>23.08</v>
      </c>
      <c r="DG285" t="e">
        <v>#N/A</v>
      </c>
      <c r="DH285" t="s">
        <v>665</v>
      </c>
      <c r="DI285">
        <v>23.08</v>
      </c>
      <c r="DJ285" t="e">
        <v>#N/A</v>
      </c>
      <c r="DK285" t="s">
        <v>722</v>
      </c>
      <c r="DL285">
        <v>1031.1600000000001</v>
      </c>
      <c r="DM285" t="e">
        <v>#N/A</v>
      </c>
      <c r="DN285" t="s">
        <v>722</v>
      </c>
      <c r="DO285">
        <v>0.86</v>
      </c>
      <c r="DP285" t="e">
        <v>#N/A</v>
      </c>
      <c r="DQ285" t="s">
        <v>722</v>
      </c>
      <c r="DR285">
        <v>0.84</v>
      </c>
      <c r="DS285" t="e">
        <v>#N/A</v>
      </c>
      <c r="DU285">
        <v>40.33</v>
      </c>
      <c r="DV285" t="e">
        <v>#N/A</v>
      </c>
      <c r="DW285" t="s">
        <v>722</v>
      </c>
      <c r="DX285">
        <v>1171.6400000000001</v>
      </c>
      <c r="DY285" t="e">
        <v>#N/A</v>
      </c>
      <c r="EA285">
        <v>40.33</v>
      </c>
      <c r="EB285" t="e">
        <v>#N/A</v>
      </c>
      <c r="EC285" t="s">
        <v>722</v>
      </c>
      <c r="ED285">
        <v>0.83</v>
      </c>
      <c r="EE285" t="e">
        <v>#N/A</v>
      </c>
      <c r="EF285" t="s">
        <v>722</v>
      </c>
      <c r="EG285">
        <v>0.83</v>
      </c>
      <c r="EH285" t="e">
        <v>#N/A</v>
      </c>
      <c r="EI285" t="s">
        <v>722</v>
      </c>
      <c r="EJ285">
        <v>0.94</v>
      </c>
      <c r="EK285" t="e">
        <v>#N/A</v>
      </c>
    </row>
    <row r="286" spans="1:141">
      <c r="A286" t="s">
        <v>722</v>
      </c>
      <c r="B286">
        <v>0.91</v>
      </c>
      <c r="C286" t="e">
        <v>#N/A</v>
      </c>
      <c r="D286" t="s">
        <v>722</v>
      </c>
      <c r="E286">
        <v>1047.6300000000001</v>
      </c>
      <c r="F286" t="e">
        <v>#N/A</v>
      </c>
      <c r="G286" t="s">
        <v>722</v>
      </c>
      <c r="H286">
        <v>0.99</v>
      </c>
      <c r="I286" t="e">
        <v>#N/A</v>
      </c>
      <c r="J286" t="s">
        <v>722</v>
      </c>
      <c r="K286">
        <v>0.91</v>
      </c>
      <c r="L286" t="e">
        <v>#N/A</v>
      </c>
      <c r="M286" t="s">
        <v>722</v>
      </c>
      <c r="N286">
        <v>0.88</v>
      </c>
      <c r="O286" t="e">
        <v>#N/A</v>
      </c>
      <c r="P286" t="s">
        <v>722</v>
      </c>
      <c r="Q286">
        <v>0.92</v>
      </c>
      <c r="R286" t="e">
        <v>#N/A</v>
      </c>
      <c r="S286" t="s">
        <v>722</v>
      </c>
      <c r="T286">
        <v>0.88</v>
      </c>
      <c r="U286" t="e">
        <v>#N/A</v>
      </c>
      <c r="V286" t="s">
        <v>722</v>
      </c>
      <c r="W286">
        <v>1010.95</v>
      </c>
      <c r="X286" t="e">
        <v>#N/A</v>
      </c>
      <c r="Y286" t="s">
        <v>722</v>
      </c>
      <c r="Z286">
        <v>0.93</v>
      </c>
      <c r="AA286" t="e">
        <v>#N/A</v>
      </c>
      <c r="AB286" t="s">
        <v>722</v>
      </c>
      <c r="AC286">
        <v>0.88</v>
      </c>
      <c r="AD286" t="e">
        <v>#N/A</v>
      </c>
      <c r="AE286" t="s">
        <v>722</v>
      </c>
      <c r="AF286">
        <v>0.94</v>
      </c>
      <c r="AG286" t="e">
        <v>#N/A</v>
      </c>
      <c r="AH286" t="s">
        <v>722</v>
      </c>
      <c r="AI286">
        <v>0.83</v>
      </c>
      <c r="AJ286" t="e">
        <v>#N/A</v>
      </c>
      <c r="AK286" t="s">
        <v>722</v>
      </c>
      <c r="AL286">
        <v>1010.95</v>
      </c>
      <c r="AM286" t="e">
        <v>#N/A</v>
      </c>
      <c r="AN286" t="s">
        <v>722</v>
      </c>
      <c r="AO286">
        <v>0.88</v>
      </c>
      <c r="AP286" t="e">
        <v>#N/A</v>
      </c>
      <c r="AQ286" t="s">
        <v>722</v>
      </c>
      <c r="AR286">
        <v>1041.54</v>
      </c>
      <c r="AS286" t="e">
        <v>#N/A</v>
      </c>
      <c r="AT286" t="s">
        <v>722</v>
      </c>
      <c r="AU286">
        <v>0.82</v>
      </c>
      <c r="AV286" t="e">
        <v>#N/A</v>
      </c>
      <c r="AW286" t="s">
        <v>722</v>
      </c>
      <c r="AX286">
        <v>1026.82</v>
      </c>
      <c r="AY286" t="e">
        <v>#N/A</v>
      </c>
      <c r="AZ286" t="s">
        <v>722</v>
      </c>
      <c r="BA286">
        <v>1004.72</v>
      </c>
      <c r="BB286" t="e">
        <v>#N/A</v>
      </c>
      <c r="BC286" t="s">
        <v>722</v>
      </c>
      <c r="BD286">
        <v>1011.11</v>
      </c>
      <c r="BE286" t="e">
        <v>#N/A</v>
      </c>
      <c r="BG286">
        <v>40.33</v>
      </c>
      <c r="BH286" t="e">
        <v>#N/A</v>
      </c>
      <c r="BI286" t="s">
        <v>722</v>
      </c>
      <c r="BJ286">
        <v>1045.98</v>
      </c>
      <c r="BK286" t="e">
        <v>#N/A</v>
      </c>
      <c r="BL286" t="s">
        <v>722</v>
      </c>
      <c r="BM286">
        <v>1011.11</v>
      </c>
      <c r="BN286" t="e">
        <v>#N/A</v>
      </c>
      <c r="BO286" t="s">
        <v>722</v>
      </c>
      <c r="BP286">
        <v>1003</v>
      </c>
      <c r="BQ286" t="e">
        <v>#N/A</v>
      </c>
      <c r="BR286" t="s">
        <v>722</v>
      </c>
      <c r="BS286">
        <v>1005.45</v>
      </c>
      <c r="BT286" t="e">
        <v>#N/A</v>
      </c>
      <c r="BU286" t="s">
        <v>722</v>
      </c>
      <c r="BV286">
        <v>1053.57</v>
      </c>
      <c r="BW286" t="e">
        <v>#N/A</v>
      </c>
      <c r="BX286" t="s">
        <v>758</v>
      </c>
      <c r="BY286">
        <v>101</v>
      </c>
      <c r="BZ286" t="e">
        <v>#N/A</v>
      </c>
      <c r="CA286" t="s">
        <v>722</v>
      </c>
      <c r="CB286">
        <v>0.9</v>
      </c>
      <c r="CC286" t="e">
        <v>#N/A</v>
      </c>
      <c r="CD286" t="s">
        <v>317</v>
      </c>
      <c r="CE286">
        <v>34.82</v>
      </c>
      <c r="CF286" t="e">
        <v>#N/A</v>
      </c>
      <c r="CG286" t="s">
        <v>722</v>
      </c>
      <c r="CH286">
        <v>0.88</v>
      </c>
      <c r="CI286" t="e">
        <v>#N/A</v>
      </c>
      <c r="CJ286" t="s">
        <v>722</v>
      </c>
      <c r="CK286">
        <v>0.9</v>
      </c>
      <c r="CL286" t="e">
        <v>#N/A</v>
      </c>
      <c r="CM286" t="s">
        <v>758</v>
      </c>
      <c r="CN286">
        <v>68.180000000000007</v>
      </c>
      <c r="CO286" t="e">
        <v>#N/A</v>
      </c>
      <c r="CP286" t="s">
        <v>722</v>
      </c>
      <c r="CQ286">
        <v>0.96</v>
      </c>
      <c r="CR286" t="e">
        <v>#N/A</v>
      </c>
      <c r="CS286" t="s">
        <v>758</v>
      </c>
      <c r="CT286">
        <v>68.180000000000007</v>
      </c>
      <c r="CU286" t="e">
        <v>#N/A</v>
      </c>
      <c r="CV286" t="s">
        <v>758</v>
      </c>
      <c r="CW286">
        <v>68.180000000000007</v>
      </c>
      <c r="CX286" t="e">
        <v>#N/A</v>
      </c>
      <c r="CY286" t="s">
        <v>722</v>
      </c>
      <c r="CZ286">
        <v>1005.45</v>
      </c>
      <c r="DA286" t="e">
        <v>#N/A</v>
      </c>
      <c r="DB286" t="s">
        <v>317</v>
      </c>
      <c r="DC286">
        <v>35</v>
      </c>
      <c r="DD286" t="e">
        <v>#N/A</v>
      </c>
      <c r="DE286" t="s">
        <v>758</v>
      </c>
      <c r="DF286">
        <v>68.180000000000007</v>
      </c>
      <c r="DG286" t="e">
        <v>#N/A</v>
      </c>
      <c r="DH286" t="s">
        <v>758</v>
      </c>
      <c r="DI286">
        <v>68.180000000000007</v>
      </c>
      <c r="DJ286" t="e">
        <v>#N/A</v>
      </c>
      <c r="DK286" t="s">
        <v>722</v>
      </c>
      <c r="DL286">
        <v>0.86</v>
      </c>
      <c r="DM286" t="e">
        <v>#N/A</v>
      </c>
      <c r="DN286" t="s">
        <v>758</v>
      </c>
      <c r="DO286">
        <v>68.180000000000007</v>
      </c>
      <c r="DP286" t="e">
        <v>#N/A</v>
      </c>
      <c r="DQ286" t="s">
        <v>722</v>
      </c>
      <c r="DR286">
        <v>0.91</v>
      </c>
      <c r="DS286" t="e">
        <v>#N/A</v>
      </c>
      <c r="DT286" t="s">
        <v>722</v>
      </c>
      <c r="DU286">
        <v>0.93</v>
      </c>
      <c r="DV286" t="e">
        <v>#N/A</v>
      </c>
      <c r="DX286">
        <v>40.33</v>
      </c>
      <c r="DY286" t="e">
        <v>#N/A</v>
      </c>
      <c r="DZ286" t="s">
        <v>722</v>
      </c>
      <c r="EA286">
        <v>0.85</v>
      </c>
      <c r="EB286" t="e">
        <v>#N/A</v>
      </c>
      <c r="EC286" t="s">
        <v>722</v>
      </c>
      <c r="ED286">
        <v>1171.6400000000001</v>
      </c>
      <c r="EE286" t="e">
        <v>#N/A</v>
      </c>
      <c r="EF286" t="s">
        <v>722</v>
      </c>
      <c r="EG286">
        <v>1171.6400000000001</v>
      </c>
      <c r="EH286" t="e">
        <v>#N/A</v>
      </c>
      <c r="EI286" t="s">
        <v>722</v>
      </c>
      <c r="EJ286">
        <v>0.83</v>
      </c>
      <c r="EK286" t="e">
        <v>#N/A</v>
      </c>
    </row>
    <row r="287" spans="1:141">
      <c r="B287">
        <v>40.33</v>
      </c>
      <c r="C287" t="e">
        <v>#N/A</v>
      </c>
      <c r="D287" t="s">
        <v>722</v>
      </c>
      <c r="E287">
        <v>0.87</v>
      </c>
      <c r="F287" t="e">
        <v>#N/A</v>
      </c>
      <c r="G287" t="s">
        <v>722</v>
      </c>
      <c r="H287">
        <v>0.8</v>
      </c>
      <c r="I287" t="e">
        <v>#N/A</v>
      </c>
      <c r="J287" t="s">
        <v>722</v>
      </c>
      <c r="K287">
        <v>0.88</v>
      </c>
      <c r="L287" t="e">
        <v>#N/A</v>
      </c>
      <c r="N287">
        <v>40.33</v>
      </c>
      <c r="O287" t="e">
        <v>#N/A</v>
      </c>
      <c r="P287" t="s">
        <v>722</v>
      </c>
      <c r="Q287">
        <v>0.91</v>
      </c>
      <c r="R287" t="e">
        <v>#N/A</v>
      </c>
      <c r="T287">
        <v>40.33</v>
      </c>
      <c r="U287" t="e">
        <v>#N/A</v>
      </c>
      <c r="V287" t="s">
        <v>722</v>
      </c>
      <c r="W287">
        <v>0.93</v>
      </c>
      <c r="X287" t="e">
        <v>#N/A</v>
      </c>
      <c r="Y287" t="s">
        <v>722</v>
      </c>
      <c r="Z287">
        <v>0.85</v>
      </c>
      <c r="AA287" t="e">
        <v>#N/A</v>
      </c>
      <c r="AB287" t="s">
        <v>722</v>
      </c>
      <c r="AC287">
        <v>0.85</v>
      </c>
      <c r="AD287" t="e">
        <v>#N/A</v>
      </c>
      <c r="AE287" t="s">
        <v>722</v>
      </c>
      <c r="AF287">
        <v>1005.45</v>
      </c>
      <c r="AG287" t="e">
        <v>#N/A</v>
      </c>
      <c r="AH287" t="s">
        <v>722</v>
      </c>
      <c r="AI287">
        <v>1047.6300000000001</v>
      </c>
      <c r="AJ287" t="e">
        <v>#N/A</v>
      </c>
      <c r="AK287" t="s">
        <v>722</v>
      </c>
      <c r="AL287">
        <v>0.82</v>
      </c>
      <c r="AM287" t="e">
        <v>#N/A</v>
      </c>
      <c r="AO287">
        <v>40.33</v>
      </c>
      <c r="AP287" t="e">
        <v>#N/A</v>
      </c>
      <c r="AR287">
        <v>40.33</v>
      </c>
      <c r="AS287" t="e">
        <v>#N/A</v>
      </c>
      <c r="AU287">
        <v>40.33</v>
      </c>
      <c r="AV287" t="e">
        <v>#N/A</v>
      </c>
      <c r="AW287" t="s">
        <v>722</v>
      </c>
      <c r="AX287">
        <v>0.84</v>
      </c>
      <c r="AY287" t="e">
        <v>#N/A</v>
      </c>
      <c r="AZ287" t="s">
        <v>722</v>
      </c>
      <c r="BA287">
        <v>1008.43</v>
      </c>
      <c r="BB287" t="e">
        <v>#N/A</v>
      </c>
      <c r="BC287" t="s">
        <v>722</v>
      </c>
      <c r="BD287">
        <v>0.93</v>
      </c>
      <c r="BE287" t="e">
        <v>#N/A</v>
      </c>
      <c r="BF287" t="s">
        <v>722</v>
      </c>
      <c r="BG287">
        <v>1011.11</v>
      </c>
      <c r="BH287" t="e">
        <v>#N/A</v>
      </c>
      <c r="BI287" t="s">
        <v>722</v>
      </c>
      <c r="BJ287">
        <v>0.95</v>
      </c>
      <c r="BK287" t="e">
        <v>#N/A</v>
      </c>
      <c r="BL287" t="s">
        <v>722</v>
      </c>
      <c r="BM287">
        <v>1012.33</v>
      </c>
      <c r="BN287" t="e">
        <v>#N/A</v>
      </c>
      <c r="BO287" t="s">
        <v>722</v>
      </c>
      <c r="BP287">
        <v>1053.57</v>
      </c>
      <c r="BQ287" t="e">
        <v>#N/A</v>
      </c>
      <c r="BR287" t="s">
        <v>722</v>
      </c>
      <c r="BS287">
        <v>0.9</v>
      </c>
      <c r="BT287" t="e">
        <v>#N/A</v>
      </c>
      <c r="BU287" t="s">
        <v>722</v>
      </c>
      <c r="BV287">
        <v>0.81</v>
      </c>
      <c r="BW287" t="e">
        <v>#N/A</v>
      </c>
      <c r="BX287" t="s">
        <v>722</v>
      </c>
      <c r="BY287">
        <v>1005.45</v>
      </c>
      <c r="BZ287" t="e">
        <v>#N/A</v>
      </c>
      <c r="CA287" t="s">
        <v>758</v>
      </c>
      <c r="CB287">
        <v>101</v>
      </c>
      <c r="CC287" t="e">
        <v>#N/A</v>
      </c>
      <c r="CD287" t="s">
        <v>665</v>
      </c>
      <c r="CE287">
        <v>23.08</v>
      </c>
      <c r="CF287" t="e">
        <v>#N/A</v>
      </c>
      <c r="CG287" t="s">
        <v>722</v>
      </c>
      <c r="CH287">
        <v>0.81</v>
      </c>
      <c r="CI287" t="e">
        <v>#N/A</v>
      </c>
      <c r="CJ287" t="s">
        <v>722</v>
      </c>
      <c r="CK287">
        <v>0.92</v>
      </c>
      <c r="CL287" t="e">
        <v>#N/A</v>
      </c>
      <c r="CM287" t="s">
        <v>722</v>
      </c>
      <c r="CN287">
        <v>0.79</v>
      </c>
      <c r="CO287" t="e">
        <v>#N/A</v>
      </c>
      <c r="CP287" t="s">
        <v>665</v>
      </c>
      <c r="CQ287">
        <v>23.08</v>
      </c>
      <c r="CR287" t="e">
        <v>#N/A</v>
      </c>
      <c r="CS287" t="s">
        <v>722</v>
      </c>
      <c r="CT287">
        <v>0.79</v>
      </c>
      <c r="CU287" t="e">
        <v>#N/A</v>
      </c>
      <c r="CV287" t="s">
        <v>722</v>
      </c>
      <c r="CW287">
        <v>0.79</v>
      </c>
      <c r="CX287" t="e">
        <v>#N/A</v>
      </c>
      <c r="CY287" t="s">
        <v>665</v>
      </c>
      <c r="CZ287">
        <v>23.08</v>
      </c>
      <c r="DA287" t="e">
        <v>#N/A</v>
      </c>
      <c r="DB287" t="s">
        <v>758</v>
      </c>
      <c r="DC287">
        <v>68.180000000000007</v>
      </c>
      <c r="DD287" t="e">
        <v>#N/A</v>
      </c>
      <c r="DE287" t="s">
        <v>317</v>
      </c>
      <c r="DF287">
        <v>35.200000000000003</v>
      </c>
      <c r="DG287" t="e">
        <v>#N/A</v>
      </c>
      <c r="DH287" t="s">
        <v>722</v>
      </c>
      <c r="DI287">
        <v>0.84</v>
      </c>
      <c r="DJ287" t="e">
        <v>#N/A</v>
      </c>
      <c r="DK287" t="s">
        <v>722</v>
      </c>
      <c r="DL287">
        <v>0.8</v>
      </c>
      <c r="DM287" t="e">
        <v>#N/A</v>
      </c>
      <c r="DN287" t="s">
        <v>722</v>
      </c>
      <c r="DO287">
        <v>0.92</v>
      </c>
      <c r="DP287" t="e">
        <v>#N/A</v>
      </c>
      <c r="DQ287" t="s">
        <v>722</v>
      </c>
      <c r="DR287">
        <v>0.83</v>
      </c>
      <c r="DS287" t="e">
        <v>#N/A</v>
      </c>
      <c r="DT287" t="s">
        <v>722</v>
      </c>
      <c r="DU287">
        <v>0.85</v>
      </c>
      <c r="DV287" t="e">
        <v>#N/A</v>
      </c>
      <c r="DW287" t="s">
        <v>722</v>
      </c>
      <c r="DX287">
        <v>0.85</v>
      </c>
      <c r="DY287" t="e">
        <v>#N/A</v>
      </c>
      <c r="DZ287" t="s">
        <v>722</v>
      </c>
      <c r="EA287">
        <v>0.93</v>
      </c>
      <c r="EB287" t="e">
        <v>#N/A</v>
      </c>
      <c r="ED287">
        <v>40.33</v>
      </c>
      <c r="EE287" t="e">
        <v>#N/A</v>
      </c>
      <c r="EG287">
        <v>40.33</v>
      </c>
      <c r="EH287" t="e">
        <v>#N/A</v>
      </c>
      <c r="EI287" t="s">
        <v>722</v>
      </c>
      <c r="EJ287">
        <v>1171.6400000000001</v>
      </c>
      <c r="EK287" t="e">
        <v>#N/A</v>
      </c>
    </row>
    <row r="288" spans="1:141">
      <c r="A288" t="s">
        <v>722</v>
      </c>
      <c r="B288">
        <v>0.89</v>
      </c>
      <c r="C288" t="e">
        <v>#N/A</v>
      </c>
      <c r="D288" t="s">
        <v>722</v>
      </c>
      <c r="E288">
        <v>0.8</v>
      </c>
      <c r="F288" t="e">
        <v>#N/A</v>
      </c>
      <c r="G288" t="s">
        <v>722</v>
      </c>
      <c r="H288">
        <v>0.94</v>
      </c>
      <c r="I288" t="e">
        <v>#N/A</v>
      </c>
      <c r="K288">
        <v>40.33</v>
      </c>
      <c r="L288" t="e">
        <v>#N/A</v>
      </c>
      <c r="M288" t="s">
        <v>722</v>
      </c>
      <c r="N288">
        <v>0.83</v>
      </c>
      <c r="O288" t="e">
        <v>#N/A</v>
      </c>
      <c r="P288" t="s">
        <v>722</v>
      </c>
      <c r="Q288">
        <v>0.88</v>
      </c>
      <c r="R288" t="e">
        <v>#N/A</v>
      </c>
      <c r="S288" t="s">
        <v>722</v>
      </c>
      <c r="T288">
        <v>0.93</v>
      </c>
      <c r="U288" t="e">
        <v>#N/A</v>
      </c>
      <c r="V288" t="s">
        <v>722</v>
      </c>
      <c r="W288">
        <v>0.88</v>
      </c>
      <c r="X288" t="e">
        <v>#N/A</v>
      </c>
      <c r="Y288" t="s">
        <v>722</v>
      </c>
      <c r="Z288">
        <v>1010.95</v>
      </c>
      <c r="AA288" t="e">
        <v>#N/A</v>
      </c>
      <c r="AB288" t="s">
        <v>722</v>
      </c>
      <c r="AC288">
        <v>1010.95</v>
      </c>
      <c r="AD288" t="e">
        <v>#N/A</v>
      </c>
      <c r="AE288" t="s">
        <v>722</v>
      </c>
      <c r="AF288">
        <v>0.96</v>
      </c>
      <c r="AG288" t="e">
        <v>#N/A</v>
      </c>
      <c r="AH288" t="s">
        <v>722</v>
      </c>
      <c r="AI288">
        <v>0.81</v>
      </c>
      <c r="AJ288" t="e">
        <v>#N/A</v>
      </c>
      <c r="AK288" t="s">
        <v>722</v>
      </c>
      <c r="AL288">
        <v>0.88</v>
      </c>
      <c r="AM288" t="e">
        <v>#N/A</v>
      </c>
      <c r="AN288" t="s">
        <v>722</v>
      </c>
      <c r="AO288">
        <v>0.86</v>
      </c>
      <c r="AP288" t="e">
        <v>#N/A</v>
      </c>
      <c r="AQ288" t="s">
        <v>722</v>
      </c>
      <c r="AR288">
        <v>0.86</v>
      </c>
      <c r="AS288" t="e">
        <v>#N/A</v>
      </c>
      <c r="AT288" t="s">
        <v>722</v>
      </c>
      <c r="AU288">
        <v>0.9</v>
      </c>
      <c r="AV288" t="e">
        <v>#N/A</v>
      </c>
      <c r="AW288" t="s">
        <v>722</v>
      </c>
      <c r="AX288">
        <v>1047.6300000000001</v>
      </c>
      <c r="AY288" t="e">
        <v>#N/A</v>
      </c>
      <c r="AZ288" t="s">
        <v>722</v>
      </c>
      <c r="BA288">
        <v>1012.33</v>
      </c>
      <c r="BB288" t="e">
        <v>#N/A</v>
      </c>
      <c r="BC288" t="s">
        <v>722</v>
      </c>
      <c r="BD288">
        <v>0.85</v>
      </c>
      <c r="BE288" t="e">
        <v>#N/A</v>
      </c>
      <c r="BF288" t="s">
        <v>722</v>
      </c>
      <c r="BG288">
        <v>0.95</v>
      </c>
      <c r="BH288" t="e">
        <v>#N/A</v>
      </c>
      <c r="BJ288">
        <v>40.33</v>
      </c>
      <c r="BK288" t="e">
        <v>#N/A</v>
      </c>
      <c r="BL288" t="s">
        <v>722</v>
      </c>
      <c r="BM288">
        <v>0.82</v>
      </c>
      <c r="BN288" t="e">
        <v>#N/A</v>
      </c>
      <c r="BO288" t="s">
        <v>722</v>
      </c>
      <c r="BP288">
        <v>0.97</v>
      </c>
      <c r="BQ288" t="e">
        <v>#N/A</v>
      </c>
      <c r="BR288" t="s">
        <v>665</v>
      </c>
      <c r="BS288">
        <v>23.08</v>
      </c>
      <c r="BT288" t="e">
        <v>#N/A</v>
      </c>
      <c r="BU288" t="s">
        <v>722</v>
      </c>
      <c r="BV288">
        <v>0.97</v>
      </c>
      <c r="BW288" t="e">
        <v>#N/A</v>
      </c>
      <c r="BX288" t="s">
        <v>722</v>
      </c>
      <c r="BY288">
        <v>0.85</v>
      </c>
      <c r="BZ288" t="e">
        <v>#N/A</v>
      </c>
      <c r="CA288" t="s">
        <v>722</v>
      </c>
      <c r="CB288">
        <v>1005.45</v>
      </c>
      <c r="CC288" t="e">
        <v>#N/A</v>
      </c>
      <c r="CD288" t="s">
        <v>722</v>
      </c>
      <c r="CE288">
        <v>0.95</v>
      </c>
      <c r="CF288" t="e">
        <v>#N/A</v>
      </c>
      <c r="CG288" t="s">
        <v>722</v>
      </c>
      <c r="CH288">
        <v>0.96</v>
      </c>
      <c r="CI288" t="e">
        <v>#N/A</v>
      </c>
      <c r="CJ288" t="s">
        <v>1037</v>
      </c>
      <c r="CK288">
        <v>101.01</v>
      </c>
      <c r="CL288" t="e">
        <v>#N/A</v>
      </c>
      <c r="CM288" t="s">
        <v>722</v>
      </c>
      <c r="CN288">
        <v>0.79</v>
      </c>
      <c r="CO288" t="e">
        <v>#N/A</v>
      </c>
      <c r="CP288" t="s">
        <v>758</v>
      </c>
      <c r="CQ288">
        <v>68.180000000000007</v>
      </c>
      <c r="CR288" t="e">
        <v>#N/A</v>
      </c>
      <c r="CS288" t="s">
        <v>722</v>
      </c>
      <c r="CT288">
        <v>0.83</v>
      </c>
      <c r="CU288" t="e">
        <v>#N/A</v>
      </c>
      <c r="CV288" t="s">
        <v>317</v>
      </c>
      <c r="CW288">
        <v>34.590000000000003</v>
      </c>
      <c r="CX288" t="e">
        <v>#N/A</v>
      </c>
      <c r="CY288" t="s">
        <v>722</v>
      </c>
      <c r="CZ288">
        <v>0.97</v>
      </c>
      <c r="DA288" t="e">
        <v>#N/A</v>
      </c>
      <c r="DB288" t="s">
        <v>722</v>
      </c>
      <c r="DC288">
        <v>0.8</v>
      </c>
      <c r="DD288" t="e">
        <v>#N/A</v>
      </c>
      <c r="DE288" t="s">
        <v>722</v>
      </c>
      <c r="DF288">
        <v>0.87</v>
      </c>
      <c r="DG288" t="e">
        <v>#N/A</v>
      </c>
      <c r="DH288" t="s">
        <v>722</v>
      </c>
      <c r="DI288">
        <v>0.86</v>
      </c>
      <c r="DJ288" t="e">
        <v>#N/A</v>
      </c>
      <c r="DK288" t="s">
        <v>722</v>
      </c>
      <c r="DL288">
        <v>0.89</v>
      </c>
      <c r="DM288" t="e">
        <v>#N/A</v>
      </c>
      <c r="DN288" t="s">
        <v>722</v>
      </c>
      <c r="DO288">
        <v>0.88</v>
      </c>
      <c r="DP288" t="e">
        <v>#N/A</v>
      </c>
      <c r="DQ288" t="s">
        <v>722</v>
      </c>
      <c r="DR288">
        <v>1039.0999999999999</v>
      </c>
      <c r="DS288" t="e">
        <v>#N/A</v>
      </c>
      <c r="DT288" t="s">
        <v>722</v>
      </c>
      <c r="DU288">
        <v>0.88</v>
      </c>
      <c r="DV288" t="e">
        <v>#N/A</v>
      </c>
      <c r="DW288" t="s">
        <v>722</v>
      </c>
      <c r="DX288">
        <v>0.93</v>
      </c>
      <c r="DY288" t="e">
        <v>#N/A</v>
      </c>
      <c r="DZ288" t="s">
        <v>722</v>
      </c>
      <c r="EA288">
        <v>0.92</v>
      </c>
      <c r="EB288" t="e">
        <v>#N/A</v>
      </c>
      <c r="EC288" t="s">
        <v>722</v>
      </c>
      <c r="ED288">
        <v>0.85</v>
      </c>
      <c r="EE288" t="e">
        <v>#N/A</v>
      </c>
      <c r="EF288" t="s">
        <v>722</v>
      </c>
      <c r="EG288">
        <v>0.85</v>
      </c>
      <c r="EH288" t="e">
        <v>#N/A</v>
      </c>
      <c r="EJ288">
        <v>40.33</v>
      </c>
      <c r="EK288" t="e">
        <v>#N/A</v>
      </c>
    </row>
    <row r="289" spans="1:141">
      <c r="A289" t="s">
        <v>722</v>
      </c>
      <c r="B289">
        <v>0.83</v>
      </c>
      <c r="C289" t="e">
        <v>#N/A</v>
      </c>
      <c r="D289" t="s">
        <v>722</v>
      </c>
      <c r="E289">
        <v>0.92</v>
      </c>
      <c r="F289" t="e">
        <v>#N/A</v>
      </c>
      <c r="G289" t="s">
        <v>722</v>
      </c>
      <c r="H289">
        <v>0.98</v>
      </c>
      <c r="I289" t="e">
        <v>#N/A</v>
      </c>
      <c r="J289" t="s">
        <v>722</v>
      </c>
      <c r="K289">
        <v>0.83</v>
      </c>
      <c r="L289" t="e">
        <v>#N/A</v>
      </c>
      <c r="M289" t="s">
        <v>722</v>
      </c>
      <c r="N289">
        <v>0.95</v>
      </c>
      <c r="O289" t="e">
        <v>#N/A</v>
      </c>
      <c r="Q289">
        <v>40.33</v>
      </c>
      <c r="R289" t="e">
        <v>#N/A</v>
      </c>
      <c r="S289" t="s">
        <v>722</v>
      </c>
      <c r="T289">
        <v>0.88</v>
      </c>
      <c r="U289" t="e">
        <v>#N/A</v>
      </c>
      <c r="W289">
        <v>40.33</v>
      </c>
      <c r="X289" t="e">
        <v>#N/A</v>
      </c>
      <c r="Y289" t="s">
        <v>722</v>
      </c>
      <c r="Z289">
        <v>0.96</v>
      </c>
      <c r="AA289" t="e">
        <v>#N/A</v>
      </c>
      <c r="AB289" t="s">
        <v>722</v>
      </c>
      <c r="AC289">
        <v>0.94</v>
      </c>
      <c r="AD289" t="e">
        <v>#N/A</v>
      </c>
      <c r="AE289" t="s">
        <v>722</v>
      </c>
      <c r="AF289">
        <v>0.82</v>
      </c>
      <c r="AG289" t="e">
        <v>#N/A</v>
      </c>
      <c r="AH289" t="s">
        <v>722</v>
      </c>
      <c r="AI289">
        <v>0.83</v>
      </c>
      <c r="AJ289" t="e">
        <v>#N/A</v>
      </c>
      <c r="AL289">
        <v>40.33</v>
      </c>
      <c r="AM289" t="e">
        <v>#N/A</v>
      </c>
      <c r="AN289" t="s">
        <v>722</v>
      </c>
      <c r="AO289">
        <v>1004.72</v>
      </c>
      <c r="AP289" t="e">
        <v>#N/A</v>
      </c>
      <c r="AQ289" t="s">
        <v>722</v>
      </c>
      <c r="AR289">
        <v>0.93</v>
      </c>
      <c r="AS289" t="e">
        <v>#N/A</v>
      </c>
      <c r="AT289" t="s">
        <v>722</v>
      </c>
      <c r="AU289">
        <v>0.92</v>
      </c>
      <c r="AV289" t="e">
        <v>#N/A</v>
      </c>
      <c r="AW289" t="s">
        <v>722</v>
      </c>
      <c r="AX289">
        <v>0.89</v>
      </c>
      <c r="AY289" t="e">
        <v>#N/A</v>
      </c>
      <c r="AZ289" t="s">
        <v>722</v>
      </c>
      <c r="BA289">
        <v>0.86</v>
      </c>
      <c r="BB289" t="e">
        <v>#N/A</v>
      </c>
      <c r="BC289" t="s">
        <v>722</v>
      </c>
      <c r="BD289">
        <v>1012.33</v>
      </c>
      <c r="BE289" t="e">
        <v>#N/A</v>
      </c>
      <c r="BF289" t="s">
        <v>722</v>
      </c>
      <c r="BG289">
        <v>1012.33</v>
      </c>
      <c r="BH289" t="e">
        <v>#N/A</v>
      </c>
      <c r="BI289" t="s">
        <v>722</v>
      </c>
      <c r="BJ289">
        <v>1011.11</v>
      </c>
      <c r="BK289" t="e">
        <v>#N/A</v>
      </c>
      <c r="BM289">
        <v>98.2</v>
      </c>
      <c r="BN289" t="e">
        <v>#N/A</v>
      </c>
      <c r="BP289">
        <v>40.33</v>
      </c>
      <c r="BQ289" t="e">
        <v>#N/A</v>
      </c>
      <c r="BR289" t="s">
        <v>722</v>
      </c>
      <c r="BS289">
        <v>0.87</v>
      </c>
      <c r="BT289" t="e">
        <v>#N/A</v>
      </c>
      <c r="BU289" t="s">
        <v>722</v>
      </c>
      <c r="BV289">
        <v>0.96</v>
      </c>
      <c r="BW289" t="e">
        <v>#N/A</v>
      </c>
      <c r="BX289" t="s">
        <v>665</v>
      </c>
      <c r="BY289">
        <v>23.08</v>
      </c>
      <c r="BZ289" t="e">
        <v>#N/A</v>
      </c>
      <c r="CA289" t="s">
        <v>722</v>
      </c>
      <c r="CB289">
        <v>0.93</v>
      </c>
      <c r="CC289" t="e">
        <v>#N/A</v>
      </c>
      <c r="CD289" t="s">
        <v>722</v>
      </c>
      <c r="CE289">
        <v>0.82</v>
      </c>
      <c r="CF289" t="e">
        <v>#N/A</v>
      </c>
      <c r="CG289" t="s">
        <v>722</v>
      </c>
      <c r="CH289">
        <v>0.93</v>
      </c>
      <c r="CI289" t="e">
        <v>#N/A</v>
      </c>
      <c r="CJ289" t="s">
        <v>722</v>
      </c>
      <c r="CK289">
        <v>1019.61</v>
      </c>
      <c r="CL289" t="e">
        <v>#N/A</v>
      </c>
      <c r="CM289" t="s">
        <v>722</v>
      </c>
      <c r="CN289">
        <v>0.88</v>
      </c>
      <c r="CO289" t="e">
        <v>#N/A</v>
      </c>
      <c r="CP289" t="s">
        <v>722</v>
      </c>
      <c r="CQ289">
        <v>0.84</v>
      </c>
      <c r="CR289" t="e">
        <v>#N/A</v>
      </c>
      <c r="CS289" t="s">
        <v>317</v>
      </c>
      <c r="CT289">
        <v>34.700000000000003</v>
      </c>
      <c r="CU289" t="e">
        <v>#N/A</v>
      </c>
      <c r="CV289" t="s">
        <v>722</v>
      </c>
      <c r="CW289">
        <v>0.88</v>
      </c>
      <c r="CX289" t="e">
        <v>#N/A</v>
      </c>
      <c r="CY289" t="s">
        <v>722</v>
      </c>
      <c r="CZ289">
        <v>0.99</v>
      </c>
      <c r="DA289" t="e">
        <v>#N/A</v>
      </c>
      <c r="DB289" t="s">
        <v>722</v>
      </c>
      <c r="DC289">
        <v>0.88</v>
      </c>
      <c r="DD289" t="e">
        <v>#N/A</v>
      </c>
      <c r="DE289" t="s">
        <v>722</v>
      </c>
      <c r="DF289">
        <v>0.8</v>
      </c>
      <c r="DG289" t="e">
        <v>#N/A</v>
      </c>
      <c r="DH289" t="s">
        <v>722</v>
      </c>
      <c r="DI289">
        <v>0.89</v>
      </c>
      <c r="DJ289" t="e">
        <v>#N/A</v>
      </c>
      <c r="DK289" t="s">
        <v>722</v>
      </c>
      <c r="DL289">
        <v>0.87</v>
      </c>
      <c r="DM289" t="e">
        <v>#N/A</v>
      </c>
      <c r="DN289" t="s">
        <v>722</v>
      </c>
      <c r="DO289">
        <v>0.8</v>
      </c>
      <c r="DP289" t="e">
        <v>#N/A</v>
      </c>
      <c r="DQ289" t="s">
        <v>722</v>
      </c>
      <c r="DR289">
        <v>1019.16</v>
      </c>
      <c r="DS289" t="e">
        <v>#N/A</v>
      </c>
      <c r="DT289" t="s">
        <v>317</v>
      </c>
      <c r="DU289">
        <v>36.25</v>
      </c>
      <c r="DV289" t="e">
        <v>#N/A</v>
      </c>
      <c r="DW289" t="s">
        <v>722</v>
      </c>
      <c r="DX289">
        <v>0.92</v>
      </c>
      <c r="DY289" t="e">
        <v>#N/A</v>
      </c>
      <c r="DZ289" t="s">
        <v>722</v>
      </c>
      <c r="EA289">
        <v>0.91</v>
      </c>
      <c r="EB289" t="e">
        <v>#N/A</v>
      </c>
      <c r="EC289" t="s">
        <v>722</v>
      </c>
      <c r="ED289">
        <v>0.93</v>
      </c>
      <c r="EE289" t="e">
        <v>#N/A</v>
      </c>
      <c r="EF289" t="s">
        <v>722</v>
      </c>
      <c r="EG289">
        <v>0.93</v>
      </c>
      <c r="EH289" t="e">
        <v>#N/A</v>
      </c>
      <c r="EI289" t="s">
        <v>722</v>
      </c>
      <c r="EJ289">
        <v>0.85</v>
      </c>
      <c r="EK289" t="e">
        <v>#N/A</v>
      </c>
    </row>
    <row r="290" spans="1:141">
      <c r="A290" t="s">
        <v>722</v>
      </c>
      <c r="B290">
        <v>0.95</v>
      </c>
      <c r="C290" t="e">
        <v>#N/A</v>
      </c>
      <c r="D290" t="s">
        <v>722</v>
      </c>
      <c r="E290">
        <v>0.99</v>
      </c>
      <c r="F290" t="e">
        <v>#N/A</v>
      </c>
      <c r="G290" t="s">
        <v>722</v>
      </c>
      <c r="H290">
        <v>0.92</v>
      </c>
      <c r="I290" t="e">
        <v>#N/A</v>
      </c>
      <c r="J290" t="s">
        <v>722</v>
      </c>
      <c r="K290">
        <v>0.82</v>
      </c>
      <c r="L290" t="e">
        <v>#N/A</v>
      </c>
      <c r="M290" t="s">
        <v>722</v>
      </c>
      <c r="N290">
        <v>0.88</v>
      </c>
      <c r="O290" t="e">
        <v>#N/A</v>
      </c>
      <c r="P290" t="s">
        <v>722</v>
      </c>
      <c r="Q290">
        <v>0.83</v>
      </c>
      <c r="R290" t="e">
        <v>#N/A</v>
      </c>
      <c r="S290" t="s">
        <v>722</v>
      </c>
      <c r="T290">
        <v>0.83</v>
      </c>
      <c r="U290" t="e">
        <v>#N/A</v>
      </c>
      <c r="V290" t="s">
        <v>722</v>
      </c>
      <c r="W290">
        <v>0.94</v>
      </c>
      <c r="X290" t="e">
        <v>#N/A</v>
      </c>
      <c r="Y290" t="s">
        <v>722</v>
      </c>
      <c r="Z290">
        <v>0.93</v>
      </c>
      <c r="AA290" t="e">
        <v>#N/A</v>
      </c>
      <c r="AB290" t="s">
        <v>722</v>
      </c>
      <c r="AC290">
        <v>0.93</v>
      </c>
      <c r="AD290" t="e">
        <v>#N/A</v>
      </c>
      <c r="AE290" t="s">
        <v>665</v>
      </c>
      <c r="AF290">
        <v>23.08</v>
      </c>
      <c r="AG290" t="e">
        <v>#N/A</v>
      </c>
      <c r="AH290" t="s">
        <v>722</v>
      </c>
      <c r="AI290">
        <v>0.86</v>
      </c>
      <c r="AJ290" t="e">
        <v>#N/A</v>
      </c>
      <c r="AK290" t="s">
        <v>722</v>
      </c>
      <c r="AL290">
        <v>0.89</v>
      </c>
      <c r="AM290" t="e">
        <v>#N/A</v>
      </c>
      <c r="AN290" t="s">
        <v>722</v>
      </c>
      <c r="AO290">
        <v>0.92</v>
      </c>
      <c r="AP290" t="e">
        <v>#N/A</v>
      </c>
      <c r="AQ290" t="s">
        <v>722</v>
      </c>
      <c r="AR290">
        <v>1004.72</v>
      </c>
      <c r="AS290" t="e">
        <v>#N/A</v>
      </c>
      <c r="AT290" t="s">
        <v>722</v>
      </c>
      <c r="AU290">
        <v>0.86</v>
      </c>
      <c r="AV290" t="e">
        <v>#N/A</v>
      </c>
      <c r="AW290" t="s">
        <v>722</v>
      </c>
      <c r="AX290">
        <v>0.92</v>
      </c>
      <c r="AY290" t="e">
        <v>#N/A</v>
      </c>
      <c r="AZ290" t="s">
        <v>722</v>
      </c>
      <c r="BA290">
        <v>0.96</v>
      </c>
      <c r="BB290" t="e">
        <v>#N/A</v>
      </c>
      <c r="BC290" t="s">
        <v>722</v>
      </c>
      <c r="BD290">
        <v>0.86</v>
      </c>
      <c r="BE290" t="e">
        <v>#N/A</v>
      </c>
      <c r="BF290" t="s">
        <v>722</v>
      </c>
      <c r="BG290">
        <v>0.86</v>
      </c>
      <c r="BH290" t="e">
        <v>#N/A</v>
      </c>
      <c r="BI290" t="s">
        <v>722</v>
      </c>
      <c r="BJ290">
        <v>0.93</v>
      </c>
      <c r="BK290" t="e">
        <v>#N/A</v>
      </c>
      <c r="BL290" t="s">
        <v>722</v>
      </c>
      <c r="BM290">
        <v>0.84</v>
      </c>
      <c r="BN290" t="e">
        <v>#N/A</v>
      </c>
      <c r="BO290" t="s">
        <v>722</v>
      </c>
      <c r="BP290">
        <v>0.86</v>
      </c>
      <c r="BQ290" t="e">
        <v>#N/A</v>
      </c>
      <c r="BR290" t="s">
        <v>722</v>
      </c>
      <c r="BS290">
        <v>0.79</v>
      </c>
      <c r="BT290" t="e">
        <v>#N/A</v>
      </c>
      <c r="BU290" t="s">
        <v>722</v>
      </c>
      <c r="BV290">
        <v>0.98</v>
      </c>
      <c r="BW290" t="e">
        <v>#N/A</v>
      </c>
      <c r="BX290" t="s">
        <v>722</v>
      </c>
      <c r="BY290">
        <v>0.87</v>
      </c>
      <c r="BZ290" t="e">
        <v>#N/A</v>
      </c>
      <c r="CA290" t="s">
        <v>722</v>
      </c>
      <c r="CB290">
        <v>0.94</v>
      </c>
      <c r="CC290" t="e">
        <v>#N/A</v>
      </c>
      <c r="CD290" t="s">
        <v>722</v>
      </c>
      <c r="CE290">
        <v>0.97</v>
      </c>
      <c r="CF290" t="e">
        <v>#N/A</v>
      </c>
      <c r="CH290">
        <v>40.33</v>
      </c>
      <c r="CI290" t="e">
        <v>#N/A</v>
      </c>
      <c r="CJ290" t="s">
        <v>722</v>
      </c>
      <c r="CK290">
        <v>0.97</v>
      </c>
      <c r="CL290" t="e">
        <v>#N/A</v>
      </c>
      <c r="CM290" t="s">
        <v>722</v>
      </c>
      <c r="CN290">
        <v>0.9</v>
      </c>
      <c r="CO290" t="e">
        <v>#N/A</v>
      </c>
      <c r="CP290" t="s">
        <v>722</v>
      </c>
      <c r="CQ290">
        <v>0.79</v>
      </c>
      <c r="CR290" t="e">
        <v>#N/A</v>
      </c>
      <c r="CS290" t="s">
        <v>722</v>
      </c>
      <c r="CT290">
        <v>0.88</v>
      </c>
      <c r="CU290" t="e">
        <v>#N/A</v>
      </c>
      <c r="CV290" t="s">
        <v>722</v>
      </c>
      <c r="CW290">
        <v>0.87</v>
      </c>
      <c r="CX290" t="e">
        <v>#N/A</v>
      </c>
      <c r="CY290" t="s">
        <v>758</v>
      </c>
      <c r="CZ290">
        <v>68.180000000000007</v>
      </c>
      <c r="DA290" t="e">
        <v>#N/A</v>
      </c>
      <c r="DB290" t="s">
        <v>722</v>
      </c>
      <c r="DC290">
        <v>0.87</v>
      </c>
      <c r="DD290" t="e">
        <v>#N/A</v>
      </c>
      <c r="DE290" t="s">
        <v>722</v>
      </c>
      <c r="DF290">
        <v>0.88</v>
      </c>
      <c r="DG290" t="e">
        <v>#N/A</v>
      </c>
      <c r="DH290" t="s">
        <v>722</v>
      </c>
      <c r="DI290">
        <v>0.87</v>
      </c>
      <c r="DJ290" t="e">
        <v>#N/A</v>
      </c>
      <c r="DK290" t="s">
        <v>722</v>
      </c>
      <c r="DL290">
        <v>0.84</v>
      </c>
      <c r="DM290" t="e">
        <v>#N/A</v>
      </c>
      <c r="DN290" t="s">
        <v>722</v>
      </c>
      <c r="DO290">
        <v>0.8</v>
      </c>
      <c r="DP290" t="e">
        <v>#N/A</v>
      </c>
      <c r="DQ290" t="s">
        <v>722</v>
      </c>
      <c r="DR290">
        <v>0.88</v>
      </c>
      <c r="DS290" t="e">
        <v>#N/A</v>
      </c>
      <c r="DT290" t="s">
        <v>722</v>
      </c>
      <c r="DU290">
        <v>1012.33</v>
      </c>
      <c r="DV290" t="e">
        <v>#N/A</v>
      </c>
      <c r="DW290" t="s">
        <v>722</v>
      </c>
      <c r="DX290">
        <v>0.91</v>
      </c>
      <c r="DY290" t="e">
        <v>#N/A</v>
      </c>
      <c r="DZ290" t="s">
        <v>722</v>
      </c>
      <c r="EA290">
        <v>0.88</v>
      </c>
      <c r="EB290" t="e">
        <v>#N/A</v>
      </c>
      <c r="EC290" t="s">
        <v>722</v>
      </c>
      <c r="ED290">
        <v>0.92</v>
      </c>
      <c r="EE290" t="e">
        <v>#N/A</v>
      </c>
      <c r="EF290" t="s">
        <v>722</v>
      </c>
      <c r="EG290">
        <v>0.92</v>
      </c>
      <c r="EH290" t="e">
        <v>#N/A</v>
      </c>
      <c r="EI290" t="s">
        <v>722</v>
      </c>
      <c r="EJ290">
        <v>0.93</v>
      </c>
      <c r="EK290" t="e">
        <v>#N/A</v>
      </c>
    </row>
    <row r="291" spans="1:141">
      <c r="B291">
        <v>98.2</v>
      </c>
      <c r="C291" t="e">
        <v>#N/A</v>
      </c>
      <c r="D291" t="s">
        <v>722</v>
      </c>
      <c r="E291">
        <v>0.98</v>
      </c>
      <c r="F291" t="e">
        <v>#N/A</v>
      </c>
      <c r="G291" t="s">
        <v>722</v>
      </c>
      <c r="H291">
        <v>0.91</v>
      </c>
      <c r="I291" t="e">
        <v>#N/A</v>
      </c>
      <c r="J291" t="s">
        <v>722</v>
      </c>
      <c r="K291">
        <v>0.98</v>
      </c>
      <c r="L291" t="e">
        <v>#N/A</v>
      </c>
      <c r="N291">
        <v>98.2</v>
      </c>
      <c r="O291" t="e">
        <v>#N/A</v>
      </c>
      <c r="P291" t="s">
        <v>722</v>
      </c>
      <c r="Q291">
        <v>0.95</v>
      </c>
      <c r="R291" t="e">
        <v>#N/A</v>
      </c>
      <c r="S291" t="s">
        <v>722</v>
      </c>
      <c r="T291">
        <v>0.83</v>
      </c>
      <c r="U291" t="e">
        <v>#N/A</v>
      </c>
      <c r="V291" t="s">
        <v>722</v>
      </c>
      <c r="W291">
        <v>0.97</v>
      </c>
      <c r="X291" t="e">
        <v>#N/A</v>
      </c>
      <c r="Y291" t="s">
        <v>722</v>
      </c>
      <c r="Z291">
        <v>0.88</v>
      </c>
      <c r="AA291" t="e">
        <v>#N/A</v>
      </c>
      <c r="AB291" t="s">
        <v>722</v>
      </c>
      <c r="AC291">
        <v>0.85</v>
      </c>
      <c r="AD291" t="e">
        <v>#N/A</v>
      </c>
      <c r="AE291" t="s">
        <v>722</v>
      </c>
      <c r="AF291">
        <v>0.82</v>
      </c>
      <c r="AG291" t="e">
        <v>#N/A</v>
      </c>
      <c r="AH291" t="s">
        <v>722</v>
      </c>
      <c r="AI291">
        <v>0.93</v>
      </c>
      <c r="AJ291" t="e">
        <v>#N/A</v>
      </c>
      <c r="AK291" t="s">
        <v>722</v>
      </c>
      <c r="AL291">
        <v>0.86</v>
      </c>
      <c r="AM291" t="e">
        <v>#N/A</v>
      </c>
      <c r="AO291">
        <v>98.2</v>
      </c>
      <c r="AP291" t="e">
        <v>#N/A</v>
      </c>
      <c r="AQ291" t="s">
        <v>722</v>
      </c>
      <c r="AR291">
        <v>1034.8800000000001</v>
      </c>
      <c r="AS291" t="e">
        <v>#N/A</v>
      </c>
      <c r="AT291" t="s">
        <v>722</v>
      </c>
      <c r="AU291">
        <v>0.93</v>
      </c>
      <c r="AV291" t="e">
        <v>#N/A</v>
      </c>
      <c r="AW291" t="s">
        <v>722</v>
      </c>
      <c r="AX291">
        <v>0.84</v>
      </c>
      <c r="AY291" t="e">
        <v>#N/A</v>
      </c>
      <c r="AZ291" t="s">
        <v>722</v>
      </c>
      <c r="BA291">
        <v>1026.82</v>
      </c>
      <c r="BB291" t="e">
        <v>#N/A</v>
      </c>
      <c r="BC291" t="s">
        <v>317</v>
      </c>
      <c r="BD291">
        <v>33.79</v>
      </c>
      <c r="BE291" t="e">
        <v>#N/A</v>
      </c>
      <c r="BF291" t="s">
        <v>722</v>
      </c>
      <c r="BG291">
        <v>0.81</v>
      </c>
      <c r="BH291" t="e">
        <v>#N/A</v>
      </c>
      <c r="BI291" t="s">
        <v>722</v>
      </c>
      <c r="BJ291">
        <v>0.92</v>
      </c>
      <c r="BK291" t="e">
        <v>#N/A</v>
      </c>
      <c r="BL291" t="s">
        <v>722</v>
      </c>
      <c r="BM291">
        <v>0.94</v>
      </c>
      <c r="BN291" t="e">
        <v>#N/A</v>
      </c>
      <c r="BO291" t="s">
        <v>722</v>
      </c>
      <c r="BP291">
        <v>1011.11</v>
      </c>
      <c r="BQ291" t="e">
        <v>#N/A</v>
      </c>
      <c r="BR291" t="s">
        <v>722</v>
      </c>
      <c r="BS291">
        <v>0.85</v>
      </c>
      <c r="BT291" t="e">
        <v>#N/A</v>
      </c>
      <c r="BU291" t="s">
        <v>722</v>
      </c>
      <c r="BV291">
        <v>0.83</v>
      </c>
      <c r="BW291" t="e">
        <v>#N/A</v>
      </c>
      <c r="BX291" t="s">
        <v>722</v>
      </c>
      <c r="BY291">
        <v>0.79</v>
      </c>
      <c r="BZ291" t="e">
        <v>#N/A</v>
      </c>
      <c r="CA291" t="s">
        <v>665</v>
      </c>
      <c r="CB291">
        <v>23.08</v>
      </c>
      <c r="CC291" t="e">
        <v>#N/A</v>
      </c>
      <c r="CD291" t="s">
        <v>722</v>
      </c>
      <c r="CE291">
        <v>0.79</v>
      </c>
      <c r="CF291" t="e">
        <v>#N/A</v>
      </c>
      <c r="CG291" t="s">
        <v>722</v>
      </c>
      <c r="CH291">
        <v>0.83</v>
      </c>
      <c r="CI291" t="e">
        <v>#N/A</v>
      </c>
      <c r="CJ291" t="s">
        <v>722</v>
      </c>
      <c r="CK291">
        <v>1005.45</v>
      </c>
      <c r="CL291" t="e">
        <v>#N/A</v>
      </c>
      <c r="CN291">
        <v>40.33</v>
      </c>
      <c r="CO291" t="e">
        <v>#N/A</v>
      </c>
      <c r="CP291" t="s">
        <v>722</v>
      </c>
      <c r="CQ291">
        <v>0.81</v>
      </c>
      <c r="CR291" t="e">
        <v>#N/A</v>
      </c>
      <c r="CS291" t="s">
        <v>722</v>
      </c>
      <c r="CT291">
        <v>0.87</v>
      </c>
      <c r="CU291" t="e">
        <v>#N/A</v>
      </c>
      <c r="CV291" t="s">
        <v>722</v>
      </c>
      <c r="CW291">
        <v>0.9</v>
      </c>
      <c r="CX291" t="e">
        <v>#N/A</v>
      </c>
      <c r="CY291" t="s">
        <v>317</v>
      </c>
      <c r="CZ291">
        <v>34.799999999999997</v>
      </c>
      <c r="DA291" t="e">
        <v>#N/A</v>
      </c>
      <c r="DB291" t="s">
        <v>722</v>
      </c>
      <c r="DC291">
        <v>0.92</v>
      </c>
      <c r="DD291" t="e">
        <v>#N/A</v>
      </c>
      <c r="DE291" t="s">
        <v>722</v>
      </c>
      <c r="DF291">
        <v>0.87</v>
      </c>
      <c r="DG291" t="e">
        <v>#N/A</v>
      </c>
      <c r="DI291">
        <v>40.33</v>
      </c>
      <c r="DJ291" t="e">
        <v>#N/A</v>
      </c>
      <c r="DL291">
        <v>40.33</v>
      </c>
      <c r="DM291" t="e">
        <v>#N/A</v>
      </c>
      <c r="DN291" t="s">
        <v>722</v>
      </c>
      <c r="DO291">
        <v>0.89</v>
      </c>
      <c r="DP291" t="e">
        <v>#N/A</v>
      </c>
      <c r="DQ291" t="s">
        <v>722</v>
      </c>
      <c r="DR291">
        <v>0.88</v>
      </c>
      <c r="DS291" t="e">
        <v>#N/A</v>
      </c>
      <c r="DT291" t="s">
        <v>722</v>
      </c>
      <c r="DU291">
        <v>0.81</v>
      </c>
      <c r="DV291" t="e">
        <v>#N/A</v>
      </c>
      <c r="DW291" t="s">
        <v>722</v>
      </c>
      <c r="DX291">
        <v>0.88</v>
      </c>
      <c r="DY291" t="e">
        <v>#N/A</v>
      </c>
      <c r="DZ291" t="s">
        <v>722</v>
      </c>
      <c r="EA291">
        <v>0.83</v>
      </c>
      <c r="EB291" t="e">
        <v>#N/A</v>
      </c>
      <c r="EC291" t="s">
        <v>722</v>
      </c>
      <c r="ED291">
        <v>0.91</v>
      </c>
      <c r="EE291" t="e">
        <v>#N/A</v>
      </c>
      <c r="EF291" t="s">
        <v>722</v>
      </c>
      <c r="EG291">
        <v>0.91</v>
      </c>
      <c r="EH291" t="e">
        <v>#N/A</v>
      </c>
      <c r="EI291" t="s">
        <v>722</v>
      </c>
      <c r="EJ291">
        <v>0.92</v>
      </c>
      <c r="EK291" t="e">
        <v>#N/A</v>
      </c>
    </row>
    <row r="292" spans="1:141">
      <c r="A292" t="s">
        <v>722</v>
      </c>
      <c r="B292">
        <v>0.97</v>
      </c>
      <c r="C292" t="e">
        <v>#N/A</v>
      </c>
      <c r="D292" t="s">
        <v>722</v>
      </c>
      <c r="E292">
        <v>0.92</v>
      </c>
      <c r="F292" t="e">
        <v>#N/A</v>
      </c>
      <c r="H292">
        <v>40.33</v>
      </c>
      <c r="I292" t="e">
        <v>#N/A</v>
      </c>
      <c r="K292">
        <v>98.2</v>
      </c>
      <c r="L292" t="e">
        <v>#N/A</v>
      </c>
      <c r="M292" t="s">
        <v>722</v>
      </c>
      <c r="N292">
        <v>0.89</v>
      </c>
      <c r="O292" t="e">
        <v>#N/A</v>
      </c>
      <c r="P292" t="s">
        <v>722</v>
      </c>
      <c r="Q292">
        <v>0.98</v>
      </c>
      <c r="R292" t="e">
        <v>#N/A</v>
      </c>
      <c r="S292" t="s">
        <v>722</v>
      </c>
      <c r="T292">
        <v>0.95</v>
      </c>
      <c r="U292" t="e">
        <v>#N/A</v>
      </c>
      <c r="V292" t="s">
        <v>722</v>
      </c>
      <c r="W292">
        <v>1004.72</v>
      </c>
      <c r="X292" t="e">
        <v>#N/A</v>
      </c>
      <c r="Z292">
        <v>40.33</v>
      </c>
      <c r="AA292" t="e">
        <v>#N/A</v>
      </c>
      <c r="AB292" t="s">
        <v>722</v>
      </c>
      <c r="AC292">
        <v>0.88</v>
      </c>
      <c r="AD292" t="e">
        <v>#N/A</v>
      </c>
      <c r="AE292" t="s">
        <v>722</v>
      </c>
      <c r="AF292">
        <v>1047.6300000000001</v>
      </c>
      <c r="AG292" t="e">
        <v>#N/A</v>
      </c>
      <c r="AH292" t="s">
        <v>722</v>
      </c>
      <c r="AI292">
        <v>0.88</v>
      </c>
      <c r="AJ292" t="e">
        <v>#N/A</v>
      </c>
      <c r="AK292" t="s">
        <v>722</v>
      </c>
      <c r="AL292">
        <v>0.96</v>
      </c>
      <c r="AM292" t="e">
        <v>#N/A</v>
      </c>
      <c r="AN292" t="s">
        <v>722</v>
      </c>
      <c r="AO292">
        <v>0.9</v>
      </c>
      <c r="AP292" t="e">
        <v>#N/A</v>
      </c>
      <c r="AQ292" t="s">
        <v>722</v>
      </c>
      <c r="AR292">
        <v>1012.33</v>
      </c>
      <c r="AS292" t="e">
        <v>#N/A</v>
      </c>
      <c r="AT292" t="s">
        <v>722</v>
      </c>
      <c r="AU292">
        <v>1004.72</v>
      </c>
      <c r="AV292" t="e">
        <v>#N/A</v>
      </c>
      <c r="AW292" t="s">
        <v>722</v>
      </c>
      <c r="AX292">
        <v>0.86</v>
      </c>
      <c r="AY292" t="e">
        <v>#N/A</v>
      </c>
      <c r="BA292">
        <v>98.2</v>
      </c>
      <c r="BB292" t="e">
        <v>#N/A</v>
      </c>
      <c r="BD292">
        <v>98.2</v>
      </c>
      <c r="BE292" t="e">
        <v>#N/A</v>
      </c>
      <c r="BF292" t="s">
        <v>722</v>
      </c>
      <c r="BG292">
        <v>0.95</v>
      </c>
      <c r="BH292" t="e">
        <v>#N/A</v>
      </c>
      <c r="BI292" t="s">
        <v>722</v>
      </c>
      <c r="BJ292">
        <v>1012.33</v>
      </c>
      <c r="BK292" t="e">
        <v>#N/A</v>
      </c>
      <c r="BL292" t="s">
        <v>722</v>
      </c>
      <c r="BM292">
        <v>1</v>
      </c>
      <c r="BN292" t="e">
        <v>#N/A</v>
      </c>
      <c r="BO292" t="s">
        <v>722</v>
      </c>
      <c r="BP292">
        <v>0.86</v>
      </c>
      <c r="BQ292" t="e">
        <v>#N/A</v>
      </c>
      <c r="BR292" t="s">
        <v>722</v>
      </c>
      <c r="BS292">
        <v>0.81</v>
      </c>
      <c r="BT292" t="e">
        <v>#N/A</v>
      </c>
      <c r="BV292">
        <v>40.33</v>
      </c>
      <c r="BW292" t="e">
        <v>#N/A</v>
      </c>
      <c r="BX292" t="s">
        <v>722</v>
      </c>
      <c r="BY292">
        <v>0.79</v>
      </c>
      <c r="BZ292" t="e">
        <v>#N/A</v>
      </c>
      <c r="CA292" t="s">
        <v>722</v>
      </c>
      <c r="CB292">
        <v>0.89</v>
      </c>
      <c r="CC292" t="e">
        <v>#N/A</v>
      </c>
      <c r="CD292" t="s">
        <v>722</v>
      </c>
      <c r="CE292">
        <v>0.87</v>
      </c>
      <c r="CF292" t="e">
        <v>#N/A</v>
      </c>
      <c r="CG292" t="s">
        <v>722</v>
      </c>
      <c r="CH292">
        <v>1011.11</v>
      </c>
      <c r="CI292" t="e">
        <v>#N/A</v>
      </c>
      <c r="CJ292" t="s">
        <v>665</v>
      </c>
      <c r="CK292">
        <v>23.08</v>
      </c>
      <c r="CL292" t="e">
        <v>#N/A</v>
      </c>
      <c r="CM292" t="s">
        <v>722</v>
      </c>
      <c r="CN292">
        <v>0.83</v>
      </c>
      <c r="CO292" t="e">
        <v>#N/A</v>
      </c>
      <c r="CP292" t="s">
        <v>722</v>
      </c>
      <c r="CQ292">
        <v>0.92</v>
      </c>
      <c r="CR292" t="e">
        <v>#N/A</v>
      </c>
      <c r="CS292" t="s">
        <v>722</v>
      </c>
      <c r="CT292">
        <v>0.9</v>
      </c>
      <c r="CU292" t="e">
        <v>#N/A</v>
      </c>
      <c r="CW292">
        <v>40.33</v>
      </c>
      <c r="CX292" t="e">
        <v>#N/A</v>
      </c>
      <c r="CY292" t="s">
        <v>722</v>
      </c>
      <c r="CZ292">
        <v>0.79</v>
      </c>
      <c r="DA292" t="e">
        <v>#N/A</v>
      </c>
      <c r="DB292" t="s">
        <v>722</v>
      </c>
      <c r="DC292">
        <v>0.83</v>
      </c>
      <c r="DD292" t="e">
        <v>#N/A</v>
      </c>
      <c r="DE292" t="s">
        <v>722</v>
      </c>
      <c r="DF292">
        <v>0.92</v>
      </c>
      <c r="DG292" t="e">
        <v>#N/A</v>
      </c>
      <c r="DH292" t="s">
        <v>722</v>
      </c>
      <c r="DI292">
        <v>0.93</v>
      </c>
      <c r="DJ292" t="e">
        <v>#N/A</v>
      </c>
      <c r="DK292" t="s">
        <v>722</v>
      </c>
      <c r="DL292">
        <v>0.91</v>
      </c>
      <c r="DM292" t="e">
        <v>#N/A</v>
      </c>
      <c r="DO292">
        <v>40.33</v>
      </c>
      <c r="DP292" t="e">
        <v>#N/A</v>
      </c>
      <c r="DQ292" t="s">
        <v>722</v>
      </c>
      <c r="DR292">
        <v>0.8</v>
      </c>
      <c r="DS292" t="e">
        <v>#N/A</v>
      </c>
      <c r="DT292" t="s">
        <v>722</v>
      </c>
      <c r="DU292">
        <v>0.85</v>
      </c>
      <c r="DV292" t="e">
        <v>#N/A</v>
      </c>
      <c r="DW292" t="s">
        <v>317</v>
      </c>
      <c r="DX292">
        <v>36</v>
      </c>
      <c r="DY292" t="e">
        <v>#N/A</v>
      </c>
      <c r="DZ292" t="s">
        <v>722</v>
      </c>
      <c r="EA292">
        <v>1012.33</v>
      </c>
      <c r="EB292" t="e">
        <v>#N/A</v>
      </c>
      <c r="EC292" t="s">
        <v>722</v>
      </c>
      <c r="ED292">
        <v>0.88</v>
      </c>
      <c r="EE292" t="e">
        <v>#N/A</v>
      </c>
      <c r="EF292" t="s">
        <v>722</v>
      </c>
      <c r="EG292">
        <v>0.88</v>
      </c>
      <c r="EH292" t="e">
        <v>#N/A</v>
      </c>
      <c r="EI292" t="s">
        <v>722</v>
      </c>
      <c r="EJ292">
        <v>0.91</v>
      </c>
      <c r="EK292" t="e">
        <v>#N/A</v>
      </c>
    </row>
    <row r="293" spans="1:141">
      <c r="A293" t="s">
        <v>722</v>
      </c>
      <c r="B293">
        <v>0.93</v>
      </c>
      <c r="C293" t="e">
        <v>#N/A</v>
      </c>
      <c r="D293" t="s">
        <v>722</v>
      </c>
      <c r="E293">
        <v>0.91</v>
      </c>
      <c r="F293" t="e">
        <v>#N/A</v>
      </c>
      <c r="G293" t="s">
        <v>722</v>
      </c>
      <c r="H293">
        <v>0.89</v>
      </c>
      <c r="I293" t="e">
        <v>#N/A</v>
      </c>
      <c r="J293" t="s">
        <v>722</v>
      </c>
      <c r="K293">
        <v>0.91</v>
      </c>
      <c r="L293" t="e">
        <v>#N/A</v>
      </c>
      <c r="M293" t="s">
        <v>722</v>
      </c>
      <c r="N293">
        <v>0.88</v>
      </c>
      <c r="O293" t="e">
        <v>#N/A</v>
      </c>
      <c r="P293" t="s">
        <v>722</v>
      </c>
      <c r="Q293">
        <v>0.94</v>
      </c>
      <c r="R293" t="e">
        <v>#N/A</v>
      </c>
      <c r="S293" t="s">
        <v>722</v>
      </c>
      <c r="T293">
        <v>0.89</v>
      </c>
      <c r="U293" t="e">
        <v>#N/A</v>
      </c>
      <c r="V293" t="s">
        <v>722</v>
      </c>
      <c r="W293">
        <v>0.83</v>
      </c>
      <c r="X293" t="e">
        <v>#N/A</v>
      </c>
      <c r="Y293" t="s">
        <v>722</v>
      </c>
      <c r="Z293">
        <v>1015.03</v>
      </c>
      <c r="AA293" t="e">
        <v>#N/A</v>
      </c>
      <c r="AC293">
        <v>40.33</v>
      </c>
      <c r="AD293" t="e">
        <v>#N/A</v>
      </c>
      <c r="AE293" t="s">
        <v>722</v>
      </c>
      <c r="AF293">
        <v>0.81</v>
      </c>
      <c r="AG293" t="e">
        <v>#N/A</v>
      </c>
      <c r="AH293" t="s">
        <v>317</v>
      </c>
      <c r="AI293">
        <v>33.299999999999997</v>
      </c>
      <c r="AJ293" t="e">
        <v>#N/A</v>
      </c>
      <c r="AK293" t="s">
        <v>722</v>
      </c>
      <c r="AL293">
        <v>0.93</v>
      </c>
      <c r="AM293" t="e">
        <v>#N/A</v>
      </c>
      <c r="AN293" t="s">
        <v>722</v>
      </c>
      <c r="AO293">
        <v>0.83</v>
      </c>
      <c r="AP293" t="e">
        <v>#N/A</v>
      </c>
      <c r="AQ293" t="s">
        <v>722</v>
      </c>
      <c r="AR293">
        <v>0.97</v>
      </c>
      <c r="AS293" t="e">
        <v>#N/A</v>
      </c>
      <c r="AT293" t="s">
        <v>722</v>
      </c>
      <c r="AU293">
        <v>1034.8800000000001</v>
      </c>
      <c r="AV293" t="e">
        <v>#N/A</v>
      </c>
      <c r="AW293" t="s">
        <v>722</v>
      </c>
      <c r="AX293">
        <v>0.95</v>
      </c>
      <c r="AY293" t="e">
        <v>#N/A</v>
      </c>
      <c r="AZ293" t="s">
        <v>722</v>
      </c>
      <c r="BA293">
        <v>0.92</v>
      </c>
      <c r="BB293" t="e">
        <v>#N/A</v>
      </c>
      <c r="BC293" t="s">
        <v>722</v>
      </c>
      <c r="BD293">
        <v>0.92</v>
      </c>
      <c r="BE293" t="e">
        <v>#N/A</v>
      </c>
      <c r="BF293" t="s">
        <v>722</v>
      </c>
      <c r="BG293">
        <v>0.82</v>
      </c>
      <c r="BH293" t="e">
        <v>#N/A</v>
      </c>
      <c r="BI293" t="s">
        <v>722</v>
      </c>
      <c r="BJ293">
        <v>0.97</v>
      </c>
      <c r="BK293" t="e">
        <v>#N/A</v>
      </c>
      <c r="BL293" t="s">
        <v>722</v>
      </c>
      <c r="BM293">
        <v>1</v>
      </c>
      <c r="BN293" t="e">
        <v>#N/A</v>
      </c>
      <c r="BO293" t="s">
        <v>722</v>
      </c>
      <c r="BP293">
        <v>0.95</v>
      </c>
      <c r="BQ293" t="e">
        <v>#N/A</v>
      </c>
      <c r="BR293" t="s">
        <v>722</v>
      </c>
      <c r="BS293">
        <v>0.9</v>
      </c>
      <c r="BT293" t="e">
        <v>#N/A</v>
      </c>
      <c r="BU293" t="s">
        <v>722</v>
      </c>
      <c r="BV293">
        <v>0.8</v>
      </c>
      <c r="BW293" t="e">
        <v>#N/A</v>
      </c>
      <c r="BX293" t="s">
        <v>722</v>
      </c>
      <c r="BY293">
        <v>0.97</v>
      </c>
      <c r="BZ293" t="e">
        <v>#N/A</v>
      </c>
      <c r="CA293" t="s">
        <v>722</v>
      </c>
      <c r="CB293">
        <v>0.92</v>
      </c>
      <c r="CC293" t="e">
        <v>#N/A</v>
      </c>
      <c r="CD293" t="s">
        <v>722</v>
      </c>
      <c r="CE293">
        <v>0.85</v>
      </c>
      <c r="CF293" t="e">
        <v>#N/A</v>
      </c>
      <c r="CG293" t="s">
        <v>722</v>
      </c>
      <c r="CH293">
        <v>0.9</v>
      </c>
      <c r="CI293" t="e">
        <v>#N/A</v>
      </c>
      <c r="CJ293" t="s">
        <v>722</v>
      </c>
      <c r="CK293">
        <v>0.79</v>
      </c>
      <c r="CL293" t="e">
        <v>#N/A</v>
      </c>
      <c r="CM293" t="s">
        <v>722</v>
      </c>
      <c r="CN293">
        <v>1011.11</v>
      </c>
      <c r="CO293" t="e">
        <v>#N/A</v>
      </c>
      <c r="CP293" t="s">
        <v>722</v>
      </c>
      <c r="CQ293">
        <v>0.85</v>
      </c>
      <c r="CR293" t="e">
        <v>#N/A</v>
      </c>
      <c r="CT293">
        <v>40.33</v>
      </c>
      <c r="CU293" t="e">
        <v>#N/A</v>
      </c>
      <c r="CV293" t="s">
        <v>722</v>
      </c>
      <c r="CW293">
        <v>1011.11</v>
      </c>
      <c r="CX293" t="e">
        <v>#N/A</v>
      </c>
      <c r="CY293" t="s">
        <v>722</v>
      </c>
      <c r="CZ293">
        <v>0.87</v>
      </c>
      <c r="DA293" t="e">
        <v>#N/A</v>
      </c>
      <c r="DC293">
        <v>40.33</v>
      </c>
      <c r="DD293" t="e">
        <v>#N/A</v>
      </c>
      <c r="DE293" t="s">
        <v>722</v>
      </c>
      <c r="DF293">
        <v>0.97</v>
      </c>
      <c r="DG293" t="e">
        <v>#N/A</v>
      </c>
      <c r="DH293" t="s">
        <v>722</v>
      </c>
      <c r="DI293">
        <v>1012.33</v>
      </c>
      <c r="DJ293" t="e">
        <v>#N/A</v>
      </c>
      <c r="DK293" t="s">
        <v>722</v>
      </c>
      <c r="DL293">
        <v>0.9</v>
      </c>
      <c r="DM293" t="e">
        <v>#N/A</v>
      </c>
      <c r="DN293" t="s">
        <v>722</v>
      </c>
      <c r="DO293">
        <v>0.88</v>
      </c>
      <c r="DP293" t="e">
        <v>#N/A</v>
      </c>
      <c r="DQ293" t="s">
        <v>317</v>
      </c>
      <c r="DR293">
        <v>36.479999999999997</v>
      </c>
      <c r="DS293" t="e">
        <v>#N/A</v>
      </c>
      <c r="DT293" t="s">
        <v>722</v>
      </c>
      <c r="DU293">
        <v>1</v>
      </c>
      <c r="DV293" t="e">
        <v>#N/A</v>
      </c>
      <c r="DW293" t="s">
        <v>722</v>
      </c>
      <c r="DX293">
        <v>0.83</v>
      </c>
      <c r="DY293" t="e">
        <v>#N/A</v>
      </c>
      <c r="DZ293" t="s">
        <v>722</v>
      </c>
      <c r="EA293">
        <v>0.86</v>
      </c>
      <c r="EB293" t="e">
        <v>#N/A</v>
      </c>
      <c r="EC293" t="s">
        <v>722</v>
      </c>
      <c r="ED293">
        <v>0.83</v>
      </c>
      <c r="EE293" t="e">
        <v>#N/A</v>
      </c>
      <c r="EF293" t="s">
        <v>722</v>
      </c>
      <c r="EG293">
        <v>0.83</v>
      </c>
      <c r="EH293" t="e">
        <v>#N/A</v>
      </c>
      <c r="EI293" t="s">
        <v>722</v>
      </c>
      <c r="EJ293">
        <v>0.88</v>
      </c>
      <c r="EK293" t="e">
        <v>#N/A</v>
      </c>
    </row>
    <row r="294" spans="1:141">
      <c r="A294" t="s">
        <v>722</v>
      </c>
      <c r="B294">
        <v>0.91</v>
      </c>
      <c r="C294" t="e">
        <v>#N/A</v>
      </c>
      <c r="E294">
        <v>40.33</v>
      </c>
      <c r="F294" t="e">
        <v>#N/A</v>
      </c>
      <c r="G294" t="s">
        <v>722</v>
      </c>
      <c r="H294">
        <v>0.87</v>
      </c>
      <c r="I294" t="e">
        <v>#N/A</v>
      </c>
      <c r="J294" t="s">
        <v>722</v>
      </c>
      <c r="K294">
        <v>0.83</v>
      </c>
      <c r="L294" t="e">
        <v>#N/A</v>
      </c>
      <c r="M294" t="s">
        <v>722</v>
      </c>
      <c r="N294">
        <v>0.96</v>
      </c>
      <c r="O294" t="e">
        <v>#N/A</v>
      </c>
      <c r="Q294">
        <v>98.2</v>
      </c>
      <c r="R294" t="e">
        <v>#N/A</v>
      </c>
      <c r="S294" t="s">
        <v>722</v>
      </c>
      <c r="T294">
        <v>0.94</v>
      </c>
      <c r="U294" t="e">
        <v>#N/A</v>
      </c>
      <c r="V294" t="s">
        <v>722</v>
      </c>
      <c r="W294">
        <v>0.9</v>
      </c>
      <c r="X294" t="e">
        <v>#N/A</v>
      </c>
      <c r="Y294" t="s">
        <v>722</v>
      </c>
      <c r="Z294">
        <v>1004.72</v>
      </c>
      <c r="AA294" t="e">
        <v>#N/A</v>
      </c>
      <c r="AB294" t="s">
        <v>722</v>
      </c>
      <c r="AC294">
        <v>1004.72</v>
      </c>
      <c r="AD294" t="e">
        <v>#N/A</v>
      </c>
      <c r="AE294" t="s">
        <v>722</v>
      </c>
      <c r="AF294">
        <v>0.81</v>
      </c>
      <c r="AG294" t="e">
        <v>#N/A</v>
      </c>
      <c r="AH294" t="s">
        <v>722</v>
      </c>
      <c r="AI294">
        <v>0.97</v>
      </c>
      <c r="AJ294" t="e">
        <v>#N/A</v>
      </c>
      <c r="AK294" t="s">
        <v>722</v>
      </c>
      <c r="AL294">
        <v>1004.72</v>
      </c>
      <c r="AM294" t="e">
        <v>#N/A</v>
      </c>
      <c r="AN294" t="s">
        <v>722</v>
      </c>
      <c r="AO294">
        <v>1</v>
      </c>
      <c r="AP294" t="e">
        <v>#N/A</v>
      </c>
      <c r="AQ294" t="s">
        <v>722</v>
      </c>
      <c r="AR294">
        <v>0.92</v>
      </c>
      <c r="AS294" t="e">
        <v>#N/A</v>
      </c>
      <c r="AT294" t="s">
        <v>722</v>
      </c>
      <c r="AU294">
        <v>1012.33</v>
      </c>
      <c r="AV294" t="e">
        <v>#N/A</v>
      </c>
      <c r="AW294" t="s">
        <v>722</v>
      </c>
      <c r="AX294">
        <v>1037.57</v>
      </c>
      <c r="AY294" t="e">
        <v>#N/A</v>
      </c>
      <c r="AZ294" t="s">
        <v>722</v>
      </c>
      <c r="BA294">
        <v>0.9</v>
      </c>
      <c r="BB294" t="e">
        <v>#N/A</v>
      </c>
      <c r="BC294" t="s">
        <v>722</v>
      </c>
      <c r="BD294">
        <v>1</v>
      </c>
      <c r="BE294" t="e">
        <v>#N/A</v>
      </c>
      <c r="BF294" t="s">
        <v>722</v>
      </c>
      <c r="BG294">
        <v>0.99</v>
      </c>
      <c r="BH294" t="e">
        <v>#N/A</v>
      </c>
      <c r="BI294" t="s">
        <v>722</v>
      </c>
      <c r="BJ294">
        <v>0.81</v>
      </c>
      <c r="BK294" t="e">
        <v>#N/A</v>
      </c>
      <c r="BL294" t="s">
        <v>722</v>
      </c>
      <c r="BM294">
        <v>1</v>
      </c>
      <c r="BN294" t="e">
        <v>#N/A</v>
      </c>
      <c r="BO294" t="s">
        <v>722</v>
      </c>
      <c r="BP294">
        <v>0.9</v>
      </c>
      <c r="BQ294" t="e">
        <v>#N/A</v>
      </c>
      <c r="BR294" t="s">
        <v>722</v>
      </c>
      <c r="BS294">
        <v>1053.57</v>
      </c>
      <c r="BT294" t="e">
        <v>#N/A</v>
      </c>
      <c r="BU294" t="s">
        <v>722</v>
      </c>
      <c r="BV294">
        <v>1011.11</v>
      </c>
      <c r="BW294" t="e">
        <v>#N/A</v>
      </c>
      <c r="BX294" t="s">
        <v>722</v>
      </c>
      <c r="BY294">
        <v>1043.1500000000001</v>
      </c>
      <c r="BZ294" t="e">
        <v>#N/A</v>
      </c>
      <c r="CA294" t="s">
        <v>722</v>
      </c>
      <c r="CB294">
        <v>0.87</v>
      </c>
      <c r="CC294" t="e">
        <v>#N/A</v>
      </c>
      <c r="CD294" t="s">
        <v>722</v>
      </c>
      <c r="CE294">
        <v>0.94</v>
      </c>
      <c r="CF294" t="e">
        <v>#N/A</v>
      </c>
      <c r="CG294" t="s">
        <v>722</v>
      </c>
      <c r="CH294">
        <v>0.83</v>
      </c>
      <c r="CI294" t="e">
        <v>#N/A</v>
      </c>
      <c r="CJ294" t="s">
        <v>722</v>
      </c>
      <c r="CK294">
        <v>0.79</v>
      </c>
      <c r="CL294" t="e">
        <v>#N/A</v>
      </c>
      <c r="CM294" t="s">
        <v>722</v>
      </c>
      <c r="CN294">
        <v>0.9</v>
      </c>
      <c r="CO294" t="e">
        <v>#N/A</v>
      </c>
      <c r="CP294" t="s">
        <v>722</v>
      </c>
      <c r="CQ294">
        <v>0.82</v>
      </c>
      <c r="CR294" t="e">
        <v>#N/A</v>
      </c>
      <c r="CS294" t="s">
        <v>722</v>
      </c>
      <c r="CT294">
        <v>1011.11</v>
      </c>
      <c r="CU294" t="e">
        <v>#N/A</v>
      </c>
      <c r="CV294" t="s">
        <v>722</v>
      </c>
      <c r="CW294">
        <v>0.95</v>
      </c>
      <c r="CX294" t="e">
        <v>#N/A</v>
      </c>
      <c r="CY294" t="s">
        <v>722</v>
      </c>
      <c r="CZ294">
        <v>0.93</v>
      </c>
      <c r="DA294" t="e">
        <v>#N/A</v>
      </c>
      <c r="DB294" t="s">
        <v>722</v>
      </c>
      <c r="DC294">
        <v>1011.11</v>
      </c>
      <c r="DD294" t="e">
        <v>#N/A</v>
      </c>
      <c r="DE294" t="s">
        <v>722</v>
      </c>
      <c r="DF294">
        <v>0.83</v>
      </c>
      <c r="DG294" t="e">
        <v>#N/A</v>
      </c>
      <c r="DH294" t="s">
        <v>722</v>
      </c>
      <c r="DI294">
        <v>0.9</v>
      </c>
      <c r="DJ294" t="e">
        <v>#N/A</v>
      </c>
      <c r="DK294" t="s">
        <v>722</v>
      </c>
      <c r="DL294">
        <v>0.84</v>
      </c>
      <c r="DM294" t="e">
        <v>#N/A</v>
      </c>
      <c r="DN294" t="s">
        <v>722</v>
      </c>
      <c r="DO294">
        <v>0.86</v>
      </c>
      <c r="DP294" t="e">
        <v>#N/A</v>
      </c>
      <c r="DQ294" t="s">
        <v>722</v>
      </c>
      <c r="DR294">
        <v>0.89</v>
      </c>
      <c r="DS294" t="e">
        <v>#N/A</v>
      </c>
      <c r="DT294" t="s">
        <v>722</v>
      </c>
      <c r="DU294">
        <v>0.88</v>
      </c>
      <c r="DV294" t="e">
        <v>#N/A</v>
      </c>
      <c r="DW294" t="s">
        <v>722</v>
      </c>
      <c r="DX294">
        <v>1012.33</v>
      </c>
      <c r="DY294" t="e">
        <v>#N/A</v>
      </c>
      <c r="DZ294" t="s">
        <v>722</v>
      </c>
      <c r="EA294">
        <v>0.93</v>
      </c>
      <c r="EB294" t="e">
        <v>#N/A</v>
      </c>
      <c r="EC294" t="s">
        <v>722</v>
      </c>
      <c r="ED294">
        <v>1012.33</v>
      </c>
      <c r="EE294" t="e">
        <v>#N/A</v>
      </c>
      <c r="EF294" t="s">
        <v>722</v>
      </c>
      <c r="EG294">
        <v>1012.33</v>
      </c>
      <c r="EH294" t="e">
        <v>#N/A</v>
      </c>
      <c r="EI294" t="s">
        <v>722</v>
      </c>
      <c r="EJ294">
        <v>0.83</v>
      </c>
      <c r="EK294" t="e">
        <v>#N/A</v>
      </c>
    </row>
    <row r="295" spans="1:141">
      <c r="A295" t="s">
        <v>722</v>
      </c>
      <c r="B295">
        <v>0.83</v>
      </c>
      <c r="C295" t="e">
        <v>#N/A</v>
      </c>
      <c r="D295" t="s">
        <v>722</v>
      </c>
      <c r="E295">
        <v>0.94</v>
      </c>
      <c r="F295" t="e">
        <v>#N/A</v>
      </c>
      <c r="G295" t="s">
        <v>722</v>
      </c>
      <c r="H295">
        <v>0.83</v>
      </c>
      <c r="I295" t="e">
        <v>#N/A</v>
      </c>
      <c r="J295" t="s">
        <v>722</v>
      </c>
      <c r="K295">
        <v>0.97</v>
      </c>
      <c r="L295" t="e">
        <v>#N/A</v>
      </c>
      <c r="M295" t="s">
        <v>722</v>
      </c>
      <c r="N295">
        <v>0.96</v>
      </c>
      <c r="O295" t="e">
        <v>#N/A</v>
      </c>
      <c r="P295" t="s">
        <v>722</v>
      </c>
      <c r="Q295">
        <v>0.83</v>
      </c>
      <c r="R295" t="e">
        <v>#N/A</v>
      </c>
      <c r="T295">
        <v>98.2</v>
      </c>
      <c r="U295" t="e">
        <v>#N/A</v>
      </c>
      <c r="V295" t="s">
        <v>722</v>
      </c>
      <c r="W295">
        <v>0.97</v>
      </c>
      <c r="X295" t="e">
        <v>#N/A</v>
      </c>
      <c r="Y295" t="s">
        <v>722</v>
      </c>
      <c r="Z295">
        <v>0.83</v>
      </c>
      <c r="AA295" t="e">
        <v>#N/A</v>
      </c>
      <c r="AB295" t="s">
        <v>722</v>
      </c>
      <c r="AC295">
        <v>0.83</v>
      </c>
      <c r="AD295" t="e">
        <v>#N/A</v>
      </c>
      <c r="AE295" t="s">
        <v>722</v>
      </c>
      <c r="AF295">
        <v>0.86</v>
      </c>
      <c r="AG295" t="e">
        <v>#N/A</v>
      </c>
      <c r="AH295" t="s">
        <v>722</v>
      </c>
      <c r="AI295">
        <v>0.94</v>
      </c>
      <c r="AJ295" t="e">
        <v>#N/A</v>
      </c>
      <c r="AK295" t="s">
        <v>722</v>
      </c>
      <c r="AL295">
        <v>0.83</v>
      </c>
      <c r="AM295" t="e">
        <v>#N/A</v>
      </c>
      <c r="AN295" t="s">
        <v>722</v>
      </c>
      <c r="AO295">
        <v>1</v>
      </c>
      <c r="AP295" t="e">
        <v>#N/A</v>
      </c>
      <c r="AR295">
        <v>98.2</v>
      </c>
      <c r="AS295" t="e">
        <v>#N/A</v>
      </c>
      <c r="AT295" t="s">
        <v>722</v>
      </c>
      <c r="AU295">
        <v>0.92</v>
      </c>
      <c r="AV295" t="e">
        <v>#N/A</v>
      </c>
      <c r="AW295" t="s">
        <v>722</v>
      </c>
      <c r="AX295">
        <v>0.96</v>
      </c>
      <c r="AY295" t="e">
        <v>#N/A</v>
      </c>
      <c r="AZ295" t="s">
        <v>722</v>
      </c>
      <c r="BA295">
        <v>0.88</v>
      </c>
      <c r="BB295" t="e">
        <v>#N/A</v>
      </c>
      <c r="BC295" t="s">
        <v>722</v>
      </c>
      <c r="BD295">
        <v>1</v>
      </c>
      <c r="BE295" t="e">
        <v>#N/A</v>
      </c>
      <c r="BG295">
        <v>98.2</v>
      </c>
      <c r="BH295" t="e">
        <v>#N/A</v>
      </c>
      <c r="BI295" t="s">
        <v>317</v>
      </c>
      <c r="BJ295">
        <v>33.75</v>
      </c>
      <c r="BK295" t="e">
        <v>#N/A</v>
      </c>
      <c r="BL295" t="s">
        <v>722</v>
      </c>
      <c r="BM295">
        <v>0.86</v>
      </c>
      <c r="BN295" t="e">
        <v>#N/A</v>
      </c>
      <c r="BO295" t="s">
        <v>722</v>
      </c>
      <c r="BP295">
        <v>1034.1199999999999</v>
      </c>
      <c r="BQ295" t="e">
        <v>#N/A</v>
      </c>
      <c r="BR295" t="s">
        <v>722</v>
      </c>
      <c r="BS295">
        <v>0.85</v>
      </c>
      <c r="BT295" t="e">
        <v>#N/A</v>
      </c>
      <c r="BU295" t="s">
        <v>722</v>
      </c>
      <c r="BV295">
        <v>0.86</v>
      </c>
      <c r="BW295" t="e">
        <v>#N/A</v>
      </c>
      <c r="BX295" t="s">
        <v>722</v>
      </c>
      <c r="BY295">
        <v>0.95</v>
      </c>
      <c r="BZ295" t="e">
        <v>#N/A</v>
      </c>
      <c r="CA295" t="s">
        <v>722</v>
      </c>
      <c r="CB295">
        <v>0.79</v>
      </c>
      <c r="CC295" t="e">
        <v>#N/A</v>
      </c>
      <c r="CD295" t="s">
        <v>722</v>
      </c>
      <c r="CE295">
        <v>0.97</v>
      </c>
      <c r="CF295" t="e">
        <v>#N/A</v>
      </c>
      <c r="CG295" t="s">
        <v>722</v>
      </c>
      <c r="CH295">
        <v>0.88</v>
      </c>
      <c r="CI295" t="e">
        <v>#N/A</v>
      </c>
      <c r="CJ295" t="s">
        <v>722</v>
      </c>
      <c r="CK295">
        <v>0.87</v>
      </c>
      <c r="CL295" t="e">
        <v>#N/A</v>
      </c>
      <c r="CM295" t="s">
        <v>722</v>
      </c>
      <c r="CN295">
        <v>0.83</v>
      </c>
      <c r="CO295" t="e">
        <v>#N/A</v>
      </c>
      <c r="CP295" t="s">
        <v>722</v>
      </c>
      <c r="CQ295">
        <v>0.88</v>
      </c>
      <c r="CR295" t="e">
        <v>#N/A</v>
      </c>
      <c r="CS295" t="s">
        <v>722</v>
      </c>
      <c r="CT295">
        <v>1012.33</v>
      </c>
      <c r="CU295" t="e">
        <v>#N/A</v>
      </c>
      <c r="CV295" t="s">
        <v>722</v>
      </c>
      <c r="CW295">
        <v>1012.33</v>
      </c>
      <c r="CX295" t="e">
        <v>#N/A</v>
      </c>
      <c r="CY295" t="s">
        <v>722</v>
      </c>
      <c r="CZ295">
        <v>0.99</v>
      </c>
      <c r="DA295" t="e">
        <v>#N/A</v>
      </c>
      <c r="DB295" t="s">
        <v>722</v>
      </c>
      <c r="DC295">
        <v>1011.5</v>
      </c>
      <c r="DD295" t="e">
        <v>#N/A</v>
      </c>
      <c r="DF295">
        <v>40.33</v>
      </c>
      <c r="DG295" t="e">
        <v>#N/A</v>
      </c>
      <c r="DH295" t="s">
        <v>722</v>
      </c>
      <c r="DI295">
        <v>0.84</v>
      </c>
      <c r="DJ295" t="e">
        <v>#N/A</v>
      </c>
      <c r="DK295" t="s">
        <v>722</v>
      </c>
      <c r="DL295">
        <v>1012.33</v>
      </c>
      <c r="DM295" t="e">
        <v>#N/A</v>
      </c>
      <c r="DN295" t="s">
        <v>722</v>
      </c>
      <c r="DO295">
        <v>1012.33</v>
      </c>
      <c r="DP295" t="e">
        <v>#N/A</v>
      </c>
      <c r="DR295">
        <v>40.33</v>
      </c>
      <c r="DS295" t="e">
        <v>#N/A</v>
      </c>
      <c r="DU295">
        <v>98.2</v>
      </c>
      <c r="DV295" t="e">
        <v>#N/A</v>
      </c>
      <c r="DW295" t="s">
        <v>722</v>
      </c>
      <c r="DX295">
        <v>0.86</v>
      </c>
      <c r="DY295" t="e">
        <v>#N/A</v>
      </c>
      <c r="DZ295" t="s">
        <v>722</v>
      </c>
      <c r="EA295">
        <v>0.81</v>
      </c>
      <c r="EB295" t="e">
        <v>#N/A</v>
      </c>
      <c r="EC295" t="s">
        <v>722</v>
      </c>
      <c r="ED295">
        <v>0.86</v>
      </c>
      <c r="EE295" t="e">
        <v>#N/A</v>
      </c>
      <c r="EF295" t="s">
        <v>722</v>
      </c>
      <c r="EG295">
        <v>0.86</v>
      </c>
      <c r="EH295" t="e">
        <v>#N/A</v>
      </c>
      <c r="EI295" t="s">
        <v>722</v>
      </c>
      <c r="EJ295">
        <v>1012.33</v>
      </c>
      <c r="EK295" t="e">
        <v>#N/A</v>
      </c>
    </row>
    <row r="296" spans="1:141">
      <c r="A296" t="s">
        <v>722</v>
      </c>
      <c r="B296">
        <v>0.93</v>
      </c>
      <c r="C296" t="e">
        <v>#N/A</v>
      </c>
      <c r="D296" t="s">
        <v>722</v>
      </c>
      <c r="E296">
        <v>0.89</v>
      </c>
      <c r="F296" t="e">
        <v>#N/A</v>
      </c>
      <c r="H296">
        <v>98.2</v>
      </c>
      <c r="I296" t="e">
        <v>#N/A</v>
      </c>
      <c r="J296" t="s">
        <v>722</v>
      </c>
      <c r="K296">
        <v>1</v>
      </c>
      <c r="L296" t="e">
        <v>#N/A</v>
      </c>
      <c r="M296" t="s">
        <v>722</v>
      </c>
      <c r="N296">
        <v>0.94</v>
      </c>
      <c r="O296" t="e">
        <v>#N/A</v>
      </c>
      <c r="P296" t="s">
        <v>722</v>
      </c>
      <c r="Q296">
        <v>0.93</v>
      </c>
      <c r="R296" t="e">
        <v>#N/A</v>
      </c>
      <c r="S296" t="s">
        <v>722</v>
      </c>
      <c r="T296">
        <v>0.83</v>
      </c>
      <c r="U296" t="e">
        <v>#N/A</v>
      </c>
      <c r="V296" t="s">
        <v>722</v>
      </c>
      <c r="W296">
        <v>0.95</v>
      </c>
      <c r="X296" t="e">
        <v>#N/A</v>
      </c>
      <c r="Y296" t="s">
        <v>722</v>
      </c>
      <c r="Z296">
        <v>0.9</v>
      </c>
      <c r="AA296" t="e">
        <v>#N/A</v>
      </c>
      <c r="AB296" t="s">
        <v>722</v>
      </c>
      <c r="AC296">
        <v>1026.31</v>
      </c>
      <c r="AD296" t="e">
        <v>#N/A</v>
      </c>
      <c r="AE296" t="s">
        <v>722</v>
      </c>
      <c r="AF296">
        <v>0.93</v>
      </c>
      <c r="AG296" t="e">
        <v>#N/A</v>
      </c>
      <c r="AH296" t="s">
        <v>722</v>
      </c>
      <c r="AI296">
        <v>1010.95</v>
      </c>
      <c r="AJ296" t="e">
        <v>#N/A</v>
      </c>
      <c r="AK296" t="s">
        <v>722</v>
      </c>
      <c r="AL296">
        <v>0.93</v>
      </c>
      <c r="AM296" t="e">
        <v>#N/A</v>
      </c>
      <c r="AN296" t="s">
        <v>722</v>
      </c>
      <c r="AO296">
        <v>0.93</v>
      </c>
      <c r="AP296" t="e">
        <v>#N/A</v>
      </c>
      <c r="AQ296" t="s">
        <v>722</v>
      </c>
      <c r="AR296">
        <v>0.89</v>
      </c>
      <c r="AS296" t="e">
        <v>#N/A</v>
      </c>
      <c r="AU296">
        <v>98.2</v>
      </c>
      <c r="AV296" t="e">
        <v>#N/A</v>
      </c>
      <c r="AW296" t="s">
        <v>722</v>
      </c>
      <c r="AX296">
        <v>0.96</v>
      </c>
      <c r="AY296" t="e">
        <v>#N/A</v>
      </c>
      <c r="AZ296" t="s">
        <v>722</v>
      </c>
      <c r="BA296">
        <v>0.83</v>
      </c>
      <c r="BB296" t="e">
        <v>#N/A</v>
      </c>
      <c r="BC296" t="s">
        <v>722</v>
      </c>
      <c r="BD296">
        <v>1</v>
      </c>
      <c r="BE296" t="e">
        <v>#N/A</v>
      </c>
      <c r="BF296" t="s">
        <v>722</v>
      </c>
      <c r="BG296">
        <v>0.92</v>
      </c>
      <c r="BH296" t="e">
        <v>#N/A</v>
      </c>
      <c r="BI296" t="s">
        <v>722</v>
      </c>
      <c r="BJ296">
        <v>0.95</v>
      </c>
      <c r="BK296" t="e">
        <v>#N/A</v>
      </c>
      <c r="BL296" t="s">
        <v>722</v>
      </c>
      <c r="BM296">
        <v>1</v>
      </c>
      <c r="BN296" t="e">
        <v>#N/A</v>
      </c>
      <c r="BO296" t="s">
        <v>722</v>
      </c>
      <c r="BP296">
        <v>0.89</v>
      </c>
      <c r="BQ296" t="e">
        <v>#N/A</v>
      </c>
      <c r="BR296" t="s">
        <v>722</v>
      </c>
      <c r="BS296">
        <v>0.97</v>
      </c>
      <c r="BT296" t="e">
        <v>#N/A</v>
      </c>
      <c r="BU296" t="s">
        <v>722</v>
      </c>
      <c r="BV296">
        <v>0.94</v>
      </c>
      <c r="BW296" t="e">
        <v>#N/A</v>
      </c>
      <c r="BX296" t="s">
        <v>722</v>
      </c>
      <c r="BY296">
        <v>0.98</v>
      </c>
      <c r="BZ296" t="e">
        <v>#N/A</v>
      </c>
      <c r="CA296" t="s">
        <v>722</v>
      </c>
      <c r="CB296">
        <v>0.79</v>
      </c>
      <c r="CC296" t="e">
        <v>#N/A</v>
      </c>
      <c r="CD296" t="s">
        <v>722</v>
      </c>
      <c r="CE296">
        <v>0.99</v>
      </c>
      <c r="CF296" t="e">
        <v>#N/A</v>
      </c>
      <c r="CG296" t="s">
        <v>722</v>
      </c>
      <c r="CH296">
        <v>0.95</v>
      </c>
      <c r="CI296" t="e">
        <v>#N/A</v>
      </c>
      <c r="CJ296" t="s">
        <v>722</v>
      </c>
      <c r="CK296">
        <v>0.95</v>
      </c>
      <c r="CL296" t="e">
        <v>#N/A</v>
      </c>
      <c r="CM296" t="s">
        <v>722</v>
      </c>
      <c r="CN296">
        <v>0.82</v>
      </c>
      <c r="CO296" t="e">
        <v>#N/A</v>
      </c>
      <c r="CP296" t="s">
        <v>722</v>
      </c>
      <c r="CQ296">
        <v>0.9</v>
      </c>
      <c r="CR296" t="e">
        <v>#N/A</v>
      </c>
      <c r="CS296" t="s">
        <v>722</v>
      </c>
      <c r="CT296">
        <v>0.97</v>
      </c>
      <c r="CU296" t="e">
        <v>#N/A</v>
      </c>
      <c r="CV296" t="s">
        <v>722</v>
      </c>
      <c r="CW296">
        <v>0.97</v>
      </c>
      <c r="CX296" t="e">
        <v>#N/A</v>
      </c>
      <c r="CY296" t="s">
        <v>722</v>
      </c>
      <c r="CZ296">
        <v>0.85</v>
      </c>
      <c r="DA296" t="e">
        <v>#N/A</v>
      </c>
      <c r="DB296" t="s">
        <v>722</v>
      </c>
      <c r="DC296">
        <v>0.97</v>
      </c>
      <c r="DD296" t="e">
        <v>#N/A</v>
      </c>
      <c r="DE296" t="s">
        <v>722</v>
      </c>
      <c r="DF296">
        <v>1011.11</v>
      </c>
      <c r="DG296" t="e">
        <v>#N/A</v>
      </c>
      <c r="DI296">
        <v>98.2</v>
      </c>
      <c r="DJ296" t="e">
        <v>#N/A</v>
      </c>
      <c r="DK296" t="s">
        <v>722</v>
      </c>
      <c r="DL296">
        <v>0.84</v>
      </c>
      <c r="DM296" t="e">
        <v>#N/A</v>
      </c>
      <c r="DN296" t="s">
        <v>722</v>
      </c>
      <c r="DO296">
        <v>0.82</v>
      </c>
      <c r="DP296" t="e">
        <v>#N/A</v>
      </c>
      <c r="DQ296" t="s">
        <v>722</v>
      </c>
      <c r="DR296">
        <v>0.83</v>
      </c>
      <c r="DS296" t="e">
        <v>#N/A</v>
      </c>
      <c r="DT296" t="s">
        <v>722</v>
      </c>
      <c r="DU296">
        <v>1031.1199999999999</v>
      </c>
      <c r="DV296" t="e">
        <v>#N/A</v>
      </c>
      <c r="DW296" t="s">
        <v>722</v>
      </c>
      <c r="DX296">
        <v>0.93</v>
      </c>
      <c r="DY296" t="e">
        <v>#N/A</v>
      </c>
      <c r="DZ296" t="s">
        <v>722</v>
      </c>
      <c r="EA296">
        <v>1</v>
      </c>
      <c r="EB296" t="e">
        <v>#N/A</v>
      </c>
      <c r="EC296" t="s">
        <v>722</v>
      </c>
      <c r="ED296">
        <v>0.93</v>
      </c>
      <c r="EE296" t="e">
        <v>#N/A</v>
      </c>
      <c r="EF296" t="s">
        <v>722</v>
      </c>
      <c r="EG296">
        <v>0.93</v>
      </c>
      <c r="EH296" t="e">
        <v>#N/A</v>
      </c>
      <c r="EI296" t="s">
        <v>722</v>
      </c>
      <c r="EJ296">
        <v>0.86</v>
      </c>
      <c r="EK296" t="e">
        <v>#N/A</v>
      </c>
    </row>
    <row r="297" spans="1:141">
      <c r="A297" t="s">
        <v>722</v>
      </c>
      <c r="B297">
        <v>1</v>
      </c>
      <c r="C297" t="e">
        <v>#N/A</v>
      </c>
      <c r="D297" t="s">
        <v>722</v>
      </c>
      <c r="E297">
        <v>0.88</v>
      </c>
      <c r="F297" t="e">
        <v>#N/A</v>
      </c>
      <c r="G297" t="s">
        <v>722</v>
      </c>
      <c r="H297">
        <v>0.91</v>
      </c>
      <c r="I297" t="e">
        <v>#N/A</v>
      </c>
      <c r="J297" t="s">
        <v>722</v>
      </c>
      <c r="K297">
        <v>1</v>
      </c>
      <c r="L297" t="e">
        <v>#N/A</v>
      </c>
      <c r="M297" t="s">
        <v>722</v>
      </c>
      <c r="N297">
        <v>0.91</v>
      </c>
      <c r="O297" t="e">
        <v>#N/A</v>
      </c>
      <c r="P297" t="s">
        <v>722</v>
      </c>
      <c r="Q297">
        <v>0.91</v>
      </c>
      <c r="R297" t="e">
        <v>#N/A</v>
      </c>
      <c r="S297" t="s">
        <v>722</v>
      </c>
      <c r="T297">
        <v>0.94</v>
      </c>
      <c r="U297" t="e">
        <v>#N/A</v>
      </c>
      <c r="V297" t="s">
        <v>722</v>
      </c>
      <c r="W297">
        <v>0.97</v>
      </c>
      <c r="X297" t="e">
        <v>#N/A</v>
      </c>
      <c r="Y297" t="s">
        <v>722</v>
      </c>
      <c r="Z297">
        <v>1019.96</v>
      </c>
      <c r="AA297" t="e">
        <v>#N/A</v>
      </c>
      <c r="AC297">
        <v>98.2</v>
      </c>
      <c r="AD297" t="e">
        <v>#N/A</v>
      </c>
      <c r="AE297" t="s">
        <v>722</v>
      </c>
      <c r="AF297">
        <v>0.88</v>
      </c>
      <c r="AG297" t="e">
        <v>#N/A</v>
      </c>
      <c r="AH297" t="s">
        <v>722</v>
      </c>
      <c r="AI297">
        <v>0.94</v>
      </c>
      <c r="AJ297" t="e">
        <v>#N/A</v>
      </c>
      <c r="AK297" t="s">
        <v>722</v>
      </c>
      <c r="AL297">
        <v>0.96</v>
      </c>
      <c r="AM297" t="e">
        <v>#N/A</v>
      </c>
      <c r="AN297" t="s">
        <v>722</v>
      </c>
      <c r="AO297">
        <v>0.95</v>
      </c>
      <c r="AP297" t="e">
        <v>#N/A</v>
      </c>
      <c r="AQ297" t="s">
        <v>722</v>
      </c>
      <c r="AR297">
        <v>0.9</v>
      </c>
      <c r="AS297" t="e">
        <v>#N/A</v>
      </c>
      <c r="AT297" t="s">
        <v>722</v>
      </c>
      <c r="AU297">
        <v>0.96</v>
      </c>
      <c r="AV297" t="e">
        <v>#N/A</v>
      </c>
      <c r="AW297" t="s">
        <v>722</v>
      </c>
      <c r="AX297">
        <v>1040.7</v>
      </c>
      <c r="AY297" t="e">
        <v>#N/A</v>
      </c>
      <c r="AZ297" t="s">
        <v>317</v>
      </c>
      <c r="BA297">
        <v>33.700000000000003</v>
      </c>
      <c r="BB297" t="e">
        <v>#N/A</v>
      </c>
      <c r="BC297" t="s">
        <v>722</v>
      </c>
      <c r="BD297">
        <v>0.84</v>
      </c>
      <c r="BE297" t="e">
        <v>#N/A</v>
      </c>
      <c r="BF297" t="s">
        <v>722</v>
      </c>
      <c r="BG297">
        <v>0.93</v>
      </c>
      <c r="BH297" t="e">
        <v>#N/A</v>
      </c>
      <c r="BI297" t="s">
        <v>722</v>
      </c>
      <c r="BJ297">
        <v>0.82</v>
      </c>
      <c r="BK297" t="e">
        <v>#N/A</v>
      </c>
      <c r="BL297" t="s">
        <v>722</v>
      </c>
      <c r="BM297">
        <v>1</v>
      </c>
      <c r="BN297" t="e">
        <v>#N/A</v>
      </c>
      <c r="BO297" t="s">
        <v>722</v>
      </c>
      <c r="BP297">
        <v>1012.33</v>
      </c>
      <c r="BQ297" t="e">
        <v>#N/A</v>
      </c>
      <c r="BR297" t="s">
        <v>722</v>
      </c>
      <c r="BS297">
        <v>0.95</v>
      </c>
      <c r="BT297" t="e">
        <v>#N/A</v>
      </c>
      <c r="BU297" t="s">
        <v>722</v>
      </c>
      <c r="BV297">
        <v>0.93</v>
      </c>
      <c r="BW297" t="e">
        <v>#N/A</v>
      </c>
      <c r="BX297" t="s">
        <v>722</v>
      </c>
      <c r="BY297">
        <v>1053.57</v>
      </c>
      <c r="BZ297" t="e">
        <v>#N/A</v>
      </c>
      <c r="CA297" t="s">
        <v>722</v>
      </c>
      <c r="CB297">
        <v>0.94</v>
      </c>
      <c r="CC297" t="e">
        <v>#N/A</v>
      </c>
      <c r="CE297">
        <v>40.33</v>
      </c>
      <c r="CF297" t="e">
        <v>#N/A</v>
      </c>
      <c r="CG297" t="s">
        <v>722</v>
      </c>
      <c r="CH297">
        <v>0.93</v>
      </c>
      <c r="CI297" t="e">
        <v>#N/A</v>
      </c>
      <c r="CJ297" t="s">
        <v>722</v>
      </c>
      <c r="CK297">
        <v>0.97</v>
      </c>
      <c r="CL297" t="e">
        <v>#N/A</v>
      </c>
      <c r="CM297" t="s">
        <v>722</v>
      </c>
      <c r="CN297">
        <v>1012.33</v>
      </c>
      <c r="CO297" t="e">
        <v>#N/A</v>
      </c>
      <c r="CQ297">
        <v>40.33</v>
      </c>
      <c r="CR297" t="e">
        <v>#N/A</v>
      </c>
      <c r="CS297" t="s">
        <v>722</v>
      </c>
      <c r="CT297">
        <v>0.82</v>
      </c>
      <c r="CU297" t="e">
        <v>#N/A</v>
      </c>
      <c r="CV297" t="s">
        <v>722</v>
      </c>
      <c r="CW297">
        <v>0.89</v>
      </c>
      <c r="CX297" t="e">
        <v>#N/A</v>
      </c>
      <c r="CY297" t="s">
        <v>722</v>
      </c>
      <c r="CZ297">
        <v>0.94</v>
      </c>
      <c r="DA297" t="e">
        <v>#N/A</v>
      </c>
      <c r="DB297" t="s">
        <v>722</v>
      </c>
      <c r="DC297">
        <v>1012.33</v>
      </c>
      <c r="DD297" t="e">
        <v>#N/A</v>
      </c>
      <c r="DE297" t="s">
        <v>722</v>
      </c>
      <c r="DF297">
        <v>1011.5</v>
      </c>
      <c r="DG297" t="e">
        <v>#N/A</v>
      </c>
      <c r="DH297" t="s">
        <v>722</v>
      </c>
      <c r="DI297">
        <v>0.9</v>
      </c>
      <c r="DJ297" t="e">
        <v>#N/A</v>
      </c>
      <c r="DK297" t="s">
        <v>722</v>
      </c>
      <c r="DL297">
        <v>0.88</v>
      </c>
      <c r="DM297" t="e">
        <v>#N/A</v>
      </c>
      <c r="DN297" t="s">
        <v>722</v>
      </c>
      <c r="DO297">
        <v>1</v>
      </c>
      <c r="DP297" t="e">
        <v>#N/A</v>
      </c>
      <c r="DQ297" t="s">
        <v>722</v>
      </c>
      <c r="DR297">
        <v>0.82</v>
      </c>
      <c r="DS297" t="e">
        <v>#N/A</v>
      </c>
      <c r="DT297" t="s">
        <v>722</v>
      </c>
      <c r="DU297">
        <v>996.33</v>
      </c>
      <c r="DV297" t="e">
        <v>#N/A</v>
      </c>
      <c r="DW297" t="s">
        <v>722</v>
      </c>
      <c r="DX297">
        <v>0.81</v>
      </c>
      <c r="DY297" t="e">
        <v>#N/A</v>
      </c>
      <c r="EA297">
        <v>98.2</v>
      </c>
      <c r="EB297" t="e">
        <v>#N/A</v>
      </c>
      <c r="EC297" t="s">
        <v>722</v>
      </c>
      <c r="ED297">
        <v>0.81</v>
      </c>
      <c r="EE297" t="e">
        <v>#N/A</v>
      </c>
      <c r="EF297" t="s">
        <v>722</v>
      </c>
      <c r="EG297">
        <v>0.81</v>
      </c>
      <c r="EH297" t="e">
        <v>#N/A</v>
      </c>
      <c r="EI297" t="s">
        <v>722</v>
      </c>
      <c r="EJ297">
        <v>0.93</v>
      </c>
      <c r="EK297" t="e">
        <v>#N/A</v>
      </c>
    </row>
    <row r="298" spans="1:141">
      <c r="A298" t="s">
        <v>722</v>
      </c>
      <c r="B298">
        <v>0.87</v>
      </c>
      <c r="C298" t="e">
        <v>#N/A</v>
      </c>
      <c r="D298" t="s">
        <v>722</v>
      </c>
      <c r="E298">
        <v>0.99</v>
      </c>
      <c r="F298" t="e">
        <v>#N/A</v>
      </c>
      <c r="G298" t="s">
        <v>722</v>
      </c>
      <c r="H298">
        <v>0.83</v>
      </c>
      <c r="I298" t="e">
        <v>#N/A</v>
      </c>
      <c r="J298" t="s">
        <v>722</v>
      </c>
      <c r="K298">
        <v>0.99</v>
      </c>
      <c r="L298" t="e">
        <v>#N/A</v>
      </c>
      <c r="M298" t="s">
        <v>722</v>
      </c>
      <c r="N298">
        <v>0.83</v>
      </c>
      <c r="O298" t="e">
        <v>#N/A</v>
      </c>
      <c r="P298" t="s">
        <v>722</v>
      </c>
      <c r="Q298">
        <v>0.83</v>
      </c>
      <c r="R298" t="e">
        <v>#N/A</v>
      </c>
      <c r="S298" t="s">
        <v>722</v>
      </c>
      <c r="T298">
        <v>0.91</v>
      </c>
      <c r="U298" t="e">
        <v>#N/A</v>
      </c>
      <c r="V298" t="s">
        <v>722</v>
      </c>
      <c r="W298">
        <v>0.83</v>
      </c>
      <c r="X298" t="e">
        <v>#N/A</v>
      </c>
      <c r="Y298" t="s">
        <v>722</v>
      </c>
      <c r="Z298">
        <v>0.95</v>
      </c>
      <c r="AA298" t="e">
        <v>#N/A</v>
      </c>
      <c r="AB298" t="s">
        <v>722</v>
      </c>
      <c r="AC298">
        <v>0.83</v>
      </c>
      <c r="AD298" t="e">
        <v>#N/A</v>
      </c>
      <c r="AE298" t="s">
        <v>722</v>
      </c>
      <c r="AF298">
        <v>0.85</v>
      </c>
      <c r="AG298" t="e">
        <v>#N/A</v>
      </c>
      <c r="AH298" t="s">
        <v>722</v>
      </c>
      <c r="AI298">
        <v>0.88</v>
      </c>
      <c r="AJ298" t="e">
        <v>#N/A</v>
      </c>
      <c r="AL298">
        <v>98.2</v>
      </c>
      <c r="AM298" t="e">
        <v>#N/A</v>
      </c>
      <c r="AN298" t="s">
        <v>722</v>
      </c>
      <c r="AO298">
        <v>1</v>
      </c>
      <c r="AP298" t="e">
        <v>#N/A</v>
      </c>
      <c r="AQ298" t="s">
        <v>722</v>
      </c>
      <c r="AR298">
        <v>0.83</v>
      </c>
      <c r="AS298" t="e">
        <v>#N/A</v>
      </c>
      <c r="AT298" t="s">
        <v>722</v>
      </c>
      <c r="AU298">
        <v>0.9</v>
      </c>
      <c r="AV298" t="e">
        <v>#N/A</v>
      </c>
      <c r="AX298">
        <v>40.33</v>
      </c>
      <c r="AY298" t="e">
        <v>#N/A</v>
      </c>
      <c r="AZ298" t="s">
        <v>722</v>
      </c>
      <c r="BA298">
        <v>1</v>
      </c>
      <c r="BB298" t="e">
        <v>#N/A</v>
      </c>
      <c r="BC298" t="s">
        <v>722</v>
      </c>
      <c r="BD298">
        <v>0.86</v>
      </c>
      <c r="BE298" t="e">
        <v>#N/A</v>
      </c>
      <c r="BF298" t="s">
        <v>722</v>
      </c>
      <c r="BG298">
        <v>0.9</v>
      </c>
      <c r="BH298" t="e">
        <v>#N/A</v>
      </c>
      <c r="BI298" t="s">
        <v>722</v>
      </c>
      <c r="BJ298">
        <v>0.98</v>
      </c>
      <c r="BK298" t="e">
        <v>#N/A</v>
      </c>
      <c r="BL298" t="s">
        <v>722</v>
      </c>
      <c r="BM298">
        <v>1018.97</v>
      </c>
      <c r="BN298" t="e">
        <v>#N/A</v>
      </c>
      <c r="BO298" t="s">
        <v>722</v>
      </c>
      <c r="BP298">
        <v>0.84</v>
      </c>
      <c r="BQ298" t="e">
        <v>#N/A</v>
      </c>
      <c r="BR298" t="s">
        <v>722</v>
      </c>
      <c r="BS298">
        <v>0.95</v>
      </c>
      <c r="BT298" t="e">
        <v>#N/A</v>
      </c>
      <c r="BU298" t="s">
        <v>722</v>
      </c>
      <c r="BV298">
        <v>0.89</v>
      </c>
      <c r="BW298" t="e">
        <v>#N/A</v>
      </c>
      <c r="BX298" t="s">
        <v>722</v>
      </c>
      <c r="BY298">
        <v>0.97</v>
      </c>
      <c r="BZ298" t="e">
        <v>#N/A</v>
      </c>
      <c r="CA298" t="s">
        <v>722</v>
      </c>
      <c r="CB298">
        <v>0.98</v>
      </c>
      <c r="CC298" t="e">
        <v>#N/A</v>
      </c>
      <c r="CD298" t="s">
        <v>722</v>
      </c>
      <c r="CE298">
        <v>0.82</v>
      </c>
      <c r="CF298" t="e">
        <v>#N/A</v>
      </c>
      <c r="CG298" t="s">
        <v>722</v>
      </c>
      <c r="CH298">
        <v>1012.33</v>
      </c>
      <c r="CI298" t="e">
        <v>#N/A</v>
      </c>
      <c r="CJ298" t="s">
        <v>722</v>
      </c>
      <c r="CK298">
        <v>0.92</v>
      </c>
      <c r="CL298" t="e">
        <v>#N/A</v>
      </c>
      <c r="CM298" t="s">
        <v>722</v>
      </c>
      <c r="CN298">
        <v>0.82</v>
      </c>
      <c r="CO298" t="e">
        <v>#N/A</v>
      </c>
      <c r="CP298" t="s">
        <v>722</v>
      </c>
      <c r="CQ298">
        <v>0.83</v>
      </c>
      <c r="CR298" t="e">
        <v>#N/A</v>
      </c>
      <c r="CS298" t="s">
        <v>722</v>
      </c>
      <c r="CT298">
        <v>0.89</v>
      </c>
      <c r="CU298" t="e">
        <v>#N/A</v>
      </c>
      <c r="CV298" t="s">
        <v>722</v>
      </c>
      <c r="CW298">
        <v>0.82</v>
      </c>
      <c r="CX298" t="e">
        <v>#N/A</v>
      </c>
      <c r="CY298" t="s">
        <v>722</v>
      </c>
      <c r="CZ298">
        <v>0.88</v>
      </c>
      <c r="DA298" t="e">
        <v>#N/A</v>
      </c>
      <c r="DB298" t="s">
        <v>722</v>
      </c>
      <c r="DC298">
        <v>0.91</v>
      </c>
      <c r="DD298" t="e">
        <v>#N/A</v>
      </c>
      <c r="DE298" t="s">
        <v>722</v>
      </c>
      <c r="DF298">
        <v>0.97</v>
      </c>
      <c r="DG298" t="e">
        <v>#N/A</v>
      </c>
      <c r="DH298" t="s">
        <v>722</v>
      </c>
      <c r="DI298">
        <v>0.98</v>
      </c>
      <c r="DJ298" t="e">
        <v>#N/A</v>
      </c>
      <c r="DK298" t="s">
        <v>722</v>
      </c>
      <c r="DL298">
        <v>0.85</v>
      </c>
      <c r="DM298" t="e">
        <v>#N/A</v>
      </c>
      <c r="DN298" t="s">
        <v>722</v>
      </c>
      <c r="DO298">
        <v>0.82</v>
      </c>
      <c r="DP298" t="e">
        <v>#N/A</v>
      </c>
      <c r="DQ298" t="s">
        <v>722</v>
      </c>
      <c r="DR298">
        <v>1012.33</v>
      </c>
      <c r="DS298" t="e">
        <v>#N/A</v>
      </c>
      <c r="DT298" t="s">
        <v>722</v>
      </c>
      <c r="DU298">
        <v>0.82</v>
      </c>
      <c r="DV298" t="e">
        <v>#N/A</v>
      </c>
      <c r="DW298" t="s">
        <v>722</v>
      </c>
      <c r="DX298">
        <v>1</v>
      </c>
      <c r="DY298" t="e">
        <v>#N/A</v>
      </c>
      <c r="DZ298" t="s">
        <v>722</v>
      </c>
      <c r="EA298">
        <v>1031.1199999999999</v>
      </c>
      <c r="EB298" t="e">
        <v>#N/A</v>
      </c>
      <c r="EC298" t="s">
        <v>722</v>
      </c>
      <c r="ED298">
        <v>1</v>
      </c>
      <c r="EE298" t="e">
        <v>#N/A</v>
      </c>
      <c r="EF298" t="s">
        <v>722</v>
      </c>
      <c r="EG298">
        <v>1</v>
      </c>
      <c r="EH298" t="e">
        <v>#N/A</v>
      </c>
      <c r="EI298" t="s">
        <v>722</v>
      </c>
      <c r="EJ298">
        <v>0.81</v>
      </c>
      <c r="EK298" t="e">
        <v>#N/A</v>
      </c>
    </row>
    <row r="299" spans="1:141">
      <c r="A299" t="s">
        <v>722</v>
      </c>
      <c r="B299">
        <v>0.94</v>
      </c>
      <c r="C299" t="e">
        <v>#N/A</v>
      </c>
      <c r="D299" t="s">
        <v>722</v>
      </c>
      <c r="E299">
        <v>0.97</v>
      </c>
      <c r="F299" t="e">
        <v>#N/A</v>
      </c>
      <c r="G299" t="s">
        <v>722</v>
      </c>
      <c r="H299">
        <v>1</v>
      </c>
      <c r="I299" t="e">
        <v>#N/A</v>
      </c>
      <c r="J299" t="s">
        <v>722</v>
      </c>
      <c r="K299">
        <v>0.93</v>
      </c>
      <c r="L299" t="e">
        <v>#N/A</v>
      </c>
      <c r="M299" t="s">
        <v>722</v>
      </c>
      <c r="N299">
        <v>0.92</v>
      </c>
      <c r="O299" t="e">
        <v>#N/A</v>
      </c>
      <c r="P299" t="s">
        <v>722</v>
      </c>
      <c r="Q299">
        <v>0.78</v>
      </c>
      <c r="R299" t="e">
        <v>#N/A</v>
      </c>
      <c r="S299" t="s">
        <v>722</v>
      </c>
      <c r="T299">
        <v>0.92</v>
      </c>
      <c r="U299" t="e">
        <v>#N/A</v>
      </c>
      <c r="V299" t="s">
        <v>722</v>
      </c>
      <c r="W299">
        <v>0.93</v>
      </c>
      <c r="X299" t="e">
        <v>#N/A</v>
      </c>
      <c r="Y299" t="s">
        <v>722</v>
      </c>
      <c r="Z299">
        <v>0.83</v>
      </c>
      <c r="AA299" t="e">
        <v>#N/A</v>
      </c>
      <c r="AB299" t="s">
        <v>722</v>
      </c>
      <c r="AC299">
        <v>0.94</v>
      </c>
      <c r="AD299" t="e">
        <v>#N/A</v>
      </c>
      <c r="AE299" t="s">
        <v>722</v>
      </c>
      <c r="AF299">
        <v>0.92</v>
      </c>
      <c r="AG299" t="e">
        <v>#N/A</v>
      </c>
      <c r="AI299">
        <v>40.33</v>
      </c>
      <c r="AJ299" t="e">
        <v>#N/A</v>
      </c>
      <c r="AK299" t="s">
        <v>722</v>
      </c>
      <c r="AL299">
        <v>0.9</v>
      </c>
      <c r="AM299" t="e">
        <v>#N/A</v>
      </c>
      <c r="AN299" t="s">
        <v>722</v>
      </c>
      <c r="AO299">
        <v>0.97</v>
      </c>
      <c r="AP299" t="e">
        <v>#N/A</v>
      </c>
      <c r="AQ299" t="s">
        <v>722</v>
      </c>
      <c r="AR299">
        <v>0.96</v>
      </c>
      <c r="AS299" t="e">
        <v>#N/A</v>
      </c>
      <c r="AT299" t="s">
        <v>722</v>
      </c>
      <c r="AU299">
        <v>0.88</v>
      </c>
      <c r="AV299" t="e">
        <v>#N/A</v>
      </c>
      <c r="AW299" t="s">
        <v>722</v>
      </c>
      <c r="AX299">
        <v>0.86</v>
      </c>
      <c r="AY299" t="e">
        <v>#N/A</v>
      </c>
      <c r="AZ299" t="s">
        <v>722</v>
      </c>
      <c r="BA299">
        <v>0.97</v>
      </c>
      <c r="BB299" t="e">
        <v>#N/A</v>
      </c>
      <c r="BC299" t="s">
        <v>722</v>
      </c>
      <c r="BD299">
        <v>1</v>
      </c>
      <c r="BE299" t="e">
        <v>#N/A</v>
      </c>
      <c r="BF299" t="s">
        <v>722</v>
      </c>
      <c r="BG299">
        <v>0.96</v>
      </c>
      <c r="BH299" t="e">
        <v>#N/A</v>
      </c>
      <c r="BJ299">
        <v>98.2</v>
      </c>
      <c r="BK299" t="e">
        <v>#N/A</v>
      </c>
      <c r="BL299" t="s">
        <v>722</v>
      </c>
      <c r="BM299">
        <v>0.95</v>
      </c>
      <c r="BN299" t="e">
        <v>#N/A</v>
      </c>
      <c r="BO299" t="s">
        <v>722</v>
      </c>
      <c r="BP299">
        <v>0.82</v>
      </c>
      <c r="BQ299" t="e">
        <v>#N/A</v>
      </c>
      <c r="BR299" t="s">
        <v>722</v>
      </c>
      <c r="BS299">
        <v>0.99</v>
      </c>
      <c r="BT299" t="e">
        <v>#N/A</v>
      </c>
      <c r="BU299" t="s">
        <v>722</v>
      </c>
      <c r="BV299">
        <v>0.99</v>
      </c>
      <c r="BW299" t="e">
        <v>#N/A</v>
      </c>
      <c r="BX299" t="s">
        <v>722</v>
      </c>
      <c r="BY299">
        <v>0.99</v>
      </c>
      <c r="BZ299" t="e">
        <v>#N/A</v>
      </c>
      <c r="CA299" t="s">
        <v>722</v>
      </c>
      <c r="CB299">
        <v>0.97</v>
      </c>
      <c r="CC299" t="e">
        <v>#N/A</v>
      </c>
      <c r="CD299" t="s">
        <v>722</v>
      </c>
      <c r="CE299">
        <v>0.81</v>
      </c>
      <c r="CF299" t="e">
        <v>#N/A</v>
      </c>
      <c r="CG299" t="s">
        <v>722</v>
      </c>
      <c r="CH299">
        <v>0.89</v>
      </c>
      <c r="CI299" t="e">
        <v>#N/A</v>
      </c>
      <c r="CJ299" t="s">
        <v>722</v>
      </c>
      <c r="CK299">
        <v>0.88</v>
      </c>
      <c r="CL299" t="e">
        <v>#N/A</v>
      </c>
      <c r="CM299" t="s">
        <v>722</v>
      </c>
      <c r="CN299">
        <v>0.89</v>
      </c>
      <c r="CO299" t="e">
        <v>#N/A</v>
      </c>
      <c r="CP299" t="s">
        <v>722</v>
      </c>
      <c r="CQ299">
        <v>1011.11</v>
      </c>
      <c r="CR299" t="e">
        <v>#N/A</v>
      </c>
      <c r="CS299" t="s">
        <v>722</v>
      </c>
      <c r="CT299">
        <v>0.82</v>
      </c>
      <c r="CU299" t="e">
        <v>#N/A</v>
      </c>
      <c r="CV299" t="s">
        <v>722</v>
      </c>
      <c r="CW299">
        <v>0.89</v>
      </c>
      <c r="CX299" t="e">
        <v>#N/A</v>
      </c>
      <c r="CY299" t="s">
        <v>722</v>
      </c>
      <c r="CZ299">
        <v>1</v>
      </c>
      <c r="DA299" t="e">
        <v>#N/A</v>
      </c>
      <c r="DB299" t="s">
        <v>722</v>
      </c>
      <c r="DC299">
        <v>0.94</v>
      </c>
      <c r="DD299" t="e">
        <v>#N/A</v>
      </c>
      <c r="DE299" t="s">
        <v>722</v>
      </c>
      <c r="DF299">
        <v>0.85</v>
      </c>
      <c r="DG299" t="e">
        <v>#N/A</v>
      </c>
      <c r="DH299" t="s">
        <v>722</v>
      </c>
      <c r="DI299">
        <v>0.85</v>
      </c>
      <c r="DJ299" t="e">
        <v>#N/A</v>
      </c>
      <c r="DK299" t="s">
        <v>722</v>
      </c>
      <c r="DL299">
        <v>0.9</v>
      </c>
      <c r="DM299" t="e">
        <v>#N/A</v>
      </c>
      <c r="DN299" t="s">
        <v>722</v>
      </c>
      <c r="DO299">
        <v>0.9</v>
      </c>
      <c r="DP299" t="e">
        <v>#N/A</v>
      </c>
      <c r="DQ299" t="s">
        <v>722</v>
      </c>
      <c r="DR299">
        <v>0.83</v>
      </c>
      <c r="DS299" t="e">
        <v>#N/A</v>
      </c>
      <c r="DT299" t="s">
        <v>722</v>
      </c>
      <c r="DU299">
        <v>0.9</v>
      </c>
      <c r="DV299" t="e">
        <v>#N/A</v>
      </c>
      <c r="DX299">
        <v>98.2</v>
      </c>
      <c r="DY299" t="e">
        <v>#N/A</v>
      </c>
      <c r="DZ299" t="s">
        <v>722</v>
      </c>
      <c r="EA299">
        <v>996.33</v>
      </c>
      <c r="EB299" t="e">
        <v>#N/A</v>
      </c>
      <c r="ED299">
        <v>98.2</v>
      </c>
      <c r="EE299" t="e">
        <v>#N/A</v>
      </c>
      <c r="EG299">
        <v>98.2</v>
      </c>
      <c r="EH299" t="e">
        <v>#N/A</v>
      </c>
      <c r="EI299" t="s">
        <v>722</v>
      </c>
      <c r="EJ299">
        <v>1</v>
      </c>
      <c r="EK299" t="e">
        <v>#N/A</v>
      </c>
    </row>
    <row r="300" spans="1:141">
      <c r="A300" t="s">
        <v>722</v>
      </c>
      <c r="B300">
        <v>0.94</v>
      </c>
      <c r="C300" t="e">
        <v>#N/A</v>
      </c>
      <c r="D300" t="s">
        <v>722</v>
      </c>
      <c r="E300">
        <v>0.83</v>
      </c>
      <c r="F300" t="e">
        <v>#N/A</v>
      </c>
      <c r="G300" t="s">
        <v>722</v>
      </c>
      <c r="H300">
        <v>997.73</v>
      </c>
      <c r="I300" t="e">
        <v>#N/A</v>
      </c>
      <c r="J300" t="s">
        <v>722</v>
      </c>
      <c r="K300">
        <v>0.99</v>
      </c>
      <c r="L300" t="e">
        <v>#N/A</v>
      </c>
      <c r="M300" t="s">
        <v>722</v>
      </c>
      <c r="N300">
        <v>0.94</v>
      </c>
      <c r="O300" t="e">
        <v>#N/A</v>
      </c>
      <c r="P300" t="s">
        <v>722</v>
      </c>
      <c r="Q300">
        <v>0.95</v>
      </c>
      <c r="R300" t="e">
        <v>#N/A</v>
      </c>
      <c r="S300" t="s">
        <v>722</v>
      </c>
      <c r="T300">
        <v>0.83</v>
      </c>
      <c r="U300" t="e">
        <v>#N/A</v>
      </c>
      <c r="W300">
        <v>98.2</v>
      </c>
      <c r="X300" t="e">
        <v>#N/A</v>
      </c>
      <c r="Y300" t="s">
        <v>722</v>
      </c>
      <c r="Z300">
        <v>0.93</v>
      </c>
      <c r="AA300" t="e">
        <v>#N/A</v>
      </c>
      <c r="AB300" t="s">
        <v>722</v>
      </c>
      <c r="AC300">
        <v>0.98</v>
      </c>
      <c r="AD300" t="e">
        <v>#N/A</v>
      </c>
      <c r="AE300" t="s">
        <v>722</v>
      </c>
      <c r="AF300">
        <v>0.97</v>
      </c>
      <c r="AG300" t="e">
        <v>#N/A</v>
      </c>
      <c r="AH300" t="s">
        <v>722</v>
      </c>
      <c r="AI300">
        <v>0.85</v>
      </c>
      <c r="AJ300" t="e">
        <v>#N/A</v>
      </c>
      <c r="AK300" t="s">
        <v>722</v>
      </c>
      <c r="AL300">
        <v>0.83</v>
      </c>
      <c r="AM300" t="e">
        <v>#N/A</v>
      </c>
      <c r="AN300" t="s">
        <v>722</v>
      </c>
      <c r="AO300">
        <v>0.9</v>
      </c>
      <c r="AP300" t="e">
        <v>#N/A</v>
      </c>
      <c r="AQ300" t="s">
        <v>722</v>
      </c>
      <c r="AR300">
        <v>1</v>
      </c>
      <c r="AS300" t="e">
        <v>#N/A</v>
      </c>
      <c r="AT300" t="s">
        <v>722</v>
      </c>
      <c r="AU300">
        <v>0.95</v>
      </c>
      <c r="AV300" t="e">
        <v>#N/A</v>
      </c>
      <c r="AW300" t="s">
        <v>722</v>
      </c>
      <c r="AX300">
        <v>1004.72</v>
      </c>
      <c r="AY300" t="e">
        <v>#N/A</v>
      </c>
      <c r="AZ300" t="s">
        <v>722</v>
      </c>
      <c r="BA300">
        <v>1</v>
      </c>
      <c r="BB300" t="e">
        <v>#N/A</v>
      </c>
      <c r="BC300" t="s">
        <v>722</v>
      </c>
      <c r="BD300">
        <v>0.91</v>
      </c>
      <c r="BE300" t="e">
        <v>#N/A</v>
      </c>
      <c r="BF300" t="s">
        <v>722</v>
      </c>
      <c r="BG300">
        <v>0.97</v>
      </c>
      <c r="BH300" t="e">
        <v>#N/A</v>
      </c>
      <c r="BI300" t="s">
        <v>722</v>
      </c>
      <c r="BJ300">
        <v>0.92</v>
      </c>
      <c r="BK300" t="e">
        <v>#N/A</v>
      </c>
      <c r="BL300" t="s">
        <v>722</v>
      </c>
      <c r="BM300">
        <v>1</v>
      </c>
      <c r="BN300" t="e">
        <v>#N/A</v>
      </c>
      <c r="BP300">
        <v>98.2</v>
      </c>
      <c r="BQ300" t="e">
        <v>#N/A</v>
      </c>
      <c r="BR300" t="s">
        <v>722</v>
      </c>
      <c r="BS300">
        <v>0.99</v>
      </c>
      <c r="BT300" t="e">
        <v>#N/A</v>
      </c>
      <c r="BU300" t="s">
        <v>722</v>
      </c>
      <c r="BV300">
        <v>0.99</v>
      </c>
      <c r="BW300" t="e">
        <v>#N/A</v>
      </c>
      <c r="BX300" t="s">
        <v>722</v>
      </c>
      <c r="BY300">
        <v>1008.46</v>
      </c>
      <c r="BZ300" t="e">
        <v>#N/A</v>
      </c>
      <c r="CA300" t="s">
        <v>722</v>
      </c>
      <c r="CB300">
        <v>1053.57</v>
      </c>
      <c r="CC300" t="e">
        <v>#N/A</v>
      </c>
      <c r="CD300" t="s">
        <v>722</v>
      </c>
      <c r="CE300">
        <v>0.89</v>
      </c>
      <c r="CF300" t="e">
        <v>#N/A</v>
      </c>
      <c r="CG300" t="s">
        <v>722</v>
      </c>
      <c r="CH300">
        <v>0.86</v>
      </c>
      <c r="CI300" t="e">
        <v>#N/A</v>
      </c>
      <c r="CK300">
        <v>40.33</v>
      </c>
      <c r="CL300" t="e">
        <v>#N/A</v>
      </c>
      <c r="CM300" t="s">
        <v>722</v>
      </c>
      <c r="CN300">
        <v>0.82</v>
      </c>
      <c r="CO300" t="e">
        <v>#N/A</v>
      </c>
      <c r="CP300" t="s">
        <v>722</v>
      </c>
      <c r="CQ300">
        <v>0.94</v>
      </c>
      <c r="CR300" t="e">
        <v>#N/A</v>
      </c>
      <c r="CS300" t="s">
        <v>722</v>
      </c>
      <c r="CT300">
        <v>0.81</v>
      </c>
      <c r="CU300" t="e">
        <v>#N/A</v>
      </c>
      <c r="CV300" t="s">
        <v>722</v>
      </c>
      <c r="CW300">
        <v>0.82</v>
      </c>
      <c r="CX300" t="e">
        <v>#N/A</v>
      </c>
      <c r="CY300" t="s">
        <v>722</v>
      </c>
      <c r="CZ300">
        <v>0.87</v>
      </c>
      <c r="DA300" t="e">
        <v>#N/A</v>
      </c>
      <c r="DB300" t="s">
        <v>722</v>
      </c>
      <c r="DC300">
        <v>0.92</v>
      </c>
      <c r="DD300" t="e">
        <v>#N/A</v>
      </c>
      <c r="DE300" t="s">
        <v>722</v>
      </c>
      <c r="DF300">
        <v>1012.33</v>
      </c>
      <c r="DG300" t="e">
        <v>#N/A</v>
      </c>
      <c r="DH300" t="s">
        <v>722</v>
      </c>
      <c r="DI300">
        <v>0.81</v>
      </c>
      <c r="DJ300" t="e">
        <v>#N/A</v>
      </c>
      <c r="DK300" t="s">
        <v>722</v>
      </c>
      <c r="DL300">
        <v>0.99</v>
      </c>
      <c r="DM300" t="e">
        <v>#N/A</v>
      </c>
      <c r="DO300">
        <v>98.2</v>
      </c>
      <c r="DP300" t="e">
        <v>#N/A</v>
      </c>
      <c r="DQ300" t="s">
        <v>722</v>
      </c>
      <c r="DR300">
        <v>0.95</v>
      </c>
      <c r="DS300" t="e">
        <v>#N/A</v>
      </c>
      <c r="DT300" t="s">
        <v>722</v>
      </c>
      <c r="DU300">
        <v>0.89</v>
      </c>
      <c r="DV300" t="e">
        <v>#N/A</v>
      </c>
      <c r="DW300" t="s">
        <v>722</v>
      </c>
      <c r="DX300">
        <v>1031.1199999999999</v>
      </c>
      <c r="DY300" t="e">
        <v>#N/A</v>
      </c>
      <c r="DZ300" t="s">
        <v>722</v>
      </c>
      <c r="EA300">
        <v>0.96</v>
      </c>
      <c r="EB300" t="e">
        <v>#N/A</v>
      </c>
      <c r="EC300" t="s">
        <v>722</v>
      </c>
      <c r="ED300">
        <v>1031.1199999999999</v>
      </c>
      <c r="EE300" t="e">
        <v>#N/A</v>
      </c>
      <c r="EF300" t="s">
        <v>722</v>
      </c>
      <c r="EG300">
        <v>1031.1199999999999</v>
      </c>
      <c r="EH300" t="e">
        <v>#N/A</v>
      </c>
      <c r="EJ300">
        <v>98.2</v>
      </c>
      <c r="EK300" t="e">
        <v>#N/A</v>
      </c>
    </row>
    <row r="301" spans="1:141">
      <c r="A301" t="s">
        <v>722</v>
      </c>
      <c r="B301">
        <v>997.73</v>
      </c>
      <c r="C301" t="e">
        <v>#N/A</v>
      </c>
      <c r="E301">
        <v>98.2</v>
      </c>
      <c r="F301" t="e">
        <v>#N/A</v>
      </c>
      <c r="G301" t="s">
        <v>722</v>
      </c>
      <c r="H301">
        <v>1</v>
      </c>
      <c r="I301" t="e">
        <v>#N/A</v>
      </c>
      <c r="J301" t="s">
        <v>722</v>
      </c>
      <c r="K301">
        <v>0.94</v>
      </c>
      <c r="L301" t="e">
        <v>#N/A</v>
      </c>
      <c r="M301" t="s">
        <v>722</v>
      </c>
      <c r="N301">
        <v>0.99</v>
      </c>
      <c r="O301" t="e">
        <v>#N/A</v>
      </c>
      <c r="P301" t="s">
        <v>722</v>
      </c>
      <c r="Q301">
        <v>1</v>
      </c>
      <c r="R301" t="e">
        <v>#N/A</v>
      </c>
      <c r="S301" t="s">
        <v>722</v>
      </c>
      <c r="T301">
        <v>0.96</v>
      </c>
      <c r="U301" t="e">
        <v>#N/A</v>
      </c>
      <c r="V301" t="s">
        <v>722</v>
      </c>
      <c r="W301">
        <v>0.94</v>
      </c>
      <c r="X301" t="e">
        <v>#N/A</v>
      </c>
      <c r="Z301">
        <v>98.2</v>
      </c>
      <c r="AA301" t="e">
        <v>#N/A</v>
      </c>
      <c r="AB301" t="s">
        <v>722</v>
      </c>
      <c r="AC301">
        <v>0.93</v>
      </c>
      <c r="AD301" t="e">
        <v>#N/A</v>
      </c>
      <c r="AE301" t="s">
        <v>722</v>
      </c>
      <c r="AF301">
        <v>1</v>
      </c>
      <c r="AG301" t="e">
        <v>#N/A</v>
      </c>
      <c r="AH301" t="s">
        <v>722</v>
      </c>
      <c r="AI301">
        <v>0.95</v>
      </c>
      <c r="AJ301" t="e">
        <v>#N/A</v>
      </c>
      <c r="AK301" t="s">
        <v>722</v>
      </c>
      <c r="AL301">
        <v>0.83</v>
      </c>
      <c r="AM301" t="e">
        <v>#N/A</v>
      </c>
      <c r="AN301" t="s">
        <v>722</v>
      </c>
      <c r="AO301">
        <v>1</v>
      </c>
      <c r="AP301" t="e">
        <v>#N/A</v>
      </c>
      <c r="AQ301" t="s">
        <v>722</v>
      </c>
      <c r="AR301">
        <v>1</v>
      </c>
      <c r="AS301" t="e">
        <v>#N/A</v>
      </c>
      <c r="AT301" t="s">
        <v>722</v>
      </c>
      <c r="AU301">
        <v>0.83</v>
      </c>
      <c r="AV301" t="e">
        <v>#N/A</v>
      </c>
      <c r="AW301" t="s">
        <v>722</v>
      </c>
      <c r="AX301">
        <v>1012.33</v>
      </c>
      <c r="AY301" t="e">
        <v>#N/A</v>
      </c>
      <c r="AZ301" t="s">
        <v>722</v>
      </c>
      <c r="BA301">
        <v>0.99</v>
      </c>
      <c r="BB301" t="e">
        <v>#N/A</v>
      </c>
      <c r="BC301" t="s">
        <v>722</v>
      </c>
      <c r="BD301">
        <v>0.85</v>
      </c>
      <c r="BE301" t="e">
        <v>#N/A</v>
      </c>
      <c r="BF301" t="s">
        <v>722</v>
      </c>
      <c r="BG301">
        <v>0.84</v>
      </c>
      <c r="BH301" t="e">
        <v>#N/A</v>
      </c>
      <c r="BI301" t="s">
        <v>722</v>
      </c>
      <c r="BJ301">
        <v>0.9</v>
      </c>
      <c r="BK301" t="e">
        <v>#N/A</v>
      </c>
      <c r="BL301" t="s">
        <v>722</v>
      </c>
      <c r="BM301">
        <v>0.8</v>
      </c>
      <c r="BN301" t="e">
        <v>#N/A</v>
      </c>
      <c r="BO301" t="s">
        <v>722</v>
      </c>
      <c r="BP301">
        <v>0.84</v>
      </c>
      <c r="BQ301" t="e">
        <v>#N/A</v>
      </c>
      <c r="BR301" t="s">
        <v>722</v>
      </c>
      <c r="BS301">
        <v>0.83</v>
      </c>
      <c r="BT301" t="e">
        <v>#N/A</v>
      </c>
      <c r="BU301" t="s">
        <v>722</v>
      </c>
      <c r="BV301">
        <v>0.91</v>
      </c>
      <c r="BW301" t="e">
        <v>#N/A</v>
      </c>
      <c r="BY301">
        <v>40.33</v>
      </c>
      <c r="BZ301" t="e">
        <v>#N/A</v>
      </c>
      <c r="CA301" t="s">
        <v>722</v>
      </c>
      <c r="CB301">
        <v>0.9</v>
      </c>
      <c r="CC301" t="e">
        <v>#N/A</v>
      </c>
      <c r="CD301" t="s">
        <v>722</v>
      </c>
      <c r="CE301">
        <v>0.98</v>
      </c>
      <c r="CF301" t="e">
        <v>#N/A</v>
      </c>
      <c r="CG301" t="s">
        <v>722</v>
      </c>
      <c r="CH301">
        <v>0.82</v>
      </c>
      <c r="CI301" t="e">
        <v>#N/A</v>
      </c>
      <c r="CJ301" t="s">
        <v>317</v>
      </c>
      <c r="CK301">
        <v>34.799999999999997</v>
      </c>
      <c r="CL301" t="e">
        <v>#N/A</v>
      </c>
      <c r="CN301">
        <v>98.2</v>
      </c>
      <c r="CO301" t="e">
        <v>#N/A</v>
      </c>
      <c r="CP301" t="s">
        <v>722</v>
      </c>
      <c r="CQ301">
        <v>0.83</v>
      </c>
      <c r="CR301" t="e">
        <v>#N/A</v>
      </c>
      <c r="CS301" t="s">
        <v>722</v>
      </c>
      <c r="CT301">
        <v>0.84</v>
      </c>
      <c r="CU301" t="e">
        <v>#N/A</v>
      </c>
      <c r="CV301" t="s">
        <v>722</v>
      </c>
      <c r="CW301">
        <v>0.81</v>
      </c>
      <c r="CX301" t="e">
        <v>#N/A</v>
      </c>
      <c r="CZ301">
        <v>40.33</v>
      </c>
      <c r="DA301" t="e">
        <v>#N/A</v>
      </c>
      <c r="DB301" t="s">
        <v>722</v>
      </c>
      <c r="DC301">
        <v>0.82</v>
      </c>
      <c r="DD301" t="e">
        <v>#N/A</v>
      </c>
      <c r="DE301" t="s">
        <v>722</v>
      </c>
      <c r="DF301">
        <v>0.94</v>
      </c>
      <c r="DG301" t="e">
        <v>#N/A</v>
      </c>
      <c r="DH301" t="s">
        <v>722</v>
      </c>
      <c r="DI301">
        <v>0.86</v>
      </c>
      <c r="DJ301" t="e">
        <v>#N/A</v>
      </c>
      <c r="DK301" t="s">
        <v>722</v>
      </c>
      <c r="DL301">
        <v>0.85</v>
      </c>
      <c r="DM301" t="e">
        <v>#N/A</v>
      </c>
      <c r="DN301" t="s">
        <v>722</v>
      </c>
      <c r="DO301">
        <v>0.92</v>
      </c>
      <c r="DP301" t="e">
        <v>#N/A</v>
      </c>
      <c r="DQ301" t="s">
        <v>722</v>
      </c>
      <c r="DR301">
        <v>0.89</v>
      </c>
      <c r="DS301" t="e">
        <v>#N/A</v>
      </c>
      <c r="DT301" t="s">
        <v>722</v>
      </c>
      <c r="DU301">
        <v>1</v>
      </c>
      <c r="DV301" t="e">
        <v>#N/A</v>
      </c>
      <c r="DW301" t="s">
        <v>722</v>
      </c>
      <c r="DX301">
        <v>996.33</v>
      </c>
      <c r="DY301" t="e">
        <v>#N/A</v>
      </c>
      <c r="DZ301" t="s">
        <v>722</v>
      </c>
      <c r="EA301">
        <v>0.85</v>
      </c>
      <c r="EB301" t="e">
        <v>#N/A</v>
      </c>
      <c r="EC301" t="s">
        <v>722</v>
      </c>
      <c r="ED301">
        <v>996.33</v>
      </c>
      <c r="EE301" t="e">
        <v>#N/A</v>
      </c>
      <c r="EF301" t="s">
        <v>722</v>
      </c>
      <c r="EG301">
        <v>996.33</v>
      </c>
      <c r="EH301" t="e">
        <v>#N/A</v>
      </c>
      <c r="EI301" t="s">
        <v>722</v>
      </c>
      <c r="EJ301">
        <v>1031.1199999999999</v>
      </c>
      <c r="EK301" t="e">
        <v>#N/A</v>
      </c>
    </row>
    <row r="302" spans="1:141">
      <c r="A302" t="s">
        <v>722</v>
      </c>
      <c r="B302">
        <v>1</v>
      </c>
      <c r="C302" t="e">
        <v>#N/A</v>
      </c>
      <c r="D302" t="s">
        <v>722</v>
      </c>
      <c r="E302">
        <v>0.91</v>
      </c>
      <c r="F302" t="e">
        <v>#N/A</v>
      </c>
      <c r="G302" t="s">
        <v>722</v>
      </c>
      <c r="H302">
        <v>0.86</v>
      </c>
      <c r="I302" t="e">
        <v>#N/A</v>
      </c>
      <c r="J302" t="s">
        <v>722</v>
      </c>
      <c r="K302">
        <v>0.87</v>
      </c>
      <c r="L302" t="e">
        <v>#N/A</v>
      </c>
      <c r="M302" t="s">
        <v>722</v>
      </c>
      <c r="N302">
        <v>1</v>
      </c>
      <c r="O302" t="e">
        <v>#N/A</v>
      </c>
      <c r="P302" t="s">
        <v>722</v>
      </c>
      <c r="Q302">
        <v>0.85</v>
      </c>
      <c r="R302" t="e">
        <v>#N/A</v>
      </c>
      <c r="S302" t="s">
        <v>722</v>
      </c>
      <c r="T302">
        <v>0.78</v>
      </c>
      <c r="U302" t="e">
        <v>#N/A</v>
      </c>
      <c r="V302" t="s">
        <v>722</v>
      </c>
      <c r="W302">
        <v>0.89</v>
      </c>
      <c r="X302" t="e">
        <v>#N/A</v>
      </c>
      <c r="Y302" t="s">
        <v>722</v>
      </c>
      <c r="Z302">
        <v>0.89</v>
      </c>
      <c r="AA302" t="e">
        <v>#N/A</v>
      </c>
      <c r="AB302" t="s">
        <v>722</v>
      </c>
      <c r="AC302">
        <v>1</v>
      </c>
      <c r="AD302" t="e">
        <v>#N/A</v>
      </c>
      <c r="AE302" t="s">
        <v>722</v>
      </c>
      <c r="AF302">
        <v>1010.95</v>
      </c>
      <c r="AG302" t="e">
        <v>#N/A</v>
      </c>
      <c r="AH302" t="s">
        <v>722</v>
      </c>
      <c r="AI302">
        <v>0.9</v>
      </c>
      <c r="AJ302" t="e">
        <v>#N/A</v>
      </c>
      <c r="AK302" t="s">
        <v>722</v>
      </c>
      <c r="AL302">
        <v>0.99</v>
      </c>
      <c r="AM302" t="e">
        <v>#N/A</v>
      </c>
      <c r="AN302" t="s">
        <v>722</v>
      </c>
      <c r="AO302">
        <v>0.83</v>
      </c>
      <c r="AP302" t="e">
        <v>#N/A</v>
      </c>
      <c r="AQ302" t="s">
        <v>722</v>
      </c>
      <c r="AR302">
        <v>0.91</v>
      </c>
      <c r="AS302" t="e">
        <v>#N/A</v>
      </c>
      <c r="AT302" t="s">
        <v>722</v>
      </c>
      <c r="AU302">
        <v>0.97</v>
      </c>
      <c r="AV302" t="e">
        <v>#N/A</v>
      </c>
      <c r="AW302" t="s">
        <v>722</v>
      </c>
      <c r="AX302">
        <v>0.86</v>
      </c>
      <c r="AY302" t="e">
        <v>#N/A</v>
      </c>
      <c r="AZ302" t="s">
        <v>722</v>
      </c>
      <c r="BA302">
        <v>1</v>
      </c>
      <c r="BB302" t="e">
        <v>#N/A</v>
      </c>
      <c r="BC302" t="s">
        <v>722</v>
      </c>
      <c r="BD302">
        <v>1</v>
      </c>
      <c r="BE302" t="e">
        <v>#N/A</v>
      </c>
      <c r="BF302" t="s">
        <v>722</v>
      </c>
      <c r="BG302">
        <v>0.95</v>
      </c>
      <c r="BH302" t="e">
        <v>#N/A</v>
      </c>
      <c r="BI302" t="s">
        <v>722</v>
      </c>
      <c r="BJ302">
        <v>0.96</v>
      </c>
      <c r="BK302" t="e">
        <v>#N/A</v>
      </c>
      <c r="BL302" t="s">
        <v>722</v>
      </c>
      <c r="BM302">
        <v>1044.5899999999999</v>
      </c>
      <c r="BN302" t="e">
        <v>#N/A</v>
      </c>
      <c r="BO302" t="s">
        <v>722</v>
      </c>
      <c r="BP302">
        <v>1</v>
      </c>
      <c r="BQ302" t="e">
        <v>#N/A</v>
      </c>
      <c r="BS302">
        <v>40.33</v>
      </c>
      <c r="BT302" t="e">
        <v>#N/A</v>
      </c>
      <c r="BU302" t="s">
        <v>722</v>
      </c>
      <c r="BV302">
        <v>1012.33</v>
      </c>
      <c r="BW302" t="e">
        <v>#N/A</v>
      </c>
      <c r="BX302" t="s">
        <v>722</v>
      </c>
      <c r="BY302">
        <v>0.8</v>
      </c>
      <c r="BZ302" t="e">
        <v>#N/A</v>
      </c>
      <c r="CA302" t="s">
        <v>722</v>
      </c>
      <c r="CB302">
        <v>0.88</v>
      </c>
      <c r="CC302" t="e">
        <v>#N/A</v>
      </c>
      <c r="CD302" t="s">
        <v>722</v>
      </c>
      <c r="CE302">
        <v>0.96</v>
      </c>
      <c r="CF302" t="e">
        <v>#N/A</v>
      </c>
      <c r="CG302" t="s">
        <v>722</v>
      </c>
      <c r="CH302">
        <v>0.86</v>
      </c>
      <c r="CI302" t="e">
        <v>#N/A</v>
      </c>
      <c r="CJ302" t="s">
        <v>722</v>
      </c>
      <c r="CK302">
        <v>0.83</v>
      </c>
      <c r="CL302" t="e">
        <v>#N/A</v>
      </c>
      <c r="CM302" t="s">
        <v>722</v>
      </c>
      <c r="CN302">
        <v>0.86</v>
      </c>
      <c r="CO302" t="e">
        <v>#N/A</v>
      </c>
      <c r="CP302" t="s">
        <v>722</v>
      </c>
      <c r="CQ302">
        <v>0.97</v>
      </c>
      <c r="CR302" t="e">
        <v>#N/A</v>
      </c>
      <c r="CS302" t="s">
        <v>722</v>
      </c>
      <c r="CT302">
        <v>0.95</v>
      </c>
      <c r="CU302" t="e">
        <v>#N/A</v>
      </c>
      <c r="CV302" t="s">
        <v>722</v>
      </c>
      <c r="CW302">
        <v>0.84</v>
      </c>
      <c r="CX302" t="e">
        <v>#N/A</v>
      </c>
      <c r="CY302" t="s">
        <v>722</v>
      </c>
      <c r="CZ302">
        <v>1011.11</v>
      </c>
      <c r="DA302" t="e">
        <v>#N/A</v>
      </c>
      <c r="DB302" t="s">
        <v>722</v>
      </c>
      <c r="DC302">
        <v>0.84</v>
      </c>
      <c r="DD302" t="e">
        <v>#N/A</v>
      </c>
      <c r="DE302" t="s">
        <v>722</v>
      </c>
      <c r="DF302">
        <v>0.92</v>
      </c>
      <c r="DG302" t="e">
        <v>#N/A</v>
      </c>
      <c r="DH302" t="s">
        <v>722</v>
      </c>
      <c r="DI302">
        <v>0.94</v>
      </c>
      <c r="DJ302" t="e">
        <v>#N/A</v>
      </c>
      <c r="DK302" t="s">
        <v>722</v>
      </c>
      <c r="DL302">
        <v>0.84</v>
      </c>
      <c r="DM302" t="e">
        <v>#N/A</v>
      </c>
      <c r="DN302" t="s">
        <v>722</v>
      </c>
      <c r="DO302">
        <v>0.84</v>
      </c>
      <c r="DP302" t="e">
        <v>#N/A</v>
      </c>
      <c r="DQ302" t="s">
        <v>722</v>
      </c>
      <c r="DR302">
        <v>1</v>
      </c>
      <c r="DS302" t="e">
        <v>#N/A</v>
      </c>
      <c r="DT302" t="s">
        <v>722</v>
      </c>
      <c r="DU302">
        <v>1</v>
      </c>
      <c r="DV302" t="e">
        <v>#N/A</v>
      </c>
      <c r="DW302" t="s">
        <v>722</v>
      </c>
      <c r="DX302">
        <v>0.96</v>
      </c>
      <c r="DY302" t="e">
        <v>#N/A</v>
      </c>
      <c r="DZ302" t="s">
        <v>722</v>
      </c>
      <c r="EA302">
        <v>0.86</v>
      </c>
      <c r="EB302" t="e">
        <v>#N/A</v>
      </c>
      <c r="EC302" t="s">
        <v>722</v>
      </c>
      <c r="ED302">
        <v>0.96</v>
      </c>
      <c r="EE302" t="e">
        <v>#N/A</v>
      </c>
      <c r="EF302" t="s">
        <v>722</v>
      </c>
      <c r="EG302">
        <v>0.96</v>
      </c>
      <c r="EH302" t="e">
        <v>#N/A</v>
      </c>
      <c r="EI302" t="s">
        <v>722</v>
      </c>
      <c r="EJ302">
        <v>996.33</v>
      </c>
      <c r="EK302" t="e">
        <v>#N/A</v>
      </c>
    </row>
    <row r="303" spans="1:141">
      <c r="A303" t="s">
        <v>722</v>
      </c>
      <c r="B303">
        <v>0.92</v>
      </c>
      <c r="C303" t="e">
        <v>#N/A</v>
      </c>
      <c r="D303" t="s">
        <v>722</v>
      </c>
      <c r="E303">
        <v>0.83</v>
      </c>
      <c r="F303" t="e">
        <v>#N/A</v>
      </c>
      <c r="G303" t="s">
        <v>722</v>
      </c>
      <c r="H303">
        <v>1087.3699999999999</v>
      </c>
      <c r="I303" t="e">
        <v>#N/A</v>
      </c>
      <c r="J303" t="s">
        <v>722</v>
      </c>
      <c r="K303">
        <v>0.94</v>
      </c>
      <c r="L303" t="e">
        <v>#N/A</v>
      </c>
      <c r="M303" t="s">
        <v>722</v>
      </c>
      <c r="N303">
        <v>1</v>
      </c>
      <c r="O303" t="e">
        <v>#N/A</v>
      </c>
      <c r="P303" t="s">
        <v>722</v>
      </c>
      <c r="Q303">
        <v>1</v>
      </c>
      <c r="R303" t="e">
        <v>#N/A</v>
      </c>
      <c r="S303" t="s">
        <v>722</v>
      </c>
      <c r="T303">
        <v>0.95</v>
      </c>
      <c r="U303" t="e">
        <v>#N/A</v>
      </c>
      <c r="V303" t="s">
        <v>722</v>
      </c>
      <c r="W303">
        <v>0.83</v>
      </c>
      <c r="X303" t="e">
        <v>#N/A</v>
      </c>
      <c r="Y303" t="s">
        <v>722</v>
      </c>
      <c r="Z303">
        <v>0.82</v>
      </c>
      <c r="AA303" t="e">
        <v>#N/A</v>
      </c>
      <c r="AB303" t="s">
        <v>722</v>
      </c>
      <c r="AC303">
        <v>1</v>
      </c>
      <c r="AD303" t="e">
        <v>#N/A</v>
      </c>
      <c r="AE303" t="s">
        <v>722</v>
      </c>
      <c r="AF303">
        <v>0.94</v>
      </c>
      <c r="AG303" t="e">
        <v>#N/A</v>
      </c>
      <c r="AH303" t="s">
        <v>722</v>
      </c>
      <c r="AI303">
        <v>0.96</v>
      </c>
      <c r="AJ303" t="e">
        <v>#N/A</v>
      </c>
      <c r="AK303" t="s">
        <v>722</v>
      </c>
      <c r="AL303">
        <v>0.84</v>
      </c>
      <c r="AM303" t="e">
        <v>#N/A</v>
      </c>
      <c r="AN303" t="s">
        <v>722</v>
      </c>
      <c r="AO303">
        <v>0.98</v>
      </c>
      <c r="AP303" t="e">
        <v>#N/A</v>
      </c>
      <c r="AQ303" t="s">
        <v>722</v>
      </c>
      <c r="AR303">
        <v>1</v>
      </c>
      <c r="AS303" t="e">
        <v>#N/A</v>
      </c>
      <c r="AT303" t="s">
        <v>722</v>
      </c>
      <c r="AU303">
        <v>0.96</v>
      </c>
      <c r="AV303" t="e">
        <v>#N/A</v>
      </c>
      <c r="AX303">
        <v>98.2</v>
      </c>
      <c r="AY303" t="e">
        <v>#N/A</v>
      </c>
      <c r="AZ303" t="s">
        <v>722</v>
      </c>
      <c r="BA303">
        <v>0.98</v>
      </c>
      <c r="BB303" t="e">
        <v>#N/A</v>
      </c>
      <c r="BC303" t="s">
        <v>722</v>
      </c>
      <c r="BD303">
        <v>0.8</v>
      </c>
      <c r="BE303" t="e">
        <v>#N/A</v>
      </c>
      <c r="BF303" t="s">
        <v>722</v>
      </c>
      <c r="BG303">
        <v>1</v>
      </c>
      <c r="BH303" t="e">
        <v>#N/A</v>
      </c>
      <c r="BI303" t="s">
        <v>722</v>
      </c>
      <c r="BJ303">
        <v>0.97</v>
      </c>
      <c r="BK303" t="e">
        <v>#N/A</v>
      </c>
      <c r="BL303" t="s">
        <v>722</v>
      </c>
      <c r="BM303">
        <v>997.73</v>
      </c>
      <c r="BN303" t="e">
        <v>#N/A</v>
      </c>
      <c r="BO303" t="s">
        <v>722</v>
      </c>
      <c r="BP303">
        <v>1</v>
      </c>
      <c r="BQ303" t="e">
        <v>#N/A</v>
      </c>
      <c r="BR303" t="s">
        <v>722</v>
      </c>
      <c r="BS303">
        <v>1011.11</v>
      </c>
      <c r="BT303" t="e">
        <v>#N/A</v>
      </c>
      <c r="BU303" t="s">
        <v>722</v>
      </c>
      <c r="BV303">
        <v>0.84</v>
      </c>
      <c r="BW303" t="e">
        <v>#N/A</v>
      </c>
      <c r="BX303" t="s">
        <v>722</v>
      </c>
      <c r="BY303">
        <v>1011.11</v>
      </c>
      <c r="BZ303" t="e">
        <v>#N/A</v>
      </c>
      <c r="CA303" t="s">
        <v>722</v>
      </c>
      <c r="CB303">
        <v>1009.08</v>
      </c>
      <c r="CC303" t="e">
        <v>#N/A</v>
      </c>
      <c r="CD303" t="s">
        <v>722</v>
      </c>
      <c r="CE303">
        <v>997.73</v>
      </c>
      <c r="CF303" t="e">
        <v>#N/A</v>
      </c>
      <c r="CH303">
        <v>98.2</v>
      </c>
      <c r="CI303" t="e">
        <v>#N/A</v>
      </c>
      <c r="CJ303" t="s">
        <v>722</v>
      </c>
      <c r="CK303">
        <v>0.81</v>
      </c>
      <c r="CL303" t="e">
        <v>#N/A</v>
      </c>
      <c r="CM303" t="s">
        <v>722</v>
      </c>
      <c r="CN303">
        <v>0.84</v>
      </c>
      <c r="CO303" t="e">
        <v>#N/A</v>
      </c>
      <c r="CP303" t="s">
        <v>722</v>
      </c>
      <c r="CQ303">
        <v>0.96</v>
      </c>
      <c r="CR303" t="e">
        <v>#N/A</v>
      </c>
      <c r="CT303">
        <v>98.2</v>
      </c>
      <c r="CU303" t="e">
        <v>#N/A</v>
      </c>
      <c r="CV303" t="s">
        <v>722</v>
      </c>
      <c r="CW303">
        <v>0.84</v>
      </c>
      <c r="CX303" t="e">
        <v>#N/A</v>
      </c>
      <c r="CY303" t="s">
        <v>722</v>
      </c>
      <c r="CZ303">
        <v>1012.33</v>
      </c>
      <c r="DA303" t="e">
        <v>#N/A</v>
      </c>
      <c r="DB303" t="s">
        <v>722</v>
      </c>
      <c r="DC303">
        <v>0.89</v>
      </c>
      <c r="DD303" t="e">
        <v>#N/A</v>
      </c>
      <c r="DE303" t="s">
        <v>722</v>
      </c>
      <c r="DF303">
        <v>0.82</v>
      </c>
      <c r="DG303" t="e">
        <v>#N/A</v>
      </c>
      <c r="DH303" t="s">
        <v>722</v>
      </c>
      <c r="DI303">
        <v>0.91</v>
      </c>
      <c r="DJ303" t="e">
        <v>#N/A</v>
      </c>
      <c r="DK303" t="s">
        <v>722</v>
      </c>
      <c r="DL303">
        <v>1</v>
      </c>
      <c r="DM303" t="e">
        <v>#N/A</v>
      </c>
      <c r="DN303" t="s">
        <v>722</v>
      </c>
      <c r="DO303">
        <v>0.95</v>
      </c>
      <c r="DP303" t="e">
        <v>#N/A</v>
      </c>
      <c r="DQ303" t="s">
        <v>722</v>
      </c>
      <c r="DR303">
        <v>0.91</v>
      </c>
      <c r="DS303" t="e">
        <v>#N/A</v>
      </c>
      <c r="DT303" t="s">
        <v>722</v>
      </c>
      <c r="DU303">
        <v>1</v>
      </c>
      <c r="DV303" t="e">
        <v>#N/A</v>
      </c>
      <c r="DW303" t="s">
        <v>722</v>
      </c>
      <c r="DX303">
        <v>0.85</v>
      </c>
      <c r="DY303" t="e">
        <v>#N/A</v>
      </c>
      <c r="DZ303" t="s">
        <v>722</v>
      </c>
      <c r="EA303">
        <v>1</v>
      </c>
      <c r="EB303" t="e">
        <v>#N/A</v>
      </c>
      <c r="EC303" t="s">
        <v>722</v>
      </c>
      <c r="ED303">
        <v>0.85</v>
      </c>
      <c r="EE303" t="e">
        <v>#N/A</v>
      </c>
      <c r="EF303" t="s">
        <v>722</v>
      </c>
      <c r="EG303">
        <v>0.85</v>
      </c>
      <c r="EH303" t="e">
        <v>#N/A</v>
      </c>
      <c r="EI303" t="s">
        <v>722</v>
      </c>
      <c r="EJ303">
        <v>0.96</v>
      </c>
      <c r="EK303" t="e">
        <v>#N/A</v>
      </c>
    </row>
    <row r="304" spans="1:141">
      <c r="A304" t="s">
        <v>722</v>
      </c>
      <c r="B304">
        <v>0.92</v>
      </c>
      <c r="C304" t="e">
        <v>#N/A</v>
      </c>
      <c r="D304" t="s">
        <v>722</v>
      </c>
      <c r="E304">
        <v>1</v>
      </c>
      <c r="F304" t="e">
        <v>#N/A</v>
      </c>
      <c r="G304" t="s">
        <v>722</v>
      </c>
      <c r="H304">
        <v>926.61</v>
      </c>
      <c r="I304" t="e">
        <v>#N/A</v>
      </c>
      <c r="J304" t="s">
        <v>722</v>
      </c>
      <c r="K304">
        <v>997.73</v>
      </c>
      <c r="L304" t="e">
        <v>#N/A</v>
      </c>
      <c r="M304" t="s">
        <v>722</v>
      </c>
      <c r="N304">
        <v>0.94</v>
      </c>
      <c r="O304" t="e">
        <v>#N/A</v>
      </c>
      <c r="P304" t="s">
        <v>722</v>
      </c>
      <c r="Q304">
        <v>0.88</v>
      </c>
      <c r="R304" t="e">
        <v>#N/A</v>
      </c>
      <c r="S304" t="s">
        <v>722</v>
      </c>
      <c r="T304">
        <v>1</v>
      </c>
      <c r="U304" t="e">
        <v>#N/A</v>
      </c>
      <c r="V304" t="s">
        <v>722</v>
      </c>
      <c r="W304">
        <v>0.89</v>
      </c>
      <c r="X304" t="e">
        <v>#N/A</v>
      </c>
      <c r="Y304" t="s">
        <v>722</v>
      </c>
      <c r="Z304">
        <v>0.83</v>
      </c>
      <c r="AA304" t="e">
        <v>#N/A</v>
      </c>
      <c r="AB304" t="s">
        <v>722</v>
      </c>
      <c r="AC304">
        <v>0.88</v>
      </c>
      <c r="AD304" t="e">
        <v>#N/A</v>
      </c>
      <c r="AE304" t="s">
        <v>722</v>
      </c>
      <c r="AF304">
        <v>0.88</v>
      </c>
      <c r="AG304" t="e">
        <v>#N/A</v>
      </c>
      <c r="AH304" t="s">
        <v>722</v>
      </c>
      <c r="AI304">
        <v>1004.72</v>
      </c>
      <c r="AJ304" t="e">
        <v>#N/A</v>
      </c>
      <c r="AK304" t="s">
        <v>722</v>
      </c>
      <c r="AL304">
        <v>1</v>
      </c>
      <c r="AM304" t="e">
        <v>#N/A</v>
      </c>
      <c r="AN304" t="s">
        <v>722</v>
      </c>
      <c r="AO304">
        <v>0.95</v>
      </c>
      <c r="AP304" t="e">
        <v>#N/A</v>
      </c>
      <c r="AQ304" t="s">
        <v>722</v>
      </c>
      <c r="AR304">
        <v>0.9</v>
      </c>
      <c r="AS304" t="e">
        <v>#N/A</v>
      </c>
      <c r="AT304" t="s">
        <v>722</v>
      </c>
      <c r="AU304">
        <v>1</v>
      </c>
      <c r="AV304" t="e">
        <v>#N/A</v>
      </c>
      <c r="AW304" t="s">
        <v>722</v>
      </c>
      <c r="AX304">
        <v>0.9</v>
      </c>
      <c r="AY304" t="e">
        <v>#N/A</v>
      </c>
      <c r="AZ304" t="s">
        <v>722</v>
      </c>
      <c r="BA304">
        <v>0.92</v>
      </c>
      <c r="BB304" t="e">
        <v>#N/A</v>
      </c>
      <c r="BC304" t="s">
        <v>722</v>
      </c>
      <c r="BD304">
        <v>0.84</v>
      </c>
      <c r="BE304" t="e">
        <v>#N/A</v>
      </c>
      <c r="BF304" t="s">
        <v>722</v>
      </c>
      <c r="BG304">
        <v>1</v>
      </c>
      <c r="BH304" t="e">
        <v>#N/A</v>
      </c>
      <c r="BI304" t="s">
        <v>722</v>
      </c>
      <c r="BJ304">
        <v>0.84</v>
      </c>
      <c r="BK304" t="e">
        <v>#N/A</v>
      </c>
      <c r="BL304" t="s">
        <v>722</v>
      </c>
      <c r="BM304">
        <v>1</v>
      </c>
      <c r="BN304" t="e">
        <v>#N/A</v>
      </c>
      <c r="BO304" t="s">
        <v>722</v>
      </c>
      <c r="BP304">
        <v>1</v>
      </c>
      <c r="BQ304" t="e">
        <v>#N/A</v>
      </c>
      <c r="BR304" t="s">
        <v>722</v>
      </c>
      <c r="BS304">
        <v>0.86</v>
      </c>
      <c r="BT304" t="e">
        <v>#N/A</v>
      </c>
      <c r="BU304" t="s">
        <v>722</v>
      </c>
      <c r="BV304">
        <v>0.9</v>
      </c>
      <c r="BW304" t="e">
        <v>#N/A</v>
      </c>
      <c r="BX304" t="s">
        <v>722</v>
      </c>
      <c r="BY304">
        <v>1012.33</v>
      </c>
      <c r="BZ304" t="e">
        <v>#N/A</v>
      </c>
      <c r="CA304" t="s">
        <v>722</v>
      </c>
      <c r="CB304">
        <v>0.96</v>
      </c>
      <c r="CC304" t="e">
        <v>#N/A</v>
      </c>
      <c r="CD304" t="s">
        <v>722</v>
      </c>
      <c r="CE304">
        <v>997.31</v>
      </c>
      <c r="CF304" t="e">
        <v>#N/A</v>
      </c>
      <c r="CG304" t="s">
        <v>722</v>
      </c>
      <c r="CH304">
        <v>0.84</v>
      </c>
      <c r="CI304" t="e">
        <v>#N/A</v>
      </c>
      <c r="CJ304" t="s">
        <v>722</v>
      </c>
      <c r="CK304">
        <v>1011.11</v>
      </c>
      <c r="CL304" t="e">
        <v>#N/A</v>
      </c>
      <c r="CM304" t="s">
        <v>722</v>
      </c>
      <c r="CN304">
        <v>0.94</v>
      </c>
      <c r="CO304" t="e">
        <v>#N/A</v>
      </c>
      <c r="CP304" t="s">
        <v>722</v>
      </c>
      <c r="CQ304">
        <v>1015.78</v>
      </c>
      <c r="CR304" t="e">
        <v>#N/A</v>
      </c>
      <c r="CS304" t="s">
        <v>722</v>
      </c>
      <c r="CT304">
        <v>0.84</v>
      </c>
      <c r="CU304" t="e">
        <v>#N/A</v>
      </c>
      <c r="CV304" t="s">
        <v>722</v>
      </c>
      <c r="CW304">
        <v>0.93</v>
      </c>
      <c r="CX304" t="e">
        <v>#N/A</v>
      </c>
      <c r="CY304" t="s">
        <v>722</v>
      </c>
      <c r="CZ304">
        <v>0.82</v>
      </c>
      <c r="DA304" t="e">
        <v>#N/A</v>
      </c>
      <c r="DC304">
        <v>98.2</v>
      </c>
      <c r="DD304" t="e">
        <v>#N/A</v>
      </c>
      <c r="DE304" t="s">
        <v>722</v>
      </c>
      <c r="DF304">
        <v>0.84</v>
      </c>
      <c r="DG304" t="e">
        <v>#N/A</v>
      </c>
      <c r="DH304" t="s">
        <v>722</v>
      </c>
      <c r="DI304">
        <v>0.85</v>
      </c>
      <c r="DJ304" t="e">
        <v>#N/A</v>
      </c>
      <c r="DK304" t="s">
        <v>722</v>
      </c>
      <c r="DL304">
        <v>0.81</v>
      </c>
      <c r="DM304" t="e">
        <v>#N/A</v>
      </c>
      <c r="DN304" t="s">
        <v>722</v>
      </c>
      <c r="DO304">
        <v>1</v>
      </c>
      <c r="DP304" t="e">
        <v>#N/A</v>
      </c>
      <c r="DR304">
        <v>98.2</v>
      </c>
      <c r="DS304" t="e">
        <v>#N/A</v>
      </c>
      <c r="DT304" t="s">
        <v>722</v>
      </c>
      <c r="DU304">
        <v>1</v>
      </c>
      <c r="DV304" t="e">
        <v>#N/A</v>
      </c>
      <c r="DW304" t="s">
        <v>722</v>
      </c>
      <c r="DX304">
        <v>0.86</v>
      </c>
      <c r="DY304" t="e">
        <v>#N/A</v>
      </c>
      <c r="DZ304" t="s">
        <v>722</v>
      </c>
      <c r="EA304">
        <v>1</v>
      </c>
      <c r="EB304" t="e">
        <v>#N/A</v>
      </c>
      <c r="EC304" t="s">
        <v>722</v>
      </c>
      <c r="ED304">
        <v>0.86</v>
      </c>
      <c r="EE304" t="e">
        <v>#N/A</v>
      </c>
      <c r="EF304" t="s">
        <v>722</v>
      </c>
      <c r="EG304">
        <v>0.86</v>
      </c>
      <c r="EH304" t="e">
        <v>#N/A</v>
      </c>
      <c r="EI304" t="s">
        <v>722</v>
      </c>
      <c r="EJ304">
        <v>0.85</v>
      </c>
      <c r="EK304" t="e">
        <v>#N/A</v>
      </c>
    </row>
    <row r="305" spans="1:141">
      <c r="A305" t="s">
        <v>722</v>
      </c>
      <c r="B305">
        <v>0.86</v>
      </c>
      <c r="C305" t="e">
        <v>#N/A</v>
      </c>
      <c r="D305" t="s">
        <v>722</v>
      </c>
      <c r="E305">
        <v>0.87</v>
      </c>
      <c r="F305" t="e">
        <v>#N/A</v>
      </c>
      <c r="G305" t="s">
        <v>722</v>
      </c>
      <c r="H305">
        <v>1</v>
      </c>
      <c r="I305" t="e">
        <v>#N/A</v>
      </c>
      <c r="J305" t="s">
        <v>722</v>
      </c>
      <c r="K305">
        <v>1</v>
      </c>
      <c r="L305" t="e">
        <v>#N/A</v>
      </c>
      <c r="M305" t="s">
        <v>722</v>
      </c>
      <c r="N305">
        <v>1011.97</v>
      </c>
      <c r="O305" t="e">
        <v>#N/A</v>
      </c>
      <c r="P305" t="s">
        <v>722</v>
      </c>
      <c r="Q305">
        <v>0.88</v>
      </c>
      <c r="R305" t="e">
        <v>#N/A</v>
      </c>
      <c r="S305" t="s">
        <v>722</v>
      </c>
      <c r="T305">
        <v>0.85</v>
      </c>
      <c r="U305" t="e">
        <v>#N/A</v>
      </c>
      <c r="V305" t="s">
        <v>722</v>
      </c>
      <c r="W305">
        <v>0.95</v>
      </c>
      <c r="X305" t="e">
        <v>#N/A</v>
      </c>
      <c r="Y305" t="s">
        <v>722</v>
      </c>
      <c r="Z305">
        <v>0.89</v>
      </c>
      <c r="AA305" t="e">
        <v>#N/A</v>
      </c>
      <c r="AB305" t="s">
        <v>722</v>
      </c>
      <c r="AC305">
        <v>0.92</v>
      </c>
      <c r="AD305" t="e">
        <v>#N/A</v>
      </c>
      <c r="AF305">
        <v>40.33</v>
      </c>
      <c r="AG305" t="e">
        <v>#N/A</v>
      </c>
      <c r="AH305" t="s">
        <v>722</v>
      </c>
      <c r="AI305">
        <v>0.83</v>
      </c>
      <c r="AJ305" t="e">
        <v>#N/A</v>
      </c>
      <c r="AK305" t="s">
        <v>722</v>
      </c>
      <c r="AL305">
        <v>0.9</v>
      </c>
      <c r="AM305" t="e">
        <v>#N/A</v>
      </c>
      <c r="AN305" t="s">
        <v>722</v>
      </c>
      <c r="AO305">
        <v>0.81</v>
      </c>
      <c r="AP305" t="e">
        <v>#N/A</v>
      </c>
      <c r="AQ305" t="s">
        <v>722</v>
      </c>
      <c r="AR305">
        <v>0.84</v>
      </c>
      <c r="AS305" t="e">
        <v>#N/A</v>
      </c>
      <c r="AT305" t="s">
        <v>722</v>
      </c>
      <c r="AU305">
        <v>0.97</v>
      </c>
      <c r="AV305" t="e">
        <v>#N/A</v>
      </c>
      <c r="AW305" t="s">
        <v>722</v>
      </c>
      <c r="AX305">
        <v>0.88</v>
      </c>
      <c r="AY305" t="e">
        <v>#N/A</v>
      </c>
      <c r="AZ305" t="s">
        <v>722</v>
      </c>
      <c r="BA305">
        <v>0.81</v>
      </c>
      <c r="BB305" t="e">
        <v>#N/A</v>
      </c>
      <c r="BC305" t="s">
        <v>722</v>
      </c>
      <c r="BD305">
        <v>0.95</v>
      </c>
      <c r="BE305" t="e">
        <v>#N/A</v>
      </c>
      <c r="BF305" t="s">
        <v>722</v>
      </c>
      <c r="BG305">
        <v>1</v>
      </c>
      <c r="BH305" t="e">
        <v>#N/A</v>
      </c>
      <c r="BI305" t="s">
        <v>722</v>
      </c>
      <c r="BJ305">
        <v>0.96</v>
      </c>
      <c r="BK305" t="e">
        <v>#N/A</v>
      </c>
      <c r="BL305" t="s">
        <v>722</v>
      </c>
      <c r="BM305">
        <v>1</v>
      </c>
      <c r="BN305" t="e">
        <v>#N/A</v>
      </c>
      <c r="BO305" t="s">
        <v>722</v>
      </c>
      <c r="BP305">
        <v>0.86</v>
      </c>
      <c r="BQ305" t="e">
        <v>#N/A</v>
      </c>
      <c r="BR305" t="s">
        <v>722</v>
      </c>
      <c r="BS305">
        <v>0.94</v>
      </c>
      <c r="BT305" t="e">
        <v>#N/A</v>
      </c>
      <c r="BU305" t="s">
        <v>722</v>
      </c>
      <c r="BV305">
        <v>0.86</v>
      </c>
      <c r="BW305" t="e">
        <v>#N/A</v>
      </c>
      <c r="BX305" t="s">
        <v>722</v>
      </c>
      <c r="BY305">
        <v>0.84</v>
      </c>
      <c r="BZ305" t="e">
        <v>#N/A</v>
      </c>
      <c r="CB305">
        <v>40.33</v>
      </c>
      <c r="CC305" t="e">
        <v>#N/A</v>
      </c>
      <c r="CE305">
        <v>98.2</v>
      </c>
      <c r="CF305" t="e">
        <v>#N/A</v>
      </c>
      <c r="CG305" t="s">
        <v>722</v>
      </c>
      <c r="CH305">
        <v>0.98</v>
      </c>
      <c r="CI305" t="e">
        <v>#N/A</v>
      </c>
      <c r="CJ305" t="s">
        <v>722</v>
      </c>
      <c r="CK305">
        <v>0.9</v>
      </c>
      <c r="CL305" t="e">
        <v>#N/A</v>
      </c>
      <c r="CM305" t="s">
        <v>722</v>
      </c>
      <c r="CN305">
        <v>1023.81</v>
      </c>
      <c r="CO305" t="e">
        <v>#N/A</v>
      </c>
      <c r="CP305" t="s">
        <v>722</v>
      </c>
      <c r="CQ305">
        <v>1012.33</v>
      </c>
      <c r="CR305" t="e">
        <v>#N/A</v>
      </c>
      <c r="CS305" t="s">
        <v>722</v>
      </c>
      <c r="CT305">
        <v>1015.35</v>
      </c>
      <c r="CU305" t="e">
        <v>#N/A</v>
      </c>
      <c r="CV305" t="s">
        <v>722</v>
      </c>
      <c r="CW305">
        <v>1017.47</v>
      </c>
      <c r="CX305" t="e">
        <v>#N/A</v>
      </c>
      <c r="CY305" t="s">
        <v>722</v>
      </c>
      <c r="CZ305">
        <v>0.89</v>
      </c>
      <c r="DA305" t="e">
        <v>#N/A</v>
      </c>
      <c r="DB305" t="s">
        <v>722</v>
      </c>
      <c r="DC305">
        <v>0.82</v>
      </c>
      <c r="DD305" t="e">
        <v>#N/A</v>
      </c>
      <c r="DF305">
        <v>98.2</v>
      </c>
      <c r="DG305" t="e">
        <v>#N/A</v>
      </c>
      <c r="DH305" t="s">
        <v>722</v>
      </c>
      <c r="DI305">
        <v>1</v>
      </c>
      <c r="DJ305" t="e">
        <v>#N/A</v>
      </c>
      <c r="DK305" t="s">
        <v>722</v>
      </c>
      <c r="DL305">
        <v>0.9</v>
      </c>
      <c r="DM305" t="e">
        <v>#N/A</v>
      </c>
      <c r="DN305" t="s">
        <v>722</v>
      </c>
      <c r="DO305">
        <v>1</v>
      </c>
      <c r="DP305" t="e">
        <v>#N/A</v>
      </c>
      <c r="DQ305" t="s">
        <v>722</v>
      </c>
      <c r="DR305">
        <v>0.85</v>
      </c>
      <c r="DS305" t="e">
        <v>#N/A</v>
      </c>
      <c r="DT305" t="s">
        <v>722</v>
      </c>
      <c r="DU305">
        <v>1</v>
      </c>
      <c r="DV305" t="e">
        <v>#N/A</v>
      </c>
      <c r="DW305" t="s">
        <v>722</v>
      </c>
      <c r="DX305">
        <v>1</v>
      </c>
      <c r="DY305" t="e">
        <v>#N/A</v>
      </c>
      <c r="DZ305" t="s">
        <v>722</v>
      </c>
      <c r="EA305">
        <v>1</v>
      </c>
      <c r="EB305" t="e">
        <v>#N/A</v>
      </c>
      <c r="EC305" t="s">
        <v>722</v>
      </c>
      <c r="ED305">
        <v>1</v>
      </c>
      <c r="EE305" t="e">
        <v>#N/A</v>
      </c>
      <c r="EF305" t="s">
        <v>722</v>
      </c>
      <c r="EG305">
        <v>1</v>
      </c>
      <c r="EH305" t="e">
        <v>#N/A</v>
      </c>
      <c r="EI305" t="s">
        <v>722</v>
      </c>
      <c r="EJ305">
        <v>0.86</v>
      </c>
      <c r="EK305" t="e">
        <v>#N/A</v>
      </c>
    </row>
    <row r="306" spans="1:141">
      <c r="A306" t="s">
        <v>722</v>
      </c>
      <c r="B306">
        <v>0.82</v>
      </c>
      <c r="C306" t="e">
        <v>#N/A</v>
      </c>
      <c r="D306" t="s">
        <v>722</v>
      </c>
      <c r="E306">
        <v>997.73</v>
      </c>
      <c r="F306" t="e">
        <v>#N/A</v>
      </c>
      <c r="G306" t="s">
        <v>722</v>
      </c>
      <c r="H306">
        <v>1</v>
      </c>
      <c r="I306" t="e">
        <v>#N/A</v>
      </c>
      <c r="J306" t="s">
        <v>722</v>
      </c>
      <c r="K306">
        <v>0.87</v>
      </c>
      <c r="L306" t="e">
        <v>#N/A</v>
      </c>
      <c r="M306" t="s">
        <v>722</v>
      </c>
      <c r="N306">
        <v>997.73</v>
      </c>
      <c r="O306" t="e">
        <v>#N/A</v>
      </c>
      <c r="P306" t="s">
        <v>722</v>
      </c>
      <c r="Q306">
        <v>0.96</v>
      </c>
      <c r="R306" t="e">
        <v>#N/A</v>
      </c>
      <c r="S306" t="s">
        <v>722</v>
      </c>
      <c r="T306">
        <v>1</v>
      </c>
      <c r="U306" t="e">
        <v>#N/A</v>
      </c>
      <c r="V306" t="s">
        <v>722</v>
      </c>
      <c r="W306">
        <v>0.93</v>
      </c>
      <c r="X306" t="e">
        <v>#N/A</v>
      </c>
      <c r="Y306" t="s">
        <v>722</v>
      </c>
      <c r="Z306">
        <v>0.94</v>
      </c>
      <c r="AA306" t="e">
        <v>#N/A</v>
      </c>
      <c r="AB306" t="s">
        <v>722</v>
      </c>
      <c r="AC306">
        <v>0.95</v>
      </c>
      <c r="AD306" t="e">
        <v>#N/A</v>
      </c>
      <c r="AE306" t="s">
        <v>722</v>
      </c>
      <c r="AF306">
        <v>1004.72</v>
      </c>
      <c r="AG306" t="e">
        <v>#N/A</v>
      </c>
      <c r="AI306">
        <v>98.2</v>
      </c>
      <c r="AJ306" t="e">
        <v>#N/A</v>
      </c>
      <c r="AK306" t="s">
        <v>722</v>
      </c>
      <c r="AL306">
        <v>1</v>
      </c>
      <c r="AM306" t="e">
        <v>#N/A</v>
      </c>
      <c r="AN306" t="s">
        <v>722</v>
      </c>
      <c r="AO306">
        <v>0.88</v>
      </c>
      <c r="AP306" t="e">
        <v>#N/A</v>
      </c>
      <c r="AQ306" t="s">
        <v>722</v>
      </c>
      <c r="AR306">
        <v>0.98</v>
      </c>
      <c r="AS306" t="e">
        <v>#N/A</v>
      </c>
      <c r="AT306" t="s">
        <v>722</v>
      </c>
      <c r="AU306">
        <v>1</v>
      </c>
      <c r="AV306" t="e">
        <v>#N/A</v>
      </c>
      <c r="AW306" t="s">
        <v>722</v>
      </c>
      <c r="AX306">
        <v>0.83</v>
      </c>
      <c r="AY306" t="e">
        <v>#N/A</v>
      </c>
      <c r="AZ306" t="s">
        <v>722</v>
      </c>
      <c r="BA306">
        <v>0.95</v>
      </c>
      <c r="BB306" t="e">
        <v>#N/A</v>
      </c>
      <c r="BC306" t="s">
        <v>722</v>
      </c>
      <c r="BD306">
        <v>0.81</v>
      </c>
      <c r="BE306" t="e">
        <v>#N/A</v>
      </c>
      <c r="BF306" t="s">
        <v>722</v>
      </c>
      <c r="BG306">
        <v>0.92</v>
      </c>
      <c r="BH306" t="e">
        <v>#N/A</v>
      </c>
      <c r="BI306" t="s">
        <v>722</v>
      </c>
      <c r="BJ306">
        <v>0.85</v>
      </c>
      <c r="BK306" t="e">
        <v>#N/A</v>
      </c>
      <c r="BL306" t="s">
        <v>722</v>
      </c>
      <c r="BM306">
        <v>0.97</v>
      </c>
      <c r="BN306" t="e">
        <v>#N/A</v>
      </c>
      <c r="BO306" t="s">
        <v>722</v>
      </c>
      <c r="BP306">
        <v>1</v>
      </c>
      <c r="BQ306" t="e">
        <v>#N/A</v>
      </c>
      <c r="BR306" t="s">
        <v>722</v>
      </c>
      <c r="BS306">
        <v>0.89</v>
      </c>
      <c r="BT306" t="e">
        <v>#N/A</v>
      </c>
      <c r="BU306" t="s">
        <v>722</v>
      </c>
      <c r="BV306">
        <v>1039.6500000000001</v>
      </c>
      <c r="BW306" t="e">
        <v>#N/A</v>
      </c>
      <c r="BX306" t="s">
        <v>722</v>
      </c>
      <c r="BY306">
        <v>0.82</v>
      </c>
      <c r="BZ306" t="e">
        <v>#N/A</v>
      </c>
      <c r="CA306" t="s">
        <v>722</v>
      </c>
      <c r="CB306">
        <v>0.87</v>
      </c>
      <c r="CC306" t="e">
        <v>#N/A</v>
      </c>
      <c r="CD306" t="s">
        <v>722</v>
      </c>
      <c r="CE306">
        <v>1</v>
      </c>
      <c r="CF306" t="e">
        <v>#N/A</v>
      </c>
      <c r="CG306" t="s">
        <v>722</v>
      </c>
      <c r="CH306">
        <v>0.81</v>
      </c>
      <c r="CI306" t="e">
        <v>#N/A</v>
      </c>
      <c r="CJ306" t="s">
        <v>722</v>
      </c>
      <c r="CK306">
        <v>0.83</v>
      </c>
      <c r="CL306" t="e">
        <v>#N/A</v>
      </c>
      <c r="CM306" t="s">
        <v>722</v>
      </c>
      <c r="CN306">
        <v>0.95</v>
      </c>
      <c r="CO306" t="e">
        <v>#N/A</v>
      </c>
      <c r="CP306" t="s">
        <v>722</v>
      </c>
      <c r="CQ306">
        <v>0.82</v>
      </c>
      <c r="CR306" t="e">
        <v>#N/A</v>
      </c>
      <c r="CS306" t="s">
        <v>722</v>
      </c>
      <c r="CT306">
        <v>0.84</v>
      </c>
      <c r="CU306" t="e">
        <v>#N/A</v>
      </c>
      <c r="CW306">
        <v>98.2</v>
      </c>
      <c r="CX306" t="e">
        <v>#N/A</v>
      </c>
      <c r="CY306" t="s">
        <v>722</v>
      </c>
      <c r="CZ306">
        <v>0.87</v>
      </c>
      <c r="DA306" t="e">
        <v>#N/A</v>
      </c>
      <c r="DB306" t="s">
        <v>722</v>
      </c>
      <c r="DC306">
        <v>0.9</v>
      </c>
      <c r="DD306" t="e">
        <v>#N/A</v>
      </c>
      <c r="DE306" t="s">
        <v>722</v>
      </c>
      <c r="DF306">
        <v>0.9</v>
      </c>
      <c r="DG306" t="e">
        <v>#N/A</v>
      </c>
      <c r="DH306" t="s">
        <v>722</v>
      </c>
      <c r="DI306">
        <v>1</v>
      </c>
      <c r="DJ306" t="e">
        <v>#N/A</v>
      </c>
      <c r="DL306">
        <v>98.2</v>
      </c>
      <c r="DM306" t="e">
        <v>#N/A</v>
      </c>
      <c r="DN306" t="s">
        <v>722</v>
      </c>
      <c r="DO306">
        <v>0.93</v>
      </c>
      <c r="DP306" t="e">
        <v>#N/A</v>
      </c>
      <c r="DQ306" t="s">
        <v>722</v>
      </c>
      <c r="DR306">
        <v>0.85</v>
      </c>
      <c r="DS306" t="e">
        <v>#N/A</v>
      </c>
      <c r="DT306" t="s">
        <v>722</v>
      </c>
      <c r="DU306">
        <v>0.86</v>
      </c>
      <c r="DV306" t="e">
        <v>#N/A</v>
      </c>
      <c r="DW306" t="s">
        <v>722</v>
      </c>
      <c r="DX306">
        <v>1</v>
      </c>
      <c r="DY306" t="e">
        <v>#N/A</v>
      </c>
      <c r="DZ306" t="s">
        <v>722</v>
      </c>
      <c r="EA306">
        <v>1</v>
      </c>
      <c r="EB306" t="e">
        <v>#N/A</v>
      </c>
      <c r="EC306" t="s">
        <v>722</v>
      </c>
      <c r="ED306">
        <v>1</v>
      </c>
      <c r="EE306" t="e">
        <v>#N/A</v>
      </c>
      <c r="EF306" t="s">
        <v>722</v>
      </c>
      <c r="EG306">
        <v>1</v>
      </c>
      <c r="EH306" t="e">
        <v>#N/A</v>
      </c>
      <c r="EI306" t="s">
        <v>722</v>
      </c>
      <c r="EJ306">
        <v>1</v>
      </c>
      <c r="EK306" t="e">
        <v>#N/A</v>
      </c>
    </row>
    <row r="307" spans="1:141">
      <c r="A307" t="s">
        <v>722</v>
      </c>
      <c r="B307">
        <v>1087.3699999999999</v>
      </c>
      <c r="C307" t="e">
        <v>#N/A</v>
      </c>
      <c r="D307" t="s">
        <v>722</v>
      </c>
      <c r="E307">
        <v>1</v>
      </c>
      <c r="F307" t="e">
        <v>#N/A</v>
      </c>
      <c r="G307" t="s">
        <v>722</v>
      </c>
      <c r="H307">
        <v>0.99</v>
      </c>
      <c r="I307" t="e">
        <v>#N/A</v>
      </c>
      <c r="J307" t="s">
        <v>722</v>
      </c>
      <c r="K307">
        <v>997.42</v>
      </c>
      <c r="L307" t="e">
        <v>#N/A</v>
      </c>
      <c r="M307" t="s">
        <v>722</v>
      </c>
      <c r="N307">
        <v>1</v>
      </c>
      <c r="O307" t="e">
        <v>#N/A</v>
      </c>
      <c r="P307" t="s">
        <v>722</v>
      </c>
      <c r="Q307">
        <v>1011.97</v>
      </c>
      <c r="R307" t="e">
        <v>#N/A</v>
      </c>
      <c r="S307" t="s">
        <v>722</v>
      </c>
      <c r="T307">
        <v>0.93</v>
      </c>
      <c r="U307" t="e">
        <v>#N/A</v>
      </c>
      <c r="V307" t="s">
        <v>722</v>
      </c>
      <c r="W307">
        <v>1</v>
      </c>
      <c r="X307" t="e">
        <v>#N/A</v>
      </c>
      <c r="Y307" t="s">
        <v>722</v>
      </c>
      <c r="Z307">
        <v>0.93</v>
      </c>
      <c r="AA307" t="e">
        <v>#N/A</v>
      </c>
      <c r="AB307" t="s">
        <v>722</v>
      </c>
      <c r="AC307">
        <v>0.9</v>
      </c>
      <c r="AD307" t="e">
        <v>#N/A</v>
      </c>
      <c r="AE307" t="s">
        <v>722</v>
      </c>
      <c r="AF307">
        <v>0.83</v>
      </c>
      <c r="AG307" t="e">
        <v>#N/A</v>
      </c>
      <c r="AH307" t="s">
        <v>722</v>
      </c>
      <c r="AI307">
        <v>0.83</v>
      </c>
      <c r="AJ307" t="e">
        <v>#N/A</v>
      </c>
      <c r="AK307" t="s">
        <v>722</v>
      </c>
      <c r="AL307">
        <v>0.97</v>
      </c>
      <c r="AM307" t="e">
        <v>#N/A</v>
      </c>
      <c r="AN307" t="s">
        <v>722</v>
      </c>
      <c r="AO307">
        <v>997.73</v>
      </c>
      <c r="AP307" t="e">
        <v>#N/A</v>
      </c>
      <c r="AQ307" t="s">
        <v>722</v>
      </c>
      <c r="AR307">
        <v>0.97</v>
      </c>
      <c r="AS307" t="e">
        <v>#N/A</v>
      </c>
      <c r="AT307" t="s">
        <v>722</v>
      </c>
      <c r="AU307">
        <v>0.91</v>
      </c>
      <c r="AV307" t="e">
        <v>#N/A</v>
      </c>
      <c r="AW307" t="s">
        <v>722</v>
      </c>
      <c r="AX307">
        <v>1</v>
      </c>
      <c r="AY307" t="e">
        <v>#N/A</v>
      </c>
      <c r="AZ307" t="s">
        <v>722</v>
      </c>
      <c r="BA307">
        <v>1</v>
      </c>
      <c r="BB307" t="e">
        <v>#N/A</v>
      </c>
      <c r="BC307" t="s">
        <v>722</v>
      </c>
      <c r="BD307">
        <v>1044.5899999999999</v>
      </c>
      <c r="BE307" t="e">
        <v>#N/A</v>
      </c>
      <c r="BF307" t="s">
        <v>722</v>
      </c>
      <c r="BG307">
        <v>0.86</v>
      </c>
      <c r="BH307" t="e">
        <v>#N/A</v>
      </c>
      <c r="BI307" t="s">
        <v>722</v>
      </c>
      <c r="BJ307">
        <v>1</v>
      </c>
      <c r="BK307" t="e">
        <v>#N/A</v>
      </c>
      <c r="BL307" t="s">
        <v>722</v>
      </c>
      <c r="BM307">
        <v>1087.3699999999999</v>
      </c>
      <c r="BN307" t="e">
        <v>#N/A</v>
      </c>
      <c r="BO307" t="s">
        <v>722</v>
      </c>
      <c r="BP307">
        <v>1</v>
      </c>
      <c r="BQ307" t="e">
        <v>#N/A</v>
      </c>
      <c r="BR307" t="s">
        <v>722</v>
      </c>
      <c r="BS307">
        <v>0.97</v>
      </c>
      <c r="BT307" t="e">
        <v>#N/A</v>
      </c>
      <c r="BU307" t="s">
        <v>722</v>
      </c>
      <c r="BV307">
        <v>0.82</v>
      </c>
      <c r="BW307" t="e">
        <v>#N/A</v>
      </c>
      <c r="BY307">
        <v>98.2</v>
      </c>
      <c r="BZ307" t="e">
        <v>#N/A</v>
      </c>
      <c r="CA307" t="s">
        <v>722</v>
      </c>
      <c r="CB307">
        <v>0.86</v>
      </c>
      <c r="CC307" t="e">
        <v>#N/A</v>
      </c>
      <c r="CD307" t="s">
        <v>722</v>
      </c>
      <c r="CE307">
        <v>1</v>
      </c>
      <c r="CF307" t="e">
        <v>#N/A</v>
      </c>
      <c r="CG307" t="s">
        <v>722</v>
      </c>
      <c r="CH307">
        <v>0.91</v>
      </c>
      <c r="CI307" t="e">
        <v>#N/A</v>
      </c>
      <c r="CJ307" t="s">
        <v>722</v>
      </c>
      <c r="CK307">
        <v>0.99</v>
      </c>
      <c r="CL307" t="e">
        <v>#N/A</v>
      </c>
      <c r="CM307" t="s">
        <v>722</v>
      </c>
      <c r="CN307">
        <v>1</v>
      </c>
      <c r="CO307" t="e">
        <v>#N/A</v>
      </c>
      <c r="CP307" t="s">
        <v>722</v>
      </c>
      <c r="CQ307">
        <v>0.97</v>
      </c>
      <c r="CR307" t="e">
        <v>#N/A</v>
      </c>
      <c r="CS307" t="s">
        <v>722</v>
      </c>
      <c r="CT307">
        <v>0.87</v>
      </c>
      <c r="CU307" t="e">
        <v>#N/A</v>
      </c>
      <c r="CV307" t="s">
        <v>722</v>
      </c>
      <c r="CW307">
        <v>0.9</v>
      </c>
      <c r="CX307" t="e">
        <v>#N/A</v>
      </c>
      <c r="CY307" t="s">
        <v>722</v>
      </c>
      <c r="CZ307">
        <v>0.82</v>
      </c>
      <c r="DA307" t="e">
        <v>#N/A</v>
      </c>
      <c r="DB307" t="s">
        <v>722</v>
      </c>
      <c r="DC307">
        <v>0.94</v>
      </c>
      <c r="DD307" t="e">
        <v>#N/A</v>
      </c>
      <c r="DE307" t="s">
        <v>722</v>
      </c>
      <c r="DF307">
        <v>0.84</v>
      </c>
      <c r="DG307" t="e">
        <v>#N/A</v>
      </c>
      <c r="DH307" t="s">
        <v>722</v>
      </c>
      <c r="DI307">
        <v>1</v>
      </c>
      <c r="DJ307" t="e">
        <v>#N/A</v>
      </c>
      <c r="DK307" t="s">
        <v>722</v>
      </c>
      <c r="DL307">
        <v>0.97</v>
      </c>
      <c r="DM307" t="e">
        <v>#N/A</v>
      </c>
      <c r="DN307" t="s">
        <v>722</v>
      </c>
      <c r="DO307">
        <v>1</v>
      </c>
      <c r="DP307" t="e">
        <v>#N/A</v>
      </c>
      <c r="DQ307" t="s">
        <v>722</v>
      </c>
      <c r="DR307">
        <v>0.84</v>
      </c>
      <c r="DS307" t="e">
        <v>#N/A</v>
      </c>
      <c r="DT307" t="s">
        <v>722</v>
      </c>
      <c r="DU307">
        <v>1</v>
      </c>
      <c r="DV307" t="e">
        <v>#N/A</v>
      </c>
      <c r="DW307" t="s">
        <v>722</v>
      </c>
      <c r="DX307">
        <v>1</v>
      </c>
      <c r="DY307" t="e">
        <v>#N/A</v>
      </c>
      <c r="DZ307" t="s">
        <v>722</v>
      </c>
      <c r="EA307">
        <v>1</v>
      </c>
      <c r="EB307" t="e">
        <v>#N/A</v>
      </c>
      <c r="EC307" t="s">
        <v>722</v>
      </c>
      <c r="ED307">
        <v>1</v>
      </c>
      <c r="EE307" t="e">
        <v>#N/A</v>
      </c>
      <c r="EF307" t="s">
        <v>722</v>
      </c>
      <c r="EG307">
        <v>1</v>
      </c>
      <c r="EH307" t="e">
        <v>#N/A</v>
      </c>
      <c r="EI307" t="s">
        <v>722</v>
      </c>
      <c r="EJ307">
        <v>1</v>
      </c>
      <c r="EK307" t="e">
        <v>#N/A</v>
      </c>
    </row>
    <row r="308" spans="1:141">
      <c r="A308" t="s">
        <v>722</v>
      </c>
      <c r="B308">
        <v>926.61</v>
      </c>
      <c r="C308" t="e">
        <v>#N/A</v>
      </c>
      <c r="D308" t="s">
        <v>722</v>
      </c>
      <c r="E308">
        <v>0.86</v>
      </c>
      <c r="F308" t="e">
        <v>#N/A</v>
      </c>
      <c r="G308" t="s">
        <v>722</v>
      </c>
      <c r="H308">
        <v>0.95</v>
      </c>
      <c r="I308" t="e">
        <v>#N/A</v>
      </c>
      <c r="J308" t="s">
        <v>722</v>
      </c>
      <c r="K308">
        <v>0.86</v>
      </c>
      <c r="L308" t="e">
        <v>#N/A</v>
      </c>
      <c r="M308" t="s">
        <v>722</v>
      </c>
      <c r="N308">
        <v>0.99</v>
      </c>
      <c r="O308" t="e">
        <v>#N/A</v>
      </c>
      <c r="P308" t="s">
        <v>722</v>
      </c>
      <c r="Q308">
        <v>0.92</v>
      </c>
      <c r="R308" t="e">
        <v>#N/A</v>
      </c>
      <c r="S308" t="s">
        <v>722</v>
      </c>
      <c r="T308">
        <v>0.82</v>
      </c>
      <c r="U308" t="e">
        <v>#N/A</v>
      </c>
      <c r="V308" t="s">
        <v>722</v>
      </c>
      <c r="W308">
        <v>1</v>
      </c>
      <c r="X308" t="e">
        <v>#N/A</v>
      </c>
      <c r="Y308" t="s">
        <v>722</v>
      </c>
      <c r="Z308">
        <v>1</v>
      </c>
      <c r="AA308" t="e">
        <v>#N/A</v>
      </c>
      <c r="AB308" t="s">
        <v>722</v>
      </c>
      <c r="AC308">
        <v>1</v>
      </c>
      <c r="AD308" t="e">
        <v>#N/A</v>
      </c>
      <c r="AF308">
        <v>98.2</v>
      </c>
      <c r="AG308" t="e">
        <v>#N/A</v>
      </c>
      <c r="AH308" t="s">
        <v>722</v>
      </c>
      <c r="AI308">
        <v>1</v>
      </c>
      <c r="AJ308" t="e">
        <v>#N/A</v>
      </c>
      <c r="AK308" t="s">
        <v>722</v>
      </c>
      <c r="AL308">
        <v>1</v>
      </c>
      <c r="AM308" t="e">
        <v>#N/A</v>
      </c>
      <c r="AN308" t="s">
        <v>722</v>
      </c>
      <c r="AO308">
        <v>1</v>
      </c>
      <c r="AP308" t="e">
        <v>#N/A</v>
      </c>
      <c r="AQ308" t="s">
        <v>722</v>
      </c>
      <c r="AR308">
        <v>1</v>
      </c>
      <c r="AS308" t="e">
        <v>#N/A</v>
      </c>
      <c r="AT308" t="s">
        <v>722</v>
      </c>
      <c r="AU308">
        <v>1</v>
      </c>
      <c r="AV308" t="e">
        <v>#N/A</v>
      </c>
      <c r="AW308" t="s">
        <v>722</v>
      </c>
      <c r="AX308">
        <v>1</v>
      </c>
      <c r="AY308" t="e">
        <v>#N/A</v>
      </c>
      <c r="AZ308" t="s">
        <v>722</v>
      </c>
      <c r="BA308">
        <v>0.98</v>
      </c>
      <c r="BB308" t="e">
        <v>#N/A</v>
      </c>
      <c r="BC308" t="s">
        <v>722</v>
      </c>
      <c r="BD308">
        <v>997.73</v>
      </c>
      <c r="BE308" t="e">
        <v>#N/A</v>
      </c>
      <c r="BF308" t="s">
        <v>722</v>
      </c>
      <c r="BG308">
        <v>1016.26</v>
      </c>
      <c r="BH308" t="e">
        <v>#N/A</v>
      </c>
      <c r="BI308" t="s">
        <v>722</v>
      </c>
      <c r="BJ308">
        <v>1</v>
      </c>
      <c r="BK308" t="e">
        <v>#N/A</v>
      </c>
      <c r="BL308" t="s">
        <v>722</v>
      </c>
      <c r="BM308">
        <v>926.61</v>
      </c>
      <c r="BN308" t="e">
        <v>#N/A</v>
      </c>
      <c r="BO308" t="s">
        <v>722</v>
      </c>
      <c r="BP308">
        <v>1</v>
      </c>
      <c r="BQ308" t="e">
        <v>#N/A</v>
      </c>
      <c r="BR308" t="s">
        <v>722</v>
      </c>
      <c r="BS308">
        <v>1012.33</v>
      </c>
      <c r="BT308" t="e">
        <v>#N/A</v>
      </c>
      <c r="BV308">
        <v>98.2</v>
      </c>
      <c r="BW308" t="e">
        <v>#N/A</v>
      </c>
      <c r="BX308" t="s">
        <v>722</v>
      </c>
      <c r="BY308">
        <v>0.84</v>
      </c>
      <c r="BZ308" t="e">
        <v>#N/A</v>
      </c>
      <c r="CA308" t="s">
        <v>722</v>
      </c>
      <c r="CB308">
        <v>0.84</v>
      </c>
      <c r="CC308" t="e">
        <v>#N/A</v>
      </c>
      <c r="CD308" t="s">
        <v>722</v>
      </c>
      <c r="CE308">
        <v>1</v>
      </c>
      <c r="CF308" t="e">
        <v>#N/A</v>
      </c>
      <c r="CG308" t="s">
        <v>722</v>
      </c>
      <c r="CH308">
        <v>0.97</v>
      </c>
      <c r="CI308" t="e">
        <v>#N/A</v>
      </c>
      <c r="CJ308" t="s">
        <v>722</v>
      </c>
      <c r="CK308">
        <v>0.96</v>
      </c>
      <c r="CL308" t="e">
        <v>#N/A</v>
      </c>
      <c r="CM308" t="s">
        <v>722</v>
      </c>
      <c r="CN308">
        <v>1</v>
      </c>
      <c r="CO308" t="e">
        <v>#N/A</v>
      </c>
      <c r="CP308" t="s">
        <v>722</v>
      </c>
      <c r="CQ308">
        <v>0.89</v>
      </c>
      <c r="CR308" t="e">
        <v>#N/A</v>
      </c>
      <c r="CS308" t="s">
        <v>722</v>
      </c>
      <c r="CT308">
        <v>0.89</v>
      </c>
      <c r="CU308" t="e">
        <v>#N/A</v>
      </c>
      <c r="CV308" t="s">
        <v>722</v>
      </c>
      <c r="CW308">
        <v>0.84</v>
      </c>
      <c r="CX308" t="e">
        <v>#N/A</v>
      </c>
      <c r="CY308" t="s">
        <v>722</v>
      </c>
      <c r="CZ308">
        <v>0.84</v>
      </c>
      <c r="DA308" t="e">
        <v>#N/A</v>
      </c>
      <c r="DB308" t="s">
        <v>722</v>
      </c>
      <c r="DC308">
        <v>0.84</v>
      </c>
      <c r="DD308" t="e">
        <v>#N/A</v>
      </c>
      <c r="DE308" t="s">
        <v>722</v>
      </c>
      <c r="DF308">
        <v>0.88</v>
      </c>
      <c r="DG308" t="e">
        <v>#N/A</v>
      </c>
      <c r="DH308" t="s">
        <v>722</v>
      </c>
      <c r="DI308">
        <v>1</v>
      </c>
      <c r="DJ308" t="e">
        <v>#N/A</v>
      </c>
      <c r="DK308" t="s">
        <v>722</v>
      </c>
      <c r="DL308">
        <v>0.9</v>
      </c>
      <c r="DM308" t="e">
        <v>#N/A</v>
      </c>
      <c r="DN308" t="s">
        <v>722</v>
      </c>
      <c r="DO308">
        <v>1</v>
      </c>
      <c r="DP308" t="e">
        <v>#N/A</v>
      </c>
      <c r="DQ308" t="s">
        <v>722</v>
      </c>
      <c r="DR308">
        <v>0.89</v>
      </c>
      <c r="DS308" t="e">
        <v>#N/A</v>
      </c>
      <c r="DT308" t="s">
        <v>722</v>
      </c>
      <c r="DU308">
        <v>0.92</v>
      </c>
      <c r="DV308" t="e">
        <v>#N/A</v>
      </c>
      <c r="DW308" t="s">
        <v>722</v>
      </c>
      <c r="DX308">
        <v>1</v>
      </c>
      <c r="DY308" t="e">
        <v>#N/A</v>
      </c>
      <c r="DZ308" t="s">
        <v>722</v>
      </c>
      <c r="EA308">
        <v>0.8</v>
      </c>
      <c r="EB308" t="e">
        <v>#N/A</v>
      </c>
      <c r="EC308" t="s">
        <v>722</v>
      </c>
      <c r="ED308">
        <v>1</v>
      </c>
      <c r="EE308" t="e">
        <v>#N/A</v>
      </c>
      <c r="EF308" t="s">
        <v>722</v>
      </c>
      <c r="EG308">
        <v>1</v>
      </c>
      <c r="EH308" t="e">
        <v>#N/A</v>
      </c>
      <c r="EI308" t="s">
        <v>722</v>
      </c>
      <c r="EJ308">
        <v>1</v>
      </c>
      <c r="EK308" t="e">
        <v>#N/A</v>
      </c>
    </row>
    <row r="309" spans="1:141">
      <c r="A309" t="s">
        <v>722</v>
      </c>
      <c r="B309">
        <v>1</v>
      </c>
      <c r="C309" t="e">
        <v>#N/A</v>
      </c>
      <c r="D309" t="s">
        <v>722</v>
      </c>
      <c r="E309">
        <v>1087.3699999999999</v>
      </c>
      <c r="F309" t="e">
        <v>#N/A</v>
      </c>
      <c r="G309" t="s">
        <v>722</v>
      </c>
      <c r="H309">
        <v>0.97</v>
      </c>
      <c r="I309" t="e">
        <v>#N/A</v>
      </c>
      <c r="J309" t="s">
        <v>722</v>
      </c>
      <c r="K309">
        <v>1087.3699999999999</v>
      </c>
      <c r="L309" t="e">
        <v>#N/A</v>
      </c>
      <c r="M309" t="s">
        <v>722</v>
      </c>
      <c r="N309">
        <v>0.86</v>
      </c>
      <c r="O309" t="e">
        <v>#N/A</v>
      </c>
      <c r="P309" t="s">
        <v>722</v>
      </c>
      <c r="Q309">
        <v>0.99</v>
      </c>
      <c r="R309" t="e">
        <v>#N/A</v>
      </c>
      <c r="S309" t="s">
        <v>722</v>
      </c>
      <c r="T309">
        <v>0.96</v>
      </c>
      <c r="U309" t="e">
        <v>#N/A</v>
      </c>
      <c r="V309" t="s">
        <v>722</v>
      </c>
      <c r="W309">
        <v>0.92</v>
      </c>
      <c r="X309" t="e">
        <v>#N/A</v>
      </c>
      <c r="Y309" t="s">
        <v>722</v>
      </c>
      <c r="Z309">
        <v>1</v>
      </c>
      <c r="AA309" t="e">
        <v>#N/A</v>
      </c>
      <c r="AB309" t="s">
        <v>722</v>
      </c>
      <c r="AC309">
        <v>997.73</v>
      </c>
      <c r="AD309" t="e">
        <v>#N/A</v>
      </c>
      <c r="AE309" t="s">
        <v>722</v>
      </c>
      <c r="AF309">
        <v>0.83</v>
      </c>
      <c r="AG309" t="e">
        <v>#N/A</v>
      </c>
      <c r="AH309" t="s">
        <v>722</v>
      </c>
      <c r="AI309">
        <v>1</v>
      </c>
      <c r="AJ309" t="e">
        <v>#N/A</v>
      </c>
      <c r="AK309" t="s">
        <v>722</v>
      </c>
      <c r="AL309">
        <v>0.95</v>
      </c>
      <c r="AM309" t="e">
        <v>#N/A</v>
      </c>
      <c r="AN309" t="s">
        <v>722</v>
      </c>
      <c r="AO309">
        <v>1</v>
      </c>
      <c r="AP309" t="e">
        <v>#N/A</v>
      </c>
      <c r="AQ309" t="s">
        <v>722</v>
      </c>
      <c r="AR309">
        <v>0.8</v>
      </c>
      <c r="AS309" t="e">
        <v>#N/A</v>
      </c>
      <c r="AT309" t="s">
        <v>722</v>
      </c>
      <c r="AU309">
        <v>0.84</v>
      </c>
      <c r="AV309" t="e">
        <v>#N/A</v>
      </c>
      <c r="AW309" t="s">
        <v>722</v>
      </c>
      <c r="AX309">
        <v>1</v>
      </c>
      <c r="AY309" t="e">
        <v>#N/A</v>
      </c>
      <c r="AZ309" t="s">
        <v>722</v>
      </c>
      <c r="BA309">
        <v>0.8</v>
      </c>
      <c r="BB309" t="e">
        <v>#N/A</v>
      </c>
      <c r="BC309" t="s">
        <v>722</v>
      </c>
      <c r="BD309">
        <v>1</v>
      </c>
      <c r="BE309" t="e">
        <v>#N/A</v>
      </c>
      <c r="BF309" t="s">
        <v>722</v>
      </c>
      <c r="BG309">
        <v>1</v>
      </c>
      <c r="BH309" t="e">
        <v>#N/A</v>
      </c>
      <c r="BI309" t="s">
        <v>722</v>
      </c>
      <c r="BJ309">
        <v>1</v>
      </c>
      <c r="BK309" t="e">
        <v>#N/A</v>
      </c>
      <c r="BL309" t="s">
        <v>722</v>
      </c>
      <c r="BM309">
        <v>880.34</v>
      </c>
      <c r="BN309" t="e">
        <v>#N/A</v>
      </c>
      <c r="BO309" t="s">
        <v>722</v>
      </c>
      <c r="BP309">
        <v>0.8</v>
      </c>
      <c r="BQ309" t="e">
        <v>#N/A</v>
      </c>
      <c r="BR309" t="s">
        <v>722</v>
      </c>
      <c r="BS309">
        <v>0.84</v>
      </c>
      <c r="BT309" t="e">
        <v>#N/A</v>
      </c>
      <c r="BU309" t="s">
        <v>722</v>
      </c>
      <c r="BV309">
        <v>0.84</v>
      </c>
      <c r="BW309" t="e">
        <v>#N/A</v>
      </c>
      <c r="BX309" t="s">
        <v>722</v>
      </c>
      <c r="BY309">
        <v>1</v>
      </c>
      <c r="BZ309" t="e">
        <v>#N/A</v>
      </c>
      <c r="CA309" t="s">
        <v>722</v>
      </c>
      <c r="CB309">
        <v>1011.11</v>
      </c>
      <c r="CC309" t="e">
        <v>#N/A</v>
      </c>
      <c r="CD309" t="s">
        <v>722</v>
      </c>
      <c r="CE309">
        <v>1</v>
      </c>
      <c r="CF309" t="e">
        <v>#N/A</v>
      </c>
      <c r="CG309" t="s">
        <v>722</v>
      </c>
      <c r="CH309">
        <v>1043.1500000000001</v>
      </c>
      <c r="CI309" t="e">
        <v>#N/A</v>
      </c>
      <c r="CJ309" t="s">
        <v>722</v>
      </c>
      <c r="CK309">
        <v>1012.33</v>
      </c>
      <c r="CL309" t="e">
        <v>#N/A</v>
      </c>
      <c r="CM309" t="s">
        <v>722</v>
      </c>
      <c r="CN309">
        <v>1</v>
      </c>
      <c r="CO309" t="e">
        <v>#N/A</v>
      </c>
      <c r="CP309" t="s">
        <v>722</v>
      </c>
      <c r="CQ309">
        <v>0.82</v>
      </c>
      <c r="CR309" t="e">
        <v>#N/A</v>
      </c>
      <c r="CS309" t="s">
        <v>722</v>
      </c>
      <c r="CT309">
        <v>0.81</v>
      </c>
      <c r="CU309" t="e">
        <v>#N/A</v>
      </c>
      <c r="CV309" t="s">
        <v>722</v>
      </c>
      <c r="CW309">
        <v>1011.77</v>
      </c>
      <c r="CX309" t="e">
        <v>#N/A</v>
      </c>
      <c r="CY309" t="s">
        <v>722</v>
      </c>
      <c r="CZ309">
        <v>0.84</v>
      </c>
      <c r="DA309" t="e">
        <v>#N/A</v>
      </c>
      <c r="DB309" t="s">
        <v>722</v>
      </c>
      <c r="DC309">
        <v>0.84</v>
      </c>
      <c r="DD309" t="e">
        <v>#N/A</v>
      </c>
      <c r="DE309" t="s">
        <v>722</v>
      </c>
      <c r="DF309">
        <v>1</v>
      </c>
      <c r="DG309" t="e">
        <v>#N/A</v>
      </c>
      <c r="DH309" t="s">
        <v>722</v>
      </c>
      <c r="DI309">
        <v>1055.53</v>
      </c>
      <c r="DJ309" t="e">
        <v>#N/A</v>
      </c>
      <c r="DK309" t="s">
        <v>722</v>
      </c>
      <c r="DL309">
        <v>0.85</v>
      </c>
      <c r="DM309" t="e">
        <v>#N/A</v>
      </c>
      <c r="DN309" t="s">
        <v>722</v>
      </c>
      <c r="DO309">
        <v>1</v>
      </c>
      <c r="DP309" t="e">
        <v>#N/A</v>
      </c>
      <c r="DQ309" t="s">
        <v>722</v>
      </c>
      <c r="DR309">
        <v>1</v>
      </c>
      <c r="DS309" t="e">
        <v>#N/A</v>
      </c>
      <c r="DT309" t="s">
        <v>722</v>
      </c>
      <c r="DU309">
        <v>1</v>
      </c>
      <c r="DV309" t="e">
        <v>#N/A</v>
      </c>
      <c r="DW309" t="s">
        <v>722</v>
      </c>
      <c r="DX309">
        <v>1</v>
      </c>
      <c r="DY309" t="e">
        <v>#N/A</v>
      </c>
      <c r="DZ309" t="s">
        <v>722</v>
      </c>
      <c r="EA309">
        <v>1</v>
      </c>
      <c r="EB309" t="e">
        <v>#N/A</v>
      </c>
      <c r="EC309" t="s">
        <v>722</v>
      </c>
      <c r="ED309">
        <v>1</v>
      </c>
      <c r="EE309" t="e">
        <v>#N/A</v>
      </c>
      <c r="EF309" t="s">
        <v>722</v>
      </c>
      <c r="EG309">
        <v>1</v>
      </c>
      <c r="EH309" t="e">
        <v>#N/A</v>
      </c>
      <c r="EI309" t="s">
        <v>722</v>
      </c>
      <c r="EJ309">
        <v>1</v>
      </c>
      <c r="EK309" t="e">
        <v>#N/A</v>
      </c>
    </row>
    <row r="310" spans="1:141">
      <c r="A310" t="s">
        <v>722</v>
      </c>
      <c r="B310">
        <v>0.99</v>
      </c>
      <c r="C310" t="e">
        <v>#N/A</v>
      </c>
      <c r="D310" t="s">
        <v>722</v>
      </c>
      <c r="E310">
        <v>926.61</v>
      </c>
      <c r="F310" t="e">
        <v>#N/A</v>
      </c>
      <c r="G310" t="s">
        <v>722</v>
      </c>
      <c r="H310">
        <v>0.87</v>
      </c>
      <c r="I310" t="e">
        <v>#N/A</v>
      </c>
      <c r="J310" t="s">
        <v>722</v>
      </c>
      <c r="K310">
        <v>926.61</v>
      </c>
      <c r="L310" t="e">
        <v>#N/A</v>
      </c>
      <c r="M310" t="s">
        <v>722</v>
      </c>
      <c r="N310">
        <v>1087.3699999999999</v>
      </c>
      <c r="O310" t="e">
        <v>#N/A</v>
      </c>
      <c r="P310" t="s">
        <v>722</v>
      </c>
      <c r="Q310">
        <v>0.87</v>
      </c>
      <c r="R310" t="e">
        <v>#N/A</v>
      </c>
      <c r="S310" t="s">
        <v>722</v>
      </c>
      <c r="T310">
        <v>0.99</v>
      </c>
      <c r="U310" t="e">
        <v>#N/A</v>
      </c>
      <c r="V310" t="s">
        <v>722</v>
      </c>
      <c r="W310">
        <v>0.9</v>
      </c>
      <c r="X310" t="e">
        <v>#N/A</v>
      </c>
      <c r="Y310" t="s">
        <v>722</v>
      </c>
      <c r="Z310">
        <v>0.92</v>
      </c>
      <c r="AA310" t="e">
        <v>#N/A</v>
      </c>
      <c r="AB310" t="s">
        <v>722</v>
      </c>
      <c r="AC310">
        <v>1</v>
      </c>
      <c r="AD310" t="e">
        <v>#N/A</v>
      </c>
      <c r="AE310" t="s">
        <v>722</v>
      </c>
      <c r="AF310">
        <v>1</v>
      </c>
      <c r="AG310" t="e">
        <v>#N/A</v>
      </c>
      <c r="AH310" t="s">
        <v>722</v>
      </c>
      <c r="AI310">
        <v>0.88</v>
      </c>
      <c r="AJ310" t="e">
        <v>#N/A</v>
      </c>
      <c r="AK310" t="s">
        <v>722</v>
      </c>
      <c r="AL310">
        <v>0.94</v>
      </c>
      <c r="AM310" t="e">
        <v>#N/A</v>
      </c>
      <c r="AN310" t="s">
        <v>722</v>
      </c>
      <c r="AO310">
        <v>0.96</v>
      </c>
      <c r="AP310" t="e">
        <v>#N/A</v>
      </c>
      <c r="AQ310" t="s">
        <v>722</v>
      </c>
      <c r="AR310">
        <v>0.81</v>
      </c>
      <c r="AS310" t="e">
        <v>#N/A</v>
      </c>
      <c r="AT310" t="s">
        <v>722</v>
      </c>
      <c r="AU310">
        <v>0.8</v>
      </c>
      <c r="AV310" t="e">
        <v>#N/A</v>
      </c>
      <c r="AW310" t="s">
        <v>722</v>
      </c>
      <c r="AX310">
        <v>0.9</v>
      </c>
      <c r="AY310" t="e">
        <v>#N/A</v>
      </c>
      <c r="AZ310" t="s">
        <v>722</v>
      </c>
      <c r="BA310">
        <v>0.84</v>
      </c>
      <c r="BB310" t="e">
        <v>#N/A</v>
      </c>
      <c r="BC310" t="s">
        <v>722</v>
      </c>
      <c r="BD310">
        <v>1</v>
      </c>
      <c r="BE310" t="e">
        <v>#N/A</v>
      </c>
      <c r="BF310" t="s">
        <v>722</v>
      </c>
      <c r="BG310">
        <v>0.89</v>
      </c>
      <c r="BH310" t="e">
        <v>#N/A</v>
      </c>
      <c r="BI310" t="s">
        <v>722</v>
      </c>
      <c r="BJ310">
        <v>0.92</v>
      </c>
      <c r="BK310" t="e">
        <v>#N/A</v>
      </c>
      <c r="BL310" t="s">
        <v>722</v>
      </c>
      <c r="BM310">
        <v>1</v>
      </c>
      <c r="BN310" t="e">
        <v>#N/A</v>
      </c>
      <c r="BO310" t="s">
        <v>722</v>
      </c>
      <c r="BP310">
        <v>1044.5899999999999</v>
      </c>
      <c r="BQ310" t="e">
        <v>#N/A</v>
      </c>
      <c r="BR310" t="s">
        <v>722</v>
      </c>
      <c r="BS310">
        <v>0.86</v>
      </c>
      <c r="BT310" t="e">
        <v>#N/A</v>
      </c>
      <c r="BU310" t="s">
        <v>722</v>
      </c>
      <c r="BV310">
        <v>1003</v>
      </c>
      <c r="BW310" t="e">
        <v>#N/A</v>
      </c>
      <c r="BX310" t="s">
        <v>722</v>
      </c>
      <c r="BY310">
        <v>1</v>
      </c>
      <c r="BZ310" t="e">
        <v>#N/A</v>
      </c>
      <c r="CA310" t="s">
        <v>722</v>
      </c>
      <c r="CB310">
        <v>1</v>
      </c>
      <c r="CC310" t="e">
        <v>#N/A</v>
      </c>
      <c r="CD310" t="s">
        <v>722</v>
      </c>
      <c r="CE310">
        <v>1</v>
      </c>
      <c r="CF310" t="e">
        <v>#N/A</v>
      </c>
      <c r="CG310" t="s">
        <v>722</v>
      </c>
      <c r="CH310">
        <v>0.95</v>
      </c>
      <c r="CI310" t="e">
        <v>#N/A</v>
      </c>
      <c r="CJ310" t="s">
        <v>722</v>
      </c>
      <c r="CK310">
        <v>0.89</v>
      </c>
      <c r="CL310" t="e">
        <v>#N/A</v>
      </c>
      <c r="CM310" t="s">
        <v>722</v>
      </c>
      <c r="CN310">
        <v>1</v>
      </c>
      <c r="CO310" t="e">
        <v>#N/A</v>
      </c>
      <c r="CQ310">
        <v>98.2</v>
      </c>
      <c r="CR310" t="e">
        <v>#N/A</v>
      </c>
      <c r="CS310" t="s">
        <v>722</v>
      </c>
      <c r="CT310">
        <v>0.99</v>
      </c>
      <c r="CU310" t="e">
        <v>#N/A</v>
      </c>
      <c r="CV310" t="s">
        <v>722</v>
      </c>
      <c r="CW310">
        <v>0.82</v>
      </c>
      <c r="CX310" t="e">
        <v>#N/A</v>
      </c>
      <c r="CZ310">
        <v>98.2</v>
      </c>
      <c r="DA310" t="e">
        <v>#N/A</v>
      </c>
      <c r="DB310" t="s">
        <v>722</v>
      </c>
      <c r="DC310">
        <v>1</v>
      </c>
      <c r="DD310" t="e">
        <v>#N/A</v>
      </c>
      <c r="DE310" t="s">
        <v>722</v>
      </c>
      <c r="DF310">
        <v>1</v>
      </c>
      <c r="DG310" t="e">
        <v>#N/A</v>
      </c>
      <c r="DH310" t="s">
        <v>722</v>
      </c>
      <c r="DI310">
        <v>1</v>
      </c>
      <c r="DJ310" t="e">
        <v>#N/A</v>
      </c>
      <c r="DK310" t="s">
        <v>722</v>
      </c>
      <c r="DL310">
        <v>0.83</v>
      </c>
      <c r="DM310" t="e">
        <v>#N/A</v>
      </c>
      <c r="DN310" t="s">
        <v>722</v>
      </c>
      <c r="DO310">
        <v>1</v>
      </c>
      <c r="DP310" t="e">
        <v>#N/A</v>
      </c>
      <c r="DQ310" t="s">
        <v>722</v>
      </c>
      <c r="DR310">
        <v>1</v>
      </c>
      <c r="DS310" t="e">
        <v>#N/A</v>
      </c>
      <c r="DT310" t="s">
        <v>722</v>
      </c>
      <c r="DU310">
        <v>1</v>
      </c>
      <c r="DV310" t="e">
        <v>#N/A</v>
      </c>
      <c r="DW310" t="s">
        <v>722</v>
      </c>
      <c r="DX310">
        <v>0.8</v>
      </c>
      <c r="DY310" t="e">
        <v>#N/A</v>
      </c>
      <c r="DZ310" t="s">
        <v>722</v>
      </c>
      <c r="EA310">
        <v>0.85</v>
      </c>
      <c r="EB310" t="e">
        <v>#N/A</v>
      </c>
      <c r="EC310" t="s">
        <v>722</v>
      </c>
      <c r="ED310">
        <v>0.8</v>
      </c>
      <c r="EE310" t="e">
        <v>#N/A</v>
      </c>
      <c r="EF310" t="s">
        <v>722</v>
      </c>
      <c r="EG310">
        <v>0.8</v>
      </c>
      <c r="EH310" t="e">
        <v>#N/A</v>
      </c>
      <c r="EI310" t="s">
        <v>722</v>
      </c>
      <c r="EJ310">
        <v>1</v>
      </c>
      <c r="EK310" t="e">
        <v>#N/A</v>
      </c>
    </row>
    <row r="311" spans="1:141">
      <c r="A311" t="s">
        <v>722</v>
      </c>
      <c r="B311">
        <v>0.99</v>
      </c>
      <c r="C311" t="e">
        <v>#N/A</v>
      </c>
      <c r="D311" t="s">
        <v>722</v>
      </c>
      <c r="E311">
        <v>1</v>
      </c>
      <c r="F311" t="e">
        <v>#N/A</v>
      </c>
      <c r="G311" t="s">
        <v>722</v>
      </c>
      <c r="H311">
        <v>0.87</v>
      </c>
      <c r="I311" t="e">
        <v>#N/A</v>
      </c>
      <c r="J311" t="s">
        <v>722</v>
      </c>
      <c r="K311">
        <v>1</v>
      </c>
      <c r="L311" t="e">
        <v>#N/A</v>
      </c>
      <c r="M311" t="s">
        <v>722</v>
      </c>
      <c r="N311">
        <v>926.61</v>
      </c>
      <c r="O311" t="e">
        <v>#N/A</v>
      </c>
      <c r="P311" t="s">
        <v>722</v>
      </c>
      <c r="Q311">
        <v>0.99</v>
      </c>
      <c r="R311" t="e">
        <v>#N/A</v>
      </c>
      <c r="S311" t="s">
        <v>722</v>
      </c>
      <c r="T311">
        <v>0.88</v>
      </c>
      <c r="U311" t="e">
        <v>#N/A</v>
      </c>
      <c r="V311" t="s">
        <v>722</v>
      </c>
      <c r="W311">
        <v>997.73</v>
      </c>
      <c r="X311" t="e">
        <v>#N/A</v>
      </c>
      <c r="Y311" t="s">
        <v>722</v>
      </c>
      <c r="Z311">
        <v>1</v>
      </c>
      <c r="AA311" t="e">
        <v>#N/A</v>
      </c>
      <c r="AB311" t="s">
        <v>722</v>
      </c>
      <c r="AC311">
        <v>1</v>
      </c>
      <c r="AD311" t="e">
        <v>#N/A</v>
      </c>
      <c r="AE311" t="s">
        <v>722</v>
      </c>
      <c r="AF311">
        <v>1</v>
      </c>
      <c r="AG311" t="e">
        <v>#N/A</v>
      </c>
      <c r="AH311" t="s">
        <v>722</v>
      </c>
      <c r="AI311">
        <v>1</v>
      </c>
      <c r="AJ311" t="e">
        <v>#N/A</v>
      </c>
      <c r="AK311" t="s">
        <v>722</v>
      </c>
      <c r="AL311">
        <v>1</v>
      </c>
      <c r="AM311" t="e">
        <v>#N/A</v>
      </c>
      <c r="AN311" t="s">
        <v>722</v>
      </c>
      <c r="AO311">
        <v>0.95</v>
      </c>
      <c r="AP311" t="e">
        <v>#N/A</v>
      </c>
      <c r="AQ311" t="s">
        <v>722</v>
      </c>
      <c r="AR311">
        <v>0.9</v>
      </c>
      <c r="AS311" t="e">
        <v>#N/A</v>
      </c>
      <c r="AT311" t="s">
        <v>722</v>
      </c>
      <c r="AU311">
        <v>0.9</v>
      </c>
      <c r="AV311" t="e">
        <v>#N/A</v>
      </c>
      <c r="AW311" t="s">
        <v>722</v>
      </c>
      <c r="AX311">
        <v>1</v>
      </c>
      <c r="AY311" t="e">
        <v>#N/A</v>
      </c>
      <c r="AZ311" t="s">
        <v>722</v>
      </c>
      <c r="BA311">
        <v>0.81</v>
      </c>
      <c r="BB311" t="e">
        <v>#N/A</v>
      </c>
      <c r="BC311" t="s">
        <v>722</v>
      </c>
      <c r="BD311">
        <v>1087.3699999999999</v>
      </c>
      <c r="BE311" t="e">
        <v>#N/A</v>
      </c>
      <c r="BF311" t="s">
        <v>722</v>
      </c>
      <c r="BG311">
        <v>0.85</v>
      </c>
      <c r="BH311" t="e">
        <v>#N/A</v>
      </c>
      <c r="BI311" t="s">
        <v>722</v>
      </c>
      <c r="BJ311">
        <v>0.86</v>
      </c>
      <c r="BK311" t="e">
        <v>#N/A</v>
      </c>
      <c r="BL311" t="s">
        <v>722</v>
      </c>
      <c r="BM311">
        <v>0.99</v>
      </c>
      <c r="BN311" t="e">
        <v>#N/A</v>
      </c>
      <c r="BO311" t="s">
        <v>722</v>
      </c>
      <c r="BP311">
        <v>997.73</v>
      </c>
      <c r="BQ311" t="e">
        <v>#N/A</v>
      </c>
      <c r="BR311" t="s">
        <v>722</v>
      </c>
      <c r="BS311">
        <v>1039.6500000000001</v>
      </c>
      <c r="BT311" t="e">
        <v>#N/A</v>
      </c>
      <c r="BU311" t="s">
        <v>722</v>
      </c>
      <c r="BV311">
        <v>1</v>
      </c>
      <c r="BW311" t="e">
        <v>#N/A</v>
      </c>
      <c r="BX311" t="s">
        <v>722</v>
      </c>
      <c r="BY311">
        <v>1</v>
      </c>
      <c r="BZ311" t="e">
        <v>#N/A</v>
      </c>
      <c r="CA311" t="s">
        <v>722</v>
      </c>
      <c r="CB311">
        <v>1012.33</v>
      </c>
      <c r="CC311" t="e">
        <v>#N/A</v>
      </c>
      <c r="CD311" t="s">
        <v>722</v>
      </c>
      <c r="CE311">
        <v>1</v>
      </c>
      <c r="CF311" t="e">
        <v>#N/A</v>
      </c>
      <c r="CG311" t="s">
        <v>722</v>
      </c>
      <c r="CH311">
        <v>1</v>
      </c>
      <c r="CI311" t="e">
        <v>#N/A</v>
      </c>
      <c r="CJ311" t="s">
        <v>722</v>
      </c>
      <c r="CK311">
        <v>0.86</v>
      </c>
      <c r="CL311" t="e">
        <v>#N/A</v>
      </c>
      <c r="CM311" t="s">
        <v>722</v>
      </c>
      <c r="CN311">
        <v>0.86</v>
      </c>
      <c r="CO311" t="e">
        <v>#N/A</v>
      </c>
      <c r="CP311" t="s">
        <v>722</v>
      </c>
      <c r="CQ311">
        <v>0.84</v>
      </c>
      <c r="CR311" t="e">
        <v>#N/A</v>
      </c>
      <c r="CS311" t="s">
        <v>722</v>
      </c>
      <c r="CT311">
        <v>1</v>
      </c>
      <c r="CU311" t="e">
        <v>#N/A</v>
      </c>
      <c r="CV311" t="s">
        <v>722</v>
      </c>
      <c r="CW311">
        <v>0.84</v>
      </c>
      <c r="CX311" t="e">
        <v>#N/A</v>
      </c>
      <c r="CY311" t="s">
        <v>722</v>
      </c>
      <c r="CZ311">
        <v>0.9</v>
      </c>
      <c r="DA311" t="e">
        <v>#N/A</v>
      </c>
      <c r="DB311" t="s">
        <v>722</v>
      </c>
      <c r="DC311">
        <v>1</v>
      </c>
      <c r="DD311" t="e">
        <v>#N/A</v>
      </c>
      <c r="DE311" t="s">
        <v>722</v>
      </c>
      <c r="DF311">
        <v>0.86</v>
      </c>
      <c r="DG311" t="e">
        <v>#N/A</v>
      </c>
      <c r="DH311" t="s">
        <v>722</v>
      </c>
      <c r="DI311">
        <v>0.85</v>
      </c>
      <c r="DJ311" t="e">
        <v>#N/A</v>
      </c>
      <c r="DK311" t="s">
        <v>722</v>
      </c>
      <c r="DL311">
        <v>0.92</v>
      </c>
      <c r="DM311" t="e">
        <v>#N/A</v>
      </c>
      <c r="DN311" t="s">
        <v>722</v>
      </c>
      <c r="DO311">
        <v>1</v>
      </c>
      <c r="DP311" t="e">
        <v>#N/A</v>
      </c>
      <c r="DQ311" t="s">
        <v>722</v>
      </c>
      <c r="DR311">
        <v>1</v>
      </c>
      <c r="DS311" t="e">
        <v>#N/A</v>
      </c>
      <c r="DT311" t="s">
        <v>722</v>
      </c>
      <c r="DU311">
        <v>1</v>
      </c>
      <c r="DV311" t="e">
        <v>#N/A</v>
      </c>
      <c r="DW311" t="s">
        <v>722</v>
      </c>
      <c r="DX311">
        <v>1</v>
      </c>
      <c r="DY311" t="e">
        <v>#N/A</v>
      </c>
      <c r="DZ311" t="s">
        <v>722</v>
      </c>
      <c r="EA311">
        <v>1</v>
      </c>
      <c r="EB311" t="e">
        <v>#N/A</v>
      </c>
      <c r="EC311" t="s">
        <v>722</v>
      </c>
      <c r="ED311">
        <v>1</v>
      </c>
      <c r="EE311" t="e">
        <v>#N/A</v>
      </c>
      <c r="EF311" t="s">
        <v>722</v>
      </c>
      <c r="EG311">
        <v>1</v>
      </c>
      <c r="EH311" t="e">
        <v>#N/A</v>
      </c>
      <c r="EI311" t="s">
        <v>722</v>
      </c>
      <c r="EJ311">
        <v>0.8</v>
      </c>
      <c r="EK311" t="e">
        <v>#N/A</v>
      </c>
    </row>
    <row r="312" spans="1:141">
      <c r="A312" t="s">
        <v>722</v>
      </c>
      <c r="B312">
        <v>0.95</v>
      </c>
      <c r="C312" t="e">
        <v>#N/A</v>
      </c>
      <c r="D312" t="s">
        <v>722</v>
      </c>
      <c r="E312">
        <v>0.95</v>
      </c>
      <c r="F312" t="e">
        <v>#N/A</v>
      </c>
      <c r="G312" t="s">
        <v>722</v>
      </c>
      <c r="H312">
        <v>0.88</v>
      </c>
      <c r="I312" t="e">
        <v>#N/A</v>
      </c>
      <c r="J312" t="s">
        <v>722</v>
      </c>
      <c r="K312">
        <v>0.95</v>
      </c>
      <c r="L312" t="e">
        <v>#N/A</v>
      </c>
      <c r="M312" t="s">
        <v>722</v>
      </c>
      <c r="N312">
        <v>1</v>
      </c>
      <c r="O312" t="e">
        <v>#N/A</v>
      </c>
      <c r="P312" t="s">
        <v>722</v>
      </c>
      <c r="Q312">
        <v>997.73</v>
      </c>
      <c r="R312" t="e">
        <v>#N/A</v>
      </c>
      <c r="S312" t="s">
        <v>722</v>
      </c>
      <c r="T312">
        <v>1011.97</v>
      </c>
      <c r="U312" t="e">
        <v>#N/A</v>
      </c>
      <c r="V312" t="s">
        <v>722</v>
      </c>
      <c r="W312">
        <v>1</v>
      </c>
      <c r="X312" t="e">
        <v>#N/A</v>
      </c>
      <c r="Y312" t="s">
        <v>722</v>
      </c>
      <c r="Z312">
        <v>0.9</v>
      </c>
      <c r="AA312" t="e">
        <v>#N/A</v>
      </c>
      <c r="AB312" t="s">
        <v>722</v>
      </c>
      <c r="AC312">
        <v>0.95</v>
      </c>
      <c r="AD312" t="e">
        <v>#N/A</v>
      </c>
      <c r="AE312" t="s">
        <v>722</v>
      </c>
      <c r="AF312">
        <v>0.88</v>
      </c>
      <c r="AG312" t="e">
        <v>#N/A</v>
      </c>
      <c r="AH312" t="s">
        <v>722</v>
      </c>
      <c r="AI312">
        <v>997.73</v>
      </c>
      <c r="AJ312" t="e">
        <v>#N/A</v>
      </c>
      <c r="AK312" t="s">
        <v>722</v>
      </c>
      <c r="AL312">
        <v>0.97</v>
      </c>
      <c r="AM312" t="e">
        <v>#N/A</v>
      </c>
      <c r="AN312" t="s">
        <v>722</v>
      </c>
      <c r="AO312">
        <v>0.85</v>
      </c>
      <c r="AP312" t="e">
        <v>#N/A</v>
      </c>
      <c r="AQ312" t="s">
        <v>722</v>
      </c>
      <c r="AR312">
        <v>997.73</v>
      </c>
      <c r="AS312" t="e">
        <v>#N/A</v>
      </c>
      <c r="AT312" t="s">
        <v>722</v>
      </c>
      <c r="AU312">
        <v>0.99</v>
      </c>
      <c r="AV312" t="e">
        <v>#N/A</v>
      </c>
      <c r="AW312" t="s">
        <v>722</v>
      </c>
      <c r="AX312">
        <v>0.8</v>
      </c>
      <c r="AY312" t="e">
        <v>#N/A</v>
      </c>
      <c r="AZ312" t="s">
        <v>722</v>
      </c>
      <c r="BA312">
        <v>0.9</v>
      </c>
      <c r="BB312" t="e">
        <v>#N/A</v>
      </c>
      <c r="BC312" t="s">
        <v>722</v>
      </c>
      <c r="BD312">
        <v>1009.28</v>
      </c>
      <c r="BE312" t="e">
        <v>#N/A</v>
      </c>
      <c r="BF312" t="s">
        <v>722</v>
      </c>
      <c r="BG312">
        <v>0.85</v>
      </c>
      <c r="BH312" t="e">
        <v>#N/A</v>
      </c>
      <c r="BI312" t="s">
        <v>722</v>
      </c>
      <c r="BJ312">
        <v>1016.26</v>
      </c>
      <c r="BK312" t="e">
        <v>#N/A</v>
      </c>
      <c r="BL312" t="s">
        <v>722</v>
      </c>
      <c r="BM312">
        <v>0.99</v>
      </c>
      <c r="BN312" t="e">
        <v>#N/A</v>
      </c>
      <c r="BO312" t="s">
        <v>722</v>
      </c>
      <c r="BP312">
        <v>1</v>
      </c>
      <c r="BQ312" t="e">
        <v>#N/A</v>
      </c>
      <c r="BR312" t="s">
        <v>722</v>
      </c>
      <c r="BS312">
        <v>0.82</v>
      </c>
      <c r="BT312" t="e">
        <v>#N/A</v>
      </c>
      <c r="BU312" t="s">
        <v>722</v>
      </c>
      <c r="BV312">
        <v>1</v>
      </c>
      <c r="BW312" t="e">
        <v>#N/A</v>
      </c>
      <c r="BX312" t="s">
        <v>722</v>
      </c>
      <c r="BY312">
        <v>1</v>
      </c>
      <c r="BZ312" t="e">
        <v>#N/A</v>
      </c>
      <c r="CA312" t="s">
        <v>722</v>
      </c>
      <c r="CB312">
        <v>0.86</v>
      </c>
      <c r="CC312" t="e">
        <v>#N/A</v>
      </c>
      <c r="CD312" t="s">
        <v>722</v>
      </c>
      <c r="CE312">
        <v>1</v>
      </c>
      <c r="CF312" t="e">
        <v>#N/A</v>
      </c>
      <c r="CG312" t="s">
        <v>722</v>
      </c>
      <c r="CH312">
        <v>1</v>
      </c>
      <c r="CI312" t="e">
        <v>#N/A</v>
      </c>
      <c r="CJ312" t="s">
        <v>722</v>
      </c>
      <c r="CK312">
        <v>0.82</v>
      </c>
      <c r="CL312" t="e">
        <v>#N/A</v>
      </c>
      <c r="CM312" t="s">
        <v>722</v>
      </c>
      <c r="CN312">
        <v>1</v>
      </c>
      <c r="CO312" t="e">
        <v>#N/A</v>
      </c>
      <c r="CP312" t="s">
        <v>722</v>
      </c>
      <c r="CQ312">
        <v>1</v>
      </c>
      <c r="CR312" t="e">
        <v>#N/A</v>
      </c>
      <c r="CS312" t="s">
        <v>722</v>
      </c>
      <c r="CT312">
        <v>1</v>
      </c>
      <c r="CU312" t="e">
        <v>#N/A</v>
      </c>
      <c r="CV312" t="s">
        <v>722</v>
      </c>
      <c r="CW312">
        <v>0.81</v>
      </c>
      <c r="CX312" t="e">
        <v>#N/A</v>
      </c>
      <c r="CY312" t="s">
        <v>722</v>
      </c>
      <c r="CZ312">
        <v>0.84</v>
      </c>
      <c r="DA312" t="e">
        <v>#N/A</v>
      </c>
      <c r="DB312" t="s">
        <v>722</v>
      </c>
      <c r="DC312">
        <v>1</v>
      </c>
      <c r="DD312" t="e">
        <v>#N/A</v>
      </c>
      <c r="DE312" t="s">
        <v>722</v>
      </c>
      <c r="DF312">
        <v>1</v>
      </c>
      <c r="DG312" t="e">
        <v>#N/A</v>
      </c>
      <c r="DH312" t="s">
        <v>722</v>
      </c>
      <c r="DI312">
        <v>1</v>
      </c>
      <c r="DJ312" t="e">
        <v>#N/A</v>
      </c>
      <c r="DK312" t="s">
        <v>722</v>
      </c>
      <c r="DL312">
        <v>0.85</v>
      </c>
      <c r="DM312" t="e">
        <v>#N/A</v>
      </c>
      <c r="DN312" t="s">
        <v>722</v>
      </c>
      <c r="DO312">
        <v>1</v>
      </c>
      <c r="DP312" t="e">
        <v>#N/A</v>
      </c>
      <c r="DQ312" t="s">
        <v>722</v>
      </c>
      <c r="DR312">
        <v>1</v>
      </c>
      <c r="DS312" t="e">
        <v>#N/A</v>
      </c>
      <c r="DT312" t="s">
        <v>722</v>
      </c>
      <c r="DU312">
        <v>0.99</v>
      </c>
      <c r="DV312" t="e">
        <v>#N/A</v>
      </c>
      <c r="DW312" t="s">
        <v>722</v>
      </c>
      <c r="DX312">
        <v>0.85</v>
      </c>
      <c r="DY312" t="e">
        <v>#N/A</v>
      </c>
      <c r="DZ312" t="s">
        <v>722</v>
      </c>
      <c r="EA312">
        <v>0.82</v>
      </c>
      <c r="EB312" t="e">
        <v>#N/A</v>
      </c>
      <c r="EC312" t="s">
        <v>722</v>
      </c>
      <c r="ED312">
        <v>0.85</v>
      </c>
      <c r="EE312" t="e">
        <v>#N/A</v>
      </c>
      <c r="EF312" t="s">
        <v>722</v>
      </c>
      <c r="EG312">
        <v>0.85</v>
      </c>
      <c r="EH312" t="e">
        <v>#N/A</v>
      </c>
      <c r="EI312" t="s">
        <v>722</v>
      </c>
      <c r="EJ312">
        <v>1</v>
      </c>
      <c r="EK312" t="e">
        <v>#N/A</v>
      </c>
    </row>
    <row r="313" spans="1:141">
      <c r="A313" t="s">
        <v>722</v>
      </c>
      <c r="B313">
        <v>0.98</v>
      </c>
      <c r="C313" t="e">
        <v>#N/A</v>
      </c>
      <c r="D313" t="s">
        <v>722</v>
      </c>
      <c r="E313">
        <v>0.98</v>
      </c>
      <c r="F313" t="e">
        <v>#N/A</v>
      </c>
      <c r="G313" t="s">
        <v>722</v>
      </c>
      <c r="H313">
        <v>0.85</v>
      </c>
      <c r="I313" t="e">
        <v>#N/A</v>
      </c>
      <c r="J313" t="s">
        <v>722</v>
      </c>
      <c r="K313">
        <v>0.95</v>
      </c>
      <c r="L313" t="e">
        <v>#N/A</v>
      </c>
      <c r="M313" t="s">
        <v>722</v>
      </c>
      <c r="N313">
        <v>0.97</v>
      </c>
      <c r="O313" t="e">
        <v>#N/A</v>
      </c>
      <c r="P313" t="s">
        <v>722</v>
      </c>
      <c r="Q313">
        <v>1</v>
      </c>
      <c r="R313" t="e">
        <v>#N/A</v>
      </c>
      <c r="S313" t="s">
        <v>722</v>
      </c>
      <c r="T313">
        <v>0.99</v>
      </c>
      <c r="U313" t="e">
        <v>#N/A</v>
      </c>
      <c r="V313" t="s">
        <v>722</v>
      </c>
      <c r="W313">
        <v>1</v>
      </c>
      <c r="X313" t="e">
        <v>#N/A</v>
      </c>
      <c r="Y313" t="s">
        <v>722</v>
      </c>
      <c r="Z313">
        <v>0.97</v>
      </c>
      <c r="AA313" t="e">
        <v>#N/A</v>
      </c>
      <c r="AB313" t="s">
        <v>722</v>
      </c>
      <c r="AC313">
        <v>0.97</v>
      </c>
      <c r="AD313" t="e">
        <v>#N/A</v>
      </c>
      <c r="AE313" t="s">
        <v>722</v>
      </c>
      <c r="AF313">
        <v>0.9</v>
      </c>
      <c r="AG313" t="e">
        <v>#N/A</v>
      </c>
      <c r="AH313" t="s">
        <v>722</v>
      </c>
      <c r="AI313">
        <v>1</v>
      </c>
      <c r="AJ313" t="e">
        <v>#N/A</v>
      </c>
      <c r="AK313" t="s">
        <v>722</v>
      </c>
      <c r="AL313">
        <v>0.81</v>
      </c>
      <c r="AM313" t="e">
        <v>#N/A</v>
      </c>
      <c r="AN313" t="s">
        <v>722</v>
      </c>
      <c r="AO313">
        <v>0.99</v>
      </c>
      <c r="AP313" t="e">
        <v>#N/A</v>
      </c>
      <c r="AQ313" t="s">
        <v>722</v>
      </c>
      <c r="AR313">
        <v>1</v>
      </c>
      <c r="AS313" t="e">
        <v>#N/A</v>
      </c>
      <c r="AT313" t="s">
        <v>722</v>
      </c>
      <c r="AU313">
        <v>0.98</v>
      </c>
      <c r="AV313" t="e">
        <v>#N/A</v>
      </c>
      <c r="AW313" t="s">
        <v>722</v>
      </c>
      <c r="AX313">
        <v>0.9</v>
      </c>
      <c r="AY313" t="e">
        <v>#N/A</v>
      </c>
      <c r="AZ313" t="s">
        <v>722</v>
      </c>
      <c r="BA313">
        <v>0.9</v>
      </c>
      <c r="BB313" t="e">
        <v>#N/A</v>
      </c>
      <c r="BC313" t="s">
        <v>722</v>
      </c>
      <c r="BD313">
        <v>926.61</v>
      </c>
      <c r="BE313" t="e">
        <v>#N/A</v>
      </c>
      <c r="BF313" t="s">
        <v>722</v>
      </c>
      <c r="BG313">
        <v>1</v>
      </c>
      <c r="BH313" t="e">
        <v>#N/A</v>
      </c>
      <c r="BI313" t="s">
        <v>722</v>
      </c>
      <c r="BJ313">
        <v>1</v>
      </c>
      <c r="BK313" t="e">
        <v>#N/A</v>
      </c>
      <c r="BL313" t="s">
        <v>722</v>
      </c>
      <c r="BM313">
        <v>0.99</v>
      </c>
      <c r="BN313" t="e">
        <v>#N/A</v>
      </c>
      <c r="BO313" t="s">
        <v>722</v>
      </c>
      <c r="BP313">
        <v>1</v>
      </c>
      <c r="BQ313" t="e">
        <v>#N/A</v>
      </c>
      <c r="BS313">
        <v>98.2</v>
      </c>
      <c r="BT313" t="e">
        <v>#N/A</v>
      </c>
      <c r="BU313" t="s">
        <v>722</v>
      </c>
      <c r="BV313">
        <v>1</v>
      </c>
      <c r="BW313" t="e">
        <v>#N/A</v>
      </c>
      <c r="BX313" t="s">
        <v>722</v>
      </c>
      <c r="BY313">
        <v>0.86</v>
      </c>
      <c r="BZ313" t="e">
        <v>#N/A</v>
      </c>
      <c r="CA313" t="s">
        <v>722</v>
      </c>
      <c r="CB313">
        <v>0.82</v>
      </c>
      <c r="CC313" t="e">
        <v>#N/A</v>
      </c>
      <c r="CD313" t="s">
        <v>722</v>
      </c>
      <c r="CE313">
        <v>1</v>
      </c>
      <c r="CF313" t="e">
        <v>#N/A</v>
      </c>
      <c r="CG313" t="s">
        <v>722</v>
      </c>
      <c r="CH313">
        <v>1</v>
      </c>
      <c r="CI313" t="e">
        <v>#N/A</v>
      </c>
      <c r="CK313">
        <v>98.2</v>
      </c>
      <c r="CL313" t="e">
        <v>#N/A</v>
      </c>
      <c r="CM313" t="s">
        <v>722</v>
      </c>
      <c r="CN313">
        <v>1</v>
      </c>
      <c r="CO313" t="e">
        <v>#N/A</v>
      </c>
      <c r="CP313" t="s">
        <v>722</v>
      </c>
      <c r="CQ313">
        <v>1</v>
      </c>
      <c r="CR313" t="e">
        <v>#N/A</v>
      </c>
      <c r="CS313" t="s">
        <v>722</v>
      </c>
      <c r="CT313">
        <v>1</v>
      </c>
      <c r="CU313" t="e">
        <v>#N/A</v>
      </c>
      <c r="CV313" t="s">
        <v>722</v>
      </c>
      <c r="CW313">
        <v>0.98</v>
      </c>
      <c r="CX313" t="e">
        <v>#N/A</v>
      </c>
      <c r="CY313" t="s">
        <v>722</v>
      </c>
      <c r="CZ313">
        <v>1011.77</v>
      </c>
      <c r="DA313" t="e">
        <v>#N/A</v>
      </c>
      <c r="DB313" t="s">
        <v>722</v>
      </c>
      <c r="DC313">
        <v>1</v>
      </c>
      <c r="DD313" t="e">
        <v>#N/A</v>
      </c>
      <c r="DE313" t="s">
        <v>722</v>
      </c>
      <c r="DF313">
        <v>1</v>
      </c>
      <c r="DG313" t="e">
        <v>#N/A</v>
      </c>
      <c r="DH313" t="s">
        <v>722</v>
      </c>
      <c r="DI313">
        <v>1</v>
      </c>
      <c r="DJ313" t="e">
        <v>#N/A</v>
      </c>
      <c r="DK313" t="s">
        <v>722</v>
      </c>
      <c r="DL313">
        <v>1</v>
      </c>
      <c r="DM313" t="e">
        <v>#N/A</v>
      </c>
      <c r="DN313" t="s">
        <v>722</v>
      </c>
      <c r="DO313">
        <v>0.86</v>
      </c>
      <c r="DP313" t="e">
        <v>#N/A</v>
      </c>
      <c r="DQ313" t="s">
        <v>722</v>
      </c>
      <c r="DR313">
        <v>1</v>
      </c>
      <c r="DS313" t="e">
        <v>#N/A</v>
      </c>
      <c r="DT313" t="s">
        <v>722</v>
      </c>
      <c r="DU313">
        <v>0.95</v>
      </c>
      <c r="DV313" t="e">
        <v>#N/A</v>
      </c>
      <c r="DW313" t="s">
        <v>722</v>
      </c>
      <c r="DX313">
        <v>1</v>
      </c>
      <c r="DY313" t="e">
        <v>#N/A</v>
      </c>
      <c r="DZ313" t="s">
        <v>722</v>
      </c>
      <c r="EA313">
        <v>1</v>
      </c>
      <c r="EB313" t="e">
        <v>#N/A</v>
      </c>
      <c r="EC313" t="s">
        <v>722</v>
      </c>
      <c r="ED313">
        <v>1</v>
      </c>
      <c r="EE313" t="e">
        <v>#N/A</v>
      </c>
      <c r="EF313" t="s">
        <v>722</v>
      </c>
      <c r="EG313">
        <v>1</v>
      </c>
      <c r="EH313" t="e">
        <v>#N/A</v>
      </c>
      <c r="EI313" t="s">
        <v>722</v>
      </c>
      <c r="EJ313">
        <v>0.85</v>
      </c>
      <c r="EK313" t="e">
        <v>#N/A</v>
      </c>
    </row>
    <row r="314" spans="1:141">
      <c r="A314" t="s">
        <v>722</v>
      </c>
      <c r="B314">
        <v>0.9</v>
      </c>
      <c r="C314" t="e">
        <v>#N/A</v>
      </c>
      <c r="D314" t="s">
        <v>722</v>
      </c>
      <c r="E314">
        <v>0.9</v>
      </c>
      <c r="F314" t="e">
        <v>#N/A</v>
      </c>
      <c r="G314" t="s">
        <v>722</v>
      </c>
      <c r="H314">
        <v>0.82</v>
      </c>
      <c r="I314" t="e">
        <v>#N/A</v>
      </c>
      <c r="J314" t="s">
        <v>722</v>
      </c>
      <c r="K314">
        <v>0.87</v>
      </c>
      <c r="L314" t="e">
        <v>#N/A</v>
      </c>
      <c r="M314" t="s">
        <v>722</v>
      </c>
      <c r="N314">
        <v>0.87</v>
      </c>
      <c r="O314" t="e">
        <v>#N/A</v>
      </c>
      <c r="P314" t="s">
        <v>722</v>
      </c>
      <c r="Q314">
        <v>1087.3699999999999</v>
      </c>
      <c r="R314" t="e">
        <v>#N/A</v>
      </c>
      <c r="S314" t="s">
        <v>722</v>
      </c>
      <c r="T314">
        <v>997.73</v>
      </c>
      <c r="U314" t="e">
        <v>#N/A</v>
      </c>
      <c r="V314" t="s">
        <v>722</v>
      </c>
      <c r="W314">
        <v>0.99</v>
      </c>
      <c r="X314" t="e">
        <v>#N/A</v>
      </c>
      <c r="Y314" t="s">
        <v>722</v>
      </c>
      <c r="Z314">
        <v>997.73</v>
      </c>
      <c r="AA314" t="e">
        <v>#N/A</v>
      </c>
      <c r="AB314" t="s">
        <v>722</v>
      </c>
      <c r="AC314">
        <v>0.96</v>
      </c>
      <c r="AD314" t="e">
        <v>#N/A</v>
      </c>
      <c r="AE314" t="s">
        <v>722</v>
      </c>
      <c r="AF314">
        <v>1</v>
      </c>
      <c r="AG314" t="e">
        <v>#N/A</v>
      </c>
      <c r="AH314" t="s">
        <v>722</v>
      </c>
      <c r="AI314">
        <v>1</v>
      </c>
      <c r="AJ314" t="e">
        <v>#N/A</v>
      </c>
      <c r="AK314" t="s">
        <v>722</v>
      </c>
      <c r="AL314">
        <v>0.95</v>
      </c>
      <c r="AM314" t="e">
        <v>#N/A</v>
      </c>
      <c r="AN314" t="s">
        <v>722</v>
      </c>
      <c r="AO314">
        <v>1087.3699999999999</v>
      </c>
      <c r="AP314" t="e">
        <v>#N/A</v>
      </c>
      <c r="AQ314" t="s">
        <v>722</v>
      </c>
      <c r="AR314">
        <v>1</v>
      </c>
      <c r="AS314" t="e">
        <v>#N/A</v>
      </c>
      <c r="AT314" t="s">
        <v>722</v>
      </c>
      <c r="AU314">
        <v>1</v>
      </c>
      <c r="AV314" t="e">
        <v>#N/A</v>
      </c>
      <c r="AW314" t="s">
        <v>722</v>
      </c>
      <c r="AX314">
        <v>997.73</v>
      </c>
      <c r="AY314" t="e">
        <v>#N/A</v>
      </c>
      <c r="AZ314" t="s">
        <v>722</v>
      </c>
      <c r="BA314">
        <v>1044.5899999999999</v>
      </c>
      <c r="BB314" t="e">
        <v>#N/A</v>
      </c>
      <c r="BC314" t="s">
        <v>722</v>
      </c>
      <c r="BD314">
        <v>880.34</v>
      </c>
      <c r="BE314" t="e">
        <v>#N/A</v>
      </c>
      <c r="BF314" t="s">
        <v>722</v>
      </c>
      <c r="BG314">
        <v>0.8</v>
      </c>
      <c r="BH314" t="e">
        <v>#N/A</v>
      </c>
      <c r="BI314" t="s">
        <v>722</v>
      </c>
      <c r="BJ314">
        <v>1</v>
      </c>
      <c r="BK314" t="e">
        <v>#N/A</v>
      </c>
      <c r="BL314" t="s">
        <v>722</v>
      </c>
      <c r="BM314">
        <v>0.98</v>
      </c>
      <c r="BN314" t="e">
        <v>#N/A</v>
      </c>
      <c r="BO314" t="s">
        <v>722</v>
      </c>
      <c r="BP314">
        <v>1087.3699999999999</v>
      </c>
      <c r="BQ314" t="e">
        <v>#N/A</v>
      </c>
      <c r="BR314" t="s">
        <v>722</v>
      </c>
      <c r="BS314">
        <v>0.84</v>
      </c>
      <c r="BT314" t="e">
        <v>#N/A</v>
      </c>
      <c r="BU314" t="s">
        <v>722</v>
      </c>
      <c r="BV314">
        <v>0.86</v>
      </c>
      <c r="BW314" t="e">
        <v>#N/A</v>
      </c>
      <c r="BX314" t="s">
        <v>722</v>
      </c>
      <c r="BY314">
        <v>1</v>
      </c>
      <c r="BZ314" t="e">
        <v>#N/A</v>
      </c>
      <c r="CB314">
        <v>98.2</v>
      </c>
      <c r="CC314" t="e">
        <v>#N/A</v>
      </c>
      <c r="CD314" t="s">
        <v>722</v>
      </c>
      <c r="CE314">
        <v>1</v>
      </c>
      <c r="CF314" t="e">
        <v>#N/A</v>
      </c>
      <c r="CG314" t="s">
        <v>722</v>
      </c>
      <c r="CH314">
        <v>1</v>
      </c>
      <c r="CI314" t="e">
        <v>#N/A</v>
      </c>
      <c r="CJ314" t="s">
        <v>722</v>
      </c>
      <c r="CK314">
        <v>0.84</v>
      </c>
      <c r="CL314" t="e">
        <v>#N/A</v>
      </c>
      <c r="CM314" t="s">
        <v>722</v>
      </c>
      <c r="CN314">
        <v>1</v>
      </c>
      <c r="CO314" t="e">
        <v>#N/A</v>
      </c>
      <c r="CP314" t="s">
        <v>722</v>
      </c>
      <c r="CQ314">
        <v>1</v>
      </c>
      <c r="CR314" t="e">
        <v>#N/A</v>
      </c>
      <c r="CS314" t="s">
        <v>722</v>
      </c>
      <c r="CT314">
        <v>1</v>
      </c>
      <c r="CU314" t="e">
        <v>#N/A</v>
      </c>
      <c r="CV314" t="s">
        <v>722</v>
      </c>
      <c r="CW314">
        <v>0.91</v>
      </c>
      <c r="CX314" t="e">
        <v>#N/A</v>
      </c>
      <c r="CY314" t="s">
        <v>722</v>
      </c>
      <c r="CZ314">
        <v>0.82</v>
      </c>
      <c r="DA314" t="e">
        <v>#N/A</v>
      </c>
      <c r="DB314" t="s">
        <v>722</v>
      </c>
      <c r="DC314">
        <v>0.82</v>
      </c>
      <c r="DD314" t="e">
        <v>#N/A</v>
      </c>
      <c r="DE314" t="s">
        <v>722</v>
      </c>
      <c r="DF314">
        <v>0.82</v>
      </c>
      <c r="DG314" t="e">
        <v>#N/A</v>
      </c>
      <c r="DH314" t="s">
        <v>722</v>
      </c>
      <c r="DI314">
        <v>1</v>
      </c>
      <c r="DJ314" t="e">
        <v>#N/A</v>
      </c>
      <c r="DK314" t="s">
        <v>722</v>
      </c>
      <c r="DL314">
        <v>1</v>
      </c>
      <c r="DM314" t="e">
        <v>#N/A</v>
      </c>
      <c r="DN314" t="s">
        <v>722</v>
      </c>
      <c r="DO314">
        <v>0.8</v>
      </c>
      <c r="DP314" t="e">
        <v>#N/A</v>
      </c>
      <c r="DQ314" t="s">
        <v>722</v>
      </c>
      <c r="DR314">
        <v>0.97</v>
      </c>
      <c r="DS314" t="e">
        <v>#N/A</v>
      </c>
      <c r="DT314" t="s">
        <v>722</v>
      </c>
      <c r="DU314">
        <v>0.94</v>
      </c>
      <c r="DV314" t="e">
        <v>#N/A</v>
      </c>
      <c r="DW314" t="s">
        <v>722</v>
      </c>
      <c r="DX314">
        <v>0.82</v>
      </c>
      <c r="DY314" t="e">
        <v>#N/A</v>
      </c>
      <c r="DZ314" t="s">
        <v>722</v>
      </c>
      <c r="EA314">
        <v>1</v>
      </c>
      <c r="EB314" t="e">
        <v>#N/A</v>
      </c>
      <c r="EC314" t="s">
        <v>722</v>
      </c>
      <c r="ED314">
        <v>0.82</v>
      </c>
      <c r="EE314" t="e">
        <v>#N/A</v>
      </c>
      <c r="EF314" t="s">
        <v>722</v>
      </c>
      <c r="EG314">
        <v>0.82</v>
      </c>
      <c r="EH314" t="e">
        <v>#N/A</v>
      </c>
      <c r="EI314" t="s">
        <v>722</v>
      </c>
      <c r="EJ314">
        <v>1</v>
      </c>
      <c r="EK314" t="e">
        <v>#N/A</v>
      </c>
    </row>
    <row r="315" spans="1:141">
      <c r="A315" t="s">
        <v>722</v>
      </c>
      <c r="B315">
        <v>0.87</v>
      </c>
      <c r="C315" t="e">
        <v>#N/A</v>
      </c>
      <c r="D315" t="s">
        <v>722</v>
      </c>
      <c r="E315">
        <v>0.87</v>
      </c>
      <c r="F315" t="e">
        <v>#N/A</v>
      </c>
      <c r="G315" t="s">
        <v>722</v>
      </c>
      <c r="H315">
        <v>0.82</v>
      </c>
      <c r="I315" t="e">
        <v>#N/A</v>
      </c>
      <c r="J315" t="s">
        <v>722</v>
      </c>
      <c r="K315">
        <v>0.82</v>
      </c>
      <c r="L315" t="e">
        <v>#N/A</v>
      </c>
      <c r="M315" t="s">
        <v>722</v>
      </c>
      <c r="N315">
        <v>0.87</v>
      </c>
      <c r="O315" t="e">
        <v>#N/A</v>
      </c>
      <c r="P315" t="s">
        <v>722</v>
      </c>
      <c r="Q315">
        <v>996.25</v>
      </c>
      <c r="R315" t="e">
        <v>#N/A</v>
      </c>
      <c r="S315" t="s">
        <v>722</v>
      </c>
      <c r="T315">
        <v>1</v>
      </c>
      <c r="U315" t="e">
        <v>#N/A</v>
      </c>
      <c r="V315" t="s">
        <v>722</v>
      </c>
      <c r="W315">
        <v>0.88</v>
      </c>
      <c r="X315" t="e">
        <v>#N/A</v>
      </c>
      <c r="Y315" t="s">
        <v>722</v>
      </c>
      <c r="Z315">
        <v>1</v>
      </c>
      <c r="AA315" t="e">
        <v>#N/A</v>
      </c>
      <c r="AB315" t="s">
        <v>722</v>
      </c>
      <c r="AC315">
        <v>1087.3699999999999</v>
      </c>
      <c r="AD315" t="e">
        <v>#N/A</v>
      </c>
      <c r="AE315" t="s">
        <v>722</v>
      </c>
      <c r="AF315">
        <v>997.73</v>
      </c>
      <c r="AG315" t="e">
        <v>#N/A</v>
      </c>
      <c r="AH315" t="s">
        <v>722</v>
      </c>
      <c r="AI315">
        <v>1087.3699999999999</v>
      </c>
      <c r="AJ315" t="e">
        <v>#N/A</v>
      </c>
      <c r="AK315" t="s">
        <v>722</v>
      </c>
      <c r="AL315">
        <v>997.73</v>
      </c>
      <c r="AM315" t="e">
        <v>#N/A</v>
      </c>
      <c r="AN315" t="s">
        <v>722</v>
      </c>
      <c r="AO315">
        <v>926.61</v>
      </c>
      <c r="AP315" t="e">
        <v>#N/A</v>
      </c>
      <c r="AQ315" t="s">
        <v>722</v>
      </c>
      <c r="AR315">
        <v>0.98</v>
      </c>
      <c r="AS315" t="e">
        <v>#N/A</v>
      </c>
      <c r="AT315" t="s">
        <v>722</v>
      </c>
      <c r="AU315">
        <v>0.8</v>
      </c>
      <c r="AV315" t="e">
        <v>#N/A</v>
      </c>
      <c r="AW315" t="s">
        <v>722</v>
      </c>
      <c r="AX315">
        <v>1</v>
      </c>
      <c r="AY315" t="e">
        <v>#N/A</v>
      </c>
      <c r="AZ315" t="s">
        <v>722</v>
      </c>
      <c r="BA315">
        <v>997.73</v>
      </c>
      <c r="BB315" t="e">
        <v>#N/A</v>
      </c>
      <c r="BC315" t="s">
        <v>722</v>
      </c>
      <c r="BD315">
        <v>1</v>
      </c>
      <c r="BE315" t="e">
        <v>#N/A</v>
      </c>
      <c r="BF315" t="s">
        <v>722</v>
      </c>
      <c r="BG315">
        <v>0.96</v>
      </c>
      <c r="BH315" t="e">
        <v>#N/A</v>
      </c>
      <c r="BI315" t="s">
        <v>722</v>
      </c>
      <c r="BJ315">
        <v>0.96</v>
      </c>
      <c r="BK315" t="e">
        <v>#N/A</v>
      </c>
      <c r="BL315" t="s">
        <v>722</v>
      </c>
      <c r="BM315">
        <v>0.97</v>
      </c>
      <c r="BN315" t="e">
        <v>#N/A</v>
      </c>
      <c r="BO315" t="s">
        <v>722</v>
      </c>
      <c r="BP315">
        <v>926.61</v>
      </c>
      <c r="BQ315" t="e">
        <v>#N/A</v>
      </c>
      <c r="BR315" t="s">
        <v>722</v>
      </c>
      <c r="BS315">
        <v>1003</v>
      </c>
      <c r="BT315" t="e">
        <v>#N/A</v>
      </c>
      <c r="BU315" t="s">
        <v>722</v>
      </c>
      <c r="BV315">
        <v>1</v>
      </c>
      <c r="BW315" t="e">
        <v>#N/A</v>
      </c>
      <c r="BX315" t="s">
        <v>722</v>
      </c>
      <c r="BY315">
        <v>1</v>
      </c>
      <c r="BZ315" t="e">
        <v>#N/A</v>
      </c>
      <c r="CA315" t="s">
        <v>722</v>
      </c>
      <c r="CB315">
        <v>0.84</v>
      </c>
      <c r="CC315" t="e">
        <v>#N/A</v>
      </c>
      <c r="CD315" t="s">
        <v>722</v>
      </c>
      <c r="CE315">
        <v>926.61</v>
      </c>
      <c r="CF315" t="e">
        <v>#N/A</v>
      </c>
      <c r="CG315" t="s">
        <v>722</v>
      </c>
      <c r="CH315">
        <v>0.94</v>
      </c>
      <c r="CI315" t="e">
        <v>#N/A</v>
      </c>
      <c r="CJ315" t="s">
        <v>722</v>
      </c>
      <c r="CK315">
        <v>1043.1500000000001</v>
      </c>
      <c r="CL315" t="e">
        <v>#N/A</v>
      </c>
      <c r="CM315" t="s">
        <v>722</v>
      </c>
      <c r="CN315">
        <v>0.87</v>
      </c>
      <c r="CO315" t="e">
        <v>#N/A</v>
      </c>
      <c r="CP315" t="s">
        <v>722</v>
      </c>
      <c r="CQ315">
        <v>1</v>
      </c>
      <c r="CR315" t="e">
        <v>#N/A</v>
      </c>
      <c r="CS315" t="s">
        <v>722</v>
      </c>
      <c r="CT315">
        <v>0.99</v>
      </c>
      <c r="CU315" t="e">
        <v>#N/A</v>
      </c>
      <c r="CV315" t="s">
        <v>722</v>
      </c>
      <c r="CW315">
        <v>0.93</v>
      </c>
      <c r="CX315" t="e">
        <v>#N/A</v>
      </c>
      <c r="CY315" t="s">
        <v>722</v>
      </c>
      <c r="CZ315">
        <v>0.84</v>
      </c>
      <c r="DA315" t="e">
        <v>#N/A</v>
      </c>
      <c r="DB315" t="s">
        <v>722</v>
      </c>
      <c r="DC315">
        <v>1</v>
      </c>
      <c r="DD315" t="e">
        <v>#N/A</v>
      </c>
      <c r="DE315" t="s">
        <v>722</v>
      </c>
      <c r="DF315">
        <v>1</v>
      </c>
      <c r="DG315" t="e">
        <v>#N/A</v>
      </c>
      <c r="DH315" t="s">
        <v>722</v>
      </c>
      <c r="DI315">
        <v>1047.51</v>
      </c>
      <c r="DJ315" t="e">
        <v>#N/A</v>
      </c>
      <c r="DK315" t="s">
        <v>722</v>
      </c>
      <c r="DL315">
        <v>1</v>
      </c>
      <c r="DM315" t="e">
        <v>#N/A</v>
      </c>
      <c r="DN315" t="s">
        <v>722</v>
      </c>
      <c r="DO315">
        <v>0.82</v>
      </c>
      <c r="DP315" t="e">
        <v>#N/A</v>
      </c>
      <c r="DQ315" t="s">
        <v>722</v>
      </c>
      <c r="DR315">
        <v>1</v>
      </c>
      <c r="DS315" t="e">
        <v>#N/A</v>
      </c>
      <c r="DT315" t="s">
        <v>722</v>
      </c>
      <c r="DU315">
        <v>0.89</v>
      </c>
      <c r="DV315" t="e">
        <v>#N/A</v>
      </c>
      <c r="DW315" t="s">
        <v>722</v>
      </c>
      <c r="DX315">
        <v>1</v>
      </c>
      <c r="DY315" t="e">
        <v>#N/A</v>
      </c>
      <c r="DZ315" t="s">
        <v>722</v>
      </c>
      <c r="EA315">
        <v>1</v>
      </c>
      <c r="EB315" t="e">
        <v>#N/A</v>
      </c>
      <c r="EC315" t="s">
        <v>722</v>
      </c>
      <c r="ED315">
        <v>1</v>
      </c>
      <c r="EE315" t="e">
        <v>#N/A</v>
      </c>
      <c r="EF315" t="s">
        <v>722</v>
      </c>
      <c r="EG315">
        <v>1</v>
      </c>
      <c r="EH315" t="e">
        <v>#N/A</v>
      </c>
      <c r="EI315" t="s">
        <v>722</v>
      </c>
      <c r="EJ315">
        <v>0.82</v>
      </c>
      <c r="EK315" t="e">
        <v>#N/A</v>
      </c>
    </row>
    <row r="316" spans="1:141">
      <c r="A316" t="s">
        <v>722</v>
      </c>
      <c r="B316">
        <v>0.87</v>
      </c>
      <c r="C316" t="e">
        <v>#N/A</v>
      </c>
      <c r="D316" t="s">
        <v>722</v>
      </c>
      <c r="E316">
        <v>0.87</v>
      </c>
      <c r="F316" t="e">
        <v>#N/A</v>
      </c>
      <c r="G316" t="s">
        <v>722</v>
      </c>
      <c r="H316">
        <v>0.82</v>
      </c>
      <c r="I316" t="e">
        <v>#N/A</v>
      </c>
      <c r="J316" t="s">
        <v>722</v>
      </c>
      <c r="K316">
        <v>0.82</v>
      </c>
      <c r="L316" t="e">
        <v>#N/A</v>
      </c>
      <c r="M316" t="s">
        <v>722</v>
      </c>
      <c r="N316">
        <v>0.82</v>
      </c>
      <c r="O316" t="e">
        <v>#N/A</v>
      </c>
      <c r="P316" t="s">
        <v>722</v>
      </c>
      <c r="Q316">
        <v>926.61</v>
      </c>
      <c r="R316" t="e">
        <v>#N/A</v>
      </c>
      <c r="S316" t="s">
        <v>722</v>
      </c>
      <c r="T316">
        <v>1</v>
      </c>
      <c r="U316" t="e">
        <v>#N/A</v>
      </c>
      <c r="V316" t="s">
        <v>722</v>
      </c>
      <c r="W316">
        <v>1087.3699999999999</v>
      </c>
      <c r="X316" t="e">
        <v>#N/A</v>
      </c>
      <c r="Y316" t="s">
        <v>722</v>
      </c>
      <c r="Z316">
        <v>1</v>
      </c>
      <c r="AA316" t="e">
        <v>#N/A</v>
      </c>
      <c r="AB316" t="s">
        <v>722</v>
      </c>
      <c r="AC316">
        <v>1015.32</v>
      </c>
      <c r="AD316" t="e">
        <v>#N/A</v>
      </c>
      <c r="AE316" t="s">
        <v>722</v>
      </c>
      <c r="AF316">
        <v>1</v>
      </c>
      <c r="AG316" t="e">
        <v>#N/A</v>
      </c>
      <c r="AH316" t="s">
        <v>722</v>
      </c>
      <c r="AI316">
        <v>926.61</v>
      </c>
      <c r="AJ316" t="e">
        <v>#N/A</v>
      </c>
      <c r="AK316" t="s">
        <v>722</v>
      </c>
      <c r="AL316">
        <v>1</v>
      </c>
      <c r="AM316" t="e">
        <v>#N/A</v>
      </c>
      <c r="AN316" t="s">
        <v>722</v>
      </c>
      <c r="AO316">
        <v>1</v>
      </c>
      <c r="AP316" t="e">
        <v>#N/A</v>
      </c>
      <c r="AQ316" t="s">
        <v>722</v>
      </c>
      <c r="AR316">
        <v>0.85</v>
      </c>
      <c r="AS316" t="e">
        <v>#N/A</v>
      </c>
      <c r="AT316" t="s">
        <v>722</v>
      </c>
      <c r="AU316">
        <v>0.9</v>
      </c>
      <c r="AV316" t="e">
        <v>#N/A</v>
      </c>
      <c r="AW316" t="s">
        <v>722</v>
      </c>
      <c r="AX316">
        <v>1</v>
      </c>
      <c r="AY316" t="e">
        <v>#N/A</v>
      </c>
      <c r="AZ316" t="s">
        <v>722</v>
      </c>
      <c r="BA316">
        <v>1</v>
      </c>
      <c r="BB316" t="e">
        <v>#N/A</v>
      </c>
      <c r="BC316" t="s">
        <v>722</v>
      </c>
      <c r="BD316">
        <v>0.99</v>
      </c>
      <c r="BE316" t="e">
        <v>#N/A</v>
      </c>
      <c r="BF316" t="s">
        <v>722</v>
      </c>
      <c r="BG316">
        <v>0.99</v>
      </c>
      <c r="BH316" t="e">
        <v>#N/A</v>
      </c>
      <c r="BI316" t="s">
        <v>722</v>
      </c>
      <c r="BJ316">
        <v>0.9</v>
      </c>
      <c r="BK316" t="e">
        <v>#N/A</v>
      </c>
      <c r="BL316" t="s">
        <v>722</v>
      </c>
      <c r="BM316">
        <v>0.96</v>
      </c>
      <c r="BN316" t="e">
        <v>#N/A</v>
      </c>
      <c r="BO316" t="s">
        <v>722</v>
      </c>
      <c r="BP316">
        <v>880.34</v>
      </c>
      <c r="BQ316" t="e">
        <v>#N/A</v>
      </c>
      <c r="BR316" t="s">
        <v>722</v>
      </c>
      <c r="BS316">
        <v>1</v>
      </c>
      <c r="BT316" t="e">
        <v>#N/A</v>
      </c>
      <c r="BU316" t="s">
        <v>722</v>
      </c>
      <c r="BV316">
        <v>1</v>
      </c>
      <c r="BW316" t="e">
        <v>#N/A</v>
      </c>
      <c r="BX316" t="s">
        <v>722</v>
      </c>
      <c r="BY316">
        <v>1</v>
      </c>
      <c r="BZ316" t="e">
        <v>#N/A</v>
      </c>
      <c r="CA316" t="s">
        <v>722</v>
      </c>
      <c r="CB316">
        <v>1043.1500000000001</v>
      </c>
      <c r="CC316" t="e">
        <v>#N/A</v>
      </c>
      <c r="CD316" t="s">
        <v>722</v>
      </c>
      <c r="CE316">
        <v>1001.44</v>
      </c>
      <c r="CF316" t="e">
        <v>#N/A</v>
      </c>
      <c r="CG316" t="s">
        <v>722</v>
      </c>
      <c r="CH316">
        <v>0.86</v>
      </c>
      <c r="CI316" t="e">
        <v>#N/A</v>
      </c>
      <c r="CJ316" t="s">
        <v>722</v>
      </c>
      <c r="CK316">
        <v>0.95</v>
      </c>
      <c r="CL316" t="e">
        <v>#N/A</v>
      </c>
      <c r="CM316" t="s">
        <v>722</v>
      </c>
      <c r="CN316">
        <v>0.84</v>
      </c>
      <c r="CO316" t="e">
        <v>#N/A</v>
      </c>
      <c r="CP316" t="s">
        <v>722</v>
      </c>
      <c r="CQ316">
        <v>1</v>
      </c>
      <c r="CR316" t="e">
        <v>#N/A</v>
      </c>
      <c r="CS316" t="s">
        <v>722</v>
      </c>
      <c r="CT316">
        <v>0.93</v>
      </c>
      <c r="CU316" t="e">
        <v>#N/A</v>
      </c>
      <c r="CV316" t="s">
        <v>722</v>
      </c>
      <c r="CW316">
        <v>0.93</v>
      </c>
      <c r="CX316" t="e">
        <v>#N/A</v>
      </c>
      <c r="CY316" t="s">
        <v>722</v>
      </c>
      <c r="CZ316">
        <v>0.81</v>
      </c>
      <c r="DA316" t="e">
        <v>#N/A</v>
      </c>
      <c r="DB316" t="s">
        <v>722</v>
      </c>
      <c r="DC316">
        <v>1014.22</v>
      </c>
      <c r="DD316" t="e">
        <v>#N/A</v>
      </c>
      <c r="DE316" t="s">
        <v>722</v>
      </c>
      <c r="DF316">
        <v>1014.22</v>
      </c>
      <c r="DG316" t="e">
        <v>#N/A</v>
      </c>
      <c r="DH316" t="s">
        <v>722</v>
      </c>
      <c r="DI316">
        <v>1044.5899999999999</v>
      </c>
      <c r="DJ316" t="e">
        <v>#N/A</v>
      </c>
      <c r="DK316" t="s">
        <v>722</v>
      </c>
      <c r="DL316">
        <v>1</v>
      </c>
      <c r="DM316" t="e">
        <v>#N/A</v>
      </c>
      <c r="DN316" t="s">
        <v>722</v>
      </c>
      <c r="DO316">
        <v>0.96</v>
      </c>
      <c r="DP316" t="e">
        <v>#N/A</v>
      </c>
      <c r="DQ316" t="s">
        <v>722</v>
      </c>
      <c r="DR316">
        <v>1</v>
      </c>
      <c r="DS316" t="e">
        <v>#N/A</v>
      </c>
      <c r="DT316" t="s">
        <v>722</v>
      </c>
      <c r="DU316">
        <v>1</v>
      </c>
      <c r="DV316" t="e">
        <v>#N/A</v>
      </c>
      <c r="DW316" t="s">
        <v>722</v>
      </c>
      <c r="DX316">
        <v>1</v>
      </c>
      <c r="DY316" t="e">
        <v>#N/A</v>
      </c>
      <c r="DZ316" t="s">
        <v>722</v>
      </c>
      <c r="EA316">
        <v>0.99</v>
      </c>
      <c r="EB316" t="e">
        <v>#N/A</v>
      </c>
      <c r="EC316" t="s">
        <v>722</v>
      </c>
      <c r="ED316">
        <v>1</v>
      </c>
      <c r="EE316" t="e">
        <v>#N/A</v>
      </c>
      <c r="EF316" t="s">
        <v>722</v>
      </c>
      <c r="EG316">
        <v>1</v>
      </c>
      <c r="EH316" t="e">
        <v>#N/A</v>
      </c>
      <c r="EI316" t="s">
        <v>722</v>
      </c>
      <c r="EJ316">
        <v>1</v>
      </c>
      <c r="EK316" t="e">
        <v>#N/A</v>
      </c>
    </row>
    <row r="317" spans="1:141">
      <c r="A317" t="s">
        <v>722</v>
      </c>
      <c r="B317">
        <v>0.87</v>
      </c>
      <c r="C317" t="e">
        <v>#N/A</v>
      </c>
      <c r="D317" t="s">
        <v>722</v>
      </c>
      <c r="E317">
        <v>0.85</v>
      </c>
      <c r="F317" t="e">
        <v>#N/A</v>
      </c>
      <c r="G317" t="s">
        <v>722</v>
      </c>
      <c r="H317">
        <v>0.82</v>
      </c>
      <c r="I317" t="e">
        <v>#N/A</v>
      </c>
      <c r="J317" t="s">
        <v>722</v>
      </c>
      <c r="K317">
        <v>0.82</v>
      </c>
      <c r="L317" t="e">
        <v>#N/A</v>
      </c>
      <c r="M317" t="s">
        <v>722</v>
      </c>
      <c r="N317">
        <v>0.82</v>
      </c>
      <c r="O317" t="e">
        <v>#N/A</v>
      </c>
      <c r="P317" t="s">
        <v>722</v>
      </c>
      <c r="Q317">
        <v>1</v>
      </c>
      <c r="R317" t="e">
        <v>#N/A</v>
      </c>
      <c r="S317" t="s">
        <v>722</v>
      </c>
      <c r="T317">
        <v>1087.3699999999999</v>
      </c>
      <c r="U317" t="e">
        <v>#N/A</v>
      </c>
      <c r="V317" t="s">
        <v>722</v>
      </c>
      <c r="W317">
        <v>926.61</v>
      </c>
      <c r="X317" t="e">
        <v>#N/A</v>
      </c>
      <c r="Y317" t="s">
        <v>722</v>
      </c>
      <c r="Z317">
        <v>1087.3699999999999</v>
      </c>
      <c r="AA317" t="e">
        <v>#N/A</v>
      </c>
      <c r="AB317" t="s">
        <v>722</v>
      </c>
      <c r="AC317">
        <v>926.61</v>
      </c>
      <c r="AD317" t="e">
        <v>#N/A</v>
      </c>
      <c r="AE317" t="s">
        <v>722</v>
      </c>
      <c r="AF317">
        <v>1</v>
      </c>
      <c r="AG317" t="e">
        <v>#N/A</v>
      </c>
      <c r="AH317" t="s">
        <v>722</v>
      </c>
      <c r="AI317">
        <v>1</v>
      </c>
      <c r="AJ317" t="e">
        <v>#N/A</v>
      </c>
      <c r="AK317" t="s">
        <v>722</v>
      </c>
      <c r="AL317">
        <v>1</v>
      </c>
      <c r="AM317" t="e">
        <v>#N/A</v>
      </c>
      <c r="AN317" t="s">
        <v>722</v>
      </c>
      <c r="AO317">
        <v>0.97</v>
      </c>
      <c r="AP317" t="e">
        <v>#N/A</v>
      </c>
      <c r="AQ317" t="s">
        <v>722</v>
      </c>
      <c r="AR317">
        <v>0.84</v>
      </c>
      <c r="AS317" t="e">
        <v>#N/A</v>
      </c>
      <c r="AT317" t="s">
        <v>722</v>
      </c>
      <c r="AU317">
        <v>997.73</v>
      </c>
      <c r="AV317" t="e">
        <v>#N/A</v>
      </c>
      <c r="AW317" t="s">
        <v>722</v>
      </c>
      <c r="AX317">
        <v>1087.3699999999999</v>
      </c>
      <c r="AY317" t="e">
        <v>#N/A</v>
      </c>
      <c r="AZ317" t="s">
        <v>722</v>
      </c>
      <c r="BA317">
        <v>1</v>
      </c>
      <c r="BB317" t="e">
        <v>#N/A</v>
      </c>
      <c r="BC317" t="s">
        <v>722</v>
      </c>
      <c r="BD317">
        <v>0.99</v>
      </c>
      <c r="BE317" t="e">
        <v>#N/A</v>
      </c>
      <c r="BF317" t="s">
        <v>722</v>
      </c>
      <c r="BG317">
        <v>0.77</v>
      </c>
      <c r="BH317" t="e">
        <v>#N/A</v>
      </c>
      <c r="BI317" t="s">
        <v>722</v>
      </c>
      <c r="BJ317">
        <v>0.99</v>
      </c>
      <c r="BK317" t="e">
        <v>#N/A</v>
      </c>
      <c r="BL317" t="s">
        <v>722</v>
      </c>
      <c r="BM317">
        <v>0.96</v>
      </c>
      <c r="BN317" t="e">
        <v>#N/A</v>
      </c>
      <c r="BO317" t="s">
        <v>722</v>
      </c>
      <c r="BP317">
        <v>1</v>
      </c>
      <c r="BQ317" t="e">
        <v>#N/A</v>
      </c>
      <c r="BR317" t="s">
        <v>722</v>
      </c>
      <c r="BS317">
        <v>1</v>
      </c>
      <c r="BT317" t="e">
        <v>#N/A</v>
      </c>
      <c r="BU317" t="s">
        <v>722</v>
      </c>
      <c r="BV317">
        <v>0.92</v>
      </c>
      <c r="BW317" t="e">
        <v>#N/A</v>
      </c>
      <c r="BX317" t="s">
        <v>722</v>
      </c>
      <c r="BY317">
        <v>1044.5899999999999</v>
      </c>
      <c r="BZ317" t="e">
        <v>#N/A</v>
      </c>
      <c r="CA317" t="s">
        <v>722</v>
      </c>
      <c r="CB317">
        <v>0.95</v>
      </c>
      <c r="CC317" t="e">
        <v>#N/A</v>
      </c>
      <c r="CD317" t="s">
        <v>722</v>
      </c>
      <c r="CE317">
        <v>880.34</v>
      </c>
      <c r="CF317" t="e">
        <v>#N/A</v>
      </c>
      <c r="CG317" t="s">
        <v>722</v>
      </c>
      <c r="CH317">
        <v>1</v>
      </c>
      <c r="CI317" t="e">
        <v>#N/A</v>
      </c>
      <c r="CJ317" t="s">
        <v>722</v>
      </c>
      <c r="CK317">
        <v>1</v>
      </c>
      <c r="CL317" t="e">
        <v>#N/A</v>
      </c>
      <c r="CM317" t="s">
        <v>722</v>
      </c>
      <c r="CN317">
        <v>1009.17</v>
      </c>
      <c r="CO317" t="e">
        <v>#N/A</v>
      </c>
      <c r="CP317" t="s">
        <v>722</v>
      </c>
      <c r="CQ317">
        <v>1</v>
      </c>
      <c r="CR317" t="e">
        <v>#N/A</v>
      </c>
      <c r="CS317" t="s">
        <v>722</v>
      </c>
      <c r="CT317">
        <v>0.87</v>
      </c>
      <c r="CU317" t="e">
        <v>#N/A</v>
      </c>
      <c r="CV317" t="s">
        <v>722</v>
      </c>
      <c r="CW317">
        <v>1</v>
      </c>
      <c r="CX317" t="e">
        <v>#N/A</v>
      </c>
      <c r="CY317" t="s">
        <v>722</v>
      </c>
      <c r="CZ317">
        <v>0.91</v>
      </c>
      <c r="DA317" t="e">
        <v>#N/A</v>
      </c>
      <c r="DB317" t="s">
        <v>722</v>
      </c>
      <c r="DC317">
        <v>1</v>
      </c>
      <c r="DD317" t="e">
        <v>#N/A</v>
      </c>
      <c r="DE317" t="s">
        <v>722</v>
      </c>
      <c r="DF317">
        <v>0.82</v>
      </c>
      <c r="DG317" t="e">
        <v>#N/A</v>
      </c>
      <c r="DH317" t="s">
        <v>722</v>
      </c>
      <c r="DI317">
        <v>0.99</v>
      </c>
      <c r="DJ317" t="e">
        <v>#N/A</v>
      </c>
      <c r="DK317" t="s">
        <v>722</v>
      </c>
      <c r="DL317">
        <v>1</v>
      </c>
      <c r="DM317" t="e">
        <v>#N/A</v>
      </c>
      <c r="DN317" t="s">
        <v>722</v>
      </c>
      <c r="DO317">
        <v>1</v>
      </c>
      <c r="DP317" t="e">
        <v>#N/A</v>
      </c>
      <c r="DQ317" t="s">
        <v>722</v>
      </c>
      <c r="DR317">
        <v>1</v>
      </c>
      <c r="DS317" t="e">
        <v>#N/A</v>
      </c>
      <c r="DT317" t="s">
        <v>722</v>
      </c>
      <c r="DU317">
        <v>0.94</v>
      </c>
      <c r="DV317" t="e">
        <v>#N/A</v>
      </c>
      <c r="DW317" t="s">
        <v>722</v>
      </c>
      <c r="DX317">
        <v>1</v>
      </c>
      <c r="DY317" t="e">
        <v>#N/A</v>
      </c>
      <c r="DZ317" t="s">
        <v>722</v>
      </c>
      <c r="EA317">
        <v>0.94</v>
      </c>
      <c r="EB317" t="e">
        <v>#N/A</v>
      </c>
      <c r="EC317" t="s">
        <v>722</v>
      </c>
      <c r="ED317">
        <v>1</v>
      </c>
      <c r="EE317" t="e">
        <v>#N/A</v>
      </c>
      <c r="EF317" t="s">
        <v>722</v>
      </c>
      <c r="EG317">
        <v>1</v>
      </c>
      <c r="EH317" t="e">
        <v>#N/A</v>
      </c>
      <c r="EI317" t="s">
        <v>722</v>
      </c>
      <c r="EJ317">
        <v>1</v>
      </c>
      <c r="EK317" t="e">
        <v>#N/A</v>
      </c>
    </row>
    <row r="318" spans="1:141">
      <c r="A318" t="s">
        <v>722</v>
      </c>
      <c r="B318">
        <v>0.85</v>
      </c>
      <c r="C318" t="e">
        <v>#N/A</v>
      </c>
      <c r="D318" t="s">
        <v>722</v>
      </c>
      <c r="E318">
        <v>0.82</v>
      </c>
      <c r="F318" t="e">
        <v>#N/A</v>
      </c>
      <c r="G318" t="s">
        <v>722</v>
      </c>
      <c r="H318">
        <v>996.74</v>
      </c>
      <c r="I318" t="e">
        <v>#N/A</v>
      </c>
      <c r="J318" t="s">
        <v>722</v>
      </c>
      <c r="K318">
        <v>0.82</v>
      </c>
      <c r="L318" t="e">
        <v>#N/A</v>
      </c>
      <c r="M318" t="s">
        <v>722</v>
      </c>
      <c r="N318">
        <v>0.82</v>
      </c>
      <c r="O318" t="e">
        <v>#N/A</v>
      </c>
      <c r="P318" t="s">
        <v>722</v>
      </c>
      <c r="Q318">
        <v>0.98</v>
      </c>
      <c r="R318" t="e">
        <v>#N/A</v>
      </c>
      <c r="S318" t="s">
        <v>722</v>
      </c>
      <c r="T318">
        <v>996.25</v>
      </c>
      <c r="U318" t="e">
        <v>#N/A</v>
      </c>
      <c r="V318" t="s">
        <v>722</v>
      </c>
      <c r="W318">
        <v>1</v>
      </c>
      <c r="X318" t="e">
        <v>#N/A</v>
      </c>
      <c r="Y318" t="s">
        <v>722</v>
      </c>
      <c r="Z318">
        <v>926.61</v>
      </c>
      <c r="AA318" t="e">
        <v>#N/A</v>
      </c>
      <c r="AB318" t="s">
        <v>722</v>
      </c>
      <c r="AC318">
        <v>1</v>
      </c>
      <c r="AD318" t="e">
        <v>#N/A</v>
      </c>
      <c r="AE318" t="s">
        <v>722</v>
      </c>
      <c r="AF318">
        <v>1087.3699999999999</v>
      </c>
      <c r="AG318" t="e">
        <v>#N/A</v>
      </c>
      <c r="AH318" t="s">
        <v>722</v>
      </c>
      <c r="AI318">
        <v>0.99</v>
      </c>
      <c r="AJ318" t="e">
        <v>#N/A</v>
      </c>
      <c r="AK318" t="s">
        <v>722</v>
      </c>
      <c r="AL318">
        <v>0.85</v>
      </c>
      <c r="AM318" t="e">
        <v>#N/A</v>
      </c>
      <c r="AN318" t="s">
        <v>722</v>
      </c>
      <c r="AO318">
        <v>0.94</v>
      </c>
      <c r="AP318" t="e">
        <v>#N/A</v>
      </c>
      <c r="AQ318" t="s">
        <v>722</v>
      </c>
      <c r="AR318">
        <v>1087.3699999999999</v>
      </c>
      <c r="AS318" t="e">
        <v>#N/A</v>
      </c>
      <c r="AT318" t="s">
        <v>722</v>
      </c>
      <c r="AU318">
        <v>1</v>
      </c>
      <c r="AV318" t="e">
        <v>#N/A</v>
      </c>
      <c r="AW318" t="s">
        <v>722</v>
      </c>
      <c r="AX318">
        <v>926.61</v>
      </c>
      <c r="AY318" t="e">
        <v>#N/A</v>
      </c>
      <c r="AZ318" t="s">
        <v>722</v>
      </c>
      <c r="BA318">
        <v>0.84</v>
      </c>
      <c r="BB318" t="e">
        <v>#N/A</v>
      </c>
      <c r="BC318" t="s">
        <v>722</v>
      </c>
      <c r="BD318">
        <v>0.98</v>
      </c>
      <c r="BE318" t="e">
        <v>#N/A</v>
      </c>
      <c r="BF318" t="s">
        <v>722</v>
      </c>
      <c r="BG318">
        <v>1044.5899999999999</v>
      </c>
      <c r="BH318" t="e">
        <v>#N/A</v>
      </c>
      <c r="BI318" t="s">
        <v>722</v>
      </c>
      <c r="BJ318">
        <v>0.89</v>
      </c>
      <c r="BK318" t="e">
        <v>#N/A</v>
      </c>
      <c r="BL318" t="s">
        <v>722</v>
      </c>
      <c r="BM318">
        <v>0.95</v>
      </c>
      <c r="BN318" t="e">
        <v>#N/A</v>
      </c>
      <c r="BO318" t="s">
        <v>722</v>
      </c>
      <c r="BP318">
        <v>1</v>
      </c>
      <c r="BQ318" t="e">
        <v>#N/A</v>
      </c>
      <c r="BR318" t="s">
        <v>722</v>
      </c>
      <c r="BS318">
        <v>1</v>
      </c>
      <c r="BT318" t="e">
        <v>#N/A</v>
      </c>
      <c r="BU318" t="s">
        <v>722</v>
      </c>
      <c r="BV318">
        <v>1</v>
      </c>
      <c r="BW318" t="e">
        <v>#N/A</v>
      </c>
      <c r="BX318" t="s">
        <v>722</v>
      </c>
      <c r="BY318">
        <v>997.73</v>
      </c>
      <c r="BZ318" t="e">
        <v>#N/A</v>
      </c>
      <c r="CA318" t="s">
        <v>722</v>
      </c>
      <c r="CB318">
        <v>1</v>
      </c>
      <c r="CC318" t="e">
        <v>#N/A</v>
      </c>
      <c r="CD318" t="s">
        <v>722</v>
      </c>
      <c r="CE318">
        <v>880.34</v>
      </c>
      <c r="CF318" t="e">
        <v>#N/A</v>
      </c>
      <c r="CG318" t="s">
        <v>722</v>
      </c>
      <c r="CH318">
        <v>0.99</v>
      </c>
      <c r="CI318" t="e">
        <v>#N/A</v>
      </c>
      <c r="CJ318" t="s">
        <v>722</v>
      </c>
      <c r="CK318">
        <v>1</v>
      </c>
      <c r="CL318" t="e">
        <v>#N/A</v>
      </c>
      <c r="CM318" t="s">
        <v>722</v>
      </c>
      <c r="CN318">
        <v>0.98</v>
      </c>
      <c r="CO318" t="e">
        <v>#N/A</v>
      </c>
      <c r="CP318" t="s">
        <v>722</v>
      </c>
      <c r="CQ318">
        <v>1</v>
      </c>
      <c r="CR318" t="e">
        <v>#N/A</v>
      </c>
      <c r="CS318" t="s">
        <v>722</v>
      </c>
      <c r="CT318">
        <v>1</v>
      </c>
      <c r="CU318" t="e">
        <v>#N/A</v>
      </c>
      <c r="CV318" t="s">
        <v>722</v>
      </c>
      <c r="CW318">
        <v>1</v>
      </c>
      <c r="CX318" t="e">
        <v>#N/A</v>
      </c>
      <c r="CY318" t="s">
        <v>722</v>
      </c>
      <c r="CZ318">
        <v>1017.45</v>
      </c>
      <c r="DA318" t="e">
        <v>#N/A</v>
      </c>
      <c r="DB318" t="s">
        <v>722</v>
      </c>
      <c r="DC318">
        <v>1</v>
      </c>
      <c r="DD318" t="e">
        <v>#N/A</v>
      </c>
      <c r="DE318" t="s">
        <v>722</v>
      </c>
      <c r="DF318">
        <v>1</v>
      </c>
      <c r="DG318" t="e">
        <v>#N/A</v>
      </c>
      <c r="DH318" t="s">
        <v>722</v>
      </c>
      <c r="DI318">
        <v>0.98</v>
      </c>
      <c r="DJ318" t="e">
        <v>#N/A</v>
      </c>
      <c r="DK318" t="s">
        <v>722</v>
      </c>
      <c r="DL318">
        <v>1</v>
      </c>
      <c r="DM318" t="e">
        <v>#N/A</v>
      </c>
      <c r="DN318" t="s">
        <v>722</v>
      </c>
      <c r="DO318">
        <v>0.88</v>
      </c>
      <c r="DP318" t="e">
        <v>#N/A</v>
      </c>
      <c r="DQ318" t="s">
        <v>722</v>
      </c>
      <c r="DR318">
        <v>1</v>
      </c>
      <c r="DS318" t="e">
        <v>#N/A</v>
      </c>
      <c r="DT318" t="s">
        <v>722</v>
      </c>
      <c r="DU318">
        <v>1</v>
      </c>
      <c r="DV318" t="e">
        <v>#N/A</v>
      </c>
      <c r="DW318" t="s">
        <v>722</v>
      </c>
      <c r="DX318">
        <v>0.99</v>
      </c>
      <c r="DY318" t="e">
        <v>#N/A</v>
      </c>
      <c r="DZ318" t="s">
        <v>722</v>
      </c>
      <c r="EA318">
        <v>1</v>
      </c>
      <c r="EB318" t="e">
        <v>#N/A</v>
      </c>
      <c r="EC318" t="s">
        <v>722</v>
      </c>
      <c r="ED318">
        <v>0.99</v>
      </c>
      <c r="EE318" t="e">
        <v>#N/A</v>
      </c>
      <c r="EF318" t="s">
        <v>722</v>
      </c>
      <c r="EG318">
        <v>0.99</v>
      </c>
      <c r="EH318" t="e">
        <v>#N/A</v>
      </c>
      <c r="EI318" t="s">
        <v>722</v>
      </c>
      <c r="EJ318">
        <v>1</v>
      </c>
      <c r="EK318" t="e">
        <v>#N/A</v>
      </c>
    </row>
    <row r="319" spans="1:141">
      <c r="A319" t="s">
        <v>722</v>
      </c>
      <c r="B319">
        <v>0.82</v>
      </c>
      <c r="C319" t="e">
        <v>#N/A</v>
      </c>
      <c r="D319" t="s">
        <v>722</v>
      </c>
      <c r="E319">
        <v>0.82</v>
      </c>
      <c r="F319" t="e">
        <v>#N/A</v>
      </c>
      <c r="G319" t="s">
        <v>722</v>
      </c>
      <c r="H319">
        <v>1004.86</v>
      </c>
      <c r="I319" t="e">
        <v>#N/A</v>
      </c>
      <c r="J319" t="s">
        <v>722</v>
      </c>
      <c r="K319">
        <v>0.89</v>
      </c>
      <c r="L319" t="e">
        <v>#N/A</v>
      </c>
      <c r="M319" t="s">
        <v>722</v>
      </c>
      <c r="N319">
        <v>0.82</v>
      </c>
      <c r="O319" t="e">
        <v>#N/A</v>
      </c>
      <c r="P319" t="s">
        <v>722</v>
      </c>
      <c r="Q319">
        <v>0.87</v>
      </c>
      <c r="R319" t="e">
        <v>#N/A</v>
      </c>
      <c r="S319" t="s">
        <v>317</v>
      </c>
      <c r="T319">
        <v>33.65</v>
      </c>
      <c r="U319" t="e">
        <v>#N/A</v>
      </c>
      <c r="V319" t="s">
        <v>722</v>
      </c>
      <c r="W319">
        <v>0.82</v>
      </c>
      <c r="X319" t="e">
        <v>#N/A</v>
      </c>
      <c r="Y319" t="s">
        <v>722</v>
      </c>
      <c r="Z319">
        <v>1</v>
      </c>
      <c r="AA319" t="e">
        <v>#N/A</v>
      </c>
      <c r="AB319" t="s">
        <v>722</v>
      </c>
      <c r="AC319">
        <v>0.99</v>
      </c>
      <c r="AD319" t="e">
        <v>#N/A</v>
      </c>
      <c r="AE319" t="s">
        <v>722</v>
      </c>
      <c r="AF319">
        <v>926.61</v>
      </c>
      <c r="AG319" t="e">
        <v>#N/A</v>
      </c>
      <c r="AH319" t="s">
        <v>722</v>
      </c>
      <c r="AI319">
        <v>0.94</v>
      </c>
      <c r="AJ319" t="e">
        <v>#N/A</v>
      </c>
      <c r="AK319" t="s">
        <v>722</v>
      </c>
      <c r="AL319">
        <v>1087.3699999999999</v>
      </c>
      <c r="AM319" t="e">
        <v>#N/A</v>
      </c>
      <c r="AN319" t="s">
        <v>722</v>
      </c>
      <c r="AO319">
        <v>0.94</v>
      </c>
      <c r="AP319" t="e">
        <v>#N/A</v>
      </c>
      <c r="AQ319" t="s">
        <v>879</v>
      </c>
      <c r="AR319">
        <v>9.3000000000000007</v>
      </c>
      <c r="AS319" t="e">
        <v>#N/A</v>
      </c>
      <c r="AT319" t="s">
        <v>722</v>
      </c>
      <c r="AU319">
        <v>1</v>
      </c>
      <c r="AV319" t="e">
        <v>#N/A</v>
      </c>
      <c r="AW319" t="s">
        <v>722</v>
      </c>
      <c r="AX319">
        <v>1</v>
      </c>
      <c r="AY319" t="e">
        <v>#N/A</v>
      </c>
      <c r="AZ319" t="s">
        <v>722</v>
      </c>
      <c r="BA319">
        <v>0.95</v>
      </c>
      <c r="BB319" t="e">
        <v>#N/A</v>
      </c>
      <c r="BC319" t="s">
        <v>722</v>
      </c>
      <c r="BD319">
        <v>0.97</v>
      </c>
      <c r="BE319" t="e">
        <v>#N/A</v>
      </c>
      <c r="BF319" t="s">
        <v>722</v>
      </c>
      <c r="BG319">
        <v>997.73</v>
      </c>
      <c r="BH319" t="e">
        <v>#N/A</v>
      </c>
      <c r="BI319" t="s">
        <v>722</v>
      </c>
      <c r="BJ319">
        <v>0.99</v>
      </c>
      <c r="BK319" t="e">
        <v>#N/A</v>
      </c>
      <c r="BL319" t="s">
        <v>722</v>
      </c>
      <c r="BM319">
        <v>0.93</v>
      </c>
      <c r="BN319" t="e">
        <v>#N/A</v>
      </c>
      <c r="BO319" t="s">
        <v>722</v>
      </c>
      <c r="BP319">
        <v>0.99</v>
      </c>
      <c r="BQ319" t="e">
        <v>#N/A</v>
      </c>
      <c r="BR319" t="s">
        <v>722</v>
      </c>
      <c r="BS319">
        <v>0.86</v>
      </c>
      <c r="BT319" t="e">
        <v>#N/A</v>
      </c>
      <c r="BU319" t="s">
        <v>722</v>
      </c>
      <c r="BV319">
        <v>0.8</v>
      </c>
      <c r="BW319" t="e">
        <v>#N/A</v>
      </c>
      <c r="BX319" t="s">
        <v>722</v>
      </c>
      <c r="BY319">
        <v>1</v>
      </c>
      <c r="BZ319" t="e">
        <v>#N/A</v>
      </c>
      <c r="CA319" t="s">
        <v>722</v>
      </c>
      <c r="CB319">
        <v>1</v>
      </c>
      <c r="CC319" t="e">
        <v>#N/A</v>
      </c>
      <c r="CD319" t="s">
        <v>722</v>
      </c>
      <c r="CE319">
        <v>984.34</v>
      </c>
      <c r="CF319" t="e">
        <v>#N/A</v>
      </c>
      <c r="CG319" t="s">
        <v>722</v>
      </c>
      <c r="CH319">
        <v>1</v>
      </c>
      <c r="CI319" t="e">
        <v>#N/A</v>
      </c>
      <c r="CJ319" t="s">
        <v>722</v>
      </c>
      <c r="CK319">
        <v>1</v>
      </c>
      <c r="CL319" t="e">
        <v>#N/A</v>
      </c>
      <c r="CM319" t="s">
        <v>722</v>
      </c>
      <c r="CN319">
        <v>0.96</v>
      </c>
      <c r="CO319" t="e">
        <v>#N/A</v>
      </c>
      <c r="CP319" t="s">
        <v>722</v>
      </c>
      <c r="CQ319">
        <v>0.84</v>
      </c>
      <c r="CR319" t="e">
        <v>#N/A</v>
      </c>
      <c r="CS319" t="s">
        <v>722</v>
      </c>
      <c r="CT319">
        <v>1</v>
      </c>
      <c r="CU319" t="e">
        <v>#N/A</v>
      </c>
      <c r="CV319" t="s">
        <v>722</v>
      </c>
      <c r="CW319">
        <v>1</v>
      </c>
      <c r="CX319" t="e">
        <v>#N/A</v>
      </c>
      <c r="CY319" t="s">
        <v>722</v>
      </c>
      <c r="CZ319">
        <v>1</v>
      </c>
      <c r="DA319" t="e">
        <v>#N/A</v>
      </c>
      <c r="DB319" t="s">
        <v>722</v>
      </c>
      <c r="DC319">
        <v>1</v>
      </c>
      <c r="DD319" t="e">
        <v>#N/A</v>
      </c>
      <c r="DE319" t="s">
        <v>722</v>
      </c>
      <c r="DF319">
        <v>1</v>
      </c>
      <c r="DG319" t="e">
        <v>#N/A</v>
      </c>
      <c r="DH319" t="s">
        <v>722</v>
      </c>
      <c r="DI319">
        <v>1</v>
      </c>
      <c r="DJ319" t="e">
        <v>#N/A</v>
      </c>
      <c r="DK319" t="s">
        <v>722</v>
      </c>
      <c r="DL319">
        <v>1</v>
      </c>
      <c r="DM319" t="e">
        <v>#N/A</v>
      </c>
      <c r="DN319" t="s">
        <v>722</v>
      </c>
      <c r="DO319">
        <v>1012.21</v>
      </c>
      <c r="DP319" t="e">
        <v>#N/A</v>
      </c>
      <c r="DQ319" t="s">
        <v>722</v>
      </c>
      <c r="DR319">
        <v>0.98</v>
      </c>
      <c r="DS319" t="e">
        <v>#N/A</v>
      </c>
      <c r="DT319" t="s">
        <v>722</v>
      </c>
      <c r="DU319">
        <v>1012.21</v>
      </c>
      <c r="DV319" t="e">
        <v>#N/A</v>
      </c>
      <c r="DW319" t="s">
        <v>722</v>
      </c>
      <c r="DX319">
        <v>0.94</v>
      </c>
      <c r="DY319" t="e">
        <v>#N/A</v>
      </c>
      <c r="DZ319" t="s">
        <v>722</v>
      </c>
      <c r="EA319">
        <v>0.88</v>
      </c>
      <c r="EB319" t="e">
        <v>#N/A</v>
      </c>
      <c r="EC319" t="s">
        <v>722</v>
      </c>
      <c r="ED319">
        <v>0.94</v>
      </c>
      <c r="EE319" t="e">
        <v>#N/A</v>
      </c>
      <c r="EF319" t="s">
        <v>722</v>
      </c>
      <c r="EG319">
        <v>0.94</v>
      </c>
      <c r="EH319" t="e">
        <v>#N/A</v>
      </c>
      <c r="EI319" t="s">
        <v>722</v>
      </c>
      <c r="EJ319">
        <v>0.99</v>
      </c>
      <c r="EK319" t="e">
        <v>#N/A</v>
      </c>
    </row>
    <row r="320" spans="1:141">
      <c r="A320" t="s">
        <v>722</v>
      </c>
      <c r="B320">
        <v>0.82</v>
      </c>
      <c r="C320" t="e">
        <v>#N/A</v>
      </c>
      <c r="D320" t="s">
        <v>722</v>
      </c>
      <c r="E320">
        <v>0.82</v>
      </c>
      <c r="F320" t="e">
        <v>#N/A</v>
      </c>
      <c r="G320" t="s">
        <v>722</v>
      </c>
      <c r="H320">
        <v>0.97</v>
      </c>
      <c r="I320" t="e">
        <v>#N/A</v>
      </c>
      <c r="J320" t="s">
        <v>722</v>
      </c>
      <c r="K320">
        <v>1004.86</v>
      </c>
      <c r="L320" t="e">
        <v>#N/A</v>
      </c>
      <c r="M320" t="s">
        <v>722</v>
      </c>
      <c r="N320">
        <v>0.98</v>
      </c>
      <c r="O320" t="e">
        <v>#N/A</v>
      </c>
      <c r="P320" t="s">
        <v>722</v>
      </c>
      <c r="Q320">
        <v>0.89</v>
      </c>
      <c r="R320" t="e">
        <v>#N/A</v>
      </c>
      <c r="S320" t="s">
        <v>722</v>
      </c>
      <c r="T320">
        <v>926.61</v>
      </c>
      <c r="U320" t="e">
        <v>#N/A</v>
      </c>
      <c r="V320" t="s">
        <v>722</v>
      </c>
      <c r="W320">
        <v>0.82</v>
      </c>
      <c r="X320" t="e">
        <v>#N/A</v>
      </c>
      <c r="Y320" t="s">
        <v>722</v>
      </c>
      <c r="Z320">
        <v>0.98</v>
      </c>
      <c r="AA320" t="e">
        <v>#N/A</v>
      </c>
      <c r="AB320" t="s">
        <v>722</v>
      </c>
      <c r="AC320">
        <v>0.99</v>
      </c>
      <c r="AD320" t="e">
        <v>#N/A</v>
      </c>
      <c r="AE320" t="s">
        <v>722</v>
      </c>
      <c r="AF320">
        <v>1</v>
      </c>
      <c r="AG320" t="e">
        <v>#N/A</v>
      </c>
      <c r="AH320" t="s">
        <v>722</v>
      </c>
      <c r="AI320">
        <v>0.92</v>
      </c>
      <c r="AJ320" t="e">
        <v>#N/A</v>
      </c>
      <c r="AK320" t="s">
        <v>722</v>
      </c>
      <c r="AL320">
        <v>926.61</v>
      </c>
      <c r="AM320" t="e">
        <v>#N/A</v>
      </c>
      <c r="AN320" t="s">
        <v>722</v>
      </c>
      <c r="AO320">
        <v>0.83</v>
      </c>
      <c r="AP320" t="e">
        <v>#N/A</v>
      </c>
      <c r="AQ320" t="s">
        <v>722</v>
      </c>
      <c r="AR320">
        <v>926.61</v>
      </c>
      <c r="AS320" t="e">
        <v>#N/A</v>
      </c>
      <c r="AT320" t="s">
        <v>722</v>
      </c>
      <c r="AU320">
        <v>0.85</v>
      </c>
      <c r="AV320" t="e">
        <v>#N/A</v>
      </c>
      <c r="AW320" t="s">
        <v>722</v>
      </c>
      <c r="AX320">
        <v>0.99</v>
      </c>
      <c r="AY320" t="e">
        <v>#N/A</v>
      </c>
      <c r="AZ320" t="s">
        <v>722</v>
      </c>
      <c r="BA320">
        <v>0.84</v>
      </c>
      <c r="BB320" t="e">
        <v>#N/A</v>
      </c>
      <c r="BC320" t="s">
        <v>722</v>
      </c>
      <c r="BD320">
        <v>0.97</v>
      </c>
      <c r="BE320" t="e">
        <v>#N/A</v>
      </c>
      <c r="BF320" t="s">
        <v>722</v>
      </c>
      <c r="BG320">
        <v>1</v>
      </c>
      <c r="BH320" t="e">
        <v>#N/A</v>
      </c>
      <c r="BI320" t="s">
        <v>722</v>
      </c>
      <c r="BJ320">
        <v>0.85</v>
      </c>
      <c r="BK320" t="e">
        <v>#N/A</v>
      </c>
      <c r="BL320" t="s">
        <v>722</v>
      </c>
      <c r="BM320">
        <v>0.92</v>
      </c>
      <c r="BN320" t="e">
        <v>#N/A</v>
      </c>
      <c r="BO320" t="s">
        <v>722</v>
      </c>
      <c r="BP320">
        <v>0.99</v>
      </c>
      <c r="BQ320" t="e">
        <v>#N/A</v>
      </c>
      <c r="BR320" t="s">
        <v>722</v>
      </c>
      <c r="BS320">
        <v>1</v>
      </c>
      <c r="BT320" t="e">
        <v>#N/A</v>
      </c>
      <c r="BU320" t="s">
        <v>722</v>
      </c>
      <c r="BV320">
        <v>1044.5899999999999</v>
      </c>
      <c r="BW320" t="e">
        <v>#N/A</v>
      </c>
      <c r="BX320" t="s">
        <v>722</v>
      </c>
      <c r="BY320">
        <v>1</v>
      </c>
      <c r="BZ320" t="e">
        <v>#N/A</v>
      </c>
      <c r="CA320" t="s">
        <v>722</v>
      </c>
      <c r="CB320">
        <v>1</v>
      </c>
      <c r="CC320" t="e">
        <v>#N/A</v>
      </c>
      <c r="CD320" t="s">
        <v>722</v>
      </c>
      <c r="CE320">
        <v>1</v>
      </c>
      <c r="CF320" t="e">
        <v>#N/A</v>
      </c>
      <c r="CG320" t="s">
        <v>722</v>
      </c>
      <c r="CH320">
        <v>1</v>
      </c>
      <c r="CI320" t="e">
        <v>#N/A</v>
      </c>
      <c r="CJ320" t="s">
        <v>722</v>
      </c>
      <c r="CK320">
        <v>1</v>
      </c>
      <c r="CL320" t="e">
        <v>#N/A</v>
      </c>
      <c r="CM320" t="s">
        <v>722</v>
      </c>
      <c r="CN320">
        <v>1</v>
      </c>
      <c r="CO320" t="e">
        <v>#N/A</v>
      </c>
      <c r="CP320" t="s">
        <v>722</v>
      </c>
      <c r="CQ320">
        <v>1</v>
      </c>
      <c r="CR320" t="e">
        <v>#N/A</v>
      </c>
      <c r="CS320" t="s">
        <v>722</v>
      </c>
      <c r="CT320">
        <v>1</v>
      </c>
      <c r="CU320" t="e">
        <v>#N/A</v>
      </c>
      <c r="CV320" t="s">
        <v>722</v>
      </c>
      <c r="CW320">
        <v>1</v>
      </c>
      <c r="CX320" t="e">
        <v>#N/A</v>
      </c>
      <c r="CY320" t="s">
        <v>722</v>
      </c>
      <c r="CZ320">
        <v>1</v>
      </c>
      <c r="DA320" t="e">
        <v>#N/A</v>
      </c>
      <c r="DB320" t="s">
        <v>722</v>
      </c>
      <c r="DC320">
        <v>0.84</v>
      </c>
      <c r="DD320" t="e">
        <v>#N/A</v>
      </c>
      <c r="DE320" t="s">
        <v>722</v>
      </c>
      <c r="DF320">
        <v>1</v>
      </c>
      <c r="DG320" t="e">
        <v>#N/A</v>
      </c>
      <c r="DH320" t="s">
        <v>722</v>
      </c>
      <c r="DI320">
        <v>0.99</v>
      </c>
      <c r="DJ320" t="e">
        <v>#N/A</v>
      </c>
      <c r="DK320" t="s">
        <v>722</v>
      </c>
      <c r="DL320">
        <v>0.99</v>
      </c>
      <c r="DM320" t="e">
        <v>#N/A</v>
      </c>
      <c r="DN320" t="s">
        <v>722</v>
      </c>
      <c r="DO320">
        <v>0.99</v>
      </c>
      <c r="DP320" t="e">
        <v>#N/A</v>
      </c>
      <c r="DQ320" t="s">
        <v>722</v>
      </c>
      <c r="DR320">
        <v>0.82</v>
      </c>
      <c r="DS320" t="e">
        <v>#N/A</v>
      </c>
      <c r="DT320" t="s">
        <v>722</v>
      </c>
      <c r="DU320">
        <v>0.89</v>
      </c>
      <c r="DV320" t="e">
        <v>#N/A</v>
      </c>
      <c r="DW320" t="s">
        <v>722</v>
      </c>
      <c r="DX320">
        <v>1</v>
      </c>
      <c r="DY320" t="e">
        <v>#N/A</v>
      </c>
      <c r="DZ320" t="s">
        <v>722</v>
      </c>
      <c r="EA320">
        <v>1012.21</v>
      </c>
      <c r="EB320" t="e">
        <v>#N/A</v>
      </c>
      <c r="EC320" t="s">
        <v>722</v>
      </c>
      <c r="ED320">
        <v>1</v>
      </c>
      <c r="EE320" t="e">
        <v>#N/A</v>
      </c>
      <c r="EF320" t="s">
        <v>722</v>
      </c>
      <c r="EG320">
        <v>1</v>
      </c>
      <c r="EH320" t="e">
        <v>#N/A</v>
      </c>
      <c r="EI320" t="s">
        <v>722</v>
      </c>
      <c r="EJ320">
        <v>0.94</v>
      </c>
      <c r="EK320" t="e">
        <v>#N/A</v>
      </c>
    </row>
    <row r="321" spans="1:141">
      <c r="A321" t="s">
        <v>722</v>
      </c>
      <c r="B321">
        <v>0.82</v>
      </c>
      <c r="C321" t="e">
        <v>#N/A</v>
      </c>
      <c r="D321" t="s">
        <v>722</v>
      </c>
      <c r="E321">
        <v>0.82</v>
      </c>
      <c r="F321" t="e">
        <v>#N/A</v>
      </c>
      <c r="G321" t="s">
        <v>722</v>
      </c>
      <c r="H321">
        <v>0.95</v>
      </c>
      <c r="I321" t="e">
        <v>#N/A</v>
      </c>
      <c r="J321" t="s">
        <v>722</v>
      </c>
      <c r="K321">
        <v>0.94</v>
      </c>
      <c r="L321" t="e">
        <v>#N/A</v>
      </c>
      <c r="M321" t="s">
        <v>722</v>
      </c>
      <c r="N321">
        <v>994.61</v>
      </c>
      <c r="O321" t="e">
        <v>#N/A</v>
      </c>
      <c r="P321" t="s">
        <v>722</v>
      </c>
      <c r="Q321">
        <v>0.82</v>
      </c>
      <c r="R321" t="e">
        <v>#N/A</v>
      </c>
      <c r="S321" t="s">
        <v>722</v>
      </c>
      <c r="T321">
        <v>1</v>
      </c>
      <c r="U321" t="e">
        <v>#N/A</v>
      </c>
      <c r="V321" t="s">
        <v>722</v>
      </c>
      <c r="W321">
        <v>0.84</v>
      </c>
      <c r="X321" t="e">
        <v>#N/A</v>
      </c>
      <c r="Y321" t="s">
        <v>722</v>
      </c>
      <c r="Z321">
        <v>0.82</v>
      </c>
      <c r="AA321" t="e">
        <v>#N/A</v>
      </c>
      <c r="AB321" t="s">
        <v>722</v>
      </c>
      <c r="AC321">
        <v>0.82</v>
      </c>
      <c r="AD321" t="e">
        <v>#N/A</v>
      </c>
      <c r="AE321" t="s">
        <v>722</v>
      </c>
      <c r="AF321">
        <v>0.99</v>
      </c>
      <c r="AG321" t="e">
        <v>#N/A</v>
      </c>
      <c r="AH321" t="s">
        <v>722</v>
      </c>
      <c r="AI321">
        <v>0.81</v>
      </c>
      <c r="AJ321" t="e">
        <v>#N/A</v>
      </c>
      <c r="AK321" t="s">
        <v>722</v>
      </c>
      <c r="AL321">
        <v>1</v>
      </c>
      <c r="AM321" t="e">
        <v>#N/A</v>
      </c>
      <c r="AN321" t="s">
        <v>722</v>
      </c>
      <c r="AO321">
        <v>1147.3</v>
      </c>
      <c r="AP321" t="e">
        <v>#N/A</v>
      </c>
      <c r="AQ321" t="s">
        <v>722</v>
      </c>
      <c r="AR321">
        <v>1</v>
      </c>
      <c r="AS321" t="e">
        <v>#N/A</v>
      </c>
      <c r="AT321" t="s">
        <v>722</v>
      </c>
      <c r="AU321">
        <v>0.94</v>
      </c>
      <c r="AV321" t="e">
        <v>#N/A</v>
      </c>
      <c r="AW321" t="s">
        <v>722</v>
      </c>
      <c r="AX321">
        <v>0.96</v>
      </c>
      <c r="AY321" t="e">
        <v>#N/A</v>
      </c>
      <c r="AZ321" t="s">
        <v>722</v>
      </c>
      <c r="BA321">
        <v>1087.3699999999999</v>
      </c>
      <c r="BB321" t="e">
        <v>#N/A</v>
      </c>
      <c r="BC321" t="s">
        <v>722</v>
      </c>
      <c r="BD321">
        <v>0.96</v>
      </c>
      <c r="BE321" t="e">
        <v>#N/A</v>
      </c>
      <c r="BF321" t="s">
        <v>722</v>
      </c>
      <c r="BG321">
        <v>1</v>
      </c>
      <c r="BH321" t="e">
        <v>#N/A</v>
      </c>
      <c r="BI321" t="s">
        <v>722</v>
      </c>
      <c r="BJ321">
        <v>1</v>
      </c>
      <c r="BK321" t="e">
        <v>#N/A</v>
      </c>
      <c r="BL321" t="s">
        <v>722</v>
      </c>
      <c r="BM321">
        <v>0.92</v>
      </c>
      <c r="BN321" t="e">
        <v>#N/A</v>
      </c>
      <c r="BO321" t="s">
        <v>722</v>
      </c>
      <c r="BP321">
        <v>0.98</v>
      </c>
      <c r="BQ321" t="e">
        <v>#N/A</v>
      </c>
      <c r="BR321" t="s">
        <v>722</v>
      </c>
      <c r="BS321">
        <v>1</v>
      </c>
      <c r="BT321" t="e">
        <v>#N/A</v>
      </c>
      <c r="BU321" t="s">
        <v>722</v>
      </c>
      <c r="BV321">
        <v>997.73</v>
      </c>
      <c r="BW321" t="e">
        <v>#N/A</v>
      </c>
      <c r="BX321" t="s">
        <v>722</v>
      </c>
      <c r="BY321">
        <v>1087.3699999999999</v>
      </c>
      <c r="BZ321" t="e">
        <v>#N/A</v>
      </c>
      <c r="CA321" t="s">
        <v>722</v>
      </c>
      <c r="CB321">
        <v>1</v>
      </c>
      <c r="CC321" t="e">
        <v>#N/A</v>
      </c>
      <c r="CD321" t="s">
        <v>722</v>
      </c>
      <c r="CE321">
        <v>1</v>
      </c>
      <c r="CF321" t="e">
        <v>#N/A</v>
      </c>
      <c r="CG321" t="s">
        <v>722</v>
      </c>
      <c r="CH321">
        <v>0.86</v>
      </c>
      <c r="CI321" t="e">
        <v>#N/A</v>
      </c>
      <c r="CJ321" t="s">
        <v>722</v>
      </c>
      <c r="CK321">
        <v>0.86</v>
      </c>
      <c r="CL321" t="e">
        <v>#N/A</v>
      </c>
      <c r="CM321" t="s">
        <v>722</v>
      </c>
      <c r="CN321">
        <v>0.94</v>
      </c>
      <c r="CO321" t="e">
        <v>#N/A</v>
      </c>
      <c r="CP321" t="s">
        <v>722</v>
      </c>
      <c r="CQ321">
        <v>1044.5899999999999</v>
      </c>
      <c r="CR321" t="e">
        <v>#N/A</v>
      </c>
      <c r="CS321" t="s">
        <v>722</v>
      </c>
      <c r="CT321">
        <v>0.84</v>
      </c>
      <c r="CU321" t="e">
        <v>#N/A</v>
      </c>
      <c r="CV321" t="s">
        <v>722</v>
      </c>
      <c r="CW321">
        <v>1</v>
      </c>
      <c r="CX321" t="e">
        <v>#N/A</v>
      </c>
      <c r="CY321" t="s">
        <v>722</v>
      </c>
      <c r="CZ321">
        <v>1</v>
      </c>
      <c r="DA321" t="e">
        <v>#N/A</v>
      </c>
      <c r="DB321" t="s">
        <v>722</v>
      </c>
      <c r="DC321">
        <v>0.83</v>
      </c>
      <c r="DD321" t="e">
        <v>#N/A</v>
      </c>
      <c r="DE321" t="s">
        <v>722</v>
      </c>
      <c r="DF321">
        <v>0.98</v>
      </c>
      <c r="DG321" t="e">
        <v>#N/A</v>
      </c>
      <c r="DH321" t="s">
        <v>722</v>
      </c>
      <c r="DI321">
        <v>0.83</v>
      </c>
      <c r="DJ321" t="e">
        <v>#N/A</v>
      </c>
      <c r="DK321" t="s">
        <v>722</v>
      </c>
      <c r="DL321">
        <v>1</v>
      </c>
      <c r="DM321" t="e">
        <v>#N/A</v>
      </c>
      <c r="DN321" t="s">
        <v>722</v>
      </c>
      <c r="DO321">
        <v>1044.5899999999999</v>
      </c>
      <c r="DP321" t="e">
        <v>#N/A</v>
      </c>
      <c r="DQ321" t="s">
        <v>722</v>
      </c>
      <c r="DR321">
        <v>1</v>
      </c>
      <c r="DS321" t="e">
        <v>#N/A</v>
      </c>
      <c r="DT321" t="s">
        <v>722</v>
      </c>
      <c r="DU321">
        <v>0.98</v>
      </c>
      <c r="DV321" t="e">
        <v>#N/A</v>
      </c>
      <c r="DW321" t="s">
        <v>722</v>
      </c>
      <c r="DX321">
        <v>0.88</v>
      </c>
      <c r="DY321" t="e">
        <v>#N/A</v>
      </c>
      <c r="DZ321" t="s">
        <v>722</v>
      </c>
      <c r="EA321">
        <v>0.95</v>
      </c>
      <c r="EB321" t="e">
        <v>#N/A</v>
      </c>
      <c r="EC321" t="s">
        <v>722</v>
      </c>
      <c r="ED321">
        <v>0.88</v>
      </c>
      <c r="EE321" t="e">
        <v>#N/A</v>
      </c>
      <c r="EF321" t="s">
        <v>722</v>
      </c>
      <c r="EG321">
        <v>0.88</v>
      </c>
      <c r="EH321" t="e">
        <v>#N/A</v>
      </c>
      <c r="EI321" t="s">
        <v>722</v>
      </c>
      <c r="EJ321">
        <v>1</v>
      </c>
      <c r="EK321" t="e">
        <v>#N/A</v>
      </c>
    </row>
    <row r="322" spans="1:141">
      <c r="A322" t="s">
        <v>722</v>
      </c>
      <c r="B322">
        <v>0.82</v>
      </c>
      <c r="C322" t="e">
        <v>#N/A</v>
      </c>
      <c r="D322" t="s">
        <v>722</v>
      </c>
      <c r="E322">
        <v>996.69</v>
      </c>
      <c r="F322" t="e">
        <v>#N/A</v>
      </c>
      <c r="G322" t="s">
        <v>722</v>
      </c>
      <c r="H322">
        <v>0.93</v>
      </c>
      <c r="I322" t="e">
        <v>#N/A</v>
      </c>
      <c r="J322" t="s">
        <v>722</v>
      </c>
      <c r="K322">
        <v>0.92</v>
      </c>
      <c r="L322" t="e">
        <v>#N/A</v>
      </c>
      <c r="M322" t="s">
        <v>722</v>
      </c>
      <c r="N322">
        <v>995.65</v>
      </c>
      <c r="O322" t="e">
        <v>#N/A</v>
      </c>
      <c r="P322" t="s">
        <v>722</v>
      </c>
      <c r="Q322">
        <v>0.82</v>
      </c>
      <c r="R322" t="e">
        <v>#N/A</v>
      </c>
      <c r="S322" t="s">
        <v>722</v>
      </c>
      <c r="T322">
        <v>0.87</v>
      </c>
      <c r="U322" t="e">
        <v>#N/A</v>
      </c>
      <c r="V322" t="s">
        <v>722</v>
      </c>
      <c r="W322">
        <v>0.99</v>
      </c>
      <c r="X322" t="e">
        <v>#N/A</v>
      </c>
      <c r="Y322" t="s">
        <v>722</v>
      </c>
      <c r="Z322">
        <v>0.82</v>
      </c>
      <c r="AA322" t="e">
        <v>#N/A</v>
      </c>
      <c r="AB322" t="s">
        <v>722</v>
      </c>
      <c r="AC322">
        <v>0.82</v>
      </c>
      <c r="AD322" t="e">
        <v>#N/A</v>
      </c>
      <c r="AE322" t="s">
        <v>722</v>
      </c>
      <c r="AF322">
        <v>0.95</v>
      </c>
      <c r="AG322" t="e">
        <v>#N/A</v>
      </c>
      <c r="AH322" t="s">
        <v>722</v>
      </c>
      <c r="AI322">
        <v>1147.3</v>
      </c>
      <c r="AJ322" t="e">
        <v>#N/A</v>
      </c>
      <c r="AK322" t="s">
        <v>722</v>
      </c>
      <c r="AL322">
        <v>1147.3</v>
      </c>
      <c r="AM322" t="e">
        <v>#N/A</v>
      </c>
      <c r="AN322" t="s">
        <v>722</v>
      </c>
      <c r="AO322">
        <v>1024.9000000000001</v>
      </c>
      <c r="AP322" t="e">
        <v>#N/A</v>
      </c>
      <c r="AQ322" t="s">
        <v>722</v>
      </c>
      <c r="AR322">
        <v>0.99</v>
      </c>
      <c r="AS322" t="e">
        <v>#N/A</v>
      </c>
      <c r="AT322" t="s">
        <v>722</v>
      </c>
      <c r="AU322">
        <v>1087.3699999999999</v>
      </c>
      <c r="AV322" t="e">
        <v>#N/A</v>
      </c>
      <c r="AW322" t="s">
        <v>722</v>
      </c>
      <c r="AX322">
        <v>0.95</v>
      </c>
      <c r="AY322" t="e">
        <v>#N/A</v>
      </c>
      <c r="AZ322" t="s">
        <v>722</v>
      </c>
      <c r="BA322">
        <v>926.61</v>
      </c>
      <c r="BB322" t="e">
        <v>#N/A</v>
      </c>
      <c r="BC322" t="s">
        <v>722</v>
      </c>
      <c r="BD322">
        <v>0.96</v>
      </c>
      <c r="BE322" t="e">
        <v>#N/A</v>
      </c>
      <c r="BF322" t="s">
        <v>722</v>
      </c>
      <c r="BG322">
        <v>0.98</v>
      </c>
      <c r="BH322" t="e">
        <v>#N/A</v>
      </c>
      <c r="BI322" t="s">
        <v>722</v>
      </c>
      <c r="BJ322">
        <v>0.8</v>
      </c>
      <c r="BK322" t="e">
        <v>#N/A</v>
      </c>
      <c r="BL322" t="s">
        <v>722</v>
      </c>
      <c r="BM322">
        <v>0.91</v>
      </c>
      <c r="BN322" t="e">
        <v>#N/A</v>
      </c>
      <c r="BO322" t="s">
        <v>722</v>
      </c>
      <c r="BP322">
        <v>0.97</v>
      </c>
      <c r="BQ322" t="e">
        <v>#N/A</v>
      </c>
      <c r="BR322" t="s">
        <v>722</v>
      </c>
      <c r="BS322">
        <v>0.92</v>
      </c>
      <c r="BT322" t="e">
        <v>#N/A</v>
      </c>
      <c r="BU322" t="s">
        <v>722</v>
      </c>
      <c r="BV322">
        <v>1</v>
      </c>
      <c r="BW322" t="e">
        <v>#N/A</v>
      </c>
      <c r="BX322" t="s">
        <v>722</v>
      </c>
      <c r="BY322">
        <v>926.61</v>
      </c>
      <c r="BZ322" t="e">
        <v>#N/A</v>
      </c>
      <c r="CA322" t="s">
        <v>722</v>
      </c>
      <c r="CB322">
        <v>0.86</v>
      </c>
      <c r="CC322" t="e">
        <v>#N/A</v>
      </c>
      <c r="CD322" t="s">
        <v>722</v>
      </c>
      <c r="CE322">
        <v>1053.57</v>
      </c>
      <c r="CF322" t="e">
        <v>#N/A</v>
      </c>
      <c r="CG322" t="s">
        <v>722</v>
      </c>
      <c r="CH322">
        <v>0.89</v>
      </c>
      <c r="CI322" t="e">
        <v>#N/A</v>
      </c>
      <c r="CJ322" t="s">
        <v>722</v>
      </c>
      <c r="CK322">
        <v>1</v>
      </c>
      <c r="CL322" t="e">
        <v>#N/A</v>
      </c>
      <c r="CM322" t="s">
        <v>722</v>
      </c>
      <c r="CN322">
        <v>0.92</v>
      </c>
      <c r="CO322" t="e">
        <v>#N/A</v>
      </c>
      <c r="CP322" t="s">
        <v>722</v>
      </c>
      <c r="CQ322">
        <v>997.73</v>
      </c>
      <c r="CR322" t="e">
        <v>#N/A</v>
      </c>
      <c r="CS322" t="s">
        <v>722</v>
      </c>
      <c r="CT322">
        <v>0.81</v>
      </c>
      <c r="CU322" t="e">
        <v>#N/A</v>
      </c>
      <c r="CV322" t="s">
        <v>722</v>
      </c>
      <c r="CW322">
        <v>1</v>
      </c>
      <c r="CX322" t="e">
        <v>#N/A</v>
      </c>
      <c r="CY322" t="s">
        <v>722</v>
      </c>
      <c r="CZ322">
        <v>1</v>
      </c>
      <c r="DA322" t="e">
        <v>#N/A</v>
      </c>
      <c r="DB322" t="s">
        <v>722</v>
      </c>
      <c r="DC322">
        <v>0.94</v>
      </c>
      <c r="DD322" t="e">
        <v>#N/A</v>
      </c>
      <c r="DE322" t="s">
        <v>722</v>
      </c>
      <c r="DF322">
        <v>0.84</v>
      </c>
      <c r="DG322" t="e">
        <v>#N/A</v>
      </c>
      <c r="DH322" t="s">
        <v>722</v>
      </c>
      <c r="DI322">
        <v>1044.5899999999999</v>
      </c>
      <c r="DJ322" t="e">
        <v>#N/A</v>
      </c>
      <c r="DK322" t="s">
        <v>722</v>
      </c>
      <c r="DL322">
        <v>1045.28</v>
      </c>
      <c r="DM322" t="e">
        <v>#N/A</v>
      </c>
      <c r="DN322" t="s">
        <v>722</v>
      </c>
      <c r="DO322">
        <v>1006.44</v>
      </c>
      <c r="DP322" t="e">
        <v>#N/A</v>
      </c>
      <c r="DQ322" t="s">
        <v>722</v>
      </c>
      <c r="DR322">
        <v>1012.21</v>
      </c>
      <c r="DS322" t="e">
        <v>#N/A</v>
      </c>
      <c r="DT322" t="s">
        <v>722</v>
      </c>
      <c r="DU322">
        <v>0.83</v>
      </c>
      <c r="DV322" t="e">
        <v>#N/A</v>
      </c>
      <c r="DW322" t="s">
        <v>722</v>
      </c>
      <c r="DX322">
        <v>1012.21</v>
      </c>
      <c r="DY322" t="e">
        <v>#N/A</v>
      </c>
      <c r="DZ322" t="s">
        <v>722</v>
      </c>
      <c r="EA322">
        <v>0.95</v>
      </c>
      <c r="EB322" t="e">
        <v>#N/A</v>
      </c>
      <c r="EC322" t="s">
        <v>722</v>
      </c>
      <c r="ED322">
        <v>1012.21</v>
      </c>
      <c r="EE322" t="e">
        <v>#N/A</v>
      </c>
      <c r="EF322" t="s">
        <v>722</v>
      </c>
      <c r="EG322">
        <v>1012.21</v>
      </c>
      <c r="EH322" t="e">
        <v>#N/A</v>
      </c>
      <c r="EI322" t="s">
        <v>722</v>
      </c>
      <c r="EJ322">
        <v>0.88</v>
      </c>
      <c r="EK322" t="e">
        <v>#N/A</v>
      </c>
    </row>
    <row r="323" spans="1:141">
      <c r="A323" t="s">
        <v>722</v>
      </c>
      <c r="B323">
        <v>0.98</v>
      </c>
      <c r="C323" t="e">
        <v>#N/A</v>
      </c>
      <c r="D323" t="s">
        <v>722</v>
      </c>
      <c r="E323">
        <v>0.82</v>
      </c>
      <c r="F323" t="e">
        <v>#N/A</v>
      </c>
      <c r="G323" t="s">
        <v>722</v>
      </c>
      <c r="H323">
        <v>0.81</v>
      </c>
      <c r="I323" t="e">
        <v>#N/A</v>
      </c>
      <c r="J323" t="s">
        <v>722</v>
      </c>
      <c r="K323">
        <v>0.88</v>
      </c>
      <c r="L323" t="e">
        <v>#N/A</v>
      </c>
      <c r="M323" t="s">
        <v>722</v>
      </c>
      <c r="N323">
        <v>0.92</v>
      </c>
      <c r="O323" t="e">
        <v>#N/A</v>
      </c>
      <c r="P323" t="s">
        <v>722</v>
      </c>
      <c r="Q323">
        <v>0.82</v>
      </c>
      <c r="R323" t="e">
        <v>#N/A</v>
      </c>
      <c r="S323" t="s">
        <v>722</v>
      </c>
      <c r="T323">
        <v>0.89</v>
      </c>
      <c r="U323" t="e">
        <v>#N/A</v>
      </c>
      <c r="V323" t="s">
        <v>722</v>
      </c>
      <c r="W323">
        <v>0.82</v>
      </c>
      <c r="X323" t="e">
        <v>#N/A</v>
      </c>
      <c r="Y323" t="s">
        <v>722</v>
      </c>
      <c r="Z323">
        <v>0.97</v>
      </c>
      <c r="AA323" t="e">
        <v>#N/A</v>
      </c>
      <c r="AB323" t="s">
        <v>722</v>
      </c>
      <c r="AC323">
        <v>0.84</v>
      </c>
      <c r="AD323" t="e">
        <v>#N/A</v>
      </c>
      <c r="AE323" t="s">
        <v>722</v>
      </c>
      <c r="AF323">
        <v>0.84</v>
      </c>
      <c r="AG323" t="e">
        <v>#N/A</v>
      </c>
      <c r="AH323" t="s">
        <v>722</v>
      </c>
      <c r="AI323">
        <v>0.98</v>
      </c>
      <c r="AJ323" t="e">
        <v>#N/A</v>
      </c>
      <c r="AK323" t="s">
        <v>722</v>
      </c>
      <c r="AL323">
        <v>0.98</v>
      </c>
      <c r="AM323" t="e">
        <v>#N/A</v>
      </c>
      <c r="AN323" t="s">
        <v>722</v>
      </c>
      <c r="AO323">
        <v>0.84</v>
      </c>
      <c r="AP323" t="e">
        <v>#N/A</v>
      </c>
      <c r="AQ323" t="s">
        <v>722</v>
      </c>
      <c r="AR323">
        <v>0.94</v>
      </c>
      <c r="AS323" t="e">
        <v>#N/A</v>
      </c>
      <c r="AT323" t="s">
        <v>879</v>
      </c>
      <c r="AU323">
        <v>9.3000000000000007</v>
      </c>
      <c r="AV323" t="e">
        <v>#N/A</v>
      </c>
      <c r="AW323" t="s">
        <v>722</v>
      </c>
      <c r="AX323">
        <v>0.94</v>
      </c>
      <c r="AY323" t="e">
        <v>#N/A</v>
      </c>
      <c r="AZ323" t="s">
        <v>722</v>
      </c>
      <c r="BA323">
        <v>1</v>
      </c>
      <c r="BB323" t="e">
        <v>#N/A</v>
      </c>
      <c r="BC323" t="s">
        <v>722</v>
      </c>
      <c r="BD323">
        <v>0.94</v>
      </c>
      <c r="BE323" t="e">
        <v>#N/A</v>
      </c>
      <c r="BF323" t="s">
        <v>722</v>
      </c>
      <c r="BG323">
        <v>0.96</v>
      </c>
      <c r="BH323" t="e">
        <v>#N/A</v>
      </c>
      <c r="BI323" t="s">
        <v>722</v>
      </c>
      <c r="BJ323">
        <v>0.77</v>
      </c>
      <c r="BK323" t="e">
        <v>#N/A</v>
      </c>
      <c r="BL323" t="s">
        <v>722</v>
      </c>
      <c r="BM323">
        <v>0.9</v>
      </c>
      <c r="BN323" t="e">
        <v>#N/A</v>
      </c>
      <c r="BO323" t="s">
        <v>722</v>
      </c>
      <c r="BP323">
        <v>0.95</v>
      </c>
      <c r="BQ323" t="e">
        <v>#N/A</v>
      </c>
      <c r="BR323" t="s">
        <v>722</v>
      </c>
      <c r="BS323">
        <v>1</v>
      </c>
      <c r="BT323" t="e">
        <v>#N/A</v>
      </c>
      <c r="BU323" t="s">
        <v>722</v>
      </c>
      <c r="BV323">
        <v>1</v>
      </c>
      <c r="BW323" t="e">
        <v>#N/A</v>
      </c>
      <c r="BX323" t="s">
        <v>722</v>
      </c>
      <c r="BY323">
        <v>880.34</v>
      </c>
      <c r="BZ323" t="e">
        <v>#N/A</v>
      </c>
      <c r="CA323" t="s">
        <v>722</v>
      </c>
      <c r="CB323">
        <v>1</v>
      </c>
      <c r="CC323" t="e">
        <v>#N/A</v>
      </c>
      <c r="CD323" t="s">
        <v>722</v>
      </c>
      <c r="CE323">
        <v>735.03</v>
      </c>
      <c r="CF323" t="e">
        <v>#N/A</v>
      </c>
      <c r="CG323" t="s">
        <v>722</v>
      </c>
      <c r="CH323">
        <v>0.84</v>
      </c>
      <c r="CI323" t="e">
        <v>#N/A</v>
      </c>
      <c r="CJ323" t="s">
        <v>722</v>
      </c>
      <c r="CK323">
        <v>1</v>
      </c>
      <c r="CL323" t="e">
        <v>#N/A</v>
      </c>
      <c r="CM323" t="s">
        <v>722</v>
      </c>
      <c r="CN323">
        <v>0.97</v>
      </c>
      <c r="CO323" t="e">
        <v>#N/A</v>
      </c>
      <c r="CP323" t="s">
        <v>722</v>
      </c>
      <c r="CQ323">
        <v>1</v>
      </c>
      <c r="CR323" t="e">
        <v>#N/A</v>
      </c>
      <c r="CS323" t="s">
        <v>722</v>
      </c>
      <c r="CT323">
        <v>0.98</v>
      </c>
      <c r="CU323" t="e">
        <v>#N/A</v>
      </c>
      <c r="CV323" t="s">
        <v>722</v>
      </c>
      <c r="CW323">
        <v>1</v>
      </c>
      <c r="CX323" t="e">
        <v>#N/A</v>
      </c>
      <c r="CY323" t="s">
        <v>722</v>
      </c>
      <c r="CZ323">
        <v>1</v>
      </c>
      <c r="DA323" t="e">
        <v>#N/A</v>
      </c>
      <c r="DB323" t="s">
        <v>722</v>
      </c>
      <c r="DC323">
        <v>1</v>
      </c>
      <c r="DD323" t="e">
        <v>#N/A</v>
      </c>
      <c r="DE323" t="s">
        <v>722</v>
      </c>
      <c r="DF323">
        <v>0.83</v>
      </c>
      <c r="DG323" t="e">
        <v>#N/A</v>
      </c>
      <c r="DH323" t="s">
        <v>722</v>
      </c>
      <c r="DI323">
        <v>1006.44</v>
      </c>
      <c r="DJ323" t="e">
        <v>#N/A</v>
      </c>
      <c r="DK323" t="s">
        <v>722</v>
      </c>
      <c r="DL323">
        <v>1</v>
      </c>
      <c r="DM323" t="e">
        <v>#N/A</v>
      </c>
      <c r="DN323" t="s">
        <v>722</v>
      </c>
      <c r="DO323">
        <v>1</v>
      </c>
      <c r="DP323" t="e">
        <v>#N/A</v>
      </c>
      <c r="DQ323" t="s">
        <v>722</v>
      </c>
      <c r="DR323">
        <v>0.99</v>
      </c>
      <c r="DS323" t="e">
        <v>#N/A</v>
      </c>
      <c r="DT323" t="s">
        <v>722</v>
      </c>
      <c r="DU323">
        <v>1044.5899999999999</v>
      </c>
      <c r="DV323" t="e">
        <v>#N/A</v>
      </c>
      <c r="DW323" t="s">
        <v>722</v>
      </c>
      <c r="DX323">
        <v>0.95</v>
      </c>
      <c r="DY323" t="e">
        <v>#N/A</v>
      </c>
      <c r="DZ323" t="s">
        <v>722</v>
      </c>
      <c r="EA323">
        <v>1044.5899999999999</v>
      </c>
      <c r="EB323" t="e">
        <v>#N/A</v>
      </c>
      <c r="EC323" t="s">
        <v>722</v>
      </c>
      <c r="ED323">
        <v>0.95</v>
      </c>
      <c r="EE323" t="e">
        <v>#N/A</v>
      </c>
      <c r="EF323" t="s">
        <v>722</v>
      </c>
      <c r="EG323">
        <v>0.95</v>
      </c>
      <c r="EH323" t="e">
        <v>#N/A</v>
      </c>
      <c r="EI323" t="s">
        <v>722</v>
      </c>
      <c r="EJ323">
        <v>1012.21</v>
      </c>
      <c r="EK323" t="e">
        <v>#N/A</v>
      </c>
    </row>
    <row r="324" spans="1:141">
      <c r="A324" t="s">
        <v>722</v>
      </c>
      <c r="B324">
        <v>996.74</v>
      </c>
      <c r="C324" t="e">
        <v>#N/A</v>
      </c>
      <c r="D324" t="s">
        <v>722</v>
      </c>
      <c r="E324">
        <v>1004.86</v>
      </c>
      <c r="F324" t="e">
        <v>#N/A</v>
      </c>
      <c r="G324" t="s">
        <v>722</v>
      </c>
      <c r="H324">
        <v>0.87</v>
      </c>
      <c r="I324" t="e">
        <v>#N/A</v>
      </c>
      <c r="J324" t="s">
        <v>722</v>
      </c>
      <c r="K324">
        <v>0.84</v>
      </c>
      <c r="L324" t="e">
        <v>#N/A</v>
      </c>
      <c r="M324" t="s">
        <v>722</v>
      </c>
      <c r="N324">
        <v>0.82</v>
      </c>
      <c r="O324" t="e">
        <v>#N/A</v>
      </c>
      <c r="P324" t="s">
        <v>722</v>
      </c>
      <c r="Q324">
        <v>0.84</v>
      </c>
      <c r="R324" t="e">
        <v>#N/A</v>
      </c>
      <c r="S324" t="s">
        <v>722</v>
      </c>
      <c r="T324">
        <v>0.82</v>
      </c>
      <c r="U324" t="e">
        <v>#N/A</v>
      </c>
      <c r="V324" t="s">
        <v>722</v>
      </c>
      <c r="W324">
        <v>1012.67</v>
      </c>
      <c r="X324" t="e">
        <v>#N/A</v>
      </c>
      <c r="Y324" t="s">
        <v>722</v>
      </c>
      <c r="Z324">
        <v>0.84</v>
      </c>
      <c r="AA324" t="e">
        <v>#N/A</v>
      </c>
      <c r="AB324" t="s">
        <v>722</v>
      </c>
      <c r="AC324">
        <v>0.9</v>
      </c>
      <c r="AD324" t="e">
        <v>#N/A</v>
      </c>
      <c r="AE324" t="s">
        <v>722</v>
      </c>
      <c r="AF324">
        <v>1000.8</v>
      </c>
      <c r="AG324" t="e">
        <v>#N/A</v>
      </c>
      <c r="AH324" t="s">
        <v>722</v>
      </c>
      <c r="AI324">
        <v>0.84</v>
      </c>
      <c r="AJ324" t="e">
        <v>#N/A</v>
      </c>
      <c r="AK324" t="s">
        <v>722</v>
      </c>
      <c r="AL324">
        <v>0.84</v>
      </c>
      <c r="AM324" t="e">
        <v>#N/A</v>
      </c>
      <c r="AN324" t="s">
        <v>722</v>
      </c>
      <c r="AO324">
        <v>0.95</v>
      </c>
      <c r="AP324" t="e">
        <v>#N/A</v>
      </c>
      <c r="AQ324" t="s">
        <v>722</v>
      </c>
      <c r="AR324">
        <v>0.83</v>
      </c>
      <c r="AS324" t="e">
        <v>#N/A</v>
      </c>
      <c r="AT324" t="s">
        <v>722</v>
      </c>
      <c r="AU324">
        <v>926.61</v>
      </c>
      <c r="AV324" t="e">
        <v>#N/A</v>
      </c>
      <c r="AW324" t="s">
        <v>722</v>
      </c>
      <c r="AX324">
        <v>0.94</v>
      </c>
      <c r="AY324" t="e">
        <v>#N/A</v>
      </c>
      <c r="AZ324" t="s">
        <v>722</v>
      </c>
      <c r="BA324">
        <v>1</v>
      </c>
      <c r="BB324" t="e">
        <v>#N/A</v>
      </c>
      <c r="BC324" t="s">
        <v>722</v>
      </c>
      <c r="BD324">
        <v>0.94</v>
      </c>
      <c r="BE324" t="e">
        <v>#N/A</v>
      </c>
      <c r="BF324" t="s">
        <v>722</v>
      </c>
      <c r="BG324">
        <v>0.9</v>
      </c>
      <c r="BH324" t="e">
        <v>#N/A</v>
      </c>
      <c r="BI324" t="s">
        <v>722</v>
      </c>
      <c r="BJ324">
        <v>1044.5899999999999</v>
      </c>
      <c r="BK324" t="e">
        <v>#N/A</v>
      </c>
      <c r="BL324" t="s">
        <v>722</v>
      </c>
      <c r="BM324">
        <v>0.89</v>
      </c>
      <c r="BN324" t="e">
        <v>#N/A</v>
      </c>
      <c r="BO324" t="s">
        <v>722</v>
      </c>
      <c r="BP324">
        <v>0.94</v>
      </c>
      <c r="BQ324" t="e">
        <v>#N/A</v>
      </c>
      <c r="BR324" t="s">
        <v>722</v>
      </c>
      <c r="BS324">
        <v>0.8</v>
      </c>
      <c r="BT324" t="e">
        <v>#N/A</v>
      </c>
      <c r="BU324" t="s">
        <v>722</v>
      </c>
      <c r="BV324">
        <v>0.85</v>
      </c>
      <c r="BW324" t="e">
        <v>#N/A</v>
      </c>
      <c r="BX324" t="s">
        <v>722</v>
      </c>
      <c r="BY324">
        <v>1</v>
      </c>
      <c r="BZ324" t="e">
        <v>#N/A</v>
      </c>
      <c r="CA324" t="s">
        <v>722</v>
      </c>
      <c r="CB324">
        <v>1</v>
      </c>
      <c r="CC324" t="e">
        <v>#N/A</v>
      </c>
      <c r="CD324" t="s">
        <v>722</v>
      </c>
      <c r="CE324">
        <v>0.95</v>
      </c>
      <c r="CF324" t="e">
        <v>#N/A</v>
      </c>
      <c r="CG324" t="s">
        <v>722</v>
      </c>
      <c r="CH324">
        <v>1009.17</v>
      </c>
      <c r="CI324" t="e">
        <v>#N/A</v>
      </c>
      <c r="CJ324" t="s">
        <v>722</v>
      </c>
      <c r="CK324">
        <v>1</v>
      </c>
      <c r="CL324" t="e">
        <v>#N/A</v>
      </c>
      <c r="CM324" t="s">
        <v>722</v>
      </c>
      <c r="CN324">
        <v>1044.5899999999999</v>
      </c>
      <c r="CO324" t="e">
        <v>#N/A</v>
      </c>
      <c r="CP324" t="s">
        <v>722</v>
      </c>
      <c r="CQ324">
        <v>1</v>
      </c>
      <c r="CR324" t="e">
        <v>#N/A</v>
      </c>
      <c r="CS324" t="s">
        <v>722</v>
      </c>
      <c r="CT324">
        <v>1</v>
      </c>
      <c r="CU324" t="e">
        <v>#N/A</v>
      </c>
      <c r="CV324" t="s">
        <v>722</v>
      </c>
      <c r="CW324">
        <v>0.99</v>
      </c>
      <c r="CX324" t="e">
        <v>#N/A</v>
      </c>
      <c r="CY324" t="s">
        <v>722</v>
      </c>
      <c r="CZ324">
        <v>1</v>
      </c>
      <c r="DA324" t="e">
        <v>#N/A</v>
      </c>
      <c r="DB324" t="s">
        <v>722</v>
      </c>
      <c r="DC324">
        <v>0.98</v>
      </c>
      <c r="DD324" t="e">
        <v>#N/A</v>
      </c>
      <c r="DE324" t="s">
        <v>722</v>
      </c>
      <c r="DF324">
        <v>0.99</v>
      </c>
      <c r="DG324" t="e">
        <v>#N/A</v>
      </c>
      <c r="DH324" t="s">
        <v>722</v>
      </c>
      <c r="DI324">
        <v>997.73</v>
      </c>
      <c r="DJ324" t="e">
        <v>#N/A</v>
      </c>
      <c r="DK324" t="s">
        <v>722</v>
      </c>
      <c r="DL324">
        <v>1012.21</v>
      </c>
      <c r="DM324" t="e">
        <v>#N/A</v>
      </c>
      <c r="DN324" t="s">
        <v>722</v>
      </c>
      <c r="DO324">
        <v>1</v>
      </c>
      <c r="DP324" t="e">
        <v>#N/A</v>
      </c>
      <c r="DQ324" t="s">
        <v>722</v>
      </c>
      <c r="DR324">
        <v>0.94</v>
      </c>
      <c r="DS324" t="e">
        <v>#N/A</v>
      </c>
      <c r="DT324" t="s">
        <v>722</v>
      </c>
      <c r="DU324">
        <v>1115.3399999999999</v>
      </c>
      <c r="DV324" t="e">
        <v>#N/A</v>
      </c>
      <c r="DW324" t="s">
        <v>722</v>
      </c>
      <c r="DX324">
        <v>0.95</v>
      </c>
      <c r="DY324" t="e">
        <v>#N/A</v>
      </c>
      <c r="DZ324" t="s">
        <v>722</v>
      </c>
      <c r="EA324">
        <v>1115.3399999999999</v>
      </c>
      <c r="EB324" t="e">
        <v>#N/A</v>
      </c>
      <c r="EC324" t="s">
        <v>722</v>
      </c>
      <c r="ED324">
        <v>0.95</v>
      </c>
      <c r="EE324" t="e">
        <v>#N/A</v>
      </c>
      <c r="EF324" t="s">
        <v>722</v>
      </c>
      <c r="EG324">
        <v>0.95</v>
      </c>
      <c r="EH324" t="e">
        <v>#N/A</v>
      </c>
      <c r="EI324" t="s">
        <v>722</v>
      </c>
      <c r="EJ324">
        <v>0.95</v>
      </c>
      <c r="EK324" t="e">
        <v>#N/A</v>
      </c>
    </row>
    <row r="325" spans="1:141">
      <c r="A325" t="s">
        <v>722</v>
      </c>
      <c r="B325">
        <v>0.88</v>
      </c>
      <c r="C325" t="e">
        <v>#N/A</v>
      </c>
      <c r="D325" t="s">
        <v>722</v>
      </c>
      <c r="E325">
        <v>0.81</v>
      </c>
      <c r="F325" t="e">
        <v>#N/A</v>
      </c>
      <c r="G325" t="s">
        <v>317</v>
      </c>
      <c r="H325">
        <v>34.299999999999997</v>
      </c>
      <c r="I325" t="e">
        <v>#N/A</v>
      </c>
      <c r="J325" t="s">
        <v>722</v>
      </c>
      <c r="K325">
        <v>0.81</v>
      </c>
      <c r="L325" t="e">
        <v>#N/A</v>
      </c>
      <c r="M325" t="s">
        <v>722</v>
      </c>
      <c r="N325">
        <v>0.93</v>
      </c>
      <c r="O325" t="e">
        <v>#N/A</v>
      </c>
      <c r="P325" t="s">
        <v>722</v>
      </c>
      <c r="Q325">
        <v>0.95</v>
      </c>
      <c r="R325" t="e">
        <v>#N/A</v>
      </c>
      <c r="S325" t="s">
        <v>722</v>
      </c>
      <c r="T325">
        <v>0.82</v>
      </c>
      <c r="U325" t="e">
        <v>#N/A</v>
      </c>
      <c r="V325" t="s">
        <v>722</v>
      </c>
      <c r="W325">
        <v>0.98</v>
      </c>
      <c r="X325" t="e">
        <v>#N/A</v>
      </c>
      <c r="Y325" t="s">
        <v>722</v>
      </c>
      <c r="Z325">
        <v>0.95</v>
      </c>
      <c r="AA325" t="e">
        <v>#N/A</v>
      </c>
      <c r="AB325" t="s">
        <v>722</v>
      </c>
      <c r="AC325">
        <v>0.97</v>
      </c>
      <c r="AD325" t="e">
        <v>#N/A</v>
      </c>
      <c r="AE325" t="s">
        <v>722</v>
      </c>
      <c r="AF325">
        <v>0.98</v>
      </c>
      <c r="AG325" t="e">
        <v>#N/A</v>
      </c>
      <c r="AH325" t="s">
        <v>722</v>
      </c>
      <c r="AI325">
        <v>1018.82</v>
      </c>
      <c r="AJ325" t="e">
        <v>#N/A</v>
      </c>
      <c r="AK325" t="s">
        <v>722</v>
      </c>
      <c r="AL325">
        <v>1025.32</v>
      </c>
      <c r="AM325" t="e">
        <v>#N/A</v>
      </c>
      <c r="AN325" t="s">
        <v>722</v>
      </c>
      <c r="AO325">
        <v>0.81</v>
      </c>
      <c r="AP325" t="e">
        <v>#N/A</v>
      </c>
      <c r="AQ325" t="s">
        <v>722</v>
      </c>
      <c r="AR325">
        <v>0.83</v>
      </c>
      <c r="AS325" t="e">
        <v>#N/A</v>
      </c>
      <c r="AT325" t="s">
        <v>722</v>
      </c>
      <c r="AU325">
        <v>1</v>
      </c>
      <c r="AV325" t="e">
        <v>#N/A</v>
      </c>
      <c r="AW325" t="s">
        <v>722</v>
      </c>
      <c r="AX325">
        <v>0.91</v>
      </c>
      <c r="AY325" t="e">
        <v>#N/A</v>
      </c>
      <c r="AZ325" t="s">
        <v>722</v>
      </c>
      <c r="BA325">
        <v>0.97</v>
      </c>
      <c r="BB325" t="e">
        <v>#N/A</v>
      </c>
      <c r="BC325" t="s">
        <v>722</v>
      </c>
      <c r="BD325">
        <v>0.9</v>
      </c>
      <c r="BE325" t="e">
        <v>#N/A</v>
      </c>
      <c r="BF325" t="s">
        <v>722</v>
      </c>
      <c r="BG325">
        <v>1087.3699999999999</v>
      </c>
      <c r="BH325" t="e">
        <v>#N/A</v>
      </c>
      <c r="BI325" t="s">
        <v>722</v>
      </c>
      <c r="BJ325">
        <v>997.73</v>
      </c>
      <c r="BK325" t="e">
        <v>#N/A</v>
      </c>
      <c r="BL325" t="s">
        <v>722</v>
      </c>
      <c r="BM325">
        <v>0.88</v>
      </c>
      <c r="BN325" t="e">
        <v>#N/A</v>
      </c>
      <c r="BO325" t="s">
        <v>722</v>
      </c>
      <c r="BP325">
        <v>0.92</v>
      </c>
      <c r="BQ325" t="e">
        <v>#N/A</v>
      </c>
      <c r="BR325" t="s">
        <v>722</v>
      </c>
      <c r="BS325">
        <v>1044.5899999999999</v>
      </c>
      <c r="BT325" t="e">
        <v>#N/A</v>
      </c>
      <c r="BU325" t="s">
        <v>722</v>
      </c>
      <c r="BV325">
        <v>1087.3699999999999</v>
      </c>
      <c r="BW325" t="e">
        <v>#N/A</v>
      </c>
      <c r="BX325" t="s">
        <v>722</v>
      </c>
      <c r="BY325">
        <v>0.94</v>
      </c>
      <c r="BZ325" t="e">
        <v>#N/A</v>
      </c>
      <c r="CA325" t="s">
        <v>722</v>
      </c>
      <c r="CB325">
        <v>1</v>
      </c>
      <c r="CC325" t="e">
        <v>#N/A</v>
      </c>
      <c r="CD325" t="s">
        <v>722</v>
      </c>
      <c r="CE325">
        <v>994.55</v>
      </c>
      <c r="CF325" t="e">
        <v>#N/A</v>
      </c>
      <c r="CG325" t="s">
        <v>722</v>
      </c>
      <c r="CH325">
        <v>0.95</v>
      </c>
      <c r="CI325" t="e">
        <v>#N/A</v>
      </c>
      <c r="CJ325" t="s">
        <v>722</v>
      </c>
      <c r="CK325">
        <v>0.84</v>
      </c>
      <c r="CL325" t="e">
        <v>#N/A</v>
      </c>
      <c r="CM325" t="s">
        <v>722</v>
      </c>
      <c r="CN325">
        <v>997.73</v>
      </c>
      <c r="CO325" t="e">
        <v>#N/A</v>
      </c>
      <c r="CP325" t="s">
        <v>722</v>
      </c>
      <c r="CQ325">
        <v>0.88</v>
      </c>
      <c r="CR325" t="e">
        <v>#N/A</v>
      </c>
      <c r="CS325" t="s">
        <v>722</v>
      </c>
      <c r="CT325">
        <v>0.96</v>
      </c>
      <c r="CU325" t="e">
        <v>#N/A</v>
      </c>
      <c r="CV325" t="s">
        <v>722</v>
      </c>
      <c r="CW325">
        <v>0.84</v>
      </c>
      <c r="CX325" t="e">
        <v>#N/A</v>
      </c>
      <c r="CY325" t="s">
        <v>722</v>
      </c>
      <c r="CZ325">
        <v>1</v>
      </c>
      <c r="DA325" t="e">
        <v>#N/A</v>
      </c>
      <c r="DB325" t="s">
        <v>722</v>
      </c>
      <c r="DC325">
        <v>0.94</v>
      </c>
      <c r="DD325" t="e">
        <v>#N/A</v>
      </c>
      <c r="DE325" t="s">
        <v>722</v>
      </c>
      <c r="DF325">
        <v>1</v>
      </c>
      <c r="DG325" t="e">
        <v>#N/A</v>
      </c>
      <c r="DH325" t="s">
        <v>722</v>
      </c>
      <c r="DI325">
        <v>1</v>
      </c>
      <c r="DJ325" t="e">
        <v>#N/A</v>
      </c>
      <c r="DK325" t="s">
        <v>722</v>
      </c>
      <c r="DL325">
        <v>1044.5899999999999</v>
      </c>
      <c r="DM325" t="e">
        <v>#N/A</v>
      </c>
      <c r="DN325" t="s">
        <v>722</v>
      </c>
      <c r="DO325">
        <v>1</v>
      </c>
      <c r="DP325" t="e">
        <v>#N/A</v>
      </c>
      <c r="DQ325" t="s">
        <v>722</v>
      </c>
      <c r="DR325">
        <v>1044.5899999999999</v>
      </c>
      <c r="DS325" t="e">
        <v>#N/A</v>
      </c>
      <c r="DT325" t="s">
        <v>722</v>
      </c>
      <c r="DU325">
        <v>1</v>
      </c>
      <c r="DV325" t="e">
        <v>#N/A</v>
      </c>
      <c r="DW325" t="s">
        <v>722</v>
      </c>
      <c r="DX325">
        <v>1044.5899999999999</v>
      </c>
      <c r="DY325" t="e">
        <v>#N/A</v>
      </c>
      <c r="DZ325" t="s">
        <v>722</v>
      </c>
      <c r="EA325">
        <v>1020.66</v>
      </c>
      <c r="EB325" t="e">
        <v>#N/A</v>
      </c>
      <c r="EC325" t="s">
        <v>722</v>
      </c>
      <c r="ED325">
        <v>1044.5899999999999</v>
      </c>
      <c r="EE325" t="e">
        <v>#N/A</v>
      </c>
      <c r="EF325" t="s">
        <v>722</v>
      </c>
      <c r="EG325">
        <v>1044.5899999999999</v>
      </c>
      <c r="EH325" t="e">
        <v>#N/A</v>
      </c>
      <c r="EI325" t="s">
        <v>722</v>
      </c>
      <c r="EJ325">
        <v>0.95</v>
      </c>
      <c r="EK325" t="e">
        <v>#N/A</v>
      </c>
    </row>
    <row r="326" spans="1:141">
      <c r="A326" t="s">
        <v>722</v>
      </c>
      <c r="B326">
        <v>1004.86</v>
      </c>
      <c r="C326" t="e">
        <v>#N/A</v>
      </c>
      <c r="D326" t="s">
        <v>722</v>
      </c>
      <c r="E326">
        <v>992.39</v>
      </c>
      <c r="F326" t="e">
        <v>#N/A</v>
      </c>
      <c r="G326" t="s">
        <v>722</v>
      </c>
      <c r="H326">
        <v>992.39</v>
      </c>
      <c r="I326" t="e">
        <v>#N/A</v>
      </c>
      <c r="J326" t="s">
        <v>722</v>
      </c>
      <c r="K326">
        <v>992.39</v>
      </c>
      <c r="L326" t="e">
        <v>#N/A</v>
      </c>
      <c r="M326" t="s">
        <v>722</v>
      </c>
      <c r="N326">
        <v>0.84</v>
      </c>
      <c r="O326" t="e">
        <v>#N/A</v>
      </c>
      <c r="P326" t="s">
        <v>722</v>
      </c>
      <c r="Q326">
        <v>0.82</v>
      </c>
      <c r="R326" t="e">
        <v>#N/A</v>
      </c>
      <c r="S326" t="s">
        <v>722</v>
      </c>
      <c r="T326">
        <v>0.84</v>
      </c>
      <c r="U326" t="e">
        <v>#N/A</v>
      </c>
      <c r="V326" t="s">
        <v>722</v>
      </c>
      <c r="W326">
        <v>0.96</v>
      </c>
      <c r="X326" t="e">
        <v>#N/A</v>
      </c>
      <c r="Y326" t="s">
        <v>722</v>
      </c>
      <c r="Z326">
        <v>0.99</v>
      </c>
      <c r="AA326" t="e">
        <v>#N/A</v>
      </c>
      <c r="AB326" t="s">
        <v>722</v>
      </c>
      <c r="AC326">
        <v>1000.8</v>
      </c>
      <c r="AD326" t="e">
        <v>#N/A</v>
      </c>
      <c r="AE326" t="s">
        <v>722</v>
      </c>
      <c r="AF326">
        <v>0.97</v>
      </c>
      <c r="AG326" t="e">
        <v>#N/A</v>
      </c>
      <c r="AH326" t="s">
        <v>722</v>
      </c>
      <c r="AI326">
        <v>1000.8</v>
      </c>
      <c r="AJ326" t="e">
        <v>#N/A</v>
      </c>
      <c r="AK326" t="s">
        <v>722</v>
      </c>
      <c r="AL326">
        <v>0.94</v>
      </c>
      <c r="AM326" t="e">
        <v>#N/A</v>
      </c>
      <c r="AN326" t="s">
        <v>722</v>
      </c>
      <c r="AO326">
        <v>1032.51</v>
      </c>
      <c r="AP326" t="e">
        <v>#N/A</v>
      </c>
      <c r="AQ326" t="s">
        <v>722</v>
      </c>
      <c r="AR326">
        <v>0.94</v>
      </c>
      <c r="AS326" t="e">
        <v>#N/A</v>
      </c>
      <c r="AT326" t="s">
        <v>722</v>
      </c>
      <c r="AU326">
        <v>0.83</v>
      </c>
      <c r="AV326" t="e">
        <v>#N/A</v>
      </c>
      <c r="AW326" t="s">
        <v>722</v>
      </c>
      <c r="AX326">
        <v>0.84</v>
      </c>
      <c r="AY326" t="e">
        <v>#N/A</v>
      </c>
      <c r="AZ326" t="s">
        <v>722</v>
      </c>
      <c r="BA326">
        <v>0.96</v>
      </c>
      <c r="BB326" t="e">
        <v>#N/A</v>
      </c>
      <c r="BC326" t="s">
        <v>722</v>
      </c>
      <c r="BD326">
        <v>0.89</v>
      </c>
      <c r="BE326" t="e">
        <v>#N/A</v>
      </c>
      <c r="BF326" t="s">
        <v>722</v>
      </c>
      <c r="BG326">
        <v>1023.74</v>
      </c>
      <c r="BH326" t="e">
        <v>#N/A</v>
      </c>
      <c r="BI326" t="s">
        <v>722</v>
      </c>
      <c r="BJ326">
        <v>1</v>
      </c>
      <c r="BK326" t="e">
        <v>#N/A</v>
      </c>
      <c r="BL326" t="s">
        <v>722</v>
      </c>
      <c r="BM326">
        <v>0.88</v>
      </c>
      <c r="BN326" t="e">
        <v>#N/A</v>
      </c>
      <c r="BO326" t="s">
        <v>722</v>
      </c>
      <c r="BP326">
        <v>0.89</v>
      </c>
      <c r="BQ326" t="e">
        <v>#N/A</v>
      </c>
      <c r="BR326" t="s">
        <v>722</v>
      </c>
      <c r="BS326">
        <v>997.73</v>
      </c>
      <c r="BT326" t="e">
        <v>#N/A</v>
      </c>
      <c r="BU326" t="s">
        <v>722</v>
      </c>
      <c r="BV326">
        <v>926.61</v>
      </c>
      <c r="BW326" t="e">
        <v>#N/A</v>
      </c>
      <c r="BX326" t="s">
        <v>722</v>
      </c>
      <c r="BY326">
        <v>0.92</v>
      </c>
      <c r="BZ326" t="e">
        <v>#N/A</v>
      </c>
      <c r="CA326" t="s">
        <v>722</v>
      </c>
      <c r="CB326">
        <v>1044.5899999999999</v>
      </c>
      <c r="CC326" t="e">
        <v>#N/A</v>
      </c>
      <c r="CD326" t="s">
        <v>722</v>
      </c>
      <c r="CE326">
        <v>0.92</v>
      </c>
      <c r="CF326" t="e">
        <v>#N/A</v>
      </c>
      <c r="CG326" t="s">
        <v>722</v>
      </c>
      <c r="CH326">
        <v>1</v>
      </c>
      <c r="CI326" t="e">
        <v>#N/A</v>
      </c>
      <c r="CJ326" t="s">
        <v>722</v>
      </c>
      <c r="CK326">
        <v>1009.17</v>
      </c>
      <c r="CL326" t="e">
        <v>#N/A</v>
      </c>
      <c r="CM326" t="s">
        <v>722</v>
      </c>
      <c r="CN326">
        <v>1</v>
      </c>
      <c r="CO326" t="e">
        <v>#N/A</v>
      </c>
      <c r="CP326" t="s">
        <v>722</v>
      </c>
      <c r="CQ326">
        <v>1087.3699999999999</v>
      </c>
      <c r="CR326" t="e">
        <v>#N/A</v>
      </c>
      <c r="CS326" t="s">
        <v>722</v>
      </c>
      <c r="CT326">
        <v>0.96</v>
      </c>
      <c r="CU326" t="e">
        <v>#N/A</v>
      </c>
      <c r="CV326" t="s">
        <v>722</v>
      </c>
      <c r="CW326">
        <v>1009.96</v>
      </c>
      <c r="CX326" t="e">
        <v>#N/A</v>
      </c>
      <c r="CY326" t="s">
        <v>722</v>
      </c>
      <c r="CZ326">
        <v>0.91</v>
      </c>
      <c r="DA326" t="e">
        <v>#N/A</v>
      </c>
      <c r="DB326" t="s">
        <v>722</v>
      </c>
      <c r="DC326">
        <v>1044.5899999999999</v>
      </c>
      <c r="DD326" t="e">
        <v>#N/A</v>
      </c>
      <c r="DE326" t="s">
        <v>722</v>
      </c>
      <c r="DF326">
        <v>0.98</v>
      </c>
      <c r="DG326" t="e">
        <v>#N/A</v>
      </c>
      <c r="DH326" t="s">
        <v>722</v>
      </c>
      <c r="DI326">
        <v>1</v>
      </c>
      <c r="DJ326" t="e">
        <v>#N/A</v>
      </c>
      <c r="DK326" t="s">
        <v>722</v>
      </c>
      <c r="DL326">
        <v>1006.44</v>
      </c>
      <c r="DM326" t="e">
        <v>#N/A</v>
      </c>
      <c r="DN326" t="s">
        <v>722</v>
      </c>
      <c r="DO326">
        <v>0.97</v>
      </c>
      <c r="DP326" t="e">
        <v>#N/A</v>
      </c>
      <c r="DQ326" t="s">
        <v>722</v>
      </c>
      <c r="DR326">
        <v>1115.3399999999999</v>
      </c>
      <c r="DS326" t="e">
        <v>#N/A</v>
      </c>
      <c r="DT326" t="s">
        <v>722</v>
      </c>
      <c r="DU326">
        <v>1</v>
      </c>
      <c r="DV326" t="e">
        <v>#N/A</v>
      </c>
      <c r="DW326" t="s">
        <v>722</v>
      </c>
      <c r="DX326">
        <v>1115.3399999999999</v>
      </c>
      <c r="DY326" t="e">
        <v>#N/A</v>
      </c>
      <c r="DZ326" t="s">
        <v>722</v>
      </c>
      <c r="EA326">
        <v>1</v>
      </c>
      <c r="EB326" t="e">
        <v>#N/A</v>
      </c>
      <c r="EC326" t="s">
        <v>722</v>
      </c>
      <c r="ED326">
        <v>1115.3399999999999</v>
      </c>
      <c r="EE326" t="e">
        <v>#N/A</v>
      </c>
      <c r="EF326" t="s">
        <v>722</v>
      </c>
      <c r="EG326">
        <v>1115.3399999999999</v>
      </c>
      <c r="EH326" t="e">
        <v>#N/A</v>
      </c>
      <c r="EI326" t="s">
        <v>722</v>
      </c>
      <c r="EJ326">
        <v>1044.5899999999999</v>
      </c>
      <c r="EK326" t="e">
        <v>#N/A</v>
      </c>
    </row>
    <row r="327" spans="1:141">
      <c r="A327" t="s">
        <v>722</v>
      </c>
      <c r="B327">
        <v>0.81</v>
      </c>
      <c r="C327" t="e">
        <v>#N/A</v>
      </c>
      <c r="D327" t="s">
        <v>722</v>
      </c>
      <c r="E327">
        <v>0.93</v>
      </c>
      <c r="F327" t="e">
        <v>#N/A</v>
      </c>
      <c r="G327" t="s">
        <v>722</v>
      </c>
      <c r="H327">
        <v>0.92</v>
      </c>
      <c r="I327" t="e">
        <v>#N/A</v>
      </c>
      <c r="J327" t="s">
        <v>722</v>
      </c>
      <c r="K327">
        <v>0.92</v>
      </c>
      <c r="L327" t="e">
        <v>#N/A</v>
      </c>
      <c r="M327" t="s">
        <v>722</v>
      </c>
      <c r="N327">
        <v>0.81</v>
      </c>
      <c r="O327" t="e">
        <v>#N/A</v>
      </c>
      <c r="P327" t="s">
        <v>722</v>
      </c>
      <c r="Q327">
        <v>994.61</v>
      </c>
      <c r="R327" t="e">
        <v>#N/A</v>
      </c>
      <c r="S327" t="s">
        <v>722</v>
      </c>
      <c r="T327">
        <v>994.61</v>
      </c>
      <c r="U327" t="e">
        <v>#N/A</v>
      </c>
      <c r="V327" t="s">
        <v>722</v>
      </c>
      <c r="W327">
        <v>0.9</v>
      </c>
      <c r="X327" t="e">
        <v>#N/A</v>
      </c>
      <c r="Y327" t="s">
        <v>722</v>
      </c>
      <c r="Z327">
        <v>0.95</v>
      </c>
      <c r="AA327" t="e">
        <v>#N/A</v>
      </c>
      <c r="AB327" t="s">
        <v>722</v>
      </c>
      <c r="AC327">
        <v>0.93</v>
      </c>
      <c r="AD327" t="e">
        <v>#N/A</v>
      </c>
      <c r="AE327" t="s">
        <v>722</v>
      </c>
      <c r="AF327">
        <v>0.94</v>
      </c>
      <c r="AG327" t="e">
        <v>#N/A</v>
      </c>
      <c r="AH327" t="s">
        <v>722</v>
      </c>
      <c r="AI327">
        <v>0.99</v>
      </c>
      <c r="AJ327" t="e">
        <v>#N/A</v>
      </c>
      <c r="AK327" t="s">
        <v>722</v>
      </c>
      <c r="AL327">
        <v>0.94</v>
      </c>
      <c r="AM327" t="e">
        <v>#N/A</v>
      </c>
      <c r="AN327" t="s">
        <v>722</v>
      </c>
      <c r="AO327">
        <v>1000.8</v>
      </c>
      <c r="AP327" t="e">
        <v>#N/A</v>
      </c>
      <c r="AQ327" t="s">
        <v>722</v>
      </c>
      <c r="AR327">
        <v>0.93</v>
      </c>
      <c r="AS327" t="e">
        <v>#N/A</v>
      </c>
      <c r="AT327" t="s">
        <v>722</v>
      </c>
      <c r="AU327">
        <v>0.83</v>
      </c>
      <c r="AV327" t="e">
        <v>#N/A</v>
      </c>
      <c r="AW327" t="s">
        <v>722</v>
      </c>
      <c r="AX327">
        <v>0.83</v>
      </c>
      <c r="AY327" t="e">
        <v>#N/A</v>
      </c>
      <c r="AZ327" t="s">
        <v>722</v>
      </c>
      <c r="BA327">
        <v>0.91</v>
      </c>
      <c r="BB327" t="e">
        <v>#N/A</v>
      </c>
      <c r="BC327" t="s">
        <v>722</v>
      </c>
      <c r="BD327">
        <v>0.84</v>
      </c>
      <c r="BE327" t="e">
        <v>#N/A</v>
      </c>
      <c r="BF327" t="s">
        <v>722</v>
      </c>
      <c r="BG327">
        <v>926.61</v>
      </c>
      <c r="BH327" t="e">
        <v>#N/A</v>
      </c>
      <c r="BI327" t="s">
        <v>722</v>
      </c>
      <c r="BJ327">
        <v>1</v>
      </c>
      <c r="BK327" t="e">
        <v>#N/A</v>
      </c>
      <c r="BL327" t="s">
        <v>722</v>
      </c>
      <c r="BM327">
        <v>0.86</v>
      </c>
      <c r="BN327" t="e">
        <v>#N/A</v>
      </c>
      <c r="BO327" t="s">
        <v>722</v>
      </c>
      <c r="BP327">
        <v>1026.29</v>
      </c>
      <c r="BQ327" t="e">
        <v>#N/A</v>
      </c>
      <c r="BR327" t="s">
        <v>722</v>
      </c>
      <c r="BS327">
        <v>1</v>
      </c>
      <c r="BT327" t="e">
        <v>#N/A</v>
      </c>
      <c r="BU327" t="s">
        <v>722</v>
      </c>
      <c r="BV327">
        <v>880.34</v>
      </c>
      <c r="BW327" t="e">
        <v>#N/A</v>
      </c>
      <c r="BX327" t="s">
        <v>722</v>
      </c>
      <c r="BY327">
        <v>0.89</v>
      </c>
      <c r="BZ327" t="e">
        <v>#N/A</v>
      </c>
      <c r="CA327" t="s">
        <v>722</v>
      </c>
      <c r="CB327">
        <v>997.73</v>
      </c>
      <c r="CC327" t="e">
        <v>#N/A</v>
      </c>
      <c r="CD327" t="s">
        <v>722</v>
      </c>
      <c r="CE327">
        <v>0.9</v>
      </c>
      <c r="CF327" t="e">
        <v>#N/A</v>
      </c>
      <c r="CG327" t="s">
        <v>722</v>
      </c>
      <c r="CH327">
        <v>0.87</v>
      </c>
      <c r="CI327" t="e">
        <v>#N/A</v>
      </c>
      <c r="CJ327" t="s">
        <v>722</v>
      </c>
      <c r="CK327">
        <v>1</v>
      </c>
      <c r="CL327" t="e">
        <v>#N/A</v>
      </c>
      <c r="CM327" t="s">
        <v>722</v>
      </c>
      <c r="CN327">
        <v>1</v>
      </c>
      <c r="CO327" t="e">
        <v>#N/A</v>
      </c>
      <c r="CP327" t="s">
        <v>722</v>
      </c>
      <c r="CQ327">
        <v>926.61</v>
      </c>
      <c r="CR327" t="e">
        <v>#N/A</v>
      </c>
      <c r="CS327" t="s">
        <v>722</v>
      </c>
      <c r="CT327">
        <v>1015.78</v>
      </c>
      <c r="CU327" t="e">
        <v>#N/A</v>
      </c>
      <c r="CV327" t="s">
        <v>722</v>
      </c>
      <c r="CW327">
        <v>0.98</v>
      </c>
      <c r="CX327" t="e">
        <v>#N/A</v>
      </c>
      <c r="CY327" t="s">
        <v>722</v>
      </c>
      <c r="CZ327">
        <v>0.84</v>
      </c>
      <c r="DA327" t="e">
        <v>#N/A</v>
      </c>
      <c r="DB327" t="s">
        <v>722</v>
      </c>
      <c r="DC327">
        <v>997.73</v>
      </c>
      <c r="DD327" t="e">
        <v>#N/A</v>
      </c>
      <c r="DE327" t="s">
        <v>722</v>
      </c>
      <c r="DF327">
        <v>0.94</v>
      </c>
      <c r="DG327" t="e">
        <v>#N/A</v>
      </c>
      <c r="DH327" t="s">
        <v>722</v>
      </c>
      <c r="DI327">
        <v>1</v>
      </c>
      <c r="DJ327" t="e">
        <v>#N/A</v>
      </c>
      <c r="DK327" t="s">
        <v>722</v>
      </c>
      <c r="DL327">
        <v>1</v>
      </c>
      <c r="DM327" t="e">
        <v>#N/A</v>
      </c>
      <c r="DN327" t="s">
        <v>722</v>
      </c>
      <c r="DO327">
        <v>1</v>
      </c>
      <c r="DP327" t="e">
        <v>#N/A</v>
      </c>
      <c r="DQ327" t="s">
        <v>722</v>
      </c>
      <c r="DR327">
        <v>1</v>
      </c>
      <c r="DS327" t="e">
        <v>#N/A</v>
      </c>
      <c r="DT327" t="s">
        <v>722</v>
      </c>
      <c r="DU327">
        <v>1</v>
      </c>
      <c r="DV327" t="e">
        <v>#N/A</v>
      </c>
      <c r="DW327" t="s">
        <v>722</v>
      </c>
      <c r="DX327">
        <v>1020.66</v>
      </c>
      <c r="DY327" t="e">
        <v>#N/A</v>
      </c>
      <c r="DZ327" t="s">
        <v>722</v>
      </c>
      <c r="EA327">
        <v>1</v>
      </c>
      <c r="EB327" t="e">
        <v>#N/A</v>
      </c>
      <c r="EC327" t="s">
        <v>722</v>
      </c>
      <c r="ED327">
        <v>1020.66</v>
      </c>
      <c r="EE327" t="e">
        <v>#N/A</v>
      </c>
      <c r="EF327" t="s">
        <v>722</v>
      </c>
      <c r="EG327">
        <v>1020.66</v>
      </c>
      <c r="EH327" t="e">
        <v>#N/A</v>
      </c>
      <c r="EI327" t="s">
        <v>722</v>
      </c>
      <c r="EJ327">
        <v>1115.3399999999999</v>
      </c>
      <c r="EK327" t="e">
        <v>#N/A</v>
      </c>
    </row>
    <row r="328" spans="1:141">
      <c r="A328" t="s">
        <v>317</v>
      </c>
      <c r="B328">
        <v>34.5</v>
      </c>
      <c r="C328" t="e">
        <v>#N/A</v>
      </c>
      <c r="D328" t="s">
        <v>317</v>
      </c>
      <c r="E328">
        <v>34.31</v>
      </c>
      <c r="F328" t="e">
        <v>#N/A</v>
      </c>
      <c r="G328" t="s">
        <v>722</v>
      </c>
      <c r="H328">
        <v>0.81</v>
      </c>
      <c r="I328" t="e">
        <v>#N/A</v>
      </c>
      <c r="J328" t="s">
        <v>722</v>
      </c>
      <c r="K328">
        <v>933.38</v>
      </c>
      <c r="L328" t="e">
        <v>#N/A</v>
      </c>
      <c r="M328" t="s">
        <v>722</v>
      </c>
      <c r="N328">
        <v>992.39</v>
      </c>
      <c r="O328" t="e">
        <v>#N/A</v>
      </c>
      <c r="P328" t="s">
        <v>722</v>
      </c>
      <c r="Q328">
        <v>0.94</v>
      </c>
      <c r="R328" t="e">
        <v>#N/A</v>
      </c>
      <c r="S328" t="s">
        <v>722</v>
      </c>
      <c r="T328">
        <v>0.97</v>
      </c>
      <c r="U328" t="e">
        <v>#N/A</v>
      </c>
      <c r="V328" t="s">
        <v>722</v>
      </c>
      <c r="W328">
        <v>1000.8</v>
      </c>
      <c r="X328" t="e">
        <v>#N/A</v>
      </c>
      <c r="Y328" t="s">
        <v>722</v>
      </c>
      <c r="Z328">
        <v>1000.8</v>
      </c>
      <c r="AA328" t="e">
        <v>#N/A</v>
      </c>
      <c r="AB328" t="s">
        <v>722</v>
      </c>
      <c r="AC328">
        <v>0.89</v>
      </c>
      <c r="AD328" t="e">
        <v>#N/A</v>
      </c>
      <c r="AE328" t="s">
        <v>722</v>
      </c>
      <c r="AF328">
        <v>0.81</v>
      </c>
      <c r="AG328" t="e">
        <v>#N/A</v>
      </c>
      <c r="AH328" t="s">
        <v>722</v>
      </c>
      <c r="AI328">
        <v>0.81</v>
      </c>
      <c r="AJ328" t="e">
        <v>#N/A</v>
      </c>
      <c r="AK328" t="s">
        <v>722</v>
      </c>
      <c r="AL328">
        <v>1018.82</v>
      </c>
      <c r="AM328" t="e">
        <v>#N/A</v>
      </c>
      <c r="AN328" t="s">
        <v>722</v>
      </c>
      <c r="AO328">
        <v>0.93</v>
      </c>
      <c r="AP328" t="e">
        <v>#N/A</v>
      </c>
      <c r="AQ328" t="s">
        <v>722</v>
      </c>
      <c r="AR328">
        <v>0.95</v>
      </c>
      <c r="AS328" t="e">
        <v>#N/A</v>
      </c>
      <c r="AT328" t="s">
        <v>722</v>
      </c>
      <c r="AU328">
        <v>0.8</v>
      </c>
      <c r="AV328" t="e">
        <v>#N/A</v>
      </c>
      <c r="AW328" t="s">
        <v>722</v>
      </c>
      <c r="AX328">
        <v>0.8</v>
      </c>
      <c r="AY328" t="e">
        <v>#N/A</v>
      </c>
      <c r="AZ328" t="s">
        <v>722</v>
      </c>
      <c r="BA328">
        <v>1046.02</v>
      </c>
      <c r="BB328" t="e">
        <v>#N/A</v>
      </c>
      <c r="BC328" t="s">
        <v>722</v>
      </c>
      <c r="BD328">
        <v>0.84</v>
      </c>
      <c r="BE328" t="e">
        <v>#N/A</v>
      </c>
      <c r="BF328" t="s">
        <v>722</v>
      </c>
      <c r="BG328">
        <v>880.34</v>
      </c>
      <c r="BH328" t="e">
        <v>#N/A</v>
      </c>
      <c r="BI328" t="s">
        <v>722</v>
      </c>
      <c r="BJ328">
        <v>0.98</v>
      </c>
      <c r="BK328" t="e">
        <v>#N/A</v>
      </c>
      <c r="BL328" t="s">
        <v>722</v>
      </c>
      <c r="BM328">
        <v>0.85</v>
      </c>
      <c r="BN328" t="e">
        <v>#N/A</v>
      </c>
      <c r="BO328" t="s">
        <v>722</v>
      </c>
      <c r="BP328">
        <v>0.85</v>
      </c>
      <c r="BQ328" t="e">
        <v>#N/A</v>
      </c>
      <c r="BR328" t="s">
        <v>722</v>
      </c>
      <c r="BS328">
        <v>1</v>
      </c>
      <c r="BT328" t="e">
        <v>#N/A</v>
      </c>
      <c r="BU328" t="s">
        <v>722</v>
      </c>
      <c r="BV328">
        <v>1</v>
      </c>
      <c r="BW328" t="e">
        <v>#N/A</v>
      </c>
      <c r="BX328" t="s">
        <v>722</v>
      </c>
      <c r="BY328">
        <v>1026.29</v>
      </c>
      <c r="BZ328" t="e">
        <v>#N/A</v>
      </c>
      <c r="CA328" t="s">
        <v>722</v>
      </c>
      <c r="CB328">
        <v>1</v>
      </c>
      <c r="CC328" t="e">
        <v>#N/A</v>
      </c>
      <c r="CD328" t="s">
        <v>722</v>
      </c>
      <c r="CE328">
        <v>0.89</v>
      </c>
      <c r="CF328" t="e">
        <v>#N/A</v>
      </c>
      <c r="CG328" t="s">
        <v>722</v>
      </c>
      <c r="CH328">
        <v>0.99</v>
      </c>
      <c r="CI328" t="e">
        <v>#N/A</v>
      </c>
      <c r="CJ328" t="s">
        <v>722</v>
      </c>
      <c r="CK328">
        <v>0.99</v>
      </c>
      <c r="CL328" t="e">
        <v>#N/A</v>
      </c>
      <c r="CM328" t="s">
        <v>722</v>
      </c>
      <c r="CN328">
        <v>0.97</v>
      </c>
      <c r="CO328" t="e">
        <v>#N/A</v>
      </c>
      <c r="CP328" t="s">
        <v>722</v>
      </c>
      <c r="CQ328">
        <v>880.34</v>
      </c>
      <c r="CR328" t="e">
        <v>#N/A</v>
      </c>
      <c r="CS328" t="s">
        <v>722</v>
      </c>
      <c r="CT328">
        <v>1044.5899999999999</v>
      </c>
      <c r="CU328" t="e">
        <v>#N/A</v>
      </c>
      <c r="CV328" t="s">
        <v>722</v>
      </c>
      <c r="CW328">
        <v>1</v>
      </c>
      <c r="CX328" t="e">
        <v>#N/A</v>
      </c>
      <c r="CY328" t="s">
        <v>722</v>
      </c>
      <c r="CZ328">
        <v>1009.96</v>
      </c>
      <c r="DA328" t="e">
        <v>#N/A</v>
      </c>
      <c r="DB328" t="s">
        <v>722</v>
      </c>
      <c r="DC328">
        <v>1</v>
      </c>
      <c r="DD328" t="e">
        <v>#N/A</v>
      </c>
      <c r="DE328" t="s">
        <v>722</v>
      </c>
      <c r="DF328">
        <v>0.93</v>
      </c>
      <c r="DG328" t="e">
        <v>#N/A</v>
      </c>
      <c r="DH328" t="s">
        <v>722</v>
      </c>
      <c r="DI328">
        <v>1</v>
      </c>
      <c r="DJ328" t="e">
        <v>#N/A</v>
      </c>
      <c r="DK328" t="s">
        <v>722</v>
      </c>
      <c r="DL328">
        <v>1</v>
      </c>
      <c r="DM328" t="e">
        <v>#N/A</v>
      </c>
      <c r="DN328" t="s">
        <v>722</v>
      </c>
      <c r="DO328">
        <v>0.83</v>
      </c>
      <c r="DP328" t="e">
        <v>#N/A</v>
      </c>
      <c r="DQ328" t="s">
        <v>722</v>
      </c>
      <c r="DR328">
        <v>1</v>
      </c>
      <c r="DS328" t="e">
        <v>#N/A</v>
      </c>
      <c r="DT328" t="s">
        <v>722</v>
      </c>
      <c r="DU328">
        <v>1</v>
      </c>
      <c r="DV328" t="e">
        <v>#N/A</v>
      </c>
      <c r="DW328" t="s">
        <v>722</v>
      </c>
      <c r="DX328">
        <v>1</v>
      </c>
      <c r="DY328" t="e">
        <v>#N/A</v>
      </c>
      <c r="DZ328" t="s">
        <v>722</v>
      </c>
      <c r="EA328">
        <v>1</v>
      </c>
      <c r="EB328" t="e">
        <v>#N/A</v>
      </c>
      <c r="EC328" t="s">
        <v>722</v>
      </c>
      <c r="ED328">
        <v>1</v>
      </c>
      <c r="EE328" t="e">
        <v>#N/A</v>
      </c>
      <c r="EF328" t="s">
        <v>722</v>
      </c>
      <c r="EG328">
        <v>1</v>
      </c>
      <c r="EH328" t="e">
        <v>#N/A</v>
      </c>
      <c r="EI328" t="s">
        <v>722</v>
      </c>
      <c r="EJ328">
        <v>1020.66</v>
      </c>
      <c r="EK328" t="e">
        <v>#N/A</v>
      </c>
    </row>
    <row r="329" spans="1:141">
      <c r="A329" t="s">
        <v>722</v>
      </c>
      <c r="B329">
        <v>992.39</v>
      </c>
      <c r="C329" t="e">
        <v>#N/A</v>
      </c>
      <c r="D329" t="s">
        <v>722</v>
      </c>
      <c r="E329">
        <v>0.95</v>
      </c>
      <c r="F329" t="e">
        <v>#N/A</v>
      </c>
      <c r="G329" t="s">
        <v>722</v>
      </c>
      <c r="H329">
        <v>933.38</v>
      </c>
      <c r="I329" t="e">
        <v>#N/A</v>
      </c>
      <c r="J329" t="s">
        <v>317</v>
      </c>
      <c r="K329">
        <v>34.01</v>
      </c>
      <c r="L329" t="e">
        <v>#N/A</v>
      </c>
      <c r="M329" t="s">
        <v>317</v>
      </c>
      <c r="N329">
        <v>33.950000000000003</v>
      </c>
      <c r="O329" t="e">
        <v>#N/A</v>
      </c>
      <c r="P329" t="s">
        <v>722</v>
      </c>
      <c r="Q329">
        <v>0.92</v>
      </c>
      <c r="R329" t="e">
        <v>#N/A</v>
      </c>
      <c r="S329" t="s">
        <v>722</v>
      </c>
      <c r="T329">
        <v>1000.8</v>
      </c>
      <c r="U329" t="e">
        <v>#N/A</v>
      </c>
      <c r="V329" t="s">
        <v>722</v>
      </c>
      <c r="W329">
        <v>1002.75</v>
      </c>
      <c r="X329" t="e">
        <v>#N/A</v>
      </c>
      <c r="Y329" t="s">
        <v>722</v>
      </c>
      <c r="Z329">
        <v>0.96</v>
      </c>
      <c r="AA329" t="e">
        <v>#N/A</v>
      </c>
      <c r="AB329" t="s">
        <v>722</v>
      </c>
      <c r="AC329">
        <v>0.88</v>
      </c>
      <c r="AD329" t="e">
        <v>#N/A</v>
      </c>
      <c r="AE329" t="s">
        <v>722</v>
      </c>
      <c r="AF329">
        <v>0.86</v>
      </c>
      <c r="AG329" t="e">
        <v>#N/A</v>
      </c>
      <c r="AH329" t="s">
        <v>722</v>
      </c>
      <c r="AI329">
        <v>0.86</v>
      </c>
      <c r="AJ329" t="e">
        <v>#N/A</v>
      </c>
      <c r="AK329" t="s">
        <v>722</v>
      </c>
      <c r="AL329">
        <v>1000.8</v>
      </c>
      <c r="AM329" t="e">
        <v>#N/A</v>
      </c>
      <c r="AN329" t="s">
        <v>722</v>
      </c>
      <c r="AO329">
        <v>0.92</v>
      </c>
      <c r="AP329" t="e">
        <v>#N/A</v>
      </c>
      <c r="AQ329" t="s">
        <v>722</v>
      </c>
      <c r="AR329">
        <v>0.84</v>
      </c>
      <c r="AS329" t="e">
        <v>#N/A</v>
      </c>
      <c r="AT329" t="s">
        <v>722</v>
      </c>
      <c r="AU329">
        <v>0.94</v>
      </c>
      <c r="AV329" t="e">
        <v>#N/A</v>
      </c>
      <c r="AW329" t="s">
        <v>722</v>
      </c>
      <c r="AX329">
        <v>0.84</v>
      </c>
      <c r="AY329" t="e">
        <v>#N/A</v>
      </c>
      <c r="AZ329" t="s">
        <v>722</v>
      </c>
      <c r="BA329">
        <v>0.95</v>
      </c>
      <c r="BB329" t="e">
        <v>#N/A</v>
      </c>
      <c r="BC329" t="s">
        <v>722</v>
      </c>
      <c r="BD329">
        <v>0.79</v>
      </c>
      <c r="BE329" t="e">
        <v>#N/A</v>
      </c>
      <c r="BF329" t="s">
        <v>722</v>
      </c>
      <c r="BG329">
        <v>1</v>
      </c>
      <c r="BH329" t="e">
        <v>#N/A</v>
      </c>
      <c r="BI329" t="s">
        <v>722</v>
      </c>
      <c r="BJ329">
        <v>1087.3699999999999</v>
      </c>
      <c r="BK329" t="e">
        <v>#N/A</v>
      </c>
      <c r="BL329" t="s">
        <v>722</v>
      </c>
      <c r="BM329">
        <v>1026.29</v>
      </c>
      <c r="BN329" t="e">
        <v>#N/A</v>
      </c>
      <c r="BO329" t="s">
        <v>722</v>
      </c>
      <c r="BP329">
        <v>0.85</v>
      </c>
      <c r="BQ329" t="e">
        <v>#N/A</v>
      </c>
      <c r="BR329" t="s">
        <v>722</v>
      </c>
      <c r="BS329">
        <v>1</v>
      </c>
      <c r="BT329" t="e">
        <v>#N/A</v>
      </c>
      <c r="BU329" t="s">
        <v>722</v>
      </c>
      <c r="BV329">
        <v>0.98</v>
      </c>
      <c r="BW329" t="e">
        <v>#N/A</v>
      </c>
      <c r="BX329" t="s">
        <v>722</v>
      </c>
      <c r="BY329">
        <v>0.79</v>
      </c>
      <c r="BZ329" t="e">
        <v>#N/A</v>
      </c>
      <c r="CA329" t="s">
        <v>722</v>
      </c>
      <c r="CB329">
        <v>1</v>
      </c>
      <c r="CC329" t="e">
        <v>#N/A</v>
      </c>
      <c r="CD329" t="s">
        <v>722</v>
      </c>
      <c r="CE329">
        <v>0.89</v>
      </c>
      <c r="CF329" t="e">
        <v>#N/A</v>
      </c>
      <c r="CG329" t="s">
        <v>722</v>
      </c>
      <c r="CH329">
        <v>1044.5899999999999</v>
      </c>
      <c r="CI329" t="e">
        <v>#N/A</v>
      </c>
      <c r="CJ329" t="s">
        <v>722</v>
      </c>
      <c r="CK329">
        <v>1044.5899999999999</v>
      </c>
      <c r="CL329" t="e">
        <v>#N/A</v>
      </c>
      <c r="CM329" t="s">
        <v>722</v>
      </c>
      <c r="CN329">
        <v>0.99</v>
      </c>
      <c r="CO329" t="e">
        <v>#N/A</v>
      </c>
      <c r="CP329" t="s">
        <v>722</v>
      </c>
      <c r="CQ329">
        <v>1</v>
      </c>
      <c r="CR329" t="e">
        <v>#N/A</v>
      </c>
      <c r="CS329" t="s">
        <v>722</v>
      </c>
      <c r="CT329">
        <v>997.73</v>
      </c>
      <c r="CU329" t="e">
        <v>#N/A</v>
      </c>
      <c r="CV329" t="s">
        <v>722</v>
      </c>
      <c r="CW329">
        <v>1</v>
      </c>
      <c r="CX329" t="e">
        <v>#N/A</v>
      </c>
      <c r="CY329" t="s">
        <v>722</v>
      </c>
      <c r="CZ329">
        <v>0.98</v>
      </c>
      <c r="DA329" t="e">
        <v>#N/A</v>
      </c>
      <c r="DB329" t="s">
        <v>722</v>
      </c>
      <c r="DC329">
        <v>1</v>
      </c>
      <c r="DD329" t="e">
        <v>#N/A</v>
      </c>
      <c r="DE329" t="s">
        <v>722</v>
      </c>
      <c r="DF329">
        <v>1044.5899999999999</v>
      </c>
      <c r="DG329" t="e">
        <v>#N/A</v>
      </c>
      <c r="DH329" t="s">
        <v>722</v>
      </c>
      <c r="DI329">
        <v>0.95</v>
      </c>
      <c r="DJ329" t="e">
        <v>#N/A</v>
      </c>
      <c r="DK329" t="s">
        <v>722</v>
      </c>
      <c r="DL329">
        <v>1</v>
      </c>
      <c r="DM329" t="e">
        <v>#N/A</v>
      </c>
      <c r="DN329" t="s">
        <v>722</v>
      </c>
      <c r="DO329">
        <v>1</v>
      </c>
      <c r="DP329" t="e">
        <v>#N/A</v>
      </c>
      <c r="DQ329" t="s">
        <v>722</v>
      </c>
      <c r="DR329">
        <v>1</v>
      </c>
      <c r="DS329" t="e">
        <v>#N/A</v>
      </c>
      <c r="DT329" t="s">
        <v>722</v>
      </c>
      <c r="DU329">
        <v>1</v>
      </c>
      <c r="DV329" t="e">
        <v>#N/A</v>
      </c>
      <c r="DW329" t="s">
        <v>722</v>
      </c>
      <c r="DX329">
        <v>1</v>
      </c>
      <c r="DY329" t="e">
        <v>#N/A</v>
      </c>
      <c r="DZ329" t="s">
        <v>722</v>
      </c>
      <c r="EA329">
        <v>1</v>
      </c>
      <c r="EB329" t="e">
        <v>#N/A</v>
      </c>
      <c r="EC329" t="s">
        <v>722</v>
      </c>
      <c r="ED329">
        <v>1</v>
      </c>
      <c r="EE329" t="e">
        <v>#N/A</v>
      </c>
      <c r="EF329" t="s">
        <v>722</v>
      </c>
      <c r="EG329">
        <v>1</v>
      </c>
      <c r="EH329" t="e">
        <v>#N/A</v>
      </c>
      <c r="EI329" t="s">
        <v>722</v>
      </c>
      <c r="EJ329">
        <v>1</v>
      </c>
      <c r="EK329" t="e">
        <v>#N/A</v>
      </c>
    </row>
    <row r="330" spans="1:141">
      <c r="A330" t="s">
        <v>722</v>
      </c>
      <c r="B330">
        <v>933.38</v>
      </c>
      <c r="C330" t="e">
        <v>#N/A</v>
      </c>
      <c r="D330" t="s">
        <v>722</v>
      </c>
      <c r="E330">
        <v>933.38</v>
      </c>
      <c r="F330" t="e">
        <v>#N/A</v>
      </c>
      <c r="G330" t="s">
        <v>665</v>
      </c>
      <c r="H330">
        <v>39.799999999999997</v>
      </c>
      <c r="I330" t="e">
        <v>#N/A</v>
      </c>
      <c r="J330" t="s">
        <v>665</v>
      </c>
      <c r="K330">
        <v>39.799999999999997</v>
      </c>
      <c r="L330" t="e">
        <v>#N/A</v>
      </c>
      <c r="M330" t="s">
        <v>722</v>
      </c>
      <c r="N330">
        <v>933.38</v>
      </c>
      <c r="O330" t="e">
        <v>#N/A</v>
      </c>
      <c r="P330" t="s">
        <v>722</v>
      </c>
      <c r="Q330">
        <v>1000.8</v>
      </c>
      <c r="R330" t="e">
        <v>#N/A</v>
      </c>
      <c r="S330" t="s">
        <v>722</v>
      </c>
      <c r="T330">
        <v>0.81</v>
      </c>
      <c r="U330" t="e">
        <v>#N/A</v>
      </c>
      <c r="V330" t="s">
        <v>722</v>
      </c>
      <c r="W330">
        <v>0.81</v>
      </c>
      <c r="X330" t="e">
        <v>#N/A</v>
      </c>
      <c r="Y330" t="s">
        <v>722</v>
      </c>
      <c r="Z330">
        <v>0.81</v>
      </c>
      <c r="AA330" t="e">
        <v>#N/A</v>
      </c>
      <c r="AB330" t="s">
        <v>722</v>
      </c>
      <c r="AC330">
        <v>0.81</v>
      </c>
      <c r="AD330" t="e">
        <v>#N/A</v>
      </c>
      <c r="AE330" t="s">
        <v>722</v>
      </c>
      <c r="AF330">
        <v>0.83</v>
      </c>
      <c r="AG330" t="e">
        <v>#N/A</v>
      </c>
      <c r="AH330" t="s">
        <v>722</v>
      </c>
      <c r="AI330">
        <v>0.95</v>
      </c>
      <c r="AJ330" t="e">
        <v>#N/A</v>
      </c>
      <c r="AK330" t="s">
        <v>722</v>
      </c>
      <c r="AL330">
        <v>0.89</v>
      </c>
      <c r="AM330" t="e">
        <v>#N/A</v>
      </c>
      <c r="AN330" t="s">
        <v>722</v>
      </c>
      <c r="AO330">
        <v>0.89</v>
      </c>
      <c r="AP330" t="e">
        <v>#N/A</v>
      </c>
      <c r="AQ330" t="s">
        <v>722</v>
      </c>
      <c r="AR330">
        <v>0.95</v>
      </c>
      <c r="AS330" t="e">
        <v>#N/A</v>
      </c>
      <c r="AT330" t="s">
        <v>722</v>
      </c>
      <c r="AU330">
        <v>0.93</v>
      </c>
      <c r="AV330" t="e">
        <v>#N/A</v>
      </c>
      <c r="AW330" t="s">
        <v>722</v>
      </c>
      <c r="AX330">
        <v>1000.8</v>
      </c>
      <c r="AY330" t="e">
        <v>#N/A</v>
      </c>
      <c r="AZ330" t="s">
        <v>722</v>
      </c>
      <c r="BA330">
        <v>0.89</v>
      </c>
      <c r="BB330" t="e">
        <v>#N/A</v>
      </c>
      <c r="BC330" t="s">
        <v>722</v>
      </c>
      <c r="BD330">
        <v>0.8</v>
      </c>
      <c r="BE330" t="e">
        <v>#N/A</v>
      </c>
      <c r="BF330" t="s">
        <v>722</v>
      </c>
      <c r="BG330">
        <v>1</v>
      </c>
      <c r="BH330" t="e">
        <v>#N/A</v>
      </c>
      <c r="BI330" t="s">
        <v>722</v>
      </c>
      <c r="BJ330">
        <v>926.61</v>
      </c>
      <c r="BK330" t="e">
        <v>#N/A</v>
      </c>
      <c r="BL330" t="s">
        <v>722</v>
      </c>
      <c r="BM330">
        <v>0.85</v>
      </c>
      <c r="BN330" t="e">
        <v>#N/A</v>
      </c>
      <c r="BO330" t="s">
        <v>722</v>
      </c>
      <c r="BP330">
        <v>0.79</v>
      </c>
      <c r="BQ330" t="e">
        <v>#N/A</v>
      </c>
      <c r="BR330" t="s">
        <v>722</v>
      </c>
      <c r="BS330">
        <v>0.96</v>
      </c>
      <c r="BT330" t="e">
        <v>#N/A</v>
      </c>
      <c r="BU330" t="s">
        <v>722</v>
      </c>
      <c r="BV330">
        <v>0.92</v>
      </c>
      <c r="BW330" t="e">
        <v>#N/A</v>
      </c>
      <c r="BX330" t="s">
        <v>722</v>
      </c>
      <c r="BY330">
        <v>0.8</v>
      </c>
      <c r="BZ330" t="e">
        <v>#N/A</v>
      </c>
      <c r="CA330" t="s">
        <v>722</v>
      </c>
      <c r="CB330">
        <v>1087.3699999999999</v>
      </c>
      <c r="CC330" t="e">
        <v>#N/A</v>
      </c>
      <c r="CD330" t="s">
        <v>722</v>
      </c>
      <c r="CE330">
        <v>1012.33</v>
      </c>
      <c r="CF330" t="e">
        <v>#N/A</v>
      </c>
      <c r="CG330" t="s">
        <v>722</v>
      </c>
      <c r="CH330">
        <v>997.73</v>
      </c>
      <c r="CI330" t="e">
        <v>#N/A</v>
      </c>
      <c r="CJ330" t="s">
        <v>722</v>
      </c>
      <c r="CK330">
        <v>997.73</v>
      </c>
      <c r="CL330" t="e">
        <v>#N/A</v>
      </c>
      <c r="CM330" t="s">
        <v>722</v>
      </c>
      <c r="CN330">
        <v>0.89</v>
      </c>
      <c r="CO330" t="e">
        <v>#N/A</v>
      </c>
      <c r="CP330" t="s">
        <v>722</v>
      </c>
      <c r="CQ330">
        <v>0.95</v>
      </c>
      <c r="CR330" t="e">
        <v>#N/A</v>
      </c>
      <c r="CS330" t="s">
        <v>722</v>
      </c>
      <c r="CT330">
        <v>1</v>
      </c>
      <c r="CU330" t="e">
        <v>#N/A</v>
      </c>
      <c r="CV330" t="s">
        <v>722</v>
      </c>
      <c r="CW330">
        <v>0.98</v>
      </c>
      <c r="CX330" t="e">
        <v>#N/A</v>
      </c>
      <c r="CY330" t="s">
        <v>722</v>
      </c>
      <c r="CZ330">
        <v>1</v>
      </c>
      <c r="DA330" t="e">
        <v>#N/A</v>
      </c>
      <c r="DB330" t="s">
        <v>722</v>
      </c>
      <c r="DC330">
        <v>0.99</v>
      </c>
      <c r="DD330" t="e">
        <v>#N/A</v>
      </c>
      <c r="DE330" t="s">
        <v>722</v>
      </c>
      <c r="DF330">
        <v>997.73</v>
      </c>
      <c r="DG330" t="e">
        <v>#N/A</v>
      </c>
      <c r="DH330" t="s">
        <v>722</v>
      </c>
      <c r="DI330">
        <v>1087.3699999999999</v>
      </c>
      <c r="DJ330" t="e">
        <v>#N/A</v>
      </c>
      <c r="DK330" t="s">
        <v>722</v>
      </c>
      <c r="DL330">
        <v>1</v>
      </c>
      <c r="DM330" t="e">
        <v>#N/A</v>
      </c>
      <c r="DN330" t="s">
        <v>722</v>
      </c>
      <c r="DO330">
        <v>1087.3699999999999</v>
      </c>
      <c r="DP330" t="e">
        <v>#N/A</v>
      </c>
      <c r="DQ330" t="s">
        <v>722</v>
      </c>
      <c r="DR330">
        <v>1</v>
      </c>
      <c r="DS330" t="e">
        <v>#N/A</v>
      </c>
      <c r="DT330" t="s">
        <v>722</v>
      </c>
      <c r="DU330">
        <v>0.9</v>
      </c>
      <c r="DV330" t="e">
        <v>#N/A</v>
      </c>
      <c r="DW330" t="s">
        <v>722</v>
      </c>
      <c r="DX330">
        <v>1</v>
      </c>
      <c r="DY330" t="e">
        <v>#N/A</v>
      </c>
      <c r="DZ330" t="s">
        <v>722</v>
      </c>
      <c r="EA330">
        <v>1</v>
      </c>
      <c r="EB330" t="e">
        <v>#N/A</v>
      </c>
      <c r="EC330" t="s">
        <v>722</v>
      </c>
      <c r="ED330">
        <v>1</v>
      </c>
      <c r="EE330" t="e">
        <v>#N/A</v>
      </c>
      <c r="EF330" t="s">
        <v>722</v>
      </c>
      <c r="EG330">
        <v>1</v>
      </c>
      <c r="EH330" t="e">
        <v>#N/A</v>
      </c>
      <c r="EI330" t="s">
        <v>722</v>
      </c>
      <c r="EJ330">
        <v>1</v>
      </c>
      <c r="EK330" t="e">
        <v>#N/A</v>
      </c>
    </row>
    <row r="331" spans="1:141">
      <c r="A331" t="s">
        <v>665</v>
      </c>
      <c r="B331">
        <v>39.799999999999997</v>
      </c>
      <c r="C331" t="e">
        <v>#N/A</v>
      </c>
      <c r="D331" t="s">
        <v>665</v>
      </c>
      <c r="E331">
        <v>39.799999999999997</v>
      </c>
      <c r="F331" t="e">
        <v>#N/A</v>
      </c>
      <c r="G331" t="s">
        <v>722</v>
      </c>
      <c r="H331">
        <v>1008.46</v>
      </c>
      <c r="I331" t="e">
        <v>#N/A</v>
      </c>
      <c r="J331" t="s">
        <v>722</v>
      </c>
      <c r="K331">
        <v>1008.46</v>
      </c>
      <c r="L331" t="e">
        <v>#N/A</v>
      </c>
      <c r="M331" t="s">
        <v>665</v>
      </c>
      <c r="N331">
        <v>39.799999999999997</v>
      </c>
      <c r="O331" t="e">
        <v>#N/A</v>
      </c>
      <c r="P331" t="s">
        <v>722</v>
      </c>
      <c r="Q331">
        <v>0.81</v>
      </c>
      <c r="R331" t="e">
        <v>#N/A</v>
      </c>
      <c r="S331" t="s">
        <v>722</v>
      </c>
      <c r="T331">
        <v>992.39</v>
      </c>
      <c r="U331" t="e">
        <v>#N/A</v>
      </c>
      <c r="V331" t="s">
        <v>722</v>
      </c>
      <c r="W331">
        <v>0.86</v>
      </c>
      <c r="X331" t="e">
        <v>#N/A</v>
      </c>
      <c r="Y331" t="s">
        <v>722</v>
      </c>
      <c r="Z331">
        <v>0.86</v>
      </c>
      <c r="AA331" t="e">
        <v>#N/A</v>
      </c>
      <c r="AB331" t="s">
        <v>722</v>
      </c>
      <c r="AC331">
        <v>0.86</v>
      </c>
      <c r="AD331" t="e">
        <v>#N/A</v>
      </c>
      <c r="AE331" t="s">
        <v>722</v>
      </c>
      <c r="AF331">
        <v>933.38</v>
      </c>
      <c r="AG331" t="e">
        <v>#N/A</v>
      </c>
      <c r="AH331" t="s">
        <v>722</v>
      </c>
      <c r="AI331">
        <v>0.83</v>
      </c>
      <c r="AJ331" t="e">
        <v>#N/A</v>
      </c>
      <c r="AK331" t="s">
        <v>722</v>
      </c>
      <c r="AL331">
        <v>0.96</v>
      </c>
      <c r="AM331" t="e">
        <v>#N/A</v>
      </c>
      <c r="AN331" t="s">
        <v>722</v>
      </c>
      <c r="AO331">
        <v>1022.13</v>
      </c>
      <c r="AP331" t="e">
        <v>#N/A</v>
      </c>
      <c r="AQ331" t="s">
        <v>722</v>
      </c>
      <c r="AR331">
        <v>1032.51</v>
      </c>
      <c r="AS331" t="e">
        <v>#N/A</v>
      </c>
      <c r="AT331" t="s">
        <v>722</v>
      </c>
      <c r="AU331">
        <v>0.84</v>
      </c>
      <c r="AV331" t="e">
        <v>#N/A</v>
      </c>
      <c r="AW331" t="s">
        <v>722</v>
      </c>
      <c r="AX331">
        <v>0.98</v>
      </c>
      <c r="AY331" t="e">
        <v>#N/A</v>
      </c>
      <c r="AZ331" t="s">
        <v>722</v>
      </c>
      <c r="BA331">
        <v>0.84</v>
      </c>
      <c r="BB331" t="e">
        <v>#N/A</v>
      </c>
      <c r="BC331" t="s">
        <v>722</v>
      </c>
      <c r="BD331">
        <v>0.81</v>
      </c>
      <c r="BE331" t="e">
        <v>#N/A</v>
      </c>
      <c r="BF331" t="s">
        <v>722</v>
      </c>
      <c r="BG331">
        <v>0.97</v>
      </c>
      <c r="BH331" t="e">
        <v>#N/A</v>
      </c>
      <c r="BI331" t="s">
        <v>722</v>
      </c>
      <c r="BJ331">
        <v>880.34</v>
      </c>
      <c r="BK331" t="e">
        <v>#N/A</v>
      </c>
      <c r="BL331" t="s">
        <v>722</v>
      </c>
      <c r="BM331">
        <v>0.85</v>
      </c>
      <c r="BN331" t="e">
        <v>#N/A</v>
      </c>
      <c r="BO331" t="s">
        <v>722</v>
      </c>
      <c r="BP331">
        <v>0.8</v>
      </c>
      <c r="BQ331" t="e">
        <v>#N/A</v>
      </c>
      <c r="BR331" t="s">
        <v>722</v>
      </c>
      <c r="BS331">
        <v>1087.3699999999999</v>
      </c>
      <c r="BT331" t="e">
        <v>#N/A</v>
      </c>
      <c r="BU331" t="s">
        <v>722</v>
      </c>
      <c r="BV331">
        <v>0.89</v>
      </c>
      <c r="BW331" t="e">
        <v>#N/A</v>
      </c>
      <c r="BX331" t="s">
        <v>722</v>
      </c>
      <c r="BY331">
        <v>0.83</v>
      </c>
      <c r="BZ331" t="e">
        <v>#N/A</v>
      </c>
      <c r="CA331" t="s">
        <v>722</v>
      </c>
      <c r="CB331">
        <v>926.61</v>
      </c>
      <c r="CC331" t="e">
        <v>#N/A</v>
      </c>
      <c r="CD331" t="s">
        <v>722</v>
      </c>
      <c r="CE331">
        <v>0.88</v>
      </c>
      <c r="CF331" t="e">
        <v>#N/A</v>
      </c>
      <c r="CG331" t="s">
        <v>722</v>
      </c>
      <c r="CH331">
        <v>1</v>
      </c>
      <c r="CI331" t="e">
        <v>#N/A</v>
      </c>
      <c r="CJ331" t="s">
        <v>722</v>
      </c>
      <c r="CK331">
        <v>1</v>
      </c>
      <c r="CL331" t="e">
        <v>#N/A</v>
      </c>
      <c r="CM331" t="s">
        <v>722</v>
      </c>
      <c r="CN331">
        <v>1087.3699999999999</v>
      </c>
      <c r="CO331" t="e">
        <v>#N/A</v>
      </c>
      <c r="CP331" t="s">
        <v>722</v>
      </c>
      <c r="CQ331">
        <v>0.92</v>
      </c>
      <c r="CR331" t="e">
        <v>#N/A</v>
      </c>
      <c r="CS331" t="s">
        <v>722</v>
      </c>
      <c r="CT331">
        <v>1</v>
      </c>
      <c r="CU331" t="e">
        <v>#N/A</v>
      </c>
      <c r="CV331" t="s">
        <v>722</v>
      </c>
      <c r="CW331">
        <v>0.97</v>
      </c>
      <c r="CX331" t="e">
        <v>#N/A</v>
      </c>
      <c r="CY331" t="s">
        <v>722</v>
      </c>
      <c r="CZ331">
        <v>0.93</v>
      </c>
      <c r="DA331" t="e">
        <v>#N/A</v>
      </c>
      <c r="DB331" t="s">
        <v>722</v>
      </c>
      <c r="DC331">
        <v>0.88</v>
      </c>
      <c r="DD331" t="e">
        <v>#N/A</v>
      </c>
      <c r="DE331" t="s">
        <v>722</v>
      </c>
      <c r="DF331">
        <v>1</v>
      </c>
      <c r="DG331" t="e">
        <v>#N/A</v>
      </c>
      <c r="DH331" t="s">
        <v>722</v>
      </c>
      <c r="DI331">
        <v>926.61</v>
      </c>
      <c r="DJ331" t="e">
        <v>#N/A</v>
      </c>
      <c r="DK331" t="s">
        <v>722</v>
      </c>
      <c r="DL331">
        <v>1</v>
      </c>
      <c r="DM331" t="e">
        <v>#N/A</v>
      </c>
      <c r="DN331" t="s">
        <v>1075</v>
      </c>
      <c r="DO331">
        <v>0.71</v>
      </c>
      <c r="DP331" t="e">
        <v>#N/A</v>
      </c>
      <c r="DQ331" t="s">
        <v>722</v>
      </c>
      <c r="DR331">
        <v>1</v>
      </c>
      <c r="DS331" t="e">
        <v>#N/A</v>
      </c>
      <c r="DT331" t="s">
        <v>722</v>
      </c>
      <c r="DU331">
        <v>1</v>
      </c>
      <c r="DV331" t="e">
        <v>#N/A</v>
      </c>
      <c r="DW331" t="s">
        <v>722</v>
      </c>
      <c r="DX331">
        <v>1</v>
      </c>
      <c r="DY331" t="e">
        <v>#N/A</v>
      </c>
      <c r="DZ331" t="s">
        <v>722</v>
      </c>
      <c r="EA331">
        <v>1024.8800000000001</v>
      </c>
      <c r="EB331" t="e">
        <v>#N/A</v>
      </c>
      <c r="EC331" t="s">
        <v>722</v>
      </c>
      <c r="ED331">
        <v>1</v>
      </c>
      <c r="EE331" t="e">
        <v>#N/A</v>
      </c>
      <c r="EF331" t="s">
        <v>722</v>
      </c>
      <c r="EG331">
        <v>1</v>
      </c>
      <c r="EH331" t="e">
        <v>#N/A</v>
      </c>
      <c r="EI331" t="s">
        <v>722</v>
      </c>
      <c r="EJ331">
        <v>1</v>
      </c>
      <c r="EK331" t="e">
        <v>#N/A</v>
      </c>
    </row>
    <row r="332" spans="1:141">
      <c r="A332" t="s">
        <v>722</v>
      </c>
      <c r="B332">
        <v>1008.46</v>
      </c>
      <c r="C332" t="e">
        <v>#N/A</v>
      </c>
      <c r="D332" t="s">
        <v>722</v>
      </c>
      <c r="E332">
        <v>1008.46</v>
      </c>
      <c r="F332" t="e">
        <v>#N/A</v>
      </c>
      <c r="G332" t="s">
        <v>722</v>
      </c>
      <c r="H332">
        <v>1026.01</v>
      </c>
      <c r="I332" t="e">
        <v>#N/A</v>
      </c>
      <c r="J332" t="s">
        <v>722</v>
      </c>
      <c r="K332">
        <v>1026.01</v>
      </c>
      <c r="L332" t="e">
        <v>#N/A</v>
      </c>
      <c r="M332" t="s">
        <v>722</v>
      </c>
      <c r="N332">
        <v>1008.46</v>
      </c>
      <c r="O332" t="e">
        <v>#N/A</v>
      </c>
      <c r="P332" t="s">
        <v>722</v>
      </c>
      <c r="Q332">
        <v>0.85</v>
      </c>
      <c r="R332" t="e">
        <v>#N/A</v>
      </c>
      <c r="S332" t="s">
        <v>722</v>
      </c>
      <c r="T332">
        <v>0.83</v>
      </c>
      <c r="U332" t="e">
        <v>#N/A</v>
      </c>
      <c r="V332" t="s">
        <v>722</v>
      </c>
      <c r="W332">
        <v>0.83</v>
      </c>
      <c r="X332" t="e">
        <v>#N/A</v>
      </c>
      <c r="Y332" t="s">
        <v>722</v>
      </c>
      <c r="Z332">
        <v>0.85</v>
      </c>
      <c r="AA332" t="e">
        <v>#N/A</v>
      </c>
      <c r="AB332" t="s">
        <v>722</v>
      </c>
      <c r="AC332">
        <v>0.83</v>
      </c>
      <c r="AD332" t="e">
        <v>#N/A</v>
      </c>
      <c r="AE332" t="s">
        <v>722</v>
      </c>
      <c r="AF332">
        <v>1018.82</v>
      </c>
      <c r="AG332" t="e">
        <v>#N/A</v>
      </c>
      <c r="AH332" t="s">
        <v>722</v>
      </c>
      <c r="AI332">
        <v>933.38</v>
      </c>
      <c r="AJ332" t="e">
        <v>#N/A</v>
      </c>
      <c r="AK332" t="s">
        <v>722</v>
      </c>
      <c r="AL332">
        <v>0.81</v>
      </c>
      <c r="AM332" t="e">
        <v>#N/A</v>
      </c>
      <c r="AN332" t="s">
        <v>722</v>
      </c>
      <c r="AO332">
        <v>0.8</v>
      </c>
      <c r="AP332" t="e">
        <v>#N/A</v>
      </c>
      <c r="AQ332" t="s">
        <v>722</v>
      </c>
      <c r="AR332">
        <v>0.91</v>
      </c>
      <c r="AS332" t="e">
        <v>#N/A</v>
      </c>
      <c r="AT332" t="s">
        <v>722</v>
      </c>
      <c r="AU332">
        <v>0.98</v>
      </c>
      <c r="AV332" t="e">
        <v>#N/A</v>
      </c>
      <c r="AW332" t="s">
        <v>722</v>
      </c>
      <c r="AX332">
        <v>0.89</v>
      </c>
      <c r="AY332" t="e">
        <v>#N/A</v>
      </c>
      <c r="AZ332" t="s">
        <v>722</v>
      </c>
      <c r="BA332">
        <v>0.8</v>
      </c>
      <c r="BB332" t="e">
        <v>#N/A</v>
      </c>
      <c r="BC332" t="s">
        <v>722</v>
      </c>
      <c r="BD332">
        <v>0.81</v>
      </c>
      <c r="BE332" t="e">
        <v>#N/A</v>
      </c>
      <c r="BF332" t="s">
        <v>722</v>
      </c>
      <c r="BG332">
        <v>0.92</v>
      </c>
      <c r="BH332" t="e">
        <v>#N/A</v>
      </c>
      <c r="BI332" t="s">
        <v>722</v>
      </c>
      <c r="BJ332">
        <v>1</v>
      </c>
      <c r="BK332" t="e">
        <v>#N/A</v>
      </c>
      <c r="BL332" t="s">
        <v>722</v>
      </c>
      <c r="BM332">
        <v>0.84</v>
      </c>
      <c r="BN332" t="e">
        <v>#N/A</v>
      </c>
      <c r="BO332" t="s">
        <v>722</v>
      </c>
      <c r="BP332">
        <v>0.83</v>
      </c>
      <c r="BQ332" t="e">
        <v>#N/A</v>
      </c>
      <c r="BR332" t="s">
        <v>722</v>
      </c>
      <c r="BS332">
        <v>926.61</v>
      </c>
      <c r="BT332" t="e">
        <v>#N/A</v>
      </c>
      <c r="BU332" t="s">
        <v>722</v>
      </c>
      <c r="BV332">
        <v>1026.29</v>
      </c>
      <c r="BW332" t="e">
        <v>#N/A</v>
      </c>
      <c r="BX332" t="s">
        <v>722</v>
      </c>
      <c r="BY332">
        <v>0.81</v>
      </c>
      <c r="BZ332" t="e">
        <v>#N/A</v>
      </c>
      <c r="CA332" t="s">
        <v>722</v>
      </c>
      <c r="CB332">
        <v>880.34</v>
      </c>
      <c r="CC332" t="e">
        <v>#N/A</v>
      </c>
      <c r="CD332" t="s">
        <v>722</v>
      </c>
      <c r="CE332">
        <v>0.81</v>
      </c>
      <c r="CF332" t="e">
        <v>#N/A</v>
      </c>
      <c r="CG332" t="s">
        <v>722</v>
      </c>
      <c r="CH332">
        <v>1</v>
      </c>
      <c r="CI332" t="e">
        <v>#N/A</v>
      </c>
      <c r="CJ332" t="s">
        <v>722</v>
      </c>
      <c r="CK332">
        <v>1</v>
      </c>
      <c r="CL332" t="e">
        <v>#N/A</v>
      </c>
      <c r="CM332" t="s">
        <v>722</v>
      </c>
      <c r="CN332">
        <v>926.61</v>
      </c>
      <c r="CO332" t="e">
        <v>#N/A</v>
      </c>
      <c r="CP332" t="s">
        <v>722</v>
      </c>
      <c r="CQ332">
        <v>0.91</v>
      </c>
      <c r="CR332" t="e">
        <v>#N/A</v>
      </c>
      <c r="CS332" t="s">
        <v>722</v>
      </c>
      <c r="CT332">
        <v>0.97</v>
      </c>
      <c r="CU332" t="e">
        <v>#N/A</v>
      </c>
      <c r="CV332" t="s">
        <v>722</v>
      </c>
      <c r="CW332">
        <v>1044.5899999999999</v>
      </c>
      <c r="CX332" t="e">
        <v>#N/A</v>
      </c>
      <c r="CY332" t="s">
        <v>722</v>
      </c>
      <c r="CZ332">
        <v>1044.5899999999999</v>
      </c>
      <c r="DA332" t="e">
        <v>#N/A</v>
      </c>
      <c r="DB332" t="s">
        <v>722</v>
      </c>
      <c r="DC332">
        <v>1087.3699999999999</v>
      </c>
      <c r="DD332" t="e">
        <v>#N/A</v>
      </c>
      <c r="DE332" t="s">
        <v>722</v>
      </c>
      <c r="DF332">
        <v>1</v>
      </c>
      <c r="DG332" t="e">
        <v>#N/A</v>
      </c>
      <c r="DH332" t="s">
        <v>722</v>
      </c>
      <c r="DI332">
        <v>880.34</v>
      </c>
      <c r="DJ332" t="e">
        <v>#N/A</v>
      </c>
      <c r="DK332" t="s">
        <v>722</v>
      </c>
      <c r="DL332">
        <v>1087.3699999999999</v>
      </c>
      <c r="DM332" t="e">
        <v>#N/A</v>
      </c>
      <c r="DN332" t="s">
        <v>722</v>
      </c>
      <c r="DO332">
        <v>997.7</v>
      </c>
      <c r="DP332" t="e">
        <v>#N/A</v>
      </c>
      <c r="DQ332" t="s">
        <v>722</v>
      </c>
      <c r="DR332">
        <v>1</v>
      </c>
      <c r="DS332" t="e">
        <v>#N/A</v>
      </c>
      <c r="DT332" t="s">
        <v>722</v>
      </c>
      <c r="DU332">
        <v>1</v>
      </c>
      <c r="DV332" t="e">
        <v>#N/A</v>
      </c>
      <c r="DW332" t="s">
        <v>722</v>
      </c>
      <c r="DX332">
        <v>1</v>
      </c>
      <c r="DY332" t="e">
        <v>#N/A</v>
      </c>
      <c r="DZ332" t="s">
        <v>722</v>
      </c>
      <c r="EA332">
        <v>0.91</v>
      </c>
      <c r="EB332" t="e">
        <v>#N/A</v>
      </c>
      <c r="EC332" t="s">
        <v>722</v>
      </c>
      <c r="ED332">
        <v>1</v>
      </c>
      <c r="EE332" t="e">
        <v>#N/A</v>
      </c>
      <c r="EF332" t="s">
        <v>722</v>
      </c>
      <c r="EG332">
        <v>1</v>
      </c>
      <c r="EH332" t="e">
        <v>#N/A</v>
      </c>
      <c r="EI332" t="s">
        <v>722</v>
      </c>
      <c r="EJ332">
        <v>1</v>
      </c>
      <c r="EK332" t="e">
        <v>#N/A</v>
      </c>
    </row>
    <row r="333" spans="1:141">
      <c r="A333" t="s">
        <v>722</v>
      </c>
      <c r="B333">
        <v>1026.01</v>
      </c>
      <c r="C333" t="e">
        <v>#N/A</v>
      </c>
      <c r="D333" t="s">
        <v>722</v>
      </c>
      <c r="E333">
        <v>1026.01</v>
      </c>
      <c r="F333" t="e">
        <v>#N/A</v>
      </c>
      <c r="G333" t="s">
        <v>722</v>
      </c>
      <c r="H333">
        <v>1067.69</v>
      </c>
      <c r="I333" t="e">
        <v>#N/A</v>
      </c>
      <c r="J333" t="s">
        <v>722</v>
      </c>
      <c r="K333">
        <v>1067.69</v>
      </c>
      <c r="L333" t="e">
        <v>#N/A</v>
      </c>
      <c r="M333" t="s">
        <v>722</v>
      </c>
      <c r="N333">
        <v>1026.01</v>
      </c>
      <c r="O333" t="e">
        <v>#N/A</v>
      </c>
      <c r="P333" t="s">
        <v>722</v>
      </c>
      <c r="Q333">
        <v>992.39</v>
      </c>
      <c r="R333" t="e">
        <v>#N/A</v>
      </c>
      <c r="S333" t="s">
        <v>722</v>
      </c>
      <c r="T333">
        <v>933.38</v>
      </c>
      <c r="U333" t="e">
        <v>#N/A</v>
      </c>
      <c r="V333" t="s">
        <v>722</v>
      </c>
      <c r="W333">
        <v>1007.73</v>
      </c>
      <c r="X333" t="e">
        <v>#N/A</v>
      </c>
      <c r="Y333" t="s">
        <v>722</v>
      </c>
      <c r="Z333">
        <v>0.83</v>
      </c>
      <c r="AA333" t="e">
        <v>#N/A</v>
      </c>
      <c r="AB333" t="s">
        <v>722</v>
      </c>
      <c r="AC333">
        <v>1005.07</v>
      </c>
      <c r="AD333" t="e">
        <v>#N/A</v>
      </c>
      <c r="AE333" t="s">
        <v>722</v>
      </c>
      <c r="AF333">
        <v>0.95</v>
      </c>
      <c r="AG333" t="e">
        <v>#N/A</v>
      </c>
      <c r="AH333" t="s">
        <v>722</v>
      </c>
      <c r="AI333">
        <v>0.93</v>
      </c>
      <c r="AJ333" t="e">
        <v>#N/A</v>
      </c>
      <c r="AK333" t="s">
        <v>722</v>
      </c>
      <c r="AL333">
        <v>0.86</v>
      </c>
      <c r="AM333" t="e">
        <v>#N/A</v>
      </c>
      <c r="AN333" t="s">
        <v>722</v>
      </c>
      <c r="AO333">
        <v>0.81</v>
      </c>
      <c r="AP333" t="e">
        <v>#N/A</v>
      </c>
      <c r="AQ333" t="s">
        <v>722</v>
      </c>
      <c r="AR333">
        <v>1000.8</v>
      </c>
      <c r="AS333" t="e">
        <v>#N/A</v>
      </c>
      <c r="AT333" t="s">
        <v>722</v>
      </c>
      <c r="AU333">
        <v>0.95</v>
      </c>
      <c r="AV333" t="e">
        <v>#N/A</v>
      </c>
      <c r="AW333" t="s">
        <v>722</v>
      </c>
      <c r="AX333">
        <v>0.81</v>
      </c>
      <c r="AY333" t="e">
        <v>#N/A</v>
      </c>
      <c r="AZ333" t="s">
        <v>722</v>
      </c>
      <c r="BA333">
        <v>0.84</v>
      </c>
      <c r="BB333" t="e">
        <v>#N/A</v>
      </c>
      <c r="BC333" t="s">
        <v>722</v>
      </c>
      <c r="BD333">
        <v>1023.45</v>
      </c>
      <c r="BE333" t="e">
        <v>#N/A</v>
      </c>
      <c r="BF333" t="s">
        <v>722</v>
      </c>
      <c r="BG333">
        <v>0.89</v>
      </c>
      <c r="BH333" t="e">
        <v>#N/A</v>
      </c>
      <c r="BI333" t="s">
        <v>722</v>
      </c>
      <c r="BJ333">
        <v>0.95</v>
      </c>
      <c r="BK333" t="e">
        <v>#N/A</v>
      </c>
      <c r="BL333" t="s">
        <v>722</v>
      </c>
      <c r="BM333">
        <v>0.83</v>
      </c>
      <c r="BN333" t="e">
        <v>#N/A</v>
      </c>
      <c r="BO333" t="s">
        <v>722</v>
      </c>
      <c r="BP333">
        <v>1006.54</v>
      </c>
      <c r="BQ333" t="e">
        <v>#N/A</v>
      </c>
      <c r="BR333" t="s">
        <v>722</v>
      </c>
      <c r="BS333">
        <v>880.34</v>
      </c>
      <c r="BT333" t="e">
        <v>#N/A</v>
      </c>
      <c r="BU333" t="s">
        <v>722</v>
      </c>
      <c r="BV333">
        <v>0.85</v>
      </c>
      <c r="BW333" t="e">
        <v>#N/A</v>
      </c>
      <c r="BX333" t="s">
        <v>722</v>
      </c>
      <c r="BY333">
        <v>1023.58</v>
      </c>
      <c r="BZ333" t="e">
        <v>#N/A</v>
      </c>
      <c r="CA333" t="s">
        <v>722</v>
      </c>
      <c r="CB333">
        <v>1</v>
      </c>
      <c r="CC333" t="e">
        <v>#N/A</v>
      </c>
      <c r="CD333" t="s">
        <v>722</v>
      </c>
      <c r="CE333">
        <v>1004.38</v>
      </c>
      <c r="CF333" t="e">
        <v>#N/A</v>
      </c>
      <c r="CG333" t="s">
        <v>722</v>
      </c>
      <c r="CH333">
        <v>1087.3699999999999</v>
      </c>
      <c r="CI333" t="e">
        <v>#N/A</v>
      </c>
      <c r="CJ333" t="s">
        <v>722</v>
      </c>
      <c r="CK333">
        <v>1087.3699999999999</v>
      </c>
      <c r="CL333" t="e">
        <v>#N/A</v>
      </c>
      <c r="CM333" t="s">
        <v>722</v>
      </c>
      <c r="CN333">
        <v>880.34</v>
      </c>
      <c r="CO333" t="e">
        <v>#N/A</v>
      </c>
      <c r="CP333" t="s">
        <v>722</v>
      </c>
      <c r="CQ333">
        <v>0.91</v>
      </c>
      <c r="CR333" t="e">
        <v>#N/A</v>
      </c>
      <c r="CS333" t="s">
        <v>722</v>
      </c>
      <c r="CT333">
        <v>0.88</v>
      </c>
      <c r="CU333" t="e">
        <v>#N/A</v>
      </c>
      <c r="CV333" t="s">
        <v>722</v>
      </c>
      <c r="CW333">
        <v>997.73</v>
      </c>
      <c r="CX333" t="e">
        <v>#N/A</v>
      </c>
      <c r="CY333" t="s">
        <v>722</v>
      </c>
      <c r="CZ333">
        <v>997.73</v>
      </c>
      <c r="DA333" t="e">
        <v>#N/A</v>
      </c>
      <c r="DB333" t="s">
        <v>722</v>
      </c>
      <c r="DC333">
        <v>0.99</v>
      </c>
      <c r="DD333" t="e">
        <v>#N/A</v>
      </c>
      <c r="DE333" t="s">
        <v>722</v>
      </c>
      <c r="DF333">
        <v>0.89</v>
      </c>
      <c r="DG333" t="e">
        <v>#N/A</v>
      </c>
      <c r="DH333" t="s">
        <v>722</v>
      </c>
      <c r="DI333">
        <v>1</v>
      </c>
      <c r="DJ333" t="e">
        <v>#N/A</v>
      </c>
      <c r="DK333" t="s">
        <v>722</v>
      </c>
      <c r="DL333">
        <v>997.7</v>
      </c>
      <c r="DM333" t="e">
        <v>#N/A</v>
      </c>
      <c r="DN333" t="s">
        <v>722</v>
      </c>
      <c r="DO333">
        <v>926.61</v>
      </c>
      <c r="DP333" t="e">
        <v>#N/A</v>
      </c>
      <c r="DQ333" t="s">
        <v>722</v>
      </c>
      <c r="DR333">
        <v>1</v>
      </c>
      <c r="DS333" t="e">
        <v>#N/A</v>
      </c>
      <c r="DT333" t="s">
        <v>722</v>
      </c>
      <c r="DU333">
        <v>0.99</v>
      </c>
      <c r="DV333" t="e">
        <v>#N/A</v>
      </c>
      <c r="DW333" t="s">
        <v>722</v>
      </c>
      <c r="DX333">
        <v>1024.8800000000001</v>
      </c>
      <c r="DY333" t="e">
        <v>#N/A</v>
      </c>
      <c r="DZ333" t="s">
        <v>722</v>
      </c>
      <c r="EA333">
        <v>1</v>
      </c>
      <c r="EB333" t="e">
        <v>#N/A</v>
      </c>
      <c r="EC333" t="s">
        <v>722</v>
      </c>
      <c r="ED333">
        <v>1024.8800000000001</v>
      </c>
      <c r="EE333" t="e">
        <v>#N/A</v>
      </c>
      <c r="EF333" t="s">
        <v>722</v>
      </c>
      <c r="EG333">
        <v>1024.8800000000001</v>
      </c>
      <c r="EH333" t="e">
        <v>#N/A</v>
      </c>
      <c r="EI333" t="s">
        <v>722</v>
      </c>
      <c r="EJ333">
        <v>1</v>
      </c>
      <c r="EK333" t="e">
        <v>#N/A</v>
      </c>
    </row>
    <row r="334" spans="1:141">
      <c r="A334" t="s">
        <v>722</v>
      </c>
      <c r="B334">
        <v>1067.69</v>
      </c>
      <c r="C334" t="e">
        <v>#N/A</v>
      </c>
      <c r="D334" t="s">
        <v>722</v>
      </c>
      <c r="E334">
        <v>1067.69</v>
      </c>
      <c r="F334" t="e">
        <v>#N/A</v>
      </c>
      <c r="G334" t="s">
        <v>722</v>
      </c>
      <c r="H334">
        <v>0.78</v>
      </c>
      <c r="I334" t="e">
        <v>#N/A</v>
      </c>
      <c r="J334" t="s">
        <v>722</v>
      </c>
      <c r="K334">
        <v>0.78</v>
      </c>
      <c r="L334" t="e">
        <v>#N/A</v>
      </c>
      <c r="M334" t="s">
        <v>722</v>
      </c>
      <c r="N334">
        <v>1067.69</v>
      </c>
      <c r="O334" t="e">
        <v>#N/A</v>
      </c>
      <c r="P334" t="s">
        <v>722</v>
      </c>
      <c r="Q334">
        <v>0.83</v>
      </c>
      <c r="R334" t="e">
        <v>#N/A</v>
      </c>
      <c r="S334" t="s">
        <v>665</v>
      </c>
      <c r="T334">
        <v>39.799999999999997</v>
      </c>
      <c r="U334" t="e">
        <v>#N/A</v>
      </c>
      <c r="V334" t="s">
        <v>722</v>
      </c>
      <c r="W334">
        <v>933.38</v>
      </c>
      <c r="X334" t="e">
        <v>#N/A</v>
      </c>
      <c r="Y334" t="s">
        <v>722</v>
      </c>
      <c r="Z334">
        <v>933.38</v>
      </c>
      <c r="AA334" t="e">
        <v>#N/A</v>
      </c>
      <c r="AB334" t="s">
        <v>722</v>
      </c>
      <c r="AC334">
        <v>933.38</v>
      </c>
      <c r="AD334" t="e">
        <v>#N/A</v>
      </c>
      <c r="AE334" t="s">
        <v>722</v>
      </c>
      <c r="AF334">
        <v>1004.3</v>
      </c>
      <c r="AG334" t="e">
        <v>#N/A</v>
      </c>
      <c r="AH334" t="s">
        <v>722</v>
      </c>
      <c r="AI334">
        <v>0.96</v>
      </c>
      <c r="AJ334" t="e">
        <v>#N/A</v>
      </c>
      <c r="AK334" t="s">
        <v>722</v>
      </c>
      <c r="AL334">
        <v>0.83</v>
      </c>
      <c r="AM334" t="e">
        <v>#N/A</v>
      </c>
      <c r="AN334" t="s">
        <v>722</v>
      </c>
      <c r="AO334">
        <v>0.86</v>
      </c>
      <c r="AP334" t="e">
        <v>#N/A</v>
      </c>
      <c r="AQ334" t="s">
        <v>722</v>
      </c>
      <c r="AR334">
        <v>0.96</v>
      </c>
      <c r="AS334" t="e">
        <v>#N/A</v>
      </c>
      <c r="AT334" t="s">
        <v>722</v>
      </c>
      <c r="AU334">
        <v>0.84</v>
      </c>
      <c r="AV334" t="e">
        <v>#N/A</v>
      </c>
      <c r="AW334" t="s">
        <v>722</v>
      </c>
      <c r="AX334">
        <v>0.98</v>
      </c>
      <c r="AY334" t="e">
        <v>#N/A</v>
      </c>
      <c r="AZ334" t="s">
        <v>722</v>
      </c>
      <c r="BA334">
        <v>0.89</v>
      </c>
      <c r="BB334" t="e">
        <v>#N/A</v>
      </c>
      <c r="BC334" t="s">
        <v>722</v>
      </c>
      <c r="BD334">
        <v>0.82</v>
      </c>
      <c r="BE334" t="e">
        <v>#N/A</v>
      </c>
      <c r="BF334" t="s">
        <v>722</v>
      </c>
      <c r="BG334">
        <v>0.84</v>
      </c>
      <c r="BH334" t="e">
        <v>#N/A</v>
      </c>
      <c r="BI334" t="s">
        <v>722</v>
      </c>
      <c r="BJ334">
        <v>0.89</v>
      </c>
      <c r="BK334" t="e">
        <v>#N/A</v>
      </c>
      <c r="BL334" t="s">
        <v>722</v>
      </c>
      <c r="BM334">
        <v>0.79</v>
      </c>
      <c r="BN334" t="e">
        <v>#N/A</v>
      </c>
      <c r="BO334" t="s">
        <v>722</v>
      </c>
      <c r="BP334">
        <v>1023.58</v>
      </c>
      <c r="BQ334" t="e">
        <v>#N/A</v>
      </c>
      <c r="BR334" t="s">
        <v>722</v>
      </c>
      <c r="BS334">
        <v>1</v>
      </c>
      <c r="BT334" t="e">
        <v>#N/A</v>
      </c>
      <c r="BU334" t="s">
        <v>722</v>
      </c>
      <c r="BV334">
        <v>0.79</v>
      </c>
      <c r="BW334" t="e">
        <v>#N/A</v>
      </c>
      <c r="BX334" t="s">
        <v>722</v>
      </c>
      <c r="BY334">
        <v>1000.8</v>
      </c>
      <c r="BZ334" t="e">
        <v>#N/A</v>
      </c>
      <c r="CA334" t="s">
        <v>722</v>
      </c>
      <c r="CB334">
        <v>0.99</v>
      </c>
      <c r="CC334" t="e">
        <v>#N/A</v>
      </c>
      <c r="CD334" t="s">
        <v>722</v>
      </c>
      <c r="CE334">
        <v>1011.11</v>
      </c>
      <c r="CF334" t="e">
        <v>#N/A</v>
      </c>
      <c r="CG334" t="s">
        <v>722</v>
      </c>
      <c r="CH334">
        <v>926.61</v>
      </c>
      <c r="CI334" t="e">
        <v>#N/A</v>
      </c>
      <c r="CJ334" t="s">
        <v>722</v>
      </c>
      <c r="CK334">
        <v>926.61</v>
      </c>
      <c r="CL334" t="e">
        <v>#N/A</v>
      </c>
      <c r="CM334" t="s">
        <v>722</v>
      </c>
      <c r="CN334">
        <v>1</v>
      </c>
      <c r="CO334" t="e">
        <v>#N/A</v>
      </c>
      <c r="CP334" t="s">
        <v>722</v>
      </c>
      <c r="CQ334">
        <v>0.89</v>
      </c>
      <c r="CR334" t="e">
        <v>#N/A</v>
      </c>
      <c r="CS334" t="s">
        <v>722</v>
      </c>
      <c r="CT334">
        <v>1087.3699999999999</v>
      </c>
      <c r="CU334" t="e">
        <v>#N/A</v>
      </c>
      <c r="CV334" t="s">
        <v>722</v>
      </c>
      <c r="CW334">
        <v>1</v>
      </c>
      <c r="CX334" t="e">
        <v>#N/A</v>
      </c>
      <c r="CY334" t="s">
        <v>722</v>
      </c>
      <c r="CZ334">
        <v>1</v>
      </c>
      <c r="DA334" t="e">
        <v>#N/A</v>
      </c>
      <c r="DB334" t="s">
        <v>722</v>
      </c>
      <c r="DC334">
        <v>926.61</v>
      </c>
      <c r="DD334" t="e">
        <v>#N/A</v>
      </c>
      <c r="DE334" t="s">
        <v>722</v>
      </c>
      <c r="DF334">
        <v>1087.3699999999999</v>
      </c>
      <c r="DG334" t="e">
        <v>#N/A</v>
      </c>
      <c r="DH334" t="s">
        <v>722</v>
      </c>
      <c r="DI334">
        <v>0.96</v>
      </c>
      <c r="DJ334" t="e">
        <v>#N/A</v>
      </c>
      <c r="DK334" t="s">
        <v>722</v>
      </c>
      <c r="DL334">
        <v>926.61</v>
      </c>
      <c r="DM334" t="e">
        <v>#N/A</v>
      </c>
      <c r="DN334" t="s">
        <v>722</v>
      </c>
      <c r="DO334">
        <v>880.34</v>
      </c>
      <c r="DP334" t="e">
        <v>#N/A</v>
      </c>
      <c r="DQ334" t="s">
        <v>1075</v>
      </c>
      <c r="DR334">
        <v>0.65</v>
      </c>
      <c r="DS334" t="e">
        <v>#N/A</v>
      </c>
      <c r="DT334" t="s">
        <v>722</v>
      </c>
      <c r="DU334">
        <v>0.91</v>
      </c>
      <c r="DV334" t="e">
        <v>#N/A</v>
      </c>
      <c r="DW334" t="s">
        <v>722</v>
      </c>
      <c r="DX334">
        <v>0.91</v>
      </c>
      <c r="DY334" t="e">
        <v>#N/A</v>
      </c>
      <c r="DZ334" t="s">
        <v>722</v>
      </c>
      <c r="EA334">
        <v>1</v>
      </c>
      <c r="EB334" t="e">
        <v>#N/A</v>
      </c>
      <c r="EC334" t="s">
        <v>722</v>
      </c>
      <c r="ED334">
        <v>0.91</v>
      </c>
      <c r="EE334" t="e">
        <v>#N/A</v>
      </c>
      <c r="EF334" t="s">
        <v>722</v>
      </c>
      <c r="EG334">
        <v>0.91</v>
      </c>
      <c r="EH334" t="e">
        <v>#N/A</v>
      </c>
      <c r="EI334" t="s">
        <v>722</v>
      </c>
      <c r="EJ334">
        <v>1024.8800000000001</v>
      </c>
      <c r="EK334" t="e">
        <v>#N/A</v>
      </c>
    </row>
    <row r="335" spans="1:141">
      <c r="A335" t="s">
        <v>722</v>
      </c>
      <c r="B335">
        <v>0.78</v>
      </c>
      <c r="C335" t="e">
        <v>#N/A</v>
      </c>
      <c r="D335" t="s">
        <v>722</v>
      </c>
      <c r="E335">
        <v>0.78</v>
      </c>
      <c r="F335" t="e">
        <v>#N/A</v>
      </c>
      <c r="G335" t="s">
        <v>879</v>
      </c>
      <c r="H335">
        <v>10.34</v>
      </c>
      <c r="I335" t="e">
        <v>#N/A</v>
      </c>
      <c r="J335" t="s">
        <v>879</v>
      </c>
      <c r="K335">
        <v>10.34</v>
      </c>
      <c r="L335" t="e">
        <v>#N/A</v>
      </c>
      <c r="M335" t="s">
        <v>722</v>
      </c>
      <c r="N335">
        <v>0.78</v>
      </c>
      <c r="O335" t="e">
        <v>#N/A</v>
      </c>
      <c r="P335" t="s">
        <v>317</v>
      </c>
      <c r="Q335">
        <v>33.65</v>
      </c>
      <c r="R335" t="e">
        <v>#N/A</v>
      </c>
      <c r="S335" t="s">
        <v>722</v>
      </c>
      <c r="T335">
        <v>1026.01</v>
      </c>
      <c r="U335" t="e">
        <v>#N/A</v>
      </c>
      <c r="V335" t="s">
        <v>665</v>
      </c>
      <c r="W335">
        <v>39.799999999999997</v>
      </c>
      <c r="X335" t="e">
        <v>#N/A</v>
      </c>
      <c r="Y335" t="s">
        <v>665</v>
      </c>
      <c r="Z335">
        <v>39.799999999999997</v>
      </c>
      <c r="AA335" t="e">
        <v>#N/A</v>
      </c>
      <c r="AB335" t="s">
        <v>317</v>
      </c>
      <c r="AC335">
        <v>33.65</v>
      </c>
      <c r="AD335" t="e">
        <v>#N/A</v>
      </c>
      <c r="AE335" t="s">
        <v>665</v>
      </c>
      <c r="AF335">
        <v>39.799999999999997</v>
      </c>
      <c r="AG335" t="e">
        <v>#N/A</v>
      </c>
      <c r="AH335" t="s">
        <v>722</v>
      </c>
      <c r="AI335">
        <v>0.9</v>
      </c>
      <c r="AJ335" t="e">
        <v>#N/A</v>
      </c>
      <c r="AK335" t="s">
        <v>317</v>
      </c>
      <c r="AL335">
        <v>32.9</v>
      </c>
      <c r="AM335" t="e">
        <v>#N/A</v>
      </c>
      <c r="AN335" t="s">
        <v>722</v>
      </c>
      <c r="AO335">
        <v>0.83</v>
      </c>
      <c r="AP335" t="e">
        <v>#N/A</v>
      </c>
      <c r="AQ335" t="s">
        <v>722</v>
      </c>
      <c r="AR335">
        <v>0.81</v>
      </c>
      <c r="AS335" t="e">
        <v>#N/A</v>
      </c>
      <c r="AT335" t="s">
        <v>722</v>
      </c>
      <c r="AU335">
        <v>1032.51</v>
      </c>
      <c r="AV335" t="e">
        <v>#N/A</v>
      </c>
      <c r="AW335" t="s">
        <v>722</v>
      </c>
      <c r="AX335">
        <v>0.97</v>
      </c>
      <c r="AY335" t="e">
        <v>#N/A</v>
      </c>
      <c r="AZ335" t="s">
        <v>722</v>
      </c>
      <c r="BA335">
        <v>0.84</v>
      </c>
      <c r="BB335" t="e">
        <v>#N/A</v>
      </c>
      <c r="BC335" t="s">
        <v>722</v>
      </c>
      <c r="BD335">
        <v>0.89</v>
      </c>
      <c r="BE335" t="e">
        <v>#N/A</v>
      </c>
      <c r="BF335" t="s">
        <v>722</v>
      </c>
      <c r="BG335">
        <v>0.79</v>
      </c>
      <c r="BH335" t="e">
        <v>#N/A</v>
      </c>
      <c r="BI335" t="s">
        <v>722</v>
      </c>
      <c r="BJ335">
        <v>0.84</v>
      </c>
      <c r="BK335" t="e">
        <v>#N/A</v>
      </c>
      <c r="BL335" t="s">
        <v>722</v>
      </c>
      <c r="BM335">
        <v>0.8</v>
      </c>
      <c r="BN335" t="e">
        <v>#N/A</v>
      </c>
      <c r="BO335" t="s">
        <v>722</v>
      </c>
      <c r="BP335">
        <v>1000.8</v>
      </c>
      <c r="BQ335" t="e">
        <v>#N/A</v>
      </c>
      <c r="BR335" t="s">
        <v>722</v>
      </c>
      <c r="BS335">
        <v>0.98</v>
      </c>
      <c r="BT335" t="e">
        <v>#N/A</v>
      </c>
      <c r="BU335" t="s">
        <v>722</v>
      </c>
      <c r="BV335">
        <v>0.8</v>
      </c>
      <c r="BW335" t="e">
        <v>#N/A</v>
      </c>
      <c r="BX335" t="s">
        <v>722</v>
      </c>
      <c r="BY335">
        <v>0.92</v>
      </c>
      <c r="BZ335" t="e">
        <v>#N/A</v>
      </c>
      <c r="CA335" t="s">
        <v>722</v>
      </c>
      <c r="CB335">
        <v>0.98</v>
      </c>
      <c r="CC335" t="e">
        <v>#N/A</v>
      </c>
      <c r="CD335" t="s">
        <v>722</v>
      </c>
      <c r="CE335">
        <v>1066.6500000000001</v>
      </c>
      <c r="CF335" t="e">
        <v>#N/A</v>
      </c>
      <c r="CG335" t="s">
        <v>722</v>
      </c>
      <c r="CH335">
        <v>880.34</v>
      </c>
      <c r="CI335" t="e">
        <v>#N/A</v>
      </c>
      <c r="CJ335" t="s">
        <v>722</v>
      </c>
      <c r="CK335">
        <v>880.34</v>
      </c>
      <c r="CL335" t="e">
        <v>#N/A</v>
      </c>
      <c r="CM335" t="s">
        <v>722</v>
      </c>
      <c r="CN335">
        <v>0.99</v>
      </c>
      <c r="CO335" t="e">
        <v>#N/A</v>
      </c>
      <c r="CP335" t="s">
        <v>722</v>
      </c>
      <c r="CQ335">
        <v>0.88</v>
      </c>
      <c r="CR335" t="e">
        <v>#N/A</v>
      </c>
      <c r="CS335" t="s">
        <v>722</v>
      </c>
      <c r="CT335">
        <v>926.61</v>
      </c>
      <c r="CU335" t="e">
        <v>#N/A</v>
      </c>
      <c r="CV335" t="s">
        <v>722</v>
      </c>
      <c r="CW335">
        <v>1</v>
      </c>
      <c r="CX335" t="e">
        <v>#N/A</v>
      </c>
      <c r="CY335" t="s">
        <v>722</v>
      </c>
      <c r="CZ335">
        <v>1</v>
      </c>
      <c r="DA335" t="e">
        <v>#N/A</v>
      </c>
      <c r="DB335" t="s">
        <v>722</v>
      </c>
      <c r="DC335">
        <v>880.34</v>
      </c>
      <c r="DD335" t="e">
        <v>#N/A</v>
      </c>
      <c r="DE335" t="s">
        <v>722</v>
      </c>
      <c r="DF335">
        <v>926.61</v>
      </c>
      <c r="DG335" t="e">
        <v>#N/A</v>
      </c>
      <c r="DH335" t="s">
        <v>722</v>
      </c>
      <c r="DI335">
        <v>0.88</v>
      </c>
      <c r="DJ335" t="e">
        <v>#N/A</v>
      </c>
      <c r="DK335" t="s">
        <v>722</v>
      </c>
      <c r="DL335">
        <v>880.34</v>
      </c>
      <c r="DM335" t="e">
        <v>#N/A</v>
      </c>
      <c r="DN335" t="s">
        <v>722</v>
      </c>
      <c r="DO335">
        <v>1</v>
      </c>
      <c r="DP335" t="e">
        <v>#N/A</v>
      </c>
      <c r="DQ335" t="s">
        <v>722</v>
      </c>
      <c r="DR335">
        <v>997.7</v>
      </c>
      <c r="DS335" t="e">
        <v>#N/A</v>
      </c>
      <c r="DT335" t="s">
        <v>722</v>
      </c>
      <c r="DU335">
        <v>0.9</v>
      </c>
      <c r="DV335" t="e">
        <v>#N/A</v>
      </c>
      <c r="DW335" t="s">
        <v>722</v>
      </c>
      <c r="DX335">
        <v>1</v>
      </c>
      <c r="DY335" t="e">
        <v>#N/A</v>
      </c>
      <c r="DZ335" t="s">
        <v>722</v>
      </c>
      <c r="EA335">
        <v>0.87</v>
      </c>
      <c r="EB335" t="e">
        <v>#N/A</v>
      </c>
      <c r="EC335" t="s">
        <v>722</v>
      </c>
      <c r="ED335">
        <v>1</v>
      </c>
      <c r="EE335" t="e">
        <v>#N/A</v>
      </c>
      <c r="EF335" t="s">
        <v>722</v>
      </c>
      <c r="EG335">
        <v>1</v>
      </c>
      <c r="EH335" t="e">
        <v>#N/A</v>
      </c>
      <c r="EI335" t="s">
        <v>722</v>
      </c>
      <c r="EJ335">
        <v>0.91</v>
      </c>
      <c r="EK335" t="e">
        <v>#N/A</v>
      </c>
    </row>
    <row r="336" spans="1:141">
      <c r="A336" t="s">
        <v>722</v>
      </c>
      <c r="B336">
        <v>0.1</v>
      </c>
      <c r="C336" t="e">
        <v>#N/A</v>
      </c>
      <c r="D336" t="s">
        <v>879</v>
      </c>
      <c r="E336">
        <v>10.34</v>
      </c>
      <c r="F336" t="e">
        <v>#N/A</v>
      </c>
      <c r="G336" t="s">
        <v>722</v>
      </c>
      <c r="H336">
        <v>0.1</v>
      </c>
      <c r="I336" t="e">
        <v>#N/A</v>
      </c>
      <c r="J336" t="s">
        <v>722</v>
      </c>
      <c r="K336">
        <v>0.1</v>
      </c>
      <c r="L336" t="e">
        <v>#N/A</v>
      </c>
      <c r="M336" t="s">
        <v>879</v>
      </c>
      <c r="N336">
        <v>9.7899999999999991</v>
      </c>
      <c r="O336" t="e">
        <v>#N/A</v>
      </c>
      <c r="P336" t="s">
        <v>722</v>
      </c>
      <c r="Q336">
        <v>933.38</v>
      </c>
      <c r="R336" t="e">
        <v>#N/A</v>
      </c>
      <c r="S336" t="s">
        <v>722</v>
      </c>
      <c r="T336">
        <v>1067.69</v>
      </c>
      <c r="U336" t="e">
        <v>#N/A</v>
      </c>
      <c r="V336" t="s">
        <v>722</v>
      </c>
      <c r="W336">
        <v>1026.01</v>
      </c>
      <c r="X336" t="e">
        <v>#N/A</v>
      </c>
      <c r="Y336" t="s">
        <v>722</v>
      </c>
      <c r="Z336">
        <v>1026.01</v>
      </c>
      <c r="AA336" t="e">
        <v>#N/A</v>
      </c>
      <c r="AB336" t="s">
        <v>665</v>
      </c>
      <c r="AC336">
        <v>39.799999999999997</v>
      </c>
      <c r="AD336" t="e">
        <v>#N/A</v>
      </c>
      <c r="AE336" t="s">
        <v>722</v>
      </c>
      <c r="AF336">
        <v>1026.01</v>
      </c>
      <c r="AG336" t="e">
        <v>#N/A</v>
      </c>
      <c r="AH336" t="s">
        <v>722</v>
      </c>
      <c r="AI336">
        <v>0.9</v>
      </c>
      <c r="AJ336" t="e">
        <v>#N/A</v>
      </c>
      <c r="AK336" t="s">
        <v>722</v>
      </c>
      <c r="AL336">
        <v>933.38</v>
      </c>
      <c r="AM336" t="e">
        <v>#N/A</v>
      </c>
      <c r="AN336" t="s">
        <v>722</v>
      </c>
      <c r="AO336">
        <v>933.38</v>
      </c>
      <c r="AP336" t="e">
        <v>#N/A</v>
      </c>
      <c r="AQ336" t="s">
        <v>722</v>
      </c>
      <c r="AR336">
        <v>0.83</v>
      </c>
      <c r="AS336" t="e">
        <v>#N/A</v>
      </c>
      <c r="AT336" t="s">
        <v>722</v>
      </c>
      <c r="AU336">
        <v>1000.8</v>
      </c>
      <c r="AV336" t="e">
        <v>#N/A</v>
      </c>
      <c r="AW336" t="s">
        <v>722</v>
      </c>
      <c r="AX336">
        <v>0.97</v>
      </c>
      <c r="AY336" t="e">
        <v>#N/A</v>
      </c>
      <c r="AZ336" t="s">
        <v>722</v>
      </c>
      <c r="BA336">
        <v>0.94</v>
      </c>
      <c r="BB336" t="e">
        <v>#N/A</v>
      </c>
      <c r="BC336" t="s">
        <v>722</v>
      </c>
      <c r="BD336">
        <v>0.98</v>
      </c>
      <c r="BE336" t="e">
        <v>#N/A</v>
      </c>
      <c r="BF336" t="s">
        <v>722</v>
      </c>
      <c r="BG336">
        <v>0.8</v>
      </c>
      <c r="BH336" t="e">
        <v>#N/A</v>
      </c>
      <c r="BI336" t="s">
        <v>722</v>
      </c>
      <c r="BJ336">
        <v>0.79</v>
      </c>
      <c r="BK336" t="e">
        <v>#N/A</v>
      </c>
      <c r="BL336" t="s">
        <v>722</v>
      </c>
      <c r="BM336">
        <v>0.83</v>
      </c>
      <c r="BN336" t="e">
        <v>#N/A</v>
      </c>
      <c r="BO336" t="s">
        <v>722</v>
      </c>
      <c r="BP336">
        <v>0.92</v>
      </c>
      <c r="BQ336" t="e">
        <v>#N/A</v>
      </c>
      <c r="BR336" t="s">
        <v>722</v>
      </c>
      <c r="BS336">
        <v>0.92</v>
      </c>
      <c r="BT336" t="e">
        <v>#N/A</v>
      </c>
      <c r="BU336" t="s">
        <v>722</v>
      </c>
      <c r="BV336">
        <v>0.83</v>
      </c>
      <c r="BW336" t="e">
        <v>#N/A</v>
      </c>
      <c r="BX336" t="s">
        <v>722</v>
      </c>
      <c r="BY336">
        <v>1001.97</v>
      </c>
      <c r="BZ336" t="e">
        <v>#N/A</v>
      </c>
      <c r="CA336" t="s">
        <v>722</v>
      </c>
      <c r="CB336">
        <v>0.97</v>
      </c>
      <c r="CC336" t="e">
        <v>#N/A</v>
      </c>
      <c r="CD336" t="s">
        <v>722</v>
      </c>
      <c r="CE336">
        <v>0.86</v>
      </c>
      <c r="CF336" t="e">
        <v>#N/A</v>
      </c>
      <c r="CG336" t="s">
        <v>722</v>
      </c>
      <c r="CH336">
        <v>1</v>
      </c>
      <c r="CI336" t="e">
        <v>#N/A</v>
      </c>
      <c r="CJ336" t="s">
        <v>722</v>
      </c>
      <c r="CK336">
        <v>1</v>
      </c>
      <c r="CL336" t="e">
        <v>#N/A</v>
      </c>
      <c r="CM336" t="s">
        <v>722</v>
      </c>
      <c r="CN336">
        <v>0.91</v>
      </c>
      <c r="CO336" t="e">
        <v>#N/A</v>
      </c>
      <c r="CP336" t="s">
        <v>722</v>
      </c>
      <c r="CQ336">
        <v>0.86</v>
      </c>
      <c r="CR336" t="e">
        <v>#N/A</v>
      </c>
      <c r="CS336" t="s">
        <v>722</v>
      </c>
      <c r="CT336">
        <v>880.34</v>
      </c>
      <c r="CU336" t="e">
        <v>#N/A</v>
      </c>
      <c r="CV336" t="s">
        <v>722</v>
      </c>
      <c r="CW336">
        <v>0.87</v>
      </c>
      <c r="CX336" t="e">
        <v>#N/A</v>
      </c>
      <c r="CY336" t="s">
        <v>722</v>
      </c>
      <c r="CZ336">
        <v>1087.3699999999999</v>
      </c>
      <c r="DA336" t="e">
        <v>#N/A</v>
      </c>
      <c r="DB336" t="s">
        <v>722</v>
      </c>
      <c r="DC336">
        <v>1</v>
      </c>
      <c r="DD336" t="e">
        <v>#N/A</v>
      </c>
      <c r="DE336" t="s">
        <v>722</v>
      </c>
      <c r="DF336">
        <v>880.34</v>
      </c>
      <c r="DG336" t="e">
        <v>#N/A</v>
      </c>
      <c r="DH336" t="s">
        <v>722</v>
      </c>
      <c r="DI336">
        <v>1026.29</v>
      </c>
      <c r="DJ336" t="e">
        <v>#N/A</v>
      </c>
      <c r="DK336" t="s">
        <v>722</v>
      </c>
      <c r="DL336">
        <v>1</v>
      </c>
      <c r="DM336" t="e">
        <v>#N/A</v>
      </c>
      <c r="DN336" t="s">
        <v>722</v>
      </c>
      <c r="DO336">
        <v>0.99</v>
      </c>
      <c r="DP336" t="e">
        <v>#N/A</v>
      </c>
      <c r="DQ336" t="s">
        <v>722</v>
      </c>
      <c r="DR336">
        <v>926.61</v>
      </c>
      <c r="DS336" t="e">
        <v>#N/A</v>
      </c>
      <c r="DT336" t="s">
        <v>722</v>
      </c>
      <c r="DU336">
        <v>0.85</v>
      </c>
      <c r="DV336" t="e">
        <v>#N/A</v>
      </c>
      <c r="DW336" t="s">
        <v>722</v>
      </c>
      <c r="DX336">
        <v>1</v>
      </c>
      <c r="DY336" t="e">
        <v>#N/A</v>
      </c>
      <c r="DZ336" t="s">
        <v>722</v>
      </c>
      <c r="EA336">
        <v>1</v>
      </c>
      <c r="EB336" t="e">
        <v>#N/A</v>
      </c>
      <c r="EC336" t="s">
        <v>722</v>
      </c>
      <c r="ED336">
        <v>1</v>
      </c>
      <c r="EE336" t="e">
        <v>#N/A</v>
      </c>
      <c r="EF336" t="s">
        <v>722</v>
      </c>
      <c r="EG336">
        <v>1</v>
      </c>
      <c r="EH336" t="e">
        <v>#N/A</v>
      </c>
      <c r="EI336" t="s">
        <v>722</v>
      </c>
      <c r="EJ336">
        <v>1</v>
      </c>
      <c r="EK336" t="e">
        <v>#N/A</v>
      </c>
    </row>
    <row r="337" spans="1:141">
      <c r="A337" t="s">
        <v>722</v>
      </c>
      <c r="B337">
        <v>100.28</v>
      </c>
      <c r="C337" t="e">
        <v>#N/A</v>
      </c>
      <c r="D337" t="s">
        <v>722</v>
      </c>
      <c r="E337">
        <v>0.1</v>
      </c>
      <c r="F337" t="e">
        <v>#N/A</v>
      </c>
      <c r="G337" t="s">
        <v>722</v>
      </c>
      <c r="H337">
        <v>100.28</v>
      </c>
      <c r="I337" t="e">
        <v>#N/A</v>
      </c>
      <c r="J337" t="s">
        <v>722</v>
      </c>
      <c r="K337">
        <v>100.28</v>
      </c>
      <c r="L337" t="e">
        <v>#N/A</v>
      </c>
      <c r="M337" t="s">
        <v>722</v>
      </c>
      <c r="N337">
        <v>0.1</v>
      </c>
      <c r="O337" t="e">
        <v>#N/A</v>
      </c>
      <c r="P337" t="s">
        <v>665</v>
      </c>
      <c r="Q337">
        <v>39.799999999999997</v>
      </c>
      <c r="R337" t="e">
        <v>#N/A</v>
      </c>
      <c r="S337" t="s">
        <v>722</v>
      </c>
      <c r="T337">
        <v>0.78</v>
      </c>
      <c r="U337" t="e">
        <v>#N/A</v>
      </c>
      <c r="V337" t="s">
        <v>722</v>
      </c>
      <c r="W337">
        <v>0.78</v>
      </c>
      <c r="X337" t="e">
        <v>#N/A</v>
      </c>
      <c r="Y337" t="s">
        <v>722</v>
      </c>
      <c r="Z337">
        <v>0.78</v>
      </c>
      <c r="AA337" t="e">
        <v>#N/A</v>
      </c>
      <c r="AB337" t="s">
        <v>722</v>
      </c>
      <c r="AC337">
        <v>1026.01</v>
      </c>
      <c r="AD337" t="e">
        <v>#N/A</v>
      </c>
      <c r="AE337" t="s">
        <v>317</v>
      </c>
      <c r="AF337">
        <v>33.35</v>
      </c>
      <c r="AG337" t="e">
        <v>#N/A</v>
      </c>
      <c r="AH337" t="s">
        <v>665</v>
      </c>
      <c r="AI337">
        <v>39.799999999999997</v>
      </c>
      <c r="AJ337" t="e">
        <v>#N/A</v>
      </c>
      <c r="AK337" t="s">
        <v>665</v>
      </c>
      <c r="AL337">
        <v>39.799999999999997</v>
      </c>
      <c r="AM337" t="e">
        <v>#N/A</v>
      </c>
      <c r="AN337" t="s">
        <v>665</v>
      </c>
      <c r="AO337">
        <v>39.799999999999997</v>
      </c>
      <c r="AP337" t="e">
        <v>#N/A</v>
      </c>
      <c r="AQ337" t="s">
        <v>722</v>
      </c>
      <c r="AR337">
        <v>933.38</v>
      </c>
      <c r="AS337" t="e">
        <v>#N/A</v>
      </c>
      <c r="AT337" t="s">
        <v>722</v>
      </c>
      <c r="AU337">
        <v>0.81</v>
      </c>
      <c r="AV337" t="e">
        <v>#N/A</v>
      </c>
      <c r="AW337" t="s">
        <v>722</v>
      </c>
      <c r="AX337">
        <v>0.92</v>
      </c>
      <c r="AY337" t="e">
        <v>#N/A</v>
      </c>
      <c r="AZ337" t="s">
        <v>722</v>
      </c>
      <c r="BA337">
        <v>1000.8</v>
      </c>
      <c r="BB337" t="e">
        <v>#N/A</v>
      </c>
      <c r="BC337" t="s">
        <v>722</v>
      </c>
      <c r="BD337">
        <v>0.84</v>
      </c>
      <c r="BE337" t="e">
        <v>#N/A</v>
      </c>
      <c r="BF337" t="s">
        <v>722</v>
      </c>
      <c r="BG337">
        <v>1008.38</v>
      </c>
      <c r="BH337" t="e">
        <v>#N/A</v>
      </c>
      <c r="BI337" t="s">
        <v>722</v>
      </c>
      <c r="BJ337">
        <v>0.8</v>
      </c>
      <c r="BK337" t="e">
        <v>#N/A</v>
      </c>
      <c r="BL337" t="s">
        <v>722</v>
      </c>
      <c r="BM337">
        <v>0.81</v>
      </c>
      <c r="BN337" t="e">
        <v>#N/A</v>
      </c>
      <c r="BO337" t="s">
        <v>722</v>
      </c>
      <c r="BP337">
        <v>1001.97</v>
      </c>
      <c r="BQ337" t="e">
        <v>#N/A</v>
      </c>
      <c r="BR337" t="s">
        <v>722</v>
      </c>
      <c r="BS337">
        <v>0.89</v>
      </c>
      <c r="BT337" t="e">
        <v>#N/A</v>
      </c>
      <c r="BU337" t="s">
        <v>722</v>
      </c>
      <c r="BV337">
        <v>1006.54</v>
      </c>
      <c r="BW337" t="e">
        <v>#N/A</v>
      </c>
      <c r="BX337" t="s">
        <v>722</v>
      </c>
      <c r="BY337">
        <v>0.99</v>
      </c>
      <c r="BZ337" t="e">
        <v>#N/A</v>
      </c>
      <c r="CA337" t="s">
        <v>722</v>
      </c>
      <c r="CB337">
        <v>0.92</v>
      </c>
      <c r="CC337" t="e">
        <v>#N/A</v>
      </c>
      <c r="CD337" t="s">
        <v>722</v>
      </c>
      <c r="CE337">
        <v>0.85</v>
      </c>
      <c r="CF337" t="e">
        <v>#N/A</v>
      </c>
      <c r="CG337" t="s">
        <v>722</v>
      </c>
      <c r="CH337">
        <v>0.98</v>
      </c>
      <c r="CI337" t="e">
        <v>#N/A</v>
      </c>
      <c r="CJ337" t="s">
        <v>722</v>
      </c>
      <c r="CK337">
        <v>0.93</v>
      </c>
      <c r="CL337" t="e">
        <v>#N/A</v>
      </c>
      <c r="CM337" t="s">
        <v>722</v>
      </c>
      <c r="CN337">
        <v>0.86</v>
      </c>
      <c r="CO337" t="e">
        <v>#N/A</v>
      </c>
      <c r="CP337" t="s">
        <v>722</v>
      </c>
      <c r="CQ337">
        <v>1026.29</v>
      </c>
      <c r="CR337" t="e">
        <v>#N/A</v>
      </c>
      <c r="CS337" t="s">
        <v>722</v>
      </c>
      <c r="CT337">
        <v>1</v>
      </c>
      <c r="CU337" t="e">
        <v>#N/A</v>
      </c>
      <c r="CV337" t="s">
        <v>722</v>
      </c>
      <c r="CW337">
        <v>0.88</v>
      </c>
      <c r="CX337" t="e">
        <v>#N/A</v>
      </c>
      <c r="CY337" t="s">
        <v>722</v>
      </c>
      <c r="CZ337">
        <v>926.61</v>
      </c>
      <c r="DA337" t="e">
        <v>#N/A</v>
      </c>
      <c r="DB337" t="s">
        <v>722</v>
      </c>
      <c r="DC337">
        <v>1</v>
      </c>
      <c r="DD337" t="e">
        <v>#N/A</v>
      </c>
      <c r="DE337" t="s">
        <v>722</v>
      </c>
      <c r="DF337">
        <v>1</v>
      </c>
      <c r="DG337" t="e">
        <v>#N/A</v>
      </c>
      <c r="DH337" t="s">
        <v>722</v>
      </c>
      <c r="DI337">
        <v>0.87</v>
      </c>
      <c r="DJ337" t="e">
        <v>#N/A</v>
      </c>
      <c r="DK337" t="s">
        <v>722</v>
      </c>
      <c r="DL337">
        <v>0.96</v>
      </c>
      <c r="DM337" t="e">
        <v>#N/A</v>
      </c>
      <c r="DN337" t="s">
        <v>722</v>
      </c>
      <c r="DO337">
        <v>0.98</v>
      </c>
      <c r="DP337" t="e">
        <v>#N/A</v>
      </c>
      <c r="DQ337" t="s">
        <v>722</v>
      </c>
      <c r="DR337">
        <v>880.34</v>
      </c>
      <c r="DS337" t="e">
        <v>#N/A</v>
      </c>
      <c r="DT337" t="s">
        <v>722</v>
      </c>
      <c r="DU337">
        <v>1019.74</v>
      </c>
      <c r="DV337" t="e">
        <v>#N/A</v>
      </c>
      <c r="DW337" t="s">
        <v>722</v>
      </c>
      <c r="DX337">
        <v>0.87</v>
      </c>
      <c r="DY337" t="e">
        <v>#N/A</v>
      </c>
      <c r="DZ337" t="s">
        <v>879</v>
      </c>
      <c r="EA337">
        <v>8.3000000000000007</v>
      </c>
      <c r="EB337" t="e">
        <v>#N/A</v>
      </c>
      <c r="EC337" t="s">
        <v>722</v>
      </c>
      <c r="ED337">
        <v>0.87</v>
      </c>
      <c r="EE337" t="e">
        <v>#N/A</v>
      </c>
      <c r="EF337" t="s">
        <v>722</v>
      </c>
      <c r="EG337">
        <v>0.87</v>
      </c>
      <c r="EH337" t="e">
        <v>#N/A</v>
      </c>
      <c r="EI337" t="s">
        <v>722</v>
      </c>
      <c r="EJ337">
        <v>1</v>
      </c>
      <c r="EK337" t="e">
        <v>#N/A</v>
      </c>
    </row>
    <row r="338" spans="1:141">
      <c r="A338" t="s">
        <v>722</v>
      </c>
      <c r="B338">
        <v>100.44</v>
      </c>
      <c r="C338" t="e">
        <v>#N/A</v>
      </c>
      <c r="D338" t="s">
        <v>722</v>
      </c>
      <c r="E338">
        <v>100.28</v>
      </c>
      <c r="F338" t="e">
        <v>#N/A</v>
      </c>
      <c r="G338" t="s">
        <v>722</v>
      </c>
      <c r="H338">
        <v>100.44</v>
      </c>
      <c r="I338" t="e">
        <v>#N/A</v>
      </c>
      <c r="J338" t="s">
        <v>722</v>
      </c>
      <c r="K338">
        <v>100.44</v>
      </c>
      <c r="L338" t="e">
        <v>#N/A</v>
      </c>
      <c r="M338" t="s">
        <v>722</v>
      </c>
      <c r="N338">
        <v>100.28</v>
      </c>
      <c r="O338" t="e">
        <v>#N/A</v>
      </c>
      <c r="P338" t="s">
        <v>722</v>
      </c>
      <c r="Q338">
        <v>1026.01</v>
      </c>
      <c r="R338" t="e">
        <v>#N/A</v>
      </c>
      <c r="S338" t="s">
        <v>722</v>
      </c>
      <c r="T338">
        <v>0.1</v>
      </c>
      <c r="U338" t="e">
        <v>#N/A</v>
      </c>
      <c r="V338" t="s">
        <v>722</v>
      </c>
      <c r="W338">
        <v>0.1</v>
      </c>
      <c r="X338" t="e">
        <v>#N/A</v>
      </c>
      <c r="Y338" t="s">
        <v>722</v>
      </c>
      <c r="Z338">
        <v>0.1</v>
      </c>
      <c r="AA338" t="e">
        <v>#N/A</v>
      </c>
      <c r="AB338" t="s">
        <v>722</v>
      </c>
      <c r="AC338">
        <v>0.78</v>
      </c>
      <c r="AD338" t="e">
        <v>#N/A</v>
      </c>
      <c r="AE338" t="s">
        <v>722</v>
      </c>
      <c r="AF338">
        <v>0.78</v>
      </c>
      <c r="AG338" t="e">
        <v>#N/A</v>
      </c>
      <c r="AH338" t="s">
        <v>722</v>
      </c>
      <c r="AI338">
        <v>1026.01</v>
      </c>
      <c r="AJ338" t="e">
        <v>#N/A</v>
      </c>
      <c r="AK338" t="s">
        <v>722</v>
      </c>
      <c r="AL338">
        <v>1026.01</v>
      </c>
      <c r="AM338" t="e">
        <v>#N/A</v>
      </c>
      <c r="AN338" t="s">
        <v>722</v>
      </c>
      <c r="AO338">
        <v>1026.01</v>
      </c>
      <c r="AP338" t="e">
        <v>#N/A</v>
      </c>
      <c r="AQ338" t="s">
        <v>722</v>
      </c>
      <c r="AR338">
        <v>1146.76</v>
      </c>
      <c r="AS338" t="e">
        <v>#N/A</v>
      </c>
      <c r="AT338" t="s">
        <v>722</v>
      </c>
      <c r="AU338">
        <v>0.83</v>
      </c>
      <c r="AV338" t="e">
        <v>#N/A</v>
      </c>
      <c r="AW338" t="s">
        <v>722</v>
      </c>
      <c r="AX338">
        <v>0.8</v>
      </c>
      <c r="AY338" t="e">
        <v>#N/A</v>
      </c>
      <c r="AZ338" t="s">
        <v>722</v>
      </c>
      <c r="BA338">
        <v>0.81</v>
      </c>
      <c r="BB338" t="e">
        <v>#N/A</v>
      </c>
      <c r="BC338" t="s">
        <v>722</v>
      </c>
      <c r="BD338">
        <v>0.91</v>
      </c>
      <c r="BE338" t="e">
        <v>#N/A</v>
      </c>
      <c r="BF338" t="s">
        <v>722</v>
      </c>
      <c r="BG338">
        <v>0.81</v>
      </c>
      <c r="BH338" t="e">
        <v>#N/A</v>
      </c>
      <c r="BI338" t="s">
        <v>722</v>
      </c>
      <c r="BJ338">
        <v>1008.38</v>
      </c>
      <c r="BK338" t="e">
        <v>#N/A</v>
      </c>
      <c r="BL338" t="s">
        <v>722</v>
      </c>
      <c r="BM338">
        <v>0.8</v>
      </c>
      <c r="BN338" t="e">
        <v>#N/A</v>
      </c>
      <c r="BO338" t="s">
        <v>722</v>
      </c>
      <c r="BP338">
        <v>0.96</v>
      </c>
      <c r="BQ338" t="e">
        <v>#N/A</v>
      </c>
      <c r="BR338" t="s">
        <v>722</v>
      </c>
      <c r="BS338">
        <v>1026.29</v>
      </c>
      <c r="BT338" t="e">
        <v>#N/A</v>
      </c>
      <c r="BU338" t="s">
        <v>722</v>
      </c>
      <c r="BV338">
        <v>1023.58</v>
      </c>
      <c r="BW338" t="e">
        <v>#N/A</v>
      </c>
      <c r="BX338" t="s">
        <v>722</v>
      </c>
      <c r="BY338">
        <v>0.98</v>
      </c>
      <c r="BZ338" t="e">
        <v>#N/A</v>
      </c>
      <c r="CA338" t="s">
        <v>722</v>
      </c>
      <c r="CB338">
        <v>0.89</v>
      </c>
      <c r="CC338" t="e">
        <v>#N/A</v>
      </c>
      <c r="CD338" t="s">
        <v>722</v>
      </c>
      <c r="CE338">
        <v>0.84</v>
      </c>
      <c r="CF338" t="e">
        <v>#N/A</v>
      </c>
      <c r="CG338" t="s">
        <v>722</v>
      </c>
      <c r="CH338">
        <v>0.92</v>
      </c>
      <c r="CI338" t="e">
        <v>#N/A</v>
      </c>
      <c r="CJ338" t="s">
        <v>722</v>
      </c>
      <c r="CK338">
        <v>0.89</v>
      </c>
      <c r="CL338" t="e">
        <v>#N/A</v>
      </c>
      <c r="CM338" t="s">
        <v>722</v>
      </c>
      <c r="CN338">
        <v>1026.29</v>
      </c>
      <c r="CO338" t="e">
        <v>#N/A</v>
      </c>
      <c r="CP338" t="s">
        <v>722</v>
      </c>
      <c r="CQ338">
        <v>0.8</v>
      </c>
      <c r="CR338" t="e">
        <v>#N/A</v>
      </c>
      <c r="CS338" t="s">
        <v>722</v>
      </c>
      <c r="CT338">
        <v>0.98</v>
      </c>
      <c r="CU338" t="e">
        <v>#N/A</v>
      </c>
      <c r="CV338" t="s">
        <v>722</v>
      </c>
      <c r="CW338">
        <v>1087.3699999999999</v>
      </c>
      <c r="CX338" t="e">
        <v>#N/A</v>
      </c>
      <c r="CY338" t="s">
        <v>722</v>
      </c>
      <c r="CZ338">
        <v>880.34</v>
      </c>
      <c r="DA338" t="e">
        <v>#N/A</v>
      </c>
      <c r="DB338" t="s">
        <v>722</v>
      </c>
      <c r="DC338">
        <v>0.98</v>
      </c>
      <c r="DD338" t="e">
        <v>#N/A</v>
      </c>
      <c r="DE338" t="s">
        <v>722</v>
      </c>
      <c r="DF338">
        <v>1</v>
      </c>
      <c r="DG338" t="e">
        <v>#N/A</v>
      </c>
      <c r="DH338" t="s">
        <v>722</v>
      </c>
      <c r="DI338">
        <v>0.82</v>
      </c>
      <c r="DJ338" t="e">
        <v>#N/A</v>
      </c>
      <c r="DK338" t="s">
        <v>722</v>
      </c>
      <c r="DL338">
        <v>0.96</v>
      </c>
      <c r="DM338" t="e">
        <v>#N/A</v>
      </c>
      <c r="DN338" t="s">
        <v>722</v>
      </c>
      <c r="DO338">
        <v>0.95</v>
      </c>
      <c r="DP338" t="e">
        <v>#N/A</v>
      </c>
      <c r="DQ338" t="s">
        <v>722</v>
      </c>
      <c r="DR338">
        <v>1</v>
      </c>
      <c r="DS338" t="e">
        <v>#N/A</v>
      </c>
      <c r="DT338" t="s">
        <v>722</v>
      </c>
      <c r="DU338">
        <v>997.7</v>
      </c>
      <c r="DV338" t="e">
        <v>#N/A</v>
      </c>
      <c r="DW338" t="s">
        <v>722</v>
      </c>
      <c r="DX338">
        <v>1</v>
      </c>
      <c r="DY338" t="e">
        <v>#N/A</v>
      </c>
      <c r="DZ338" t="s">
        <v>722</v>
      </c>
      <c r="EA338">
        <v>997.7</v>
      </c>
      <c r="EB338" t="e">
        <v>#N/A</v>
      </c>
      <c r="EC338" t="s">
        <v>722</v>
      </c>
      <c r="ED338">
        <v>1</v>
      </c>
      <c r="EE338" t="e">
        <v>#N/A</v>
      </c>
      <c r="EF338" t="s">
        <v>722</v>
      </c>
      <c r="EG338">
        <v>1</v>
      </c>
      <c r="EH338" t="e">
        <v>#N/A</v>
      </c>
      <c r="EI338" t="s">
        <v>722</v>
      </c>
      <c r="EJ338">
        <v>0.87</v>
      </c>
      <c r="EK338" t="e">
        <v>#N/A</v>
      </c>
    </row>
    <row r="339" spans="1:141">
      <c r="A339" t="s">
        <v>879</v>
      </c>
      <c r="B339">
        <v>10.59</v>
      </c>
      <c r="C339" t="e">
        <v>#N/A</v>
      </c>
      <c r="D339" t="s">
        <v>722</v>
      </c>
      <c r="E339">
        <v>100.44</v>
      </c>
      <c r="F339" t="e">
        <v>#N/A</v>
      </c>
      <c r="G339" t="s">
        <v>721</v>
      </c>
      <c r="H339">
        <v>0.5</v>
      </c>
      <c r="I339" t="e">
        <v>#N/A</v>
      </c>
      <c r="J339" t="s">
        <v>721</v>
      </c>
      <c r="K339">
        <v>0.5</v>
      </c>
      <c r="L339" t="e">
        <v>#N/A</v>
      </c>
      <c r="M339" t="s">
        <v>722</v>
      </c>
      <c r="N339">
        <v>100.44</v>
      </c>
      <c r="O339" t="e">
        <v>#N/A</v>
      </c>
      <c r="P339" t="s">
        <v>722</v>
      </c>
      <c r="Q339">
        <v>1067.69</v>
      </c>
      <c r="R339" t="e">
        <v>#N/A</v>
      </c>
      <c r="S339" t="s">
        <v>722</v>
      </c>
      <c r="T339">
        <v>100.28</v>
      </c>
      <c r="U339" t="e">
        <v>#N/A</v>
      </c>
      <c r="V339" t="s">
        <v>722</v>
      </c>
      <c r="W339">
        <v>100.28</v>
      </c>
      <c r="X339" t="e">
        <v>#N/A</v>
      </c>
      <c r="Y339" t="s">
        <v>722</v>
      </c>
      <c r="Z339">
        <v>100.28</v>
      </c>
      <c r="AA339" t="e">
        <v>#N/A</v>
      </c>
      <c r="AB339" t="s">
        <v>879</v>
      </c>
      <c r="AC339">
        <v>8.75</v>
      </c>
      <c r="AD339" t="e">
        <v>#N/A</v>
      </c>
      <c r="AE339" t="s">
        <v>722</v>
      </c>
      <c r="AF339">
        <v>0.83</v>
      </c>
      <c r="AG339" t="e">
        <v>#N/A</v>
      </c>
      <c r="AH339" t="s">
        <v>722</v>
      </c>
      <c r="AI339">
        <v>0.78</v>
      </c>
      <c r="AJ339" t="e">
        <v>#N/A</v>
      </c>
      <c r="AK339" t="s">
        <v>722</v>
      </c>
      <c r="AL339">
        <v>0.78</v>
      </c>
      <c r="AM339" t="e">
        <v>#N/A</v>
      </c>
      <c r="AN339" t="s">
        <v>722</v>
      </c>
      <c r="AO339">
        <v>0.78</v>
      </c>
      <c r="AP339" t="e">
        <v>#N/A</v>
      </c>
      <c r="AQ339" t="s">
        <v>665</v>
      </c>
      <c r="AR339">
        <v>39.799999999999997</v>
      </c>
      <c r="AS339" t="e">
        <v>#N/A</v>
      </c>
      <c r="AT339" t="s">
        <v>722</v>
      </c>
      <c r="AU339">
        <v>933.38</v>
      </c>
      <c r="AV339" t="e">
        <v>#N/A</v>
      </c>
      <c r="AW339" t="s">
        <v>317</v>
      </c>
      <c r="AX339">
        <v>33.5</v>
      </c>
      <c r="AY339" t="e">
        <v>#N/A</v>
      </c>
      <c r="AZ339" t="s">
        <v>722</v>
      </c>
      <c r="BA339">
        <v>0.94</v>
      </c>
      <c r="BB339" t="e">
        <v>#N/A</v>
      </c>
      <c r="BC339" t="s">
        <v>722</v>
      </c>
      <c r="BD339">
        <v>0.95</v>
      </c>
      <c r="BE339" t="e">
        <v>#N/A</v>
      </c>
      <c r="BF339" t="s">
        <v>722</v>
      </c>
      <c r="BG339">
        <v>0.84</v>
      </c>
      <c r="BH339" t="e">
        <v>#N/A</v>
      </c>
      <c r="BI339" t="s">
        <v>722</v>
      </c>
      <c r="BJ339">
        <v>0.81</v>
      </c>
      <c r="BK339" t="e">
        <v>#N/A</v>
      </c>
      <c r="BL339" t="s">
        <v>722</v>
      </c>
      <c r="BM339">
        <v>1026.3800000000001</v>
      </c>
      <c r="BN339" t="e">
        <v>#N/A</v>
      </c>
      <c r="BO339" t="s">
        <v>722</v>
      </c>
      <c r="BP339">
        <v>0.92</v>
      </c>
      <c r="BQ339" t="e">
        <v>#N/A</v>
      </c>
      <c r="BR339" t="s">
        <v>722</v>
      </c>
      <c r="BS339">
        <v>0.79</v>
      </c>
      <c r="BT339" t="e">
        <v>#N/A</v>
      </c>
      <c r="BU339" t="s">
        <v>722</v>
      </c>
      <c r="BV339">
        <v>0.84</v>
      </c>
      <c r="BW339" t="e">
        <v>#N/A</v>
      </c>
      <c r="BX339" t="s">
        <v>722</v>
      </c>
      <c r="BY339">
        <v>0.93</v>
      </c>
      <c r="BZ339" t="e">
        <v>#N/A</v>
      </c>
      <c r="CA339" t="s">
        <v>722</v>
      </c>
      <c r="CB339">
        <v>1026.29</v>
      </c>
      <c r="CC339" t="e">
        <v>#N/A</v>
      </c>
      <c r="CD339" t="s">
        <v>722</v>
      </c>
      <c r="CE339">
        <v>0.82</v>
      </c>
      <c r="CF339" t="e">
        <v>#N/A</v>
      </c>
      <c r="CG339" t="s">
        <v>722</v>
      </c>
      <c r="CH339">
        <v>0.91</v>
      </c>
      <c r="CI339" t="e">
        <v>#N/A</v>
      </c>
      <c r="CJ339" t="s">
        <v>722</v>
      </c>
      <c r="CK339">
        <v>0.88</v>
      </c>
      <c r="CL339" t="e">
        <v>#N/A</v>
      </c>
      <c r="CM339" t="s">
        <v>722</v>
      </c>
      <c r="CN339">
        <v>0.8</v>
      </c>
      <c r="CO339" t="e">
        <v>#N/A</v>
      </c>
      <c r="CP339" t="s">
        <v>722</v>
      </c>
      <c r="CQ339">
        <v>1053.5</v>
      </c>
      <c r="CR339" t="e">
        <v>#N/A</v>
      </c>
      <c r="CS339" t="s">
        <v>722</v>
      </c>
      <c r="CT339">
        <v>0.92</v>
      </c>
      <c r="CU339" t="e">
        <v>#N/A</v>
      </c>
      <c r="CV339" t="s">
        <v>722</v>
      </c>
      <c r="CW339">
        <v>926.61</v>
      </c>
      <c r="CX339" t="e">
        <v>#N/A</v>
      </c>
      <c r="CY339" t="s">
        <v>722</v>
      </c>
      <c r="CZ339">
        <v>1</v>
      </c>
      <c r="DA339" t="e">
        <v>#N/A</v>
      </c>
      <c r="DB339" t="s">
        <v>722</v>
      </c>
      <c r="DC339">
        <v>0.97</v>
      </c>
      <c r="DD339" t="e">
        <v>#N/A</v>
      </c>
      <c r="DE339" t="s">
        <v>722</v>
      </c>
      <c r="DF339">
        <v>0.99</v>
      </c>
      <c r="DG339" t="e">
        <v>#N/A</v>
      </c>
      <c r="DH339" t="s">
        <v>722</v>
      </c>
      <c r="DI339">
        <v>1053.5</v>
      </c>
      <c r="DJ339" t="e">
        <v>#N/A</v>
      </c>
      <c r="DK339" t="s">
        <v>722</v>
      </c>
      <c r="DL339">
        <v>0.93</v>
      </c>
      <c r="DM339" t="e">
        <v>#N/A</v>
      </c>
      <c r="DN339" t="s">
        <v>722</v>
      </c>
      <c r="DO339">
        <v>0.95</v>
      </c>
      <c r="DP339" t="e">
        <v>#N/A</v>
      </c>
      <c r="DQ339" t="s">
        <v>722</v>
      </c>
      <c r="DR339">
        <v>0.98</v>
      </c>
      <c r="DS339" t="e">
        <v>#N/A</v>
      </c>
      <c r="DT339" t="s">
        <v>722</v>
      </c>
      <c r="DU339">
        <v>926.61</v>
      </c>
      <c r="DV339" t="e">
        <v>#N/A</v>
      </c>
      <c r="DW339" t="s">
        <v>995</v>
      </c>
      <c r="DX339">
        <v>60</v>
      </c>
      <c r="DY339" t="e">
        <v>#N/A</v>
      </c>
      <c r="DZ339" t="s">
        <v>722</v>
      </c>
      <c r="EA339">
        <v>926.61</v>
      </c>
      <c r="EB339" t="e">
        <v>#N/A</v>
      </c>
      <c r="EC339" t="s">
        <v>722</v>
      </c>
      <c r="ED339">
        <v>997.7</v>
      </c>
      <c r="EE339" t="e">
        <v>#N/A</v>
      </c>
      <c r="EF339" t="s">
        <v>722</v>
      </c>
      <c r="EG339">
        <v>997.7</v>
      </c>
      <c r="EH339" t="e">
        <v>#N/A</v>
      </c>
      <c r="EI339" t="s">
        <v>722</v>
      </c>
      <c r="EJ339">
        <v>1</v>
      </c>
      <c r="EK339" t="e">
        <v>#N/A</v>
      </c>
    </row>
    <row r="340" spans="1:141">
      <c r="A340" t="s">
        <v>721</v>
      </c>
      <c r="B340">
        <v>0.5</v>
      </c>
      <c r="C340" t="e">
        <v>#N/A</v>
      </c>
      <c r="D340" t="s">
        <v>721</v>
      </c>
      <c r="E340">
        <v>0.5</v>
      </c>
      <c r="F340" t="e">
        <v>#N/A</v>
      </c>
      <c r="M340" t="s">
        <v>721</v>
      </c>
      <c r="N340">
        <v>0.5</v>
      </c>
      <c r="O340" t="e">
        <v>#N/A</v>
      </c>
      <c r="P340" t="s">
        <v>722</v>
      </c>
      <c r="Q340">
        <v>0.78</v>
      </c>
      <c r="R340" t="e">
        <v>#N/A</v>
      </c>
      <c r="S340" t="s">
        <v>722</v>
      </c>
      <c r="T340">
        <v>100.44</v>
      </c>
      <c r="U340" t="e">
        <v>#N/A</v>
      </c>
      <c r="V340" t="s">
        <v>722</v>
      </c>
      <c r="W340">
        <v>100.44</v>
      </c>
      <c r="X340" t="e">
        <v>#N/A</v>
      </c>
      <c r="Y340" t="s">
        <v>722</v>
      </c>
      <c r="Z340">
        <v>100.44</v>
      </c>
      <c r="AA340" t="e">
        <v>#N/A</v>
      </c>
      <c r="AB340" t="s">
        <v>722</v>
      </c>
      <c r="AC340">
        <v>0.1</v>
      </c>
      <c r="AD340" t="e">
        <v>#N/A</v>
      </c>
      <c r="AE340" t="s">
        <v>879</v>
      </c>
      <c r="AF340">
        <v>8.4</v>
      </c>
      <c r="AG340" t="e">
        <v>#N/A</v>
      </c>
      <c r="AH340" t="s">
        <v>879</v>
      </c>
      <c r="AI340">
        <v>8.4</v>
      </c>
      <c r="AJ340" t="e">
        <v>#N/A</v>
      </c>
      <c r="AK340" t="s">
        <v>879</v>
      </c>
      <c r="AL340">
        <v>8.4</v>
      </c>
      <c r="AM340" t="e">
        <v>#N/A</v>
      </c>
      <c r="AN340" t="s">
        <v>879</v>
      </c>
      <c r="AO340">
        <v>8.1</v>
      </c>
      <c r="AP340" t="e">
        <v>#N/A</v>
      </c>
      <c r="AQ340" t="s">
        <v>722</v>
      </c>
      <c r="AR340">
        <v>1026.01</v>
      </c>
      <c r="AS340" t="e">
        <v>#N/A</v>
      </c>
      <c r="AT340" t="s">
        <v>722</v>
      </c>
      <c r="AU340">
        <v>1146.76</v>
      </c>
      <c r="AV340" t="e">
        <v>#N/A</v>
      </c>
      <c r="AW340" t="s">
        <v>722</v>
      </c>
      <c r="AX340">
        <v>0.84</v>
      </c>
      <c r="AY340" t="e">
        <v>#N/A</v>
      </c>
      <c r="AZ340" t="s">
        <v>722</v>
      </c>
      <c r="BA340">
        <v>1038.1500000000001</v>
      </c>
      <c r="BB340" t="e">
        <v>#N/A</v>
      </c>
      <c r="BC340" t="s">
        <v>722</v>
      </c>
      <c r="BD340">
        <v>1029.08</v>
      </c>
      <c r="BE340" t="e">
        <v>#N/A</v>
      </c>
      <c r="BF340" t="s">
        <v>722</v>
      </c>
      <c r="BG340">
        <v>0.91</v>
      </c>
      <c r="BH340" t="e">
        <v>#N/A</v>
      </c>
      <c r="BI340" t="s">
        <v>722</v>
      </c>
      <c r="BJ340">
        <v>1035.48</v>
      </c>
      <c r="BK340" t="e">
        <v>#N/A</v>
      </c>
      <c r="BL340" t="s">
        <v>722</v>
      </c>
      <c r="BM340">
        <v>1006.54</v>
      </c>
      <c r="BN340" t="e">
        <v>#N/A</v>
      </c>
      <c r="BO340" t="s">
        <v>722</v>
      </c>
      <c r="BP340">
        <v>0.85</v>
      </c>
      <c r="BQ340" t="e">
        <v>#N/A</v>
      </c>
      <c r="BR340" t="s">
        <v>722</v>
      </c>
      <c r="BS340">
        <v>0.8</v>
      </c>
      <c r="BT340" t="e">
        <v>#N/A</v>
      </c>
      <c r="BU340" t="s">
        <v>722</v>
      </c>
      <c r="BV340">
        <v>0.95</v>
      </c>
      <c r="BW340" t="e">
        <v>#N/A</v>
      </c>
      <c r="BX340" t="s">
        <v>722</v>
      </c>
      <c r="BY340">
        <v>0.92</v>
      </c>
      <c r="BZ340" t="e">
        <v>#N/A</v>
      </c>
      <c r="CA340" t="s">
        <v>722</v>
      </c>
      <c r="CB340">
        <v>0.79</v>
      </c>
      <c r="CC340" t="e">
        <v>#N/A</v>
      </c>
      <c r="CD340" t="s">
        <v>722</v>
      </c>
      <c r="CE340">
        <v>0.84</v>
      </c>
      <c r="CF340" t="e">
        <v>#N/A</v>
      </c>
      <c r="CG340" t="s">
        <v>722</v>
      </c>
      <c r="CH340">
        <v>0.89</v>
      </c>
      <c r="CI340" t="e">
        <v>#N/A</v>
      </c>
      <c r="CJ340" t="s">
        <v>722</v>
      </c>
      <c r="CK340">
        <v>1026.29</v>
      </c>
      <c r="CL340" t="e">
        <v>#N/A</v>
      </c>
      <c r="CM340" t="s">
        <v>722</v>
      </c>
      <c r="CN340">
        <v>1053.5</v>
      </c>
      <c r="CO340" t="e">
        <v>#N/A</v>
      </c>
      <c r="CP340" t="s">
        <v>722</v>
      </c>
      <c r="CQ340">
        <v>1025.99</v>
      </c>
      <c r="CR340" t="e">
        <v>#N/A</v>
      </c>
      <c r="CS340" t="s">
        <v>722</v>
      </c>
      <c r="CT340">
        <v>0.91</v>
      </c>
      <c r="CU340" t="e">
        <v>#N/A</v>
      </c>
      <c r="CV340" t="s">
        <v>722</v>
      </c>
      <c r="CW340">
        <v>880.34</v>
      </c>
      <c r="CX340" t="e">
        <v>#N/A</v>
      </c>
      <c r="CY340" t="s">
        <v>722</v>
      </c>
      <c r="CZ340">
        <v>0.94</v>
      </c>
      <c r="DA340" t="e">
        <v>#N/A</v>
      </c>
      <c r="DB340" t="s">
        <v>722</v>
      </c>
      <c r="DC340">
        <v>1026.29</v>
      </c>
      <c r="DD340" t="e">
        <v>#N/A</v>
      </c>
      <c r="DE340" t="s">
        <v>722</v>
      </c>
      <c r="DF340">
        <v>0.97</v>
      </c>
      <c r="DG340" t="e">
        <v>#N/A</v>
      </c>
      <c r="DH340" t="s">
        <v>722</v>
      </c>
      <c r="DI340">
        <v>1025.99</v>
      </c>
      <c r="DJ340" t="e">
        <v>#N/A</v>
      </c>
      <c r="DK340" t="s">
        <v>722</v>
      </c>
      <c r="DL340">
        <v>0.91</v>
      </c>
      <c r="DM340" t="e">
        <v>#N/A</v>
      </c>
      <c r="DN340" t="s">
        <v>722</v>
      </c>
      <c r="DO340">
        <v>0.93</v>
      </c>
      <c r="DP340" t="e">
        <v>#N/A</v>
      </c>
      <c r="DQ340" t="s">
        <v>722</v>
      </c>
      <c r="DR340">
        <v>0.98</v>
      </c>
      <c r="DS340" t="e">
        <v>#N/A</v>
      </c>
      <c r="DT340" t="s">
        <v>722</v>
      </c>
      <c r="DU340">
        <v>880.34</v>
      </c>
      <c r="DV340" t="e">
        <v>#N/A</v>
      </c>
      <c r="DW340" t="s">
        <v>722</v>
      </c>
      <c r="DX340">
        <v>997.7</v>
      </c>
      <c r="DY340" t="e">
        <v>#N/A</v>
      </c>
      <c r="DZ340" t="s">
        <v>722</v>
      </c>
      <c r="EA340">
        <v>880.34</v>
      </c>
      <c r="EB340" t="e">
        <v>#N/A</v>
      </c>
      <c r="EC340" t="s">
        <v>722</v>
      </c>
      <c r="ED340">
        <v>926.61</v>
      </c>
      <c r="EE340" t="e">
        <v>#N/A</v>
      </c>
      <c r="EF340" t="s">
        <v>722</v>
      </c>
      <c r="EG340">
        <v>926.61</v>
      </c>
      <c r="EH340" t="e">
        <v>#N/A</v>
      </c>
      <c r="EI340" t="s">
        <v>722</v>
      </c>
      <c r="EJ340">
        <v>997.7</v>
      </c>
      <c r="EK340" t="e">
        <v>#N/A</v>
      </c>
    </row>
    <row r="341" spans="1:141">
      <c r="C341" t="e">
        <v>#N/A</v>
      </c>
      <c r="F341" t="e">
        <v>#N/A</v>
      </c>
      <c r="P341" t="s">
        <v>879</v>
      </c>
      <c r="Q341">
        <v>9.7899999999999991</v>
      </c>
      <c r="R341" t="e">
        <v>#N/A</v>
      </c>
      <c r="S341" t="s">
        <v>721</v>
      </c>
      <c r="T341">
        <v>0.5</v>
      </c>
      <c r="U341" t="e">
        <v>#N/A</v>
      </c>
      <c r="V341" t="s">
        <v>879</v>
      </c>
      <c r="W341">
        <v>9</v>
      </c>
      <c r="X341" t="e">
        <v>#N/A</v>
      </c>
      <c r="Y341" t="s">
        <v>879</v>
      </c>
      <c r="Z341">
        <v>9</v>
      </c>
      <c r="AA341" t="e">
        <v>#N/A</v>
      </c>
      <c r="AB341" t="s">
        <v>722</v>
      </c>
      <c r="AC341">
        <v>100.28</v>
      </c>
      <c r="AD341" t="e">
        <v>#N/A</v>
      </c>
      <c r="AE341" t="s">
        <v>722</v>
      </c>
      <c r="AF341">
        <v>0.1</v>
      </c>
      <c r="AG341" t="e">
        <v>#N/A</v>
      </c>
      <c r="AH341" t="s">
        <v>722</v>
      </c>
      <c r="AI341">
        <v>0.1</v>
      </c>
      <c r="AJ341" t="e">
        <v>#N/A</v>
      </c>
      <c r="AK341" t="s">
        <v>722</v>
      </c>
      <c r="AL341">
        <v>0.1</v>
      </c>
      <c r="AM341" t="e">
        <v>#N/A</v>
      </c>
      <c r="AN341" t="s">
        <v>722</v>
      </c>
      <c r="AO341">
        <v>0.1</v>
      </c>
      <c r="AP341" t="e">
        <v>#N/A</v>
      </c>
      <c r="AQ341" t="s">
        <v>722</v>
      </c>
      <c r="AR341">
        <v>0.78</v>
      </c>
      <c r="AS341" t="e">
        <v>#N/A</v>
      </c>
      <c r="AT341" t="s">
        <v>665</v>
      </c>
      <c r="AU341">
        <v>39.799999999999997</v>
      </c>
      <c r="AV341" t="e">
        <v>#N/A</v>
      </c>
      <c r="AW341" t="s">
        <v>722</v>
      </c>
      <c r="AX341">
        <v>933.38</v>
      </c>
      <c r="AY341" t="e">
        <v>#N/A</v>
      </c>
      <c r="AZ341" t="s">
        <v>934</v>
      </c>
      <c r="BA341">
        <v>3.99</v>
      </c>
      <c r="BB341" t="e">
        <v>#N/A</v>
      </c>
      <c r="BC341" t="s">
        <v>722</v>
      </c>
      <c r="BD341">
        <v>0.95</v>
      </c>
      <c r="BE341" t="e">
        <v>#N/A</v>
      </c>
      <c r="BF341" t="s">
        <v>722</v>
      </c>
      <c r="BG341">
        <v>1035.48</v>
      </c>
      <c r="BH341" t="e">
        <v>#N/A</v>
      </c>
      <c r="BI341" t="s">
        <v>722</v>
      </c>
      <c r="BJ341">
        <v>0.93</v>
      </c>
      <c r="BK341" t="e">
        <v>#N/A</v>
      </c>
      <c r="BL341" t="s">
        <v>722</v>
      </c>
      <c r="BM341">
        <v>0.82</v>
      </c>
      <c r="BN341" t="e">
        <v>#N/A</v>
      </c>
      <c r="BO341" t="s">
        <v>722</v>
      </c>
      <c r="BP341">
        <v>0.81</v>
      </c>
      <c r="BQ341" t="e">
        <v>#N/A</v>
      </c>
      <c r="BR341" t="s">
        <v>722</v>
      </c>
      <c r="BS341">
        <v>0.83</v>
      </c>
      <c r="BT341" t="e">
        <v>#N/A</v>
      </c>
      <c r="BU341" t="s">
        <v>722</v>
      </c>
      <c r="BV341">
        <v>1000.8</v>
      </c>
      <c r="BW341" t="e">
        <v>#N/A</v>
      </c>
      <c r="BX341" t="s">
        <v>722</v>
      </c>
      <c r="BY341">
        <v>0.89</v>
      </c>
      <c r="BZ341" t="e">
        <v>#N/A</v>
      </c>
      <c r="CA341" t="s">
        <v>722</v>
      </c>
      <c r="CB341">
        <v>0.8</v>
      </c>
      <c r="CC341" t="e">
        <v>#N/A</v>
      </c>
      <c r="CD341" t="s">
        <v>722</v>
      </c>
      <c r="CE341">
        <v>0.79</v>
      </c>
      <c r="CF341" t="e">
        <v>#N/A</v>
      </c>
      <c r="CG341" t="s">
        <v>722</v>
      </c>
      <c r="CH341">
        <v>1026.29</v>
      </c>
      <c r="CI341" t="e">
        <v>#N/A</v>
      </c>
      <c r="CJ341" t="s">
        <v>722</v>
      </c>
      <c r="CK341">
        <v>0.8</v>
      </c>
      <c r="CL341" t="e">
        <v>#N/A</v>
      </c>
      <c r="CM341" t="s">
        <v>722</v>
      </c>
      <c r="CN341">
        <v>1025.99</v>
      </c>
      <c r="CO341" t="e">
        <v>#N/A</v>
      </c>
      <c r="CP341" t="s">
        <v>722</v>
      </c>
      <c r="CQ341">
        <v>994.04</v>
      </c>
      <c r="CR341" t="e">
        <v>#N/A</v>
      </c>
      <c r="CS341" t="s">
        <v>722</v>
      </c>
      <c r="CT341">
        <v>0.91</v>
      </c>
      <c r="CU341" t="e">
        <v>#N/A</v>
      </c>
      <c r="CV341" t="s">
        <v>722</v>
      </c>
      <c r="CW341">
        <v>1</v>
      </c>
      <c r="CX341" t="e">
        <v>#N/A</v>
      </c>
      <c r="CY341" t="s">
        <v>722</v>
      </c>
      <c r="CZ341">
        <v>0.89</v>
      </c>
      <c r="DA341" t="e">
        <v>#N/A</v>
      </c>
      <c r="DB341" t="s">
        <v>722</v>
      </c>
      <c r="DC341">
        <v>0.83</v>
      </c>
      <c r="DD341" t="e">
        <v>#N/A</v>
      </c>
      <c r="DE341" t="s">
        <v>722</v>
      </c>
      <c r="DF341">
        <v>0.94</v>
      </c>
      <c r="DG341" t="e">
        <v>#N/A</v>
      </c>
      <c r="DH341" t="s">
        <v>722</v>
      </c>
      <c r="DI341">
        <v>1010.5</v>
      </c>
      <c r="DJ341" t="e">
        <v>#N/A</v>
      </c>
      <c r="DK341" t="s">
        <v>722</v>
      </c>
      <c r="DL341">
        <v>1026.29</v>
      </c>
      <c r="DM341" t="e">
        <v>#N/A</v>
      </c>
      <c r="DN341" t="s">
        <v>722</v>
      </c>
      <c r="DO341">
        <v>0.91</v>
      </c>
      <c r="DP341" t="e">
        <v>#N/A</v>
      </c>
      <c r="DQ341" t="s">
        <v>722</v>
      </c>
      <c r="DR341">
        <v>0.91</v>
      </c>
      <c r="DS341" t="e">
        <v>#N/A</v>
      </c>
      <c r="DT341" t="s">
        <v>722</v>
      </c>
      <c r="DU341">
        <v>1</v>
      </c>
      <c r="DV341" t="e">
        <v>#N/A</v>
      </c>
      <c r="DW341" t="s">
        <v>722</v>
      </c>
      <c r="DX341">
        <v>926.61</v>
      </c>
      <c r="DY341" t="e">
        <v>#N/A</v>
      </c>
      <c r="DZ341" t="s">
        <v>722</v>
      </c>
      <c r="EA341">
        <v>1</v>
      </c>
      <c r="EB341" t="e">
        <v>#N/A</v>
      </c>
      <c r="EC341" t="s">
        <v>722</v>
      </c>
      <c r="ED341">
        <v>880.34</v>
      </c>
      <c r="EE341" t="e">
        <v>#N/A</v>
      </c>
      <c r="EF341" t="s">
        <v>722</v>
      </c>
      <c r="EG341">
        <v>880.34</v>
      </c>
      <c r="EH341" t="e">
        <v>#N/A</v>
      </c>
      <c r="EI341" t="s">
        <v>722</v>
      </c>
      <c r="EJ341">
        <v>926.61</v>
      </c>
      <c r="EK341" t="e">
        <v>#N/A</v>
      </c>
    </row>
    <row r="342" spans="1:141">
      <c r="C342" t="e">
        <v>#N/A</v>
      </c>
      <c r="F342" t="e">
        <v>#N/A</v>
      </c>
      <c r="P342" t="s">
        <v>722</v>
      </c>
      <c r="Q342">
        <v>0.1</v>
      </c>
      <c r="R342" t="e">
        <v>#N/A</v>
      </c>
      <c r="V342" t="s">
        <v>721</v>
      </c>
      <c r="W342">
        <v>0.5</v>
      </c>
      <c r="X342" t="e">
        <v>#N/A</v>
      </c>
      <c r="Y342" t="s">
        <v>721</v>
      </c>
      <c r="Z342">
        <v>0.5</v>
      </c>
      <c r="AA342" t="e">
        <v>#N/A</v>
      </c>
      <c r="AB342" t="s">
        <v>722</v>
      </c>
      <c r="AC342">
        <v>100.44</v>
      </c>
      <c r="AD342" t="e">
        <v>#N/A</v>
      </c>
      <c r="AE342" t="s">
        <v>722</v>
      </c>
      <c r="AF342">
        <v>100.28</v>
      </c>
      <c r="AG342" t="e">
        <v>#N/A</v>
      </c>
      <c r="AH342" t="s">
        <v>722</v>
      </c>
      <c r="AI342">
        <v>100.28</v>
      </c>
      <c r="AJ342" t="e">
        <v>#N/A</v>
      </c>
      <c r="AK342" t="s">
        <v>722</v>
      </c>
      <c r="AL342">
        <v>100.28</v>
      </c>
      <c r="AM342" t="e">
        <v>#N/A</v>
      </c>
      <c r="AN342" t="s">
        <v>722</v>
      </c>
      <c r="AO342">
        <v>100.28</v>
      </c>
      <c r="AP342" t="e">
        <v>#N/A</v>
      </c>
      <c r="AQ342" t="s">
        <v>722</v>
      </c>
      <c r="AR342">
        <v>0.1</v>
      </c>
      <c r="AS342" t="e">
        <v>#N/A</v>
      </c>
      <c r="AT342" t="s">
        <v>722</v>
      </c>
      <c r="AU342">
        <v>1026.01</v>
      </c>
      <c r="AV342" t="e">
        <v>#N/A</v>
      </c>
      <c r="AW342" t="s">
        <v>722</v>
      </c>
      <c r="AX342">
        <v>1146.76</v>
      </c>
      <c r="AY342" t="e">
        <v>#N/A</v>
      </c>
      <c r="AZ342" t="s">
        <v>722</v>
      </c>
      <c r="BA342">
        <v>0.79</v>
      </c>
      <c r="BB342" t="e">
        <v>#N/A</v>
      </c>
      <c r="BC342" t="s">
        <v>722</v>
      </c>
      <c r="BD342">
        <v>0.91</v>
      </c>
      <c r="BE342" t="e">
        <v>#N/A</v>
      </c>
      <c r="BF342" t="s">
        <v>722</v>
      </c>
      <c r="BG342">
        <v>0.93</v>
      </c>
      <c r="BH342" t="e">
        <v>#N/A</v>
      </c>
      <c r="BI342" t="s">
        <v>722</v>
      </c>
      <c r="BJ342">
        <v>1000.8</v>
      </c>
      <c r="BK342" t="e">
        <v>#N/A</v>
      </c>
      <c r="BL342" t="s">
        <v>722</v>
      </c>
      <c r="BM342">
        <v>0.96</v>
      </c>
      <c r="BN342" t="e">
        <v>#N/A</v>
      </c>
      <c r="BO342" t="s">
        <v>722</v>
      </c>
      <c r="BP342">
        <v>0.91</v>
      </c>
      <c r="BQ342" t="e">
        <v>#N/A</v>
      </c>
      <c r="BR342" t="s">
        <v>722</v>
      </c>
      <c r="BS342">
        <v>1006.54</v>
      </c>
      <c r="BT342" t="e">
        <v>#N/A</v>
      </c>
      <c r="BU342" t="s">
        <v>722</v>
      </c>
      <c r="BV342">
        <v>0.92</v>
      </c>
      <c r="BW342" t="e">
        <v>#N/A</v>
      </c>
      <c r="BX342" t="s">
        <v>722</v>
      </c>
      <c r="BY342">
        <v>0.81</v>
      </c>
      <c r="BZ342" t="e">
        <v>#N/A</v>
      </c>
      <c r="CA342" t="s">
        <v>722</v>
      </c>
      <c r="CB342">
        <v>0.8</v>
      </c>
      <c r="CC342" t="e">
        <v>#N/A</v>
      </c>
      <c r="CD342" t="s">
        <v>722</v>
      </c>
      <c r="CE342">
        <v>0.82</v>
      </c>
      <c r="CF342" t="e">
        <v>#N/A</v>
      </c>
      <c r="CG342" t="s">
        <v>722</v>
      </c>
      <c r="CH342">
        <v>0.79</v>
      </c>
      <c r="CI342" t="e">
        <v>#N/A</v>
      </c>
      <c r="CJ342" t="s">
        <v>722</v>
      </c>
      <c r="CK342">
        <v>1053.5</v>
      </c>
      <c r="CL342" t="e">
        <v>#N/A</v>
      </c>
      <c r="CM342" t="s">
        <v>722</v>
      </c>
      <c r="CN342">
        <v>996.99</v>
      </c>
      <c r="CO342" t="e">
        <v>#N/A</v>
      </c>
      <c r="CP342" t="s">
        <v>722</v>
      </c>
      <c r="CQ342">
        <v>0.81</v>
      </c>
      <c r="CR342" t="e">
        <v>#N/A</v>
      </c>
      <c r="CS342" t="s">
        <v>722</v>
      </c>
      <c r="CT342">
        <v>1007.22</v>
      </c>
      <c r="CU342" t="e">
        <v>#N/A</v>
      </c>
      <c r="CV342" t="s">
        <v>722</v>
      </c>
      <c r="CW342">
        <v>0.94</v>
      </c>
      <c r="CX342" t="e">
        <v>#N/A</v>
      </c>
      <c r="CY342" t="s">
        <v>722</v>
      </c>
      <c r="CZ342">
        <v>1026.29</v>
      </c>
      <c r="DA342" t="e">
        <v>#N/A</v>
      </c>
      <c r="DB342" t="s">
        <v>722</v>
      </c>
      <c r="DC342">
        <v>0.82</v>
      </c>
      <c r="DD342" t="e">
        <v>#N/A</v>
      </c>
      <c r="DE342" t="s">
        <v>722</v>
      </c>
      <c r="DF342">
        <v>1026.29</v>
      </c>
      <c r="DG342" t="e">
        <v>#N/A</v>
      </c>
      <c r="DH342" t="s">
        <v>722</v>
      </c>
      <c r="DI342">
        <v>0.98</v>
      </c>
      <c r="DJ342" t="e">
        <v>#N/A</v>
      </c>
      <c r="DK342" t="s">
        <v>722</v>
      </c>
      <c r="DL342">
        <v>0.82</v>
      </c>
      <c r="DM342" t="e">
        <v>#N/A</v>
      </c>
      <c r="DN342" t="s">
        <v>722</v>
      </c>
      <c r="DO342">
        <v>0.89</v>
      </c>
      <c r="DP342" t="e">
        <v>#N/A</v>
      </c>
      <c r="DQ342" t="s">
        <v>722</v>
      </c>
      <c r="DR342">
        <v>0.91</v>
      </c>
      <c r="DS342" t="e">
        <v>#N/A</v>
      </c>
      <c r="DT342" t="s">
        <v>722</v>
      </c>
      <c r="DU342">
        <v>1</v>
      </c>
      <c r="DV342" t="e">
        <v>#N/A</v>
      </c>
      <c r="DW342" t="s">
        <v>722</v>
      </c>
      <c r="DX342">
        <v>880.34</v>
      </c>
      <c r="DY342" t="e">
        <v>#N/A</v>
      </c>
      <c r="DZ342" t="s">
        <v>722</v>
      </c>
      <c r="EA342">
        <v>1</v>
      </c>
      <c r="EB342" t="e">
        <v>#N/A</v>
      </c>
      <c r="EC342" t="s">
        <v>722</v>
      </c>
      <c r="ED342">
        <v>1</v>
      </c>
      <c r="EE342" t="e">
        <v>#N/A</v>
      </c>
      <c r="EF342" t="s">
        <v>722</v>
      </c>
      <c r="EG342">
        <v>1</v>
      </c>
      <c r="EH342" t="e">
        <v>#N/A</v>
      </c>
      <c r="EI342" t="s">
        <v>722</v>
      </c>
      <c r="EJ342">
        <v>880.34</v>
      </c>
      <c r="EK342" t="e">
        <v>#N/A</v>
      </c>
    </row>
    <row r="343" spans="1:141">
      <c r="C343" t="e">
        <v>#N/A</v>
      </c>
      <c r="F343" t="e">
        <v>#N/A</v>
      </c>
      <c r="P343" t="s">
        <v>722</v>
      </c>
      <c r="Q343">
        <v>100.28</v>
      </c>
      <c r="R343" t="e">
        <v>#N/A</v>
      </c>
      <c r="AB343" t="s">
        <v>721</v>
      </c>
      <c r="AC343">
        <v>0.5</v>
      </c>
      <c r="AD343" t="e">
        <v>#N/A</v>
      </c>
      <c r="AE343" t="s">
        <v>722</v>
      </c>
      <c r="AF343">
        <v>100.44</v>
      </c>
      <c r="AG343" t="e">
        <v>#N/A</v>
      </c>
      <c r="AH343" t="s">
        <v>722</v>
      </c>
      <c r="AI343">
        <v>100.44</v>
      </c>
      <c r="AJ343" t="e">
        <v>#N/A</v>
      </c>
      <c r="AK343" t="s">
        <v>722</v>
      </c>
      <c r="AL343">
        <v>100.44</v>
      </c>
      <c r="AM343" t="e">
        <v>#N/A</v>
      </c>
      <c r="AN343" t="s">
        <v>722</v>
      </c>
      <c r="AO343">
        <v>100.44</v>
      </c>
      <c r="AP343" t="e">
        <v>#N/A</v>
      </c>
      <c r="AQ343" t="s">
        <v>722</v>
      </c>
      <c r="AR343">
        <v>100.28</v>
      </c>
      <c r="AS343" t="e">
        <v>#N/A</v>
      </c>
      <c r="AT343" t="s">
        <v>722</v>
      </c>
      <c r="AU343">
        <v>0.78</v>
      </c>
      <c r="AV343" t="e">
        <v>#N/A</v>
      </c>
      <c r="AW343" t="s">
        <v>665</v>
      </c>
      <c r="AX343">
        <v>39.799999999999997</v>
      </c>
      <c r="AY343" t="e">
        <v>#N/A</v>
      </c>
      <c r="AZ343" t="s">
        <v>722</v>
      </c>
      <c r="BA343">
        <v>933.38</v>
      </c>
      <c r="BB343" t="e">
        <v>#N/A</v>
      </c>
      <c r="BC343" t="s">
        <v>722</v>
      </c>
      <c r="BD343">
        <v>1039.3</v>
      </c>
      <c r="BE343" t="e">
        <v>#N/A</v>
      </c>
      <c r="BF343" t="s">
        <v>722</v>
      </c>
      <c r="BG343">
        <v>1000.8</v>
      </c>
      <c r="BH343" t="e">
        <v>#N/A</v>
      </c>
      <c r="BI343" t="s">
        <v>722</v>
      </c>
      <c r="BJ343">
        <v>0.85</v>
      </c>
      <c r="BK343" t="e">
        <v>#N/A</v>
      </c>
      <c r="BL343" t="s">
        <v>722</v>
      </c>
      <c r="BM343">
        <v>0.9</v>
      </c>
      <c r="BN343" t="e">
        <v>#N/A</v>
      </c>
      <c r="BO343" t="s">
        <v>722</v>
      </c>
      <c r="BP343">
        <v>1001.35</v>
      </c>
      <c r="BQ343" t="e">
        <v>#N/A</v>
      </c>
      <c r="BR343" t="s">
        <v>722</v>
      </c>
      <c r="BS343">
        <v>1023.58</v>
      </c>
      <c r="BT343" t="e">
        <v>#N/A</v>
      </c>
      <c r="BU343" t="s">
        <v>722</v>
      </c>
      <c r="BV343">
        <v>1001.97</v>
      </c>
      <c r="BW343" t="e">
        <v>#N/A</v>
      </c>
      <c r="BX343" t="s">
        <v>722</v>
      </c>
      <c r="BY343">
        <v>997.57</v>
      </c>
      <c r="BZ343" t="e">
        <v>#N/A</v>
      </c>
      <c r="CA343" t="s">
        <v>722</v>
      </c>
      <c r="CB343">
        <v>0.81</v>
      </c>
      <c r="CC343" t="e">
        <v>#N/A</v>
      </c>
      <c r="CD343" t="s">
        <v>722</v>
      </c>
      <c r="CE343">
        <v>0.83</v>
      </c>
      <c r="CF343" t="e">
        <v>#N/A</v>
      </c>
      <c r="CG343" t="s">
        <v>722</v>
      </c>
      <c r="CH343">
        <v>0.8</v>
      </c>
      <c r="CI343" t="e">
        <v>#N/A</v>
      </c>
      <c r="CJ343" t="s">
        <v>722</v>
      </c>
      <c r="CK343">
        <v>997.42</v>
      </c>
      <c r="CL343" t="e">
        <v>#N/A</v>
      </c>
      <c r="CM343" t="s">
        <v>722</v>
      </c>
      <c r="CN343">
        <v>0.88</v>
      </c>
      <c r="CO343" t="e">
        <v>#N/A</v>
      </c>
      <c r="CP343" t="s">
        <v>722</v>
      </c>
      <c r="CQ343">
        <v>992.76</v>
      </c>
      <c r="CR343" t="e">
        <v>#N/A</v>
      </c>
      <c r="CS343" t="s">
        <v>722</v>
      </c>
      <c r="CT343">
        <v>1026.29</v>
      </c>
      <c r="CU343" t="e">
        <v>#N/A</v>
      </c>
      <c r="CV343" t="s">
        <v>722</v>
      </c>
      <c r="CW343">
        <v>1026.29</v>
      </c>
      <c r="CX343" t="e">
        <v>#N/A</v>
      </c>
      <c r="CY343" t="s">
        <v>722</v>
      </c>
      <c r="CZ343">
        <v>0.83</v>
      </c>
      <c r="DA343" t="e">
        <v>#N/A</v>
      </c>
      <c r="DB343" t="s">
        <v>722</v>
      </c>
      <c r="DC343">
        <v>0.8</v>
      </c>
      <c r="DD343" t="e">
        <v>#N/A</v>
      </c>
      <c r="DE343" t="s">
        <v>722</v>
      </c>
      <c r="DF343">
        <v>0.83</v>
      </c>
      <c r="DG343" t="e">
        <v>#N/A</v>
      </c>
      <c r="DH343" t="s">
        <v>722</v>
      </c>
      <c r="DI343">
        <v>0.87</v>
      </c>
      <c r="DJ343" t="e">
        <v>#N/A</v>
      </c>
      <c r="DK343" t="s">
        <v>722</v>
      </c>
      <c r="DL343">
        <v>1053.5</v>
      </c>
      <c r="DM343" t="e">
        <v>#N/A</v>
      </c>
      <c r="DN343" t="s">
        <v>722</v>
      </c>
      <c r="DO343">
        <v>1026.29</v>
      </c>
      <c r="DP343" t="e">
        <v>#N/A</v>
      </c>
      <c r="DQ343" t="s">
        <v>722</v>
      </c>
      <c r="DR343">
        <v>1026.29</v>
      </c>
      <c r="DS343" t="e">
        <v>#N/A</v>
      </c>
      <c r="DT343" t="s">
        <v>722</v>
      </c>
      <c r="DU343">
        <v>0.98</v>
      </c>
      <c r="DV343" t="e">
        <v>#N/A</v>
      </c>
      <c r="DW343" t="s">
        <v>722</v>
      </c>
      <c r="DX343">
        <v>1</v>
      </c>
      <c r="DY343" t="e">
        <v>#N/A</v>
      </c>
      <c r="DZ343" t="s">
        <v>722</v>
      </c>
      <c r="EA343">
        <v>0.99</v>
      </c>
      <c r="EB343" t="e">
        <v>#N/A</v>
      </c>
      <c r="EC343" t="s">
        <v>722</v>
      </c>
      <c r="ED343">
        <v>1</v>
      </c>
      <c r="EE343" t="e">
        <v>#N/A</v>
      </c>
      <c r="EF343" t="s">
        <v>722</v>
      </c>
      <c r="EG343">
        <v>1</v>
      </c>
      <c r="EH343" t="e">
        <v>#N/A</v>
      </c>
      <c r="EI343" t="s">
        <v>722</v>
      </c>
      <c r="EJ343">
        <v>1</v>
      </c>
      <c r="EK343" t="e">
        <v>#N/A</v>
      </c>
    </row>
    <row r="344" spans="1:141">
      <c r="C344" t="e">
        <v>#N/A</v>
      </c>
      <c r="F344" t="e">
        <v>#N/A</v>
      </c>
      <c r="P344" t="s">
        <v>722</v>
      </c>
      <c r="Q344">
        <v>100.44</v>
      </c>
      <c r="R344" t="e">
        <v>#N/A</v>
      </c>
      <c r="AE344" t="s">
        <v>721</v>
      </c>
      <c r="AF344">
        <v>0.5</v>
      </c>
      <c r="AG344" t="e">
        <v>#N/A</v>
      </c>
      <c r="AH344" t="s">
        <v>721</v>
      </c>
      <c r="AI344">
        <v>0.5</v>
      </c>
      <c r="AJ344" t="e">
        <v>#N/A</v>
      </c>
      <c r="AK344" t="s">
        <v>721</v>
      </c>
      <c r="AL344">
        <v>0.5</v>
      </c>
      <c r="AM344" t="e">
        <v>#N/A</v>
      </c>
      <c r="AN344" t="s">
        <v>721</v>
      </c>
      <c r="AO344">
        <v>0.5</v>
      </c>
      <c r="AP344" t="e">
        <v>#N/A</v>
      </c>
      <c r="AQ344" t="s">
        <v>721</v>
      </c>
      <c r="AR344">
        <v>0.5</v>
      </c>
      <c r="AS344" t="e">
        <v>#N/A</v>
      </c>
      <c r="AT344" t="s">
        <v>722</v>
      </c>
      <c r="AU344">
        <v>0.1</v>
      </c>
      <c r="AV344" t="e">
        <v>#N/A</v>
      </c>
      <c r="AW344" t="s">
        <v>722</v>
      </c>
      <c r="AX344">
        <v>0.81</v>
      </c>
      <c r="AY344" t="e">
        <v>#N/A</v>
      </c>
      <c r="AZ344" t="s">
        <v>722</v>
      </c>
      <c r="BA344">
        <v>1146.76</v>
      </c>
      <c r="BB344" t="e">
        <v>#N/A</v>
      </c>
      <c r="BC344" t="s">
        <v>722</v>
      </c>
      <c r="BD344">
        <v>1023.48</v>
      </c>
      <c r="BE344" t="e">
        <v>#N/A</v>
      </c>
      <c r="BF344" t="s">
        <v>722</v>
      </c>
      <c r="BG344">
        <v>0.85</v>
      </c>
      <c r="BH344" t="e">
        <v>#N/A</v>
      </c>
      <c r="BI344" t="s">
        <v>722</v>
      </c>
      <c r="BJ344">
        <v>1001.97</v>
      </c>
      <c r="BK344" t="e">
        <v>#N/A</v>
      </c>
      <c r="BL344" t="s">
        <v>722</v>
      </c>
      <c r="BM344">
        <v>1033.27</v>
      </c>
      <c r="BN344" t="e">
        <v>#N/A</v>
      </c>
      <c r="BO344" t="s">
        <v>722</v>
      </c>
      <c r="BP344">
        <v>0.81</v>
      </c>
      <c r="BQ344" t="e">
        <v>#N/A</v>
      </c>
      <c r="BR344" t="s">
        <v>722</v>
      </c>
      <c r="BS344">
        <v>0.84</v>
      </c>
      <c r="BT344" t="e">
        <v>#N/A</v>
      </c>
      <c r="BU344" t="s">
        <v>722</v>
      </c>
      <c r="BV344">
        <v>0.95</v>
      </c>
      <c r="BW344" t="e">
        <v>#N/A</v>
      </c>
      <c r="BX344" t="s">
        <v>722</v>
      </c>
      <c r="BY344">
        <v>0.96</v>
      </c>
      <c r="BZ344" t="e">
        <v>#N/A</v>
      </c>
      <c r="CA344" t="s">
        <v>722</v>
      </c>
      <c r="CB344">
        <v>0.96</v>
      </c>
      <c r="CC344" t="e">
        <v>#N/A</v>
      </c>
      <c r="CD344" t="s">
        <v>722</v>
      </c>
      <c r="CE344">
        <v>1145.24</v>
      </c>
      <c r="CF344" t="e">
        <v>#N/A</v>
      </c>
      <c r="CG344" t="s">
        <v>722</v>
      </c>
      <c r="CH344">
        <v>0.8</v>
      </c>
      <c r="CI344" t="e">
        <v>#N/A</v>
      </c>
      <c r="CJ344" t="s">
        <v>722</v>
      </c>
      <c r="CK344">
        <v>0.85</v>
      </c>
      <c r="CL344" t="e">
        <v>#N/A</v>
      </c>
      <c r="CM344" t="s">
        <v>722</v>
      </c>
      <c r="CN344">
        <v>0.98</v>
      </c>
      <c r="CO344" t="e">
        <v>#N/A</v>
      </c>
      <c r="CP344" t="s">
        <v>317</v>
      </c>
      <c r="CQ344">
        <v>34.380000000000003</v>
      </c>
      <c r="CR344" t="e">
        <v>#N/A</v>
      </c>
      <c r="CS344" t="s">
        <v>722</v>
      </c>
      <c r="CT344">
        <v>1053.5</v>
      </c>
      <c r="CU344" t="e">
        <v>#N/A</v>
      </c>
      <c r="CV344" t="s">
        <v>722</v>
      </c>
      <c r="CW344">
        <v>0.83</v>
      </c>
      <c r="CX344" t="e">
        <v>#N/A</v>
      </c>
      <c r="CY344" t="s">
        <v>722</v>
      </c>
      <c r="CZ344">
        <v>1053.5</v>
      </c>
      <c r="DA344" t="e">
        <v>#N/A</v>
      </c>
      <c r="DB344" t="s">
        <v>722</v>
      </c>
      <c r="DC344">
        <v>1053.5</v>
      </c>
      <c r="DD344" t="e">
        <v>#N/A</v>
      </c>
      <c r="DE344" t="s">
        <v>722</v>
      </c>
      <c r="DF344">
        <v>0.82</v>
      </c>
      <c r="DG344" t="e">
        <v>#N/A</v>
      </c>
      <c r="DH344" t="s">
        <v>722</v>
      </c>
      <c r="DI344">
        <v>0.95</v>
      </c>
      <c r="DJ344" t="e">
        <v>#N/A</v>
      </c>
      <c r="DK344" t="s">
        <v>722</v>
      </c>
      <c r="DL344">
        <v>1025.99</v>
      </c>
      <c r="DM344" t="e">
        <v>#N/A</v>
      </c>
      <c r="DN344" t="s">
        <v>722</v>
      </c>
      <c r="DO344">
        <v>0.82</v>
      </c>
      <c r="DP344" t="e">
        <v>#N/A</v>
      </c>
      <c r="DQ344" t="s">
        <v>722</v>
      </c>
      <c r="DR344">
        <v>0.82</v>
      </c>
      <c r="DS344" t="e">
        <v>#N/A</v>
      </c>
      <c r="DT344" t="s">
        <v>722</v>
      </c>
      <c r="DU344">
        <v>1026.29</v>
      </c>
      <c r="DV344" t="e">
        <v>#N/A</v>
      </c>
      <c r="DW344" t="s">
        <v>722</v>
      </c>
      <c r="DX344">
        <v>1</v>
      </c>
      <c r="DY344" t="e">
        <v>#N/A</v>
      </c>
      <c r="DZ344" t="s">
        <v>722</v>
      </c>
      <c r="EA344">
        <v>0.98</v>
      </c>
      <c r="EB344" t="e">
        <v>#N/A</v>
      </c>
      <c r="EC344" t="s">
        <v>722</v>
      </c>
      <c r="ED344">
        <v>0.99</v>
      </c>
      <c r="EE344" t="e">
        <v>#N/A</v>
      </c>
      <c r="EF344" t="s">
        <v>722</v>
      </c>
      <c r="EG344">
        <v>0.99</v>
      </c>
      <c r="EH344" t="e">
        <v>#N/A</v>
      </c>
      <c r="EI344" t="s">
        <v>722</v>
      </c>
      <c r="EJ344">
        <v>1</v>
      </c>
      <c r="EK344" t="e">
        <v>#N/A</v>
      </c>
    </row>
    <row r="345" spans="1:141">
      <c r="C345" t="e">
        <v>#N/A</v>
      </c>
      <c r="F345" t="e">
        <v>#N/A</v>
      </c>
      <c r="P345" t="s">
        <v>721</v>
      </c>
      <c r="Q345">
        <v>0.5</v>
      </c>
      <c r="R345" t="e">
        <v>#N/A</v>
      </c>
      <c r="AJ345" t="e">
        <v>#N/A</v>
      </c>
      <c r="AT345" t="s">
        <v>722</v>
      </c>
      <c r="AU345">
        <v>100.28</v>
      </c>
      <c r="AV345" t="e">
        <v>#N/A</v>
      </c>
      <c r="AW345" t="s">
        <v>722</v>
      </c>
      <c r="AX345">
        <v>1026.01</v>
      </c>
      <c r="AY345" t="e">
        <v>#N/A</v>
      </c>
      <c r="AZ345" t="s">
        <v>665</v>
      </c>
      <c r="BA345">
        <v>39.799999999999997</v>
      </c>
      <c r="BB345" t="e">
        <v>#N/A</v>
      </c>
      <c r="BC345" t="s">
        <v>722</v>
      </c>
      <c r="BD345">
        <v>1000.8</v>
      </c>
      <c r="BE345" t="e">
        <v>#N/A</v>
      </c>
      <c r="BF345" t="s">
        <v>722</v>
      </c>
      <c r="BG345">
        <v>1001.97</v>
      </c>
      <c r="BH345" t="e">
        <v>#N/A</v>
      </c>
      <c r="BI345" t="s">
        <v>722</v>
      </c>
      <c r="BJ345">
        <v>0.81</v>
      </c>
      <c r="BK345" t="e">
        <v>#N/A</v>
      </c>
      <c r="BL345" t="s">
        <v>722</v>
      </c>
      <c r="BM345">
        <v>0.93</v>
      </c>
      <c r="BN345" t="e">
        <v>#N/A</v>
      </c>
      <c r="BO345" t="s">
        <v>722</v>
      </c>
      <c r="BP345">
        <v>0.77</v>
      </c>
      <c r="BQ345" t="e">
        <v>#N/A</v>
      </c>
      <c r="BR345" t="s">
        <v>722</v>
      </c>
      <c r="BS345">
        <v>0.95</v>
      </c>
      <c r="BT345" t="e">
        <v>#N/A</v>
      </c>
      <c r="BU345" t="s">
        <v>722</v>
      </c>
      <c r="BV345">
        <v>1014.21</v>
      </c>
      <c r="BW345" t="e">
        <v>#N/A</v>
      </c>
      <c r="BX345" t="s">
        <v>722</v>
      </c>
      <c r="BY345">
        <v>0.95</v>
      </c>
      <c r="BZ345" t="e">
        <v>#N/A</v>
      </c>
      <c r="CA345" t="s">
        <v>722</v>
      </c>
      <c r="CB345">
        <v>997.42</v>
      </c>
      <c r="CC345" t="e">
        <v>#N/A</v>
      </c>
      <c r="CD345" t="s">
        <v>722</v>
      </c>
      <c r="CE345">
        <v>1023.58</v>
      </c>
      <c r="CF345" t="e">
        <v>#N/A</v>
      </c>
      <c r="CG345" t="s">
        <v>722</v>
      </c>
      <c r="CH345">
        <v>0.96</v>
      </c>
      <c r="CI345" t="e">
        <v>#N/A</v>
      </c>
      <c r="CJ345" t="s">
        <v>722</v>
      </c>
      <c r="CK345">
        <v>1023.58</v>
      </c>
      <c r="CL345" t="e">
        <v>#N/A</v>
      </c>
      <c r="CM345" t="s">
        <v>722</v>
      </c>
      <c r="CN345">
        <v>0.83</v>
      </c>
      <c r="CO345" t="e">
        <v>#N/A</v>
      </c>
      <c r="CP345" t="s">
        <v>722</v>
      </c>
      <c r="CQ345">
        <v>1001.97</v>
      </c>
      <c r="CR345" t="e">
        <v>#N/A</v>
      </c>
      <c r="CS345" t="s">
        <v>722</v>
      </c>
      <c r="CT345">
        <v>1025.99</v>
      </c>
      <c r="CU345" t="e">
        <v>#N/A</v>
      </c>
      <c r="CV345" t="s">
        <v>722</v>
      </c>
      <c r="CW345">
        <v>0.81</v>
      </c>
      <c r="CX345" t="e">
        <v>#N/A</v>
      </c>
      <c r="CY345" t="s">
        <v>722</v>
      </c>
      <c r="CZ345">
        <v>1025.99</v>
      </c>
      <c r="DA345" t="e">
        <v>#N/A</v>
      </c>
      <c r="DB345" t="s">
        <v>722</v>
      </c>
      <c r="DC345">
        <v>1025.99</v>
      </c>
      <c r="DD345" t="e">
        <v>#N/A</v>
      </c>
      <c r="DE345" t="s">
        <v>722</v>
      </c>
      <c r="DF345">
        <v>0.8</v>
      </c>
      <c r="DG345" t="e">
        <v>#N/A</v>
      </c>
      <c r="DH345" t="s">
        <v>722</v>
      </c>
      <c r="DI345">
        <v>1</v>
      </c>
      <c r="DJ345" t="e">
        <v>#N/A</v>
      </c>
      <c r="DK345" t="s">
        <v>722</v>
      </c>
      <c r="DL345">
        <v>0.98</v>
      </c>
      <c r="DM345" t="e">
        <v>#N/A</v>
      </c>
      <c r="DN345" t="s">
        <v>722</v>
      </c>
      <c r="DO345">
        <v>1053.5</v>
      </c>
      <c r="DP345" t="e">
        <v>#N/A</v>
      </c>
      <c r="DQ345" t="s">
        <v>722</v>
      </c>
      <c r="DR345">
        <v>0.83</v>
      </c>
      <c r="DS345" t="e">
        <v>#N/A</v>
      </c>
      <c r="DT345" t="s">
        <v>722</v>
      </c>
      <c r="DU345">
        <v>0.82</v>
      </c>
      <c r="DV345" t="e">
        <v>#N/A</v>
      </c>
      <c r="DW345" t="s">
        <v>722</v>
      </c>
      <c r="DX345">
        <v>0.99</v>
      </c>
      <c r="DY345" t="e">
        <v>#N/A</v>
      </c>
      <c r="DZ345" t="s">
        <v>722</v>
      </c>
      <c r="EA345">
        <v>1026.29</v>
      </c>
      <c r="EB345" t="e">
        <v>#N/A</v>
      </c>
      <c r="EC345" t="s">
        <v>722</v>
      </c>
      <c r="ED345">
        <v>0.98</v>
      </c>
      <c r="EE345" t="e">
        <v>#N/A</v>
      </c>
      <c r="EF345" t="s">
        <v>722</v>
      </c>
      <c r="EG345">
        <v>0.98</v>
      </c>
      <c r="EH345" t="e">
        <v>#N/A</v>
      </c>
      <c r="EI345" t="s">
        <v>722</v>
      </c>
      <c r="EJ345">
        <v>0.99</v>
      </c>
      <c r="EK345" t="e">
        <v>#N/A</v>
      </c>
    </row>
    <row r="346" spans="1:141">
      <c r="C346" t="e">
        <v>#N/A</v>
      </c>
      <c r="F346" t="e">
        <v>#N/A</v>
      </c>
      <c r="AJ346" t="e">
        <v>#N/A</v>
      </c>
      <c r="AT346" t="s">
        <v>721</v>
      </c>
      <c r="AU346">
        <v>0.5</v>
      </c>
      <c r="AV346" t="e">
        <v>#N/A</v>
      </c>
      <c r="AW346" t="s">
        <v>722</v>
      </c>
      <c r="AX346">
        <v>0.78</v>
      </c>
      <c r="AY346" t="e">
        <v>#N/A</v>
      </c>
      <c r="AZ346" t="s">
        <v>722</v>
      </c>
      <c r="BA346">
        <v>1026.01</v>
      </c>
      <c r="BB346" t="e">
        <v>#N/A</v>
      </c>
      <c r="BC346" t="s">
        <v>722</v>
      </c>
      <c r="BD346">
        <v>1001.97</v>
      </c>
      <c r="BE346" t="e">
        <v>#N/A</v>
      </c>
      <c r="BF346" t="s">
        <v>722</v>
      </c>
      <c r="BG346">
        <v>0.81</v>
      </c>
      <c r="BH346" t="e">
        <v>#N/A</v>
      </c>
      <c r="BI346" t="s">
        <v>722</v>
      </c>
      <c r="BJ346">
        <v>1033.73</v>
      </c>
      <c r="BK346" t="e">
        <v>#N/A</v>
      </c>
      <c r="BL346" t="s">
        <v>722</v>
      </c>
      <c r="BM346">
        <v>1000.8</v>
      </c>
      <c r="BN346" t="e">
        <v>#N/A</v>
      </c>
      <c r="BO346" t="s">
        <v>722</v>
      </c>
      <c r="BP346">
        <v>0.84</v>
      </c>
      <c r="BQ346" t="e">
        <v>#N/A</v>
      </c>
      <c r="BR346" t="s">
        <v>722</v>
      </c>
      <c r="BS346">
        <v>1000.8</v>
      </c>
      <c r="BT346" t="e">
        <v>#N/A</v>
      </c>
      <c r="BU346" t="s">
        <v>722</v>
      </c>
      <c r="BV346">
        <v>0.81</v>
      </c>
      <c r="BW346" t="e">
        <v>#N/A</v>
      </c>
      <c r="BX346" t="s">
        <v>722</v>
      </c>
      <c r="BY346">
        <v>0.85</v>
      </c>
      <c r="BZ346" t="e">
        <v>#N/A</v>
      </c>
      <c r="CA346" t="s">
        <v>722</v>
      </c>
      <c r="CB346">
        <v>0.95</v>
      </c>
      <c r="CC346" t="e">
        <v>#N/A</v>
      </c>
      <c r="CD346" t="s">
        <v>722</v>
      </c>
      <c r="CE346">
        <v>1001.97</v>
      </c>
      <c r="CF346" t="e">
        <v>#N/A</v>
      </c>
      <c r="CG346" t="s">
        <v>722</v>
      </c>
      <c r="CH346">
        <v>997.42</v>
      </c>
      <c r="CI346" t="e">
        <v>#N/A</v>
      </c>
      <c r="CJ346" t="s">
        <v>722</v>
      </c>
      <c r="CK346">
        <v>996.74</v>
      </c>
      <c r="CL346" t="e">
        <v>#N/A</v>
      </c>
      <c r="CM346" t="s">
        <v>722</v>
      </c>
      <c r="CN346">
        <v>0.92</v>
      </c>
      <c r="CO346" t="e">
        <v>#N/A</v>
      </c>
      <c r="CP346" t="s">
        <v>722</v>
      </c>
      <c r="CQ346">
        <v>1</v>
      </c>
      <c r="CR346" t="e">
        <v>#N/A</v>
      </c>
      <c r="CS346" t="s">
        <v>722</v>
      </c>
      <c r="CT346">
        <v>0.94</v>
      </c>
      <c r="CU346" t="e">
        <v>#N/A</v>
      </c>
      <c r="CV346" t="s">
        <v>722</v>
      </c>
      <c r="CW346">
        <v>1053.5</v>
      </c>
      <c r="CX346" t="e">
        <v>#N/A</v>
      </c>
      <c r="CY346" t="s">
        <v>722</v>
      </c>
      <c r="CZ346">
        <v>0.82</v>
      </c>
      <c r="DA346" t="e">
        <v>#N/A</v>
      </c>
      <c r="DB346" t="s">
        <v>722</v>
      </c>
      <c r="DC346">
        <v>1003.54</v>
      </c>
      <c r="DD346" t="e">
        <v>#N/A</v>
      </c>
      <c r="DE346" t="s">
        <v>722</v>
      </c>
      <c r="DF346">
        <v>1053.5</v>
      </c>
      <c r="DG346" t="e">
        <v>#N/A</v>
      </c>
      <c r="DH346" t="s">
        <v>722</v>
      </c>
      <c r="DI346">
        <v>0.97</v>
      </c>
      <c r="DJ346" t="e">
        <v>#N/A</v>
      </c>
      <c r="DK346" t="s">
        <v>722</v>
      </c>
      <c r="DL346">
        <v>1002.08</v>
      </c>
      <c r="DM346" t="e">
        <v>#N/A</v>
      </c>
      <c r="DN346" t="s">
        <v>722</v>
      </c>
      <c r="DO346">
        <v>1025.99</v>
      </c>
      <c r="DP346" t="e">
        <v>#N/A</v>
      </c>
      <c r="DQ346" t="s">
        <v>722</v>
      </c>
      <c r="DR346">
        <v>1053.5</v>
      </c>
      <c r="DS346" t="e">
        <v>#N/A</v>
      </c>
      <c r="DT346" t="s">
        <v>722</v>
      </c>
      <c r="DU346">
        <v>1053.5</v>
      </c>
      <c r="DV346" t="e">
        <v>#N/A</v>
      </c>
      <c r="DW346" t="s">
        <v>722</v>
      </c>
      <c r="DX346">
        <v>0.98</v>
      </c>
      <c r="DY346" t="e">
        <v>#N/A</v>
      </c>
      <c r="DZ346" t="s">
        <v>722</v>
      </c>
      <c r="EA346">
        <v>0.83</v>
      </c>
      <c r="EB346" t="e">
        <v>#N/A</v>
      </c>
      <c r="EC346" t="s">
        <v>722</v>
      </c>
      <c r="ED346">
        <v>1026.29</v>
      </c>
      <c r="EE346" t="e">
        <v>#N/A</v>
      </c>
      <c r="EF346" t="s">
        <v>722</v>
      </c>
      <c r="EG346">
        <v>1026.29</v>
      </c>
      <c r="EH346" t="e">
        <v>#N/A</v>
      </c>
      <c r="EI346" t="s">
        <v>722</v>
      </c>
      <c r="EJ346">
        <v>0.98</v>
      </c>
      <c r="EK346" t="e">
        <v>#N/A</v>
      </c>
    </row>
    <row r="347" spans="1:141">
      <c r="C347" t="e">
        <v>#N/A</v>
      </c>
      <c r="F347" t="e">
        <v>#N/A</v>
      </c>
      <c r="AW347" t="s">
        <v>934</v>
      </c>
      <c r="AX347">
        <v>4.09</v>
      </c>
      <c r="AY347" t="e">
        <v>#N/A</v>
      </c>
      <c r="AZ347" t="s">
        <v>879</v>
      </c>
      <c r="BA347">
        <v>11.46</v>
      </c>
      <c r="BB347" t="e">
        <v>#N/A</v>
      </c>
      <c r="BC347" t="s">
        <v>722</v>
      </c>
      <c r="BD347">
        <v>0.81</v>
      </c>
      <c r="BE347" t="e">
        <v>#N/A</v>
      </c>
      <c r="BF347" t="s">
        <v>722</v>
      </c>
      <c r="BG347">
        <v>1033.73</v>
      </c>
      <c r="BH347" t="e">
        <v>#N/A</v>
      </c>
      <c r="BI347" t="s">
        <v>722</v>
      </c>
      <c r="BJ347">
        <v>0.82</v>
      </c>
      <c r="BK347" t="e">
        <v>#N/A</v>
      </c>
      <c r="BL347" t="s">
        <v>722</v>
      </c>
      <c r="BM347">
        <v>1001.97</v>
      </c>
      <c r="BN347" t="e">
        <v>#N/A</v>
      </c>
      <c r="BO347" t="s">
        <v>722</v>
      </c>
      <c r="BP347">
        <v>0.96</v>
      </c>
      <c r="BQ347" t="e">
        <v>#N/A</v>
      </c>
      <c r="BR347" t="s">
        <v>722</v>
      </c>
      <c r="BS347">
        <v>0.92</v>
      </c>
      <c r="BT347" t="e">
        <v>#N/A</v>
      </c>
      <c r="BU347" t="s">
        <v>722</v>
      </c>
      <c r="BV347">
        <v>0.81</v>
      </c>
      <c r="BW347" t="e">
        <v>#N/A</v>
      </c>
      <c r="BX347" t="s">
        <v>317</v>
      </c>
      <c r="BY347">
        <v>34.31</v>
      </c>
      <c r="BZ347" t="e">
        <v>#N/A</v>
      </c>
      <c r="CA347" t="s">
        <v>722</v>
      </c>
      <c r="CB347">
        <v>1023.58</v>
      </c>
      <c r="CC347" t="e">
        <v>#N/A</v>
      </c>
      <c r="CD347" t="s">
        <v>722</v>
      </c>
      <c r="CE347">
        <v>0.94</v>
      </c>
      <c r="CF347" t="e">
        <v>#N/A</v>
      </c>
      <c r="CG347" t="s">
        <v>722</v>
      </c>
      <c r="CH347">
        <v>0.85</v>
      </c>
      <c r="CI347" t="e">
        <v>#N/A</v>
      </c>
      <c r="CJ347" t="s">
        <v>722</v>
      </c>
      <c r="CK347">
        <v>1001.97</v>
      </c>
      <c r="CL347" t="e">
        <v>#N/A</v>
      </c>
      <c r="CM347" t="s">
        <v>722</v>
      </c>
      <c r="CN347">
        <v>1023.58</v>
      </c>
      <c r="CO347" t="e">
        <v>#N/A</v>
      </c>
      <c r="CP347" t="s">
        <v>722</v>
      </c>
      <c r="CQ347">
        <v>0.93</v>
      </c>
      <c r="CR347" t="e">
        <v>#N/A</v>
      </c>
      <c r="CS347" t="s">
        <v>722</v>
      </c>
      <c r="CT347">
        <v>1</v>
      </c>
      <c r="CU347" t="e">
        <v>#N/A</v>
      </c>
      <c r="CV347" t="s">
        <v>722</v>
      </c>
      <c r="CW347">
        <v>1025.99</v>
      </c>
      <c r="CX347" t="e">
        <v>#N/A</v>
      </c>
      <c r="CY347" t="s">
        <v>722</v>
      </c>
      <c r="CZ347">
        <v>0.98</v>
      </c>
      <c r="DA347" t="e">
        <v>#N/A</v>
      </c>
      <c r="DB347" t="s">
        <v>722</v>
      </c>
      <c r="DC347">
        <v>1</v>
      </c>
      <c r="DD347" t="e">
        <v>#N/A</v>
      </c>
      <c r="DE347" t="s">
        <v>722</v>
      </c>
      <c r="DF347">
        <v>1025.99</v>
      </c>
      <c r="DG347" t="e">
        <v>#N/A</v>
      </c>
      <c r="DH347" t="s">
        <v>722</v>
      </c>
      <c r="DI347">
        <v>0.89</v>
      </c>
      <c r="DJ347" t="e">
        <v>#N/A</v>
      </c>
      <c r="DK347" t="s">
        <v>722</v>
      </c>
      <c r="DL347">
        <v>1</v>
      </c>
      <c r="DM347" t="e">
        <v>#N/A</v>
      </c>
      <c r="DN347" t="s">
        <v>722</v>
      </c>
      <c r="DO347">
        <v>0.85</v>
      </c>
      <c r="DP347" t="e">
        <v>#N/A</v>
      </c>
      <c r="DQ347" t="s">
        <v>722</v>
      </c>
      <c r="DR347">
        <v>1025.99</v>
      </c>
      <c r="DS347" t="e">
        <v>#N/A</v>
      </c>
      <c r="DT347" t="s">
        <v>722</v>
      </c>
      <c r="DU347">
        <v>997.95</v>
      </c>
      <c r="DV347" t="e">
        <v>#N/A</v>
      </c>
      <c r="DW347" t="s">
        <v>722</v>
      </c>
      <c r="DX347">
        <v>1026.29</v>
      </c>
      <c r="DY347" t="e">
        <v>#N/A</v>
      </c>
      <c r="DZ347" t="s">
        <v>722</v>
      </c>
      <c r="EA347">
        <v>0.82</v>
      </c>
      <c r="EB347" t="e">
        <v>#N/A</v>
      </c>
      <c r="EC347" t="s">
        <v>722</v>
      </c>
      <c r="ED347">
        <v>0.83</v>
      </c>
      <c r="EE347" t="e">
        <v>#N/A</v>
      </c>
      <c r="EF347" t="s">
        <v>722</v>
      </c>
      <c r="EG347">
        <v>0.83</v>
      </c>
      <c r="EH347" t="e">
        <v>#N/A</v>
      </c>
      <c r="EI347" t="s">
        <v>722</v>
      </c>
      <c r="EJ347">
        <v>1026.29</v>
      </c>
      <c r="EK347" t="e">
        <v>#N/A</v>
      </c>
    </row>
    <row r="348" spans="1:141">
      <c r="C348" t="e">
        <v>#N/A</v>
      </c>
      <c r="F348" t="e">
        <v>#N/A</v>
      </c>
      <c r="AW348" t="s">
        <v>722</v>
      </c>
      <c r="AX348">
        <v>0.1</v>
      </c>
      <c r="AY348" t="e">
        <v>#N/A</v>
      </c>
      <c r="AZ348" t="s">
        <v>722</v>
      </c>
      <c r="BA348">
        <v>0.78</v>
      </c>
      <c r="BB348" t="e">
        <v>#N/A</v>
      </c>
      <c r="BC348" t="s">
        <v>934</v>
      </c>
      <c r="BD348">
        <v>3.8</v>
      </c>
      <c r="BE348" t="e">
        <v>#N/A</v>
      </c>
      <c r="BF348" t="s">
        <v>934</v>
      </c>
      <c r="BG348">
        <v>3.78</v>
      </c>
      <c r="BH348" t="e">
        <v>#N/A</v>
      </c>
      <c r="BI348" t="s">
        <v>722</v>
      </c>
      <c r="BJ348">
        <v>1001.35</v>
      </c>
      <c r="BK348" t="e">
        <v>#N/A</v>
      </c>
      <c r="BL348" t="s">
        <v>722</v>
      </c>
      <c r="BM348">
        <v>0.81</v>
      </c>
      <c r="BN348" t="e">
        <v>#N/A</v>
      </c>
      <c r="BO348" t="s">
        <v>722</v>
      </c>
      <c r="BP348">
        <v>0.95</v>
      </c>
      <c r="BQ348" t="e">
        <v>#N/A</v>
      </c>
      <c r="BR348" t="s">
        <v>722</v>
      </c>
      <c r="BS348">
        <v>1001.97</v>
      </c>
      <c r="BT348" t="e">
        <v>#N/A</v>
      </c>
      <c r="BU348" t="s">
        <v>722</v>
      </c>
      <c r="BV348">
        <v>0.97</v>
      </c>
      <c r="BW348" t="e">
        <v>#N/A</v>
      </c>
      <c r="BX348" t="s">
        <v>722</v>
      </c>
      <c r="BY348">
        <v>1011.25</v>
      </c>
      <c r="BZ348" t="e">
        <v>#N/A</v>
      </c>
      <c r="CA348" t="s">
        <v>722</v>
      </c>
      <c r="CB348">
        <v>0.85</v>
      </c>
      <c r="CC348" t="e">
        <v>#N/A</v>
      </c>
      <c r="CD348" t="s">
        <v>722</v>
      </c>
      <c r="CE348">
        <v>0.92</v>
      </c>
      <c r="CF348" t="e">
        <v>#N/A</v>
      </c>
      <c r="CG348" t="s">
        <v>722</v>
      </c>
      <c r="CH348">
        <v>1023.58</v>
      </c>
      <c r="CI348" t="e">
        <v>#N/A</v>
      </c>
      <c r="CJ348" t="s">
        <v>722</v>
      </c>
      <c r="CK348">
        <v>0.98</v>
      </c>
      <c r="CL348" t="e">
        <v>#N/A</v>
      </c>
      <c r="CM348" t="s">
        <v>722</v>
      </c>
      <c r="CN348">
        <v>0.81</v>
      </c>
      <c r="CO348" t="e">
        <v>#N/A</v>
      </c>
      <c r="CP348" t="s">
        <v>722</v>
      </c>
      <c r="CQ348">
        <v>0.98</v>
      </c>
      <c r="CR348" t="e">
        <v>#N/A</v>
      </c>
      <c r="CS348" t="s">
        <v>722</v>
      </c>
      <c r="CT348">
        <v>0.85</v>
      </c>
      <c r="CU348" t="e">
        <v>#N/A</v>
      </c>
      <c r="CV348" t="s">
        <v>722</v>
      </c>
      <c r="CW348">
        <v>0.95</v>
      </c>
      <c r="CX348" t="e">
        <v>#N/A</v>
      </c>
      <c r="CY348" t="s">
        <v>722</v>
      </c>
      <c r="CZ348">
        <v>1</v>
      </c>
      <c r="DA348" t="e">
        <v>#N/A</v>
      </c>
      <c r="DB348" t="s">
        <v>722</v>
      </c>
      <c r="DC348">
        <v>1015.63</v>
      </c>
      <c r="DD348" t="e">
        <v>#N/A</v>
      </c>
      <c r="DE348" t="s">
        <v>722</v>
      </c>
      <c r="DF348">
        <v>1003.54</v>
      </c>
      <c r="DG348" t="e">
        <v>#N/A</v>
      </c>
      <c r="DH348" t="s">
        <v>722</v>
      </c>
      <c r="DI348">
        <v>994.04</v>
      </c>
      <c r="DJ348" t="e">
        <v>#N/A</v>
      </c>
      <c r="DK348" t="s">
        <v>722</v>
      </c>
      <c r="DL348">
        <v>0.81</v>
      </c>
      <c r="DM348" t="e">
        <v>#N/A</v>
      </c>
      <c r="DN348" t="s">
        <v>722</v>
      </c>
      <c r="DO348">
        <v>1002.08</v>
      </c>
      <c r="DP348" t="e">
        <v>#N/A</v>
      </c>
      <c r="DQ348" t="s">
        <v>722</v>
      </c>
      <c r="DR348">
        <v>0.81</v>
      </c>
      <c r="DS348" t="e">
        <v>#N/A</v>
      </c>
      <c r="DT348" t="s">
        <v>722</v>
      </c>
      <c r="DU348">
        <v>0.84</v>
      </c>
      <c r="DV348" t="e">
        <v>#N/A</v>
      </c>
      <c r="DW348" t="s">
        <v>722</v>
      </c>
      <c r="DX348">
        <v>0.83</v>
      </c>
      <c r="DY348" t="e">
        <v>#N/A</v>
      </c>
      <c r="DZ348" t="s">
        <v>722</v>
      </c>
      <c r="EA348">
        <v>0.82</v>
      </c>
      <c r="EB348" t="e">
        <v>#N/A</v>
      </c>
      <c r="EC348" t="s">
        <v>722</v>
      </c>
      <c r="ED348">
        <v>0.82</v>
      </c>
      <c r="EE348" t="e">
        <v>#N/A</v>
      </c>
      <c r="EF348" t="s">
        <v>722</v>
      </c>
      <c r="EG348">
        <v>0.82</v>
      </c>
      <c r="EH348" t="e">
        <v>#N/A</v>
      </c>
      <c r="EI348" t="s">
        <v>722</v>
      </c>
      <c r="EJ348">
        <v>0.83</v>
      </c>
      <c r="EK348" t="e">
        <v>#N/A</v>
      </c>
    </row>
    <row r="349" spans="1:141">
      <c r="C349" t="e">
        <v>#N/A</v>
      </c>
      <c r="F349" t="e">
        <v>#N/A</v>
      </c>
      <c r="AW349" t="s">
        <v>722</v>
      </c>
      <c r="AX349">
        <v>100.28</v>
      </c>
      <c r="AY349" t="e">
        <v>#N/A</v>
      </c>
      <c r="AZ349" t="s">
        <v>722</v>
      </c>
      <c r="BA349">
        <v>0.1</v>
      </c>
      <c r="BB349" t="e">
        <v>#N/A</v>
      </c>
      <c r="BC349" t="s">
        <v>722</v>
      </c>
      <c r="BD349">
        <v>0.77</v>
      </c>
      <c r="BE349" t="e">
        <v>#N/A</v>
      </c>
      <c r="BF349" t="s">
        <v>722</v>
      </c>
      <c r="BG349">
        <v>1001.35</v>
      </c>
      <c r="BH349" t="e">
        <v>#N/A</v>
      </c>
      <c r="BI349" t="s">
        <v>722</v>
      </c>
      <c r="BJ349">
        <v>0.77</v>
      </c>
      <c r="BK349" t="e">
        <v>#N/A</v>
      </c>
      <c r="BL349" t="s">
        <v>722</v>
      </c>
      <c r="BM349">
        <v>1001.35</v>
      </c>
      <c r="BN349" t="e">
        <v>#N/A</v>
      </c>
      <c r="BO349" t="s">
        <v>722</v>
      </c>
      <c r="BP349">
        <v>933.38</v>
      </c>
      <c r="BQ349" t="e">
        <v>#N/A</v>
      </c>
      <c r="BR349" t="s">
        <v>722</v>
      </c>
      <c r="BS349">
        <v>0.98</v>
      </c>
      <c r="BT349" t="e">
        <v>#N/A</v>
      </c>
      <c r="BU349" t="s">
        <v>722</v>
      </c>
      <c r="BV349">
        <v>1001.35</v>
      </c>
      <c r="BW349" t="e">
        <v>#N/A</v>
      </c>
      <c r="BX349" t="s">
        <v>722</v>
      </c>
      <c r="BY349">
        <v>0.77</v>
      </c>
      <c r="BZ349" t="e">
        <v>#N/A</v>
      </c>
      <c r="CA349" t="s">
        <v>722</v>
      </c>
      <c r="CB349">
        <v>996.74</v>
      </c>
      <c r="CC349" t="e">
        <v>#N/A</v>
      </c>
      <c r="CD349" t="s">
        <v>722</v>
      </c>
      <c r="CE349">
        <v>996.27</v>
      </c>
      <c r="CF349" t="e">
        <v>#N/A</v>
      </c>
      <c r="CG349" t="s">
        <v>722</v>
      </c>
      <c r="CH349">
        <v>1009.37</v>
      </c>
      <c r="CI349" t="e">
        <v>#N/A</v>
      </c>
      <c r="CJ349" t="s">
        <v>722</v>
      </c>
      <c r="CK349">
        <v>0.98</v>
      </c>
      <c r="CL349" t="e">
        <v>#N/A</v>
      </c>
      <c r="CM349" t="s">
        <v>722</v>
      </c>
      <c r="CN349">
        <v>0.81</v>
      </c>
      <c r="CO349" t="e">
        <v>#N/A</v>
      </c>
      <c r="CP349" t="s">
        <v>722</v>
      </c>
      <c r="CQ349">
        <v>0.84</v>
      </c>
      <c r="CR349" t="e">
        <v>#N/A</v>
      </c>
      <c r="CS349" t="s">
        <v>722</v>
      </c>
      <c r="CT349">
        <v>994.04</v>
      </c>
      <c r="CU349" t="e">
        <v>#N/A</v>
      </c>
      <c r="CV349" t="s">
        <v>722</v>
      </c>
      <c r="CW349">
        <v>0.91</v>
      </c>
      <c r="CX349" t="e">
        <v>#N/A</v>
      </c>
      <c r="CY349" t="s">
        <v>722</v>
      </c>
      <c r="CZ349">
        <v>994.04</v>
      </c>
      <c r="DA349" t="e">
        <v>#N/A</v>
      </c>
      <c r="DB349" t="s">
        <v>722</v>
      </c>
      <c r="DC349">
        <v>0.85</v>
      </c>
      <c r="DD349" t="e">
        <v>#N/A</v>
      </c>
      <c r="DE349" t="s">
        <v>722</v>
      </c>
      <c r="DF349">
        <v>0.9</v>
      </c>
      <c r="DG349" t="e">
        <v>#N/A</v>
      </c>
      <c r="DH349" t="s">
        <v>722</v>
      </c>
      <c r="DI349">
        <v>0.83</v>
      </c>
      <c r="DJ349" t="e">
        <v>#N/A</v>
      </c>
      <c r="DK349" t="s">
        <v>722</v>
      </c>
      <c r="DL349">
        <v>0.95</v>
      </c>
      <c r="DM349" t="e">
        <v>#N/A</v>
      </c>
      <c r="DN349" t="s">
        <v>722</v>
      </c>
      <c r="DO349">
        <v>1</v>
      </c>
      <c r="DP349" t="e">
        <v>#N/A</v>
      </c>
      <c r="DQ349" t="s">
        <v>722</v>
      </c>
      <c r="DR349">
        <v>997.95</v>
      </c>
      <c r="DS349" t="e">
        <v>#N/A</v>
      </c>
      <c r="DT349" t="s">
        <v>722</v>
      </c>
      <c r="DU349">
        <v>1</v>
      </c>
      <c r="DV349" t="e">
        <v>#N/A</v>
      </c>
      <c r="DW349" t="s">
        <v>722</v>
      </c>
      <c r="DX349">
        <v>0.82</v>
      </c>
      <c r="DY349" t="e">
        <v>#N/A</v>
      </c>
      <c r="DZ349" t="s">
        <v>722</v>
      </c>
      <c r="EA349">
        <v>1053.5</v>
      </c>
      <c r="EB349" t="e">
        <v>#N/A</v>
      </c>
      <c r="EC349" t="s">
        <v>722</v>
      </c>
      <c r="ED349">
        <v>0.82</v>
      </c>
      <c r="EE349" t="e">
        <v>#N/A</v>
      </c>
      <c r="EF349" t="s">
        <v>722</v>
      </c>
      <c r="EG349">
        <v>0.82</v>
      </c>
      <c r="EH349" t="e">
        <v>#N/A</v>
      </c>
      <c r="EI349" t="s">
        <v>722</v>
      </c>
      <c r="EJ349">
        <v>0.82</v>
      </c>
      <c r="EK349" t="e">
        <v>#N/A</v>
      </c>
    </row>
    <row r="350" spans="1:141">
      <c r="C350" t="e">
        <v>#N/A</v>
      </c>
      <c r="F350" t="e">
        <v>#N/A</v>
      </c>
      <c r="AW350" t="s">
        <v>721</v>
      </c>
      <c r="AX350">
        <v>0.5</v>
      </c>
      <c r="AY350" t="e">
        <v>#N/A</v>
      </c>
      <c r="AZ350" t="s">
        <v>722</v>
      </c>
      <c r="BA350">
        <v>100.28</v>
      </c>
      <c r="BB350" t="e">
        <v>#N/A</v>
      </c>
      <c r="BC350" t="s">
        <v>722</v>
      </c>
      <c r="BD350">
        <v>0.79</v>
      </c>
      <c r="BE350" t="e">
        <v>#N/A</v>
      </c>
      <c r="BF350" t="s">
        <v>722</v>
      </c>
      <c r="BG350">
        <v>0.77</v>
      </c>
      <c r="BH350" t="e">
        <v>#N/A</v>
      </c>
      <c r="BI350" t="s">
        <v>722</v>
      </c>
      <c r="BJ350">
        <v>0.79</v>
      </c>
      <c r="BK350" t="e">
        <v>#N/A</v>
      </c>
      <c r="BL350" t="s">
        <v>722</v>
      </c>
      <c r="BM350">
        <v>0.77</v>
      </c>
      <c r="BN350" t="e">
        <v>#N/A</v>
      </c>
      <c r="BO350" t="s">
        <v>722</v>
      </c>
      <c r="BP350">
        <v>1066.6500000000001</v>
      </c>
      <c r="BQ350" t="e">
        <v>#N/A</v>
      </c>
      <c r="BR350" t="s">
        <v>722</v>
      </c>
      <c r="BS350">
        <v>0.81</v>
      </c>
      <c r="BT350" t="e">
        <v>#N/A</v>
      </c>
      <c r="BU350" t="s">
        <v>722</v>
      </c>
      <c r="BV350">
        <v>0.77</v>
      </c>
      <c r="BW350" t="e">
        <v>#N/A</v>
      </c>
      <c r="BX350" t="s">
        <v>879</v>
      </c>
      <c r="BY350">
        <v>9.9600000000000009</v>
      </c>
      <c r="BZ350" t="e">
        <v>#N/A</v>
      </c>
      <c r="CA350" t="s">
        <v>722</v>
      </c>
      <c r="CB350">
        <v>1000.8</v>
      </c>
      <c r="CC350" t="e">
        <v>#N/A</v>
      </c>
      <c r="CD350" t="s">
        <v>722</v>
      </c>
      <c r="CE350">
        <v>0.86</v>
      </c>
      <c r="CF350" t="e">
        <v>#N/A</v>
      </c>
      <c r="CG350" t="s">
        <v>722</v>
      </c>
      <c r="CH350">
        <v>996.74</v>
      </c>
      <c r="CI350" t="e">
        <v>#N/A</v>
      </c>
      <c r="CJ350" t="s">
        <v>722</v>
      </c>
      <c r="CK350">
        <v>0.91</v>
      </c>
      <c r="CL350" t="e">
        <v>#N/A</v>
      </c>
      <c r="CM350" t="s">
        <v>722</v>
      </c>
      <c r="CN350">
        <v>992.76</v>
      </c>
      <c r="CO350" t="e">
        <v>#N/A</v>
      </c>
      <c r="CP350" t="s">
        <v>722</v>
      </c>
      <c r="CQ350">
        <v>0.87</v>
      </c>
      <c r="CR350" t="e">
        <v>#N/A</v>
      </c>
      <c r="CS350" t="s">
        <v>722</v>
      </c>
      <c r="CT350">
        <v>0.82</v>
      </c>
      <c r="CU350" t="e">
        <v>#N/A</v>
      </c>
      <c r="CV350" t="s">
        <v>722</v>
      </c>
      <c r="CW350">
        <v>1</v>
      </c>
      <c r="CX350" t="e">
        <v>#N/A</v>
      </c>
      <c r="CY350" t="s">
        <v>722</v>
      </c>
      <c r="CZ350">
        <v>992.76</v>
      </c>
      <c r="DA350" t="e">
        <v>#N/A</v>
      </c>
      <c r="DB350" t="s">
        <v>722</v>
      </c>
      <c r="DC350">
        <v>0.89</v>
      </c>
      <c r="DD350" t="e">
        <v>#N/A</v>
      </c>
      <c r="DE350" t="s">
        <v>722</v>
      </c>
      <c r="DF350">
        <v>1</v>
      </c>
      <c r="DG350" t="e">
        <v>#N/A</v>
      </c>
      <c r="DH350" t="s">
        <v>722</v>
      </c>
      <c r="DI350">
        <v>0.88</v>
      </c>
      <c r="DJ350" t="e">
        <v>#N/A</v>
      </c>
      <c r="DK350" t="s">
        <v>722</v>
      </c>
      <c r="DL350">
        <v>994.04</v>
      </c>
      <c r="DM350" t="e">
        <v>#N/A</v>
      </c>
      <c r="DN350" t="s">
        <v>722</v>
      </c>
      <c r="DO350">
        <v>0.84</v>
      </c>
      <c r="DP350" t="e">
        <v>#N/A</v>
      </c>
      <c r="DQ350" t="s">
        <v>722</v>
      </c>
      <c r="DR350">
        <v>0.85</v>
      </c>
      <c r="DS350" t="e">
        <v>#N/A</v>
      </c>
      <c r="DT350" t="s">
        <v>722</v>
      </c>
      <c r="DU350">
        <v>0.91</v>
      </c>
      <c r="DV350" t="e">
        <v>#N/A</v>
      </c>
      <c r="DW350" t="s">
        <v>722</v>
      </c>
      <c r="DX350">
        <v>0.82</v>
      </c>
      <c r="DY350" t="e">
        <v>#N/A</v>
      </c>
      <c r="DZ350" t="s">
        <v>722</v>
      </c>
      <c r="EA350">
        <v>996.12</v>
      </c>
      <c r="EB350" t="e">
        <v>#N/A</v>
      </c>
      <c r="EC350" t="s">
        <v>722</v>
      </c>
      <c r="ED350">
        <v>1053.5</v>
      </c>
      <c r="EE350" t="e">
        <v>#N/A</v>
      </c>
      <c r="EF350" t="s">
        <v>722</v>
      </c>
      <c r="EG350">
        <v>1053.5</v>
      </c>
      <c r="EH350" t="e">
        <v>#N/A</v>
      </c>
      <c r="EI350" t="s">
        <v>722</v>
      </c>
      <c r="EJ350">
        <v>0.82</v>
      </c>
      <c r="EK350" t="e">
        <v>#N/A</v>
      </c>
    </row>
    <row r="351" spans="1:141">
      <c r="C351" t="e">
        <v>#N/A</v>
      </c>
      <c r="F351" t="e">
        <v>#N/A</v>
      </c>
      <c r="AZ351" t="s">
        <v>721</v>
      </c>
      <c r="BA351">
        <v>0.5</v>
      </c>
      <c r="BB351" t="e">
        <v>#N/A</v>
      </c>
      <c r="BC351" t="s">
        <v>722</v>
      </c>
      <c r="BD351">
        <v>933.38</v>
      </c>
      <c r="BE351" t="e">
        <v>#N/A</v>
      </c>
      <c r="BF351" t="s">
        <v>722</v>
      </c>
      <c r="BG351">
        <v>0.79</v>
      </c>
      <c r="BH351" t="e">
        <v>#N/A</v>
      </c>
      <c r="BI351" t="s">
        <v>722</v>
      </c>
      <c r="BJ351">
        <v>933.38</v>
      </c>
      <c r="BK351" t="e">
        <v>#N/A</v>
      </c>
      <c r="BL351" t="s">
        <v>722</v>
      </c>
      <c r="BM351">
        <v>933.38</v>
      </c>
      <c r="BN351" t="e">
        <v>#N/A</v>
      </c>
      <c r="BO351" t="s">
        <v>722</v>
      </c>
      <c r="BP351">
        <v>1021.72</v>
      </c>
      <c r="BQ351" t="e">
        <v>#N/A</v>
      </c>
      <c r="BR351" t="s">
        <v>722</v>
      </c>
      <c r="BS351">
        <v>1014.21</v>
      </c>
      <c r="BT351" t="e">
        <v>#N/A</v>
      </c>
      <c r="BU351" t="s">
        <v>879</v>
      </c>
      <c r="BV351">
        <v>9.9600000000000009</v>
      </c>
      <c r="BW351" t="e">
        <v>#N/A</v>
      </c>
      <c r="BX351" t="s">
        <v>722</v>
      </c>
      <c r="BY351">
        <v>0.92</v>
      </c>
      <c r="BZ351" t="e">
        <v>#N/A</v>
      </c>
      <c r="CA351" t="s">
        <v>722</v>
      </c>
      <c r="CB351">
        <v>0.92</v>
      </c>
      <c r="CC351" t="e">
        <v>#N/A</v>
      </c>
      <c r="CD351" t="s">
        <v>722</v>
      </c>
      <c r="CE351">
        <v>0.87</v>
      </c>
      <c r="CF351" t="e">
        <v>#N/A</v>
      </c>
      <c r="CG351" t="s">
        <v>722</v>
      </c>
      <c r="CH351">
        <v>1000.8</v>
      </c>
      <c r="CI351" t="e">
        <v>#N/A</v>
      </c>
      <c r="CJ351" t="s">
        <v>722</v>
      </c>
      <c r="CK351">
        <v>0.81</v>
      </c>
      <c r="CL351" t="e">
        <v>#N/A</v>
      </c>
      <c r="CM351" t="s">
        <v>722</v>
      </c>
      <c r="CN351">
        <v>0.93</v>
      </c>
      <c r="CO351" t="e">
        <v>#N/A</v>
      </c>
      <c r="CP351" t="s">
        <v>722</v>
      </c>
      <c r="CQ351">
        <v>0.87</v>
      </c>
      <c r="CR351" t="e">
        <v>#N/A</v>
      </c>
      <c r="CS351" t="s">
        <v>722</v>
      </c>
      <c r="CT351">
        <v>992.76</v>
      </c>
      <c r="CU351" t="e">
        <v>#N/A</v>
      </c>
      <c r="CV351" t="s">
        <v>722</v>
      </c>
      <c r="CW351">
        <v>0.85</v>
      </c>
      <c r="CX351" t="e">
        <v>#N/A</v>
      </c>
      <c r="CY351" t="s">
        <v>722</v>
      </c>
      <c r="CZ351">
        <v>0.9</v>
      </c>
      <c r="DA351" t="e">
        <v>#N/A</v>
      </c>
      <c r="DB351" t="s">
        <v>722</v>
      </c>
      <c r="DC351">
        <v>994.04</v>
      </c>
      <c r="DD351" t="e">
        <v>#N/A</v>
      </c>
      <c r="DE351" t="s">
        <v>722</v>
      </c>
      <c r="DF351">
        <v>1015.63</v>
      </c>
      <c r="DG351" t="e">
        <v>#N/A</v>
      </c>
      <c r="DH351" t="s">
        <v>722</v>
      </c>
      <c r="DI351">
        <v>0.84</v>
      </c>
      <c r="DJ351" t="e">
        <v>#N/A</v>
      </c>
      <c r="DK351" t="s">
        <v>722</v>
      </c>
      <c r="DL351">
        <v>0.92</v>
      </c>
      <c r="DM351" t="e">
        <v>#N/A</v>
      </c>
      <c r="DN351" t="s">
        <v>722</v>
      </c>
      <c r="DO351">
        <v>0.85</v>
      </c>
      <c r="DP351" t="e">
        <v>#N/A</v>
      </c>
      <c r="DQ351" t="s">
        <v>722</v>
      </c>
      <c r="DR351">
        <v>1</v>
      </c>
      <c r="DS351" t="e">
        <v>#N/A</v>
      </c>
      <c r="DT351" t="s">
        <v>722</v>
      </c>
      <c r="DU351">
        <v>0.81</v>
      </c>
      <c r="DV351" t="e">
        <v>#N/A</v>
      </c>
      <c r="DW351" t="s">
        <v>722</v>
      </c>
      <c r="DX351">
        <v>1053.5</v>
      </c>
      <c r="DY351" t="e">
        <v>#N/A</v>
      </c>
      <c r="DZ351" t="s">
        <v>722</v>
      </c>
      <c r="EA351">
        <v>0.89</v>
      </c>
      <c r="EB351" t="e">
        <v>#N/A</v>
      </c>
      <c r="EC351" t="s">
        <v>722</v>
      </c>
      <c r="ED351">
        <v>996.12</v>
      </c>
      <c r="EE351" t="e">
        <v>#N/A</v>
      </c>
      <c r="EF351" t="s">
        <v>722</v>
      </c>
      <c r="EG351">
        <v>996.12</v>
      </c>
      <c r="EH351" t="e">
        <v>#N/A</v>
      </c>
      <c r="EI351" t="s">
        <v>722</v>
      </c>
      <c r="EJ351">
        <v>1053.5</v>
      </c>
      <c r="EK351" t="e">
        <v>#N/A</v>
      </c>
    </row>
    <row r="352" spans="1:141">
      <c r="C352" t="e">
        <v>#N/A</v>
      </c>
      <c r="F352" t="e">
        <v>#N/A</v>
      </c>
      <c r="BC352" t="s">
        <v>722</v>
      </c>
      <c r="BD352">
        <v>1066.6500000000001</v>
      </c>
      <c r="BE352" t="e">
        <v>#N/A</v>
      </c>
      <c r="BF352" t="s">
        <v>722</v>
      </c>
      <c r="BG352">
        <v>933.38</v>
      </c>
      <c r="BH352" t="e">
        <v>#N/A</v>
      </c>
      <c r="BI352" t="s">
        <v>722</v>
      </c>
      <c r="BJ352">
        <v>1066.6500000000001</v>
      </c>
      <c r="BK352" t="e">
        <v>#N/A</v>
      </c>
      <c r="BL352" t="s">
        <v>722</v>
      </c>
      <c r="BM352">
        <v>1066.6500000000001</v>
      </c>
      <c r="BN352" t="e">
        <v>#N/A</v>
      </c>
      <c r="BO352" t="s">
        <v>722</v>
      </c>
      <c r="BP352">
        <v>0.89</v>
      </c>
      <c r="BQ352" t="e">
        <v>#N/A</v>
      </c>
      <c r="BR352" t="s">
        <v>722</v>
      </c>
      <c r="BS352">
        <v>0.81</v>
      </c>
      <c r="BT352" t="e">
        <v>#N/A</v>
      </c>
      <c r="BU352" t="s">
        <v>722</v>
      </c>
      <c r="BV352">
        <v>933.38</v>
      </c>
      <c r="BW352" t="e">
        <v>#N/A</v>
      </c>
      <c r="BX352" t="s">
        <v>722</v>
      </c>
      <c r="BY352">
        <v>933.38</v>
      </c>
      <c r="BZ352" t="e">
        <v>#N/A</v>
      </c>
      <c r="CA352" t="s">
        <v>722</v>
      </c>
      <c r="CB352">
        <v>1001.97</v>
      </c>
      <c r="CC352" t="e">
        <v>#N/A</v>
      </c>
      <c r="CD352" t="s">
        <v>722</v>
      </c>
      <c r="CE352">
        <v>0.8</v>
      </c>
      <c r="CF352" t="e">
        <v>#N/A</v>
      </c>
      <c r="CG352" t="s">
        <v>722</v>
      </c>
      <c r="CH352">
        <v>1001.97</v>
      </c>
      <c r="CI352" t="e">
        <v>#N/A</v>
      </c>
      <c r="CJ352" t="s">
        <v>722</v>
      </c>
      <c r="CK352">
        <v>0.93</v>
      </c>
      <c r="CL352" t="e">
        <v>#N/A</v>
      </c>
      <c r="CM352" t="s">
        <v>722</v>
      </c>
      <c r="CN352">
        <v>0.96</v>
      </c>
      <c r="CO352" t="e">
        <v>#N/A</v>
      </c>
      <c r="CP352" t="s">
        <v>722</v>
      </c>
      <c r="CQ352">
        <v>0.82</v>
      </c>
      <c r="CR352" t="e">
        <v>#N/A</v>
      </c>
      <c r="CS352" t="s">
        <v>722</v>
      </c>
      <c r="CT352">
        <v>0.94</v>
      </c>
      <c r="CU352" t="e">
        <v>#N/A</v>
      </c>
      <c r="CV352" t="s">
        <v>722</v>
      </c>
      <c r="CW352">
        <v>0.87</v>
      </c>
      <c r="CX352" t="e">
        <v>#N/A</v>
      </c>
      <c r="CY352" t="s">
        <v>722</v>
      </c>
      <c r="CZ352">
        <v>0.96</v>
      </c>
      <c r="DA352" t="e">
        <v>#N/A</v>
      </c>
      <c r="DB352" t="s">
        <v>722</v>
      </c>
      <c r="DC352">
        <v>0.86</v>
      </c>
      <c r="DD352" t="e">
        <v>#N/A</v>
      </c>
      <c r="DE352" t="s">
        <v>722</v>
      </c>
      <c r="DF352">
        <v>0.89</v>
      </c>
      <c r="DG352" t="e">
        <v>#N/A</v>
      </c>
      <c r="DH352" t="s">
        <v>722</v>
      </c>
      <c r="DI352">
        <v>992.76</v>
      </c>
      <c r="DJ352" t="e">
        <v>#N/A</v>
      </c>
      <c r="DK352" t="s">
        <v>722</v>
      </c>
      <c r="DL352">
        <v>992.76</v>
      </c>
      <c r="DM352" t="e">
        <v>#N/A</v>
      </c>
      <c r="DN352" t="s">
        <v>722</v>
      </c>
      <c r="DO352">
        <v>0.98</v>
      </c>
      <c r="DP352" t="e">
        <v>#N/A</v>
      </c>
      <c r="DQ352" t="s">
        <v>722</v>
      </c>
      <c r="DR352">
        <v>0.96</v>
      </c>
      <c r="DS352" t="e">
        <v>#N/A</v>
      </c>
      <c r="DT352" t="s">
        <v>722</v>
      </c>
      <c r="DU352">
        <v>0.81</v>
      </c>
      <c r="DV352" t="e">
        <v>#N/A</v>
      </c>
      <c r="DW352" t="s">
        <v>722</v>
      </c>
      <c r="DX352">
        <v>996.12</v>
      </c>
      <c r="DY352" t="e">
        <v>#N/A</v>
      </c>
      <c r="DZ352" t="s">
        <v>722</v>
      </c>
      <c r="EA352">
        <v>0.8</v>
      </c>
      <c r="EB352" t="e">
        <v>#N/A</v>
      </c>
      <c r="EC352" t="s">
        <v>722</v>
      </c>
      <c r="ED352">
        <v>0.89</v>
      </c>
      <c r="EE352" t="e">
        <v>#N/A</v>
      </c>
      <c r="EF352" t="s">
        <v>722</v>
      </c>
      <c r="EG352">
        <v>0.89</v>
      </c>
      <c r="EH352" t="e">
        <v>#N/A</v>
      </c>
      <c r="EI352" t="s">
        <v>722</v>
      </c>
      <c r="EJ352">
        <v>996.12</v>
      </c>
      <c r="EK352" t="e">
        <v>#N/A</v>
      </c>
    </row>
    <row r="353" spans="3:141">
      <c r="C353" t="e">
        <v>#N/A</v>
      </c>
      <c r="F353" t="e">
        <v>#N/A</v>
      </c>
      <c r="BC353" t="s">
        <v>879</v>
      </c>
      <c r="BD353">
        <v>10.5</v>
      </c>
      <c r="BE353" t="e">
        <v>#N/A</v>
      </c>
      <c r="BF353" t="s">
        <v>722</v>
      </c>
      <c r="BG353">
        <v>1066.6500000000001</v>
      </c>
      <c r="BH353" t="e">
        <v>#N/A</v>
      </c>
      <c r="BI353" t="s">
        <v>665</v>
      </c>
      <c r="BJ353">
        <v>39.799999999999997</v>
      </c>
      <c r="BK353" t="e">
        <v>#N/A</v>
      </c>
      <c r="BL353" t="s">
        <v>317</v>
      </c>
      <c r="BM353">
        <v>33.25</v>
      </c>
      <c r="BN353" t="e">
        <v>#N/A</v>
      </c>
      <c r="BO353" t="s">
        <v>879</v>
      </c>
      <c r="BP353">
        <v>10</v>
      </c>
      <c r="BQ353" t="e">
        <v>#N/A</v>
      </c>
      <c r="BR353" t="s">
        <v>722</v>
      </c>
      <c r="BS353">
        <v>0.8</v>
      </c>
      <c r="BT353" t="e">
        <v>#N/A</v>
      </c>
      <c r="BU353" t="s">
        <v>722</v>
      </c>
      <c r="BV353">
        <v>1066.6500000000001</v>
      </c>
      <c r="BW353" t="e">
        <v>#N/A</v>
      </c>
      <c r="BX353" t="s">
        <v>722</v>
      </c>
      <c r="BY353">
        <v>0.89</v>
      </c>
      <c r="BZ353" t="e">
        <v>#N/A</v>
      </c>
      <c r="CA353" t="s">
        <v>722</v>
      </c>
      <c r="CB353">
        <v>0.89</v>
      </c>
      <c r="CC353" t="e">
        <v>#N/A</v>
      </c>
      <c r="CD353" t="s">
        <v>722</v>
      </c>
      <c r="CE353">
        <v>0.98</v>
      </c>
      <c r="CF353" t="e">
        <v>#N/A</v>
      </c>
      <c r="CG353" t="s">
        <v>722</v>
      </c>
      <c r="CH353">
        <v>0.81</v>
      </c>
      <c r="CI353" t="e">
        <v>#N/A</v>
      </c>
      <c r="CJ353" t="s">
        <v>722</v>
      </c>
      <c r="CK353">
        <v>0.86</v>
      </c>
      <c r="CL353" t="e">
        <v>#N/A</v>
      </c>
      <c r="CM353" t="s">
        <v>722</v>
      </c>
      <c r="CN353">
        <v>0.85</v>
      </c>
      <c r="CO353" t="e">
        <v>#N/A</v>
      </c>
      <c r="CP353" t="s">
        <v>722</v>
      </c>
      <c r="CQ353">
        <v>0.99</v>
      </c>
      <c r="CR353" t="e">
        <v>#N/A</v>
      </c>
      <c r="CS353" t="s">
        <v>722</v>
      </c>
      <c r="CT353">
        <v>0.83</v>
      </c>
      <c r="CU353" t="e">
        <v>#N/A</v>
      </c>
      <c r="CV353" t="s">
        <v>722</v>
      </c>
      <c r="CW353">
        <v>994.04</v>
      </c>
      <c r="CX353" t="e">
        <v>#N/A</v>
      </c>
      <c r="CY353" t="s">
        <v>722</v>
      </c>
      <c r="CZ353">
        <v>0.95</v>
      </c>
      <c r="DA353" t="e">
        <v>#N/A</v>
      </c>
      <c r="DB353" t="s">
        <v>722</v>
      </c>
      <c r="DC353">
        <v>992.76</v>
      </c>
      <c r="DD353" t="e">
        <v>#N/A</v>
      </c>
      <c r="DE353" t="s">
        <v>722</v>
      </c>
      <c r="DF353">
        <v>994.04</v>
      </c>
      <c r="DG353" t="e">
        <v>#N/A</v>
      </c>
      <c r="DH353" t="s">
        <v>722</v>
      </c>
      <c r="DI353">
        <v>0.83</v>
      </c>
      <c r="DJ353" t="e">
        <v>#N/A</v>
      </c>
      <c r="DK353" t="s">
        <v>722</v>
      </c>
      <c r="DL353">
        <v>0.95</v>
      </c>
      <c r="DM353" t="e">
        <v>#N/A</v>
      </c>
      <c r="DN353" t="s">
        <v>722</v>
      </c>
      <c r="DO353">
        <v>994.04</v>
      </c>
      <c r="DP353" t="e">
        <v>#N/A</v>
      </c>
      <c r="DQ353" t="s">
        <v>722</v>
      </c>
      <c r="DR353">
        <v>1023</v>
      </c>
      <c r="DS353" t="e">
        <v>#N/A</v>
      </c>
      <c r="DT353" t="s">
        <v>722</v>
      </c>
      <c r="DU353">
        <v>0.95</v>
      </c>
      <c r="DV353" t="e">
        <v>#N/A</v>
      </c>
      <c r="DW353" t="s">
        <v>722</v>
      </c>
      <c r="DX353">
        <v>0.89</v>
      </c>
      <c r="DY353" t="e">
        <v>#N/A</v>
      </c>
      <c r="DZ353" t="s">
        <v>722</v>
      </c>
      <c r="EA353">
        <v>997.95</v>
      </c>
      <c r="EB353" t="e">
        <v>#N/A</v>
      </c>
      <c r="EC353" t="s">
        <v>722</v>
      </c>
      <c r="ED353">
        <v>0.8</v>
      </c>
      <c r="EE353" t="e">
        <v>#N/A</v>
      </c>
      <c r="EF353" t="s">
        <v>722</v>
      </c>
      <c r="EG353">
        <v>0.8</v>
      </c>
      <c r="EH353" t="e">
        <v>#N/A</v>
      </c>
      <c r="EI353" t="s">
        <v>722</v>
      </c>
      <c r="EJ353">
        <v>0.89</v>
      </c>
      <c r="EK353" t="e">
        <v>#N/A</v>
      </c>
    </row>
    <row r="354" spans="3:141">
      <c r="C354" t="e">
        <v>#N/A</v>
      </c>
      <c r="F354" t="e">
        <v>#N/A</v>
      </c>
      <c r="BC354" t="s">
        <v>665</v>
      </c>
      <c r="BD354">
        <v>39.799999999999997</v>
      </c>
      <c r="BE354" t="e">
        <v>#N/A</v>
      </c>
      <c r="BF354" t="s">
        <v>665</v>
      </c>
      <c r="BG354">
        <v>39.799999999999997</v>
      </c>
      <c r="BH354" t="e">
        <v>#N/A</v>
      </c>
      <c r="BI354" t="s">
        <v>934</v>
      </c>
      <c r="BJ354">
        <v>3.7</v>
      </c>
      <c r="BK354" t="s">
        <v>975</v>
      </c>
      <c r="BL354" t="s">
        <v>665</v>
      </c>
      <c r="BM354">
        <v>39.799999999999997</v>
      </c>
      <c r="BN354" t="e">
        <v>#N/A</v>
      </c>
      <c r="BO354" t="s">
        <v>722</v>
      </c>
      <c r="BP354">
        <v>0.93</v>
      </c>
      <c r="BQ354" t="e">
        <v>#N/A</v>
      </c>
      <c r="BR354" t="s">
        <v>722</v>
      </c>
      <c r="BS354">
        <v>1001.35</v>
      </c>
      <c r="BT354" t="e">
        <v>#N/A</v>
      </c>
      <c r="BU354" t="s">
        <v>722</v>
      </c>
      <c r="BV354">
        <v>0.95</v>
      </c>
      <c r="BW354" t="e">
        <v>#N/A</v>
      </c>
      <c r="BX354" t="s">
        <v>722</v>
      </c>
      <c r="BY354">
        <v>996.11</v>
      </c>
      <c r="BZ354" t="e">
        <v>#N/A</v>
      </c>
      <c r="CA354" t="s">
        <v>722</v>
      </c>
      <c r="CB354">
        <v>0.81</v>
      </c>
      <c r="CC354" t="e">
        <v>#N/A</v>
      </c>
      <c r="CD354" t="s">
        <v>722</v>
      </c>
      <c r="CE354">
        <v>0.9</v>
      </c>
      <c r="CF354" t="e">
        <v>#N/A</v>
      </c>
      <c r="CG354" t="s">
        <v>722</v>
      </c>
      <c r="CH354">
        <v>0.82</v>
      </c>
      <c r="CI354" t="e">
        <v>#N/A</v>
      </c>
      <c r="CJ354" t="s">
        <v>722</v>
      </c>
      <c r="CK354">
        <v>0.82</v>
      </c>
      <c r="CL354" t="e">
        <v>#N/A</v>
      </c>
      <c r="CM354" t="s">
        <v>722</v>
      </c>
      <c r="CN354">
        <v>1012.89</v>
      </c>
      <c r="CO354" t="e">
        <v>#N/A</v>
      </c>
      <c r="CP354" t="s">
        <v>722</v>
      </c>
      <c r="CQ354">
        <v>0.98</v>
      </c>
      <c r="CR354" t="e">
        <v>#N/A</v>
      </c>
      <c r="CS354" t="s">
        <v>722</v>
      </c>
      <c r="CT354">
        <v>0.81</v>
      </c>
      <c r="CU354" t="e">
        <v>#N/A</v>
      </c>
      <c r="CV354" t="s">
        <v>722</v>
      </c>
      <c r="CW354">
        <v>992.76</v>
      </c>
      <c r="CX354" t="e">
        <v>#N/A</v>
      </c>
      <c r="CY354" t="s">
        <v>722</v>
      </c>
      <c r="CZ354">
        <v>0.82</v>
      </c>
      <c r="DA354" t="e">
        <v>#N/A</v>
      </c>
      <c r="DB354" t="s">
        <v>722</v>
      </c>
      <c r="DC354">
        <v>0.88</v>
      </c>
      <c r="DD354" t="e">
        <v>#N/A</v>
      </c>
      <c r="DE354" t="s">
        <v>722</v>
      </c>
      <c r="DF354">
        <v>0.86</v>
      </c>
      <c r="DG354" t="e">
        <v>#N/A</v>
      </c>
      <c r="DH354" t="s">
        <v>722</v>
      </c>
      <c r="DI354">
        <v>0.94</v>
      </c>
      <c r="DJ354" t="e">
        <v>#N/A</v>
      </c>
      <c r="DK354" t="s">
        <v>722</v>
      </c>
      <c r="DL354">
        <v>0.98</v>
      </c>
      <c r="DM354" t="e">
        <v>#N/A</v>
      </c>
      <c r="DN354" t="s">
        <v>722</v>
      </c>
      <c r="DO354">
        <v>0.81</v>
      </c>
      <c r="DP354" t="e">
        <v>#N/A</v>
      </c>
      <c r="DQ354" t="s">
        <v>722</v>
      </c>
      <c r="DR354">
        <v>992.76</v>
      </c>
      <c r="DS354" t="e">
        <v>#N/A</v>
      </c>
      <c r="DT354" t="s">
        <v>722</v>
      </c>
      <c r="DU354">
        <v>0.94</v>
      </c>
      <c r="DV354" t="e">
        <v>#N/A</v>
      </c>
      <c r="DW354" t="s">
        <v>722</v>
      </c>
      <c r="DX354">
        <v>0.8</v>
      </c>
      <c r="DY354" t="e">
        <v>#N/A</v>
      </c>
      <c r="DZ354" t="s">
        <v>722</v>
      </c>
      <c r="EA354">
        <v>0.89</v>
      </c>
      <c r="EB354" t="e">
        <v>#N/A</v>
      </c>
      <c r="EC354" t="s">
        <v>722</v>
      </c>
      <c r="ED354">
        <v>997.95</v>
      </c>
      <c r="EE354" t="e">
        <v>#N/A</v>
      </c>
      <c r="EF354" t="s">
        <v>722</v>
      </c>
      <c r="EG354">
        <v>997.95</v>
      </c>
      <c r="EH354" t="e">
        <v>#N/A</v>
      </c>
      <c r="EI354" t="s">
        <v>722</v>
      </c>
      <c r="EJ354">
        <v>0.8</v>
      </c>
      <c r="EK354" t="e">
        <v>#N/A</v>
      </c>
    </row>
    <row r="355" spans="3:141">
      <c r="C355" t="e">
        <v>#N/A</v>
      </c>
      <c r="F355" t="e">
        <v>#N/A</v>
      </c>
      <c r="BC355" t="s">
        <v>722</v>
      </c>
      <c r="BD355">
        <v>0.1</v>
      </c>
      <c r="BE355" t="e">
        <v>#N/A</v>
      </c>
      <c r="BF355" t="s">
        <v>722</v>
      </c>
      <c r="BG355">
        <v>0.1</v>
      </c>
      <c r="BH355" t="e">
        <v>#N/A</v>
      </c>
      <c r="BI355" t="s">
        <v>973</v>
      </c>
      <c r="BJ355">
        <v>1.66</v>
      </c>
      <c r="BK355" t="s">
        <v>974</v>
      </c>
      <c r="BL355" t="s">
        <v>879</v>
      </c>
      <c r="BM355">
        <v>10.1</v>
      </c>
      <c r="BN355" t="e">
        <v>#N/A</v>
      </c>
      <c r="BO355" t="s">
        <v>665</v>
      </c>
      <c r="BP355">
        <v>39.799999999999997</v>
      </c>
      <c r="BQ355" t="e">
        <v>#N/A</v>
      </c>
      <c r="BR355" t="s">
        <v>722</v>
      </c>
      <c r="BS355">
        <v>0.77</v>
      </c>
      <c r="BT355" t="e">
        <v>#N/A</v>
      </c>
      <c r="BU355" t="s">
        <v>722</v>
      </c>
      <c r="BV355">
        <v>0.94</v>
      </c>
      <c r="BW355" t="e">
        <v>#N/A</v>
      </c>
      <c r="BX355" t="s">
        <v>722</v>
      </c>
      <c r="BY355">
        <v>1066.6500000000001</v>
      </c>
      <c r="BZ355" t="e">
        <v>#N/A</v>
      </c>
      <c r="CA355" t="s">
        <v>722</v>
      </c>
      <c r="CB355">
        <v>0.85</v>
      </c>
      <c r="CC355" t="e">
        <v>#N/A</v>
      </c>
      <c r="CD355" t="s">
        <v>722</v>
      </c>
      <c r="CE355">
        <v>0.97</v>
      </c>
      <c r="CF355" t="e">
        <v>#N/A</v>
      </c>
      <c r="CG355" t="s">
        <v>722</v>
      </c>
      <c r="CH355">
        <v>0.77</v>
      </c>
      <c r="CI355" t="e">
        <v>#N/A</v>
      </c>
      <c r="CJ355" t="s">
        <v>722</v>
      </c>
      <c r="CK355">
        <v>0.81</v>
      </c>
      <c r="CL355" t="e">
        <v>#N/A</v>
      </c>
      <c r="CM355" t="s">
        <v>722</v>
      </c>
      <c r="CN355">
        <v>0.94</v>
      </c>
      <c r="CO355" t="e">
        <v>#N/A</v>
      </c>
      <c r="CP355" t="s">
        <v>722</v>
      </c>
      <c r="CQ355">
        <v>1008.19</v>
      </c>
      <c r="CR355" t="e">
        <v>#N/A</v>
      </c>
      <c r="CS355" t="s">
        <v>722</v>
      </c>
      <c r="CT355">
        <v>0.93</v>
      </c>
      <c r="CU355" t="e">
        <v>#N/A</v>
      </c>
      <c r="CV355" t="s">
        <v>722</v>
      </c>
      <c r="CW355">
        <v>0.95</v>
      </c>
      <c r="CX355" t="e">
        <v>#N/A</v>
      </c>
      <c r="CY355" t="s">
        <v>722</v>
      </c>
      <c r="CZ355">
        <v>1001.97</v>
      </c>
      <c r="DA355" t="e">
        <v>#N/A</v>
      </c>
      <c r="DB355" t="s">
        <v>722</v>
      </c>
      <c r="DC355">
        <v>0.95</v>
      </c>
      <c r="DD355" t="e">
        <v>#N/A</v>
      </c>
      <c r="DE355" t="s">
        <v>722</v>
      </c>
      <c r="DF355">
        <v>992.76</v>
      </c>
      <c r="DG355" t="e">
        <v>#N/A</v>
      </c>
      <c r="DH355" t="s">
        <v>722</v>
      </c>
      <c r="DI355">
        <v>0.89</v>
      </c>
      <c r="DJ355" t="e">
        <v>#N/A</v>
      </c>
      <c r="DK355" t="s">
        <v>722</v>
      </c>
      <c r="DL355">
        <v>0.88</v>
      </c>
      <c r="DM355" t="e">
        <v>#N/A</v>
      </c>
      <c r="DN355" t="s">
        <v>722</v>
      </c>
      <c r="DO355">
        <v>992.76</v>
      </c>
      <c r="DP355" t="e">
        <v>#N/A</v>
      </c>
      <c r="DQ355" t="s">
        <v>722</v>
      </c>
      <c r="DR355">
        <v>0.85</v>
      </c>
      <c r="DS355" t="e">
        <v>#N/A</v>
      </c>
      <c r="DT355" t="s">
        <v>722</v>
      </c>
      <c r="DU355">
        <v>1023</v>
      </c>
      <c r="DV355" t="e">
        <v>#N/A</v>
      </c>
      <c r="DW355" t="s">
        <v>722</v>
      </c>
      <c r="DX355">
        <v>997.95</v>
      </c>
      <c r="DY355" t="e">
        <v>#N/A</v>
      </c>
      <c r="DZ355" t="s">
        <v>722</v>
      </c>
      <c r="EA355">
        <v>0.9</v>
      </c>
      <c r="EB355" t="e">
        <v>#N/A</v>
      </c>
      <c r="EC355" t="s">
        <v>722</v>
      </c>
      <c r="ED355">
        <v>0.89</v>
      </c>
      <c r="EE355" t="e">
        <v>#N/A</v>
      </c>
      <c r="EF355" t="s">
        <v>722</v>
      </c>
      <c r="EG355">
        <v>0.89</v>
      </c>
      <c r="EH355" t="e">
        <v>#N/A</v>
      </c>
      <c r="EI355" t="s">
        <v>722</v>
      </c>
      <c r="EJ355">
        <v>997.95</v>
      </c>
      <c r="EK355" t="e">
        <v>#N/A</v>
      </c>
    </row>
    <row r="356" spans="3:141">
      <c r="C356" t="e">
        <v>#N/A</v>
      </c>
      <c r="F356" t="e">
        <v>#N/A</v>
      </c>
      <c r="BC356" t="s">
        <v>722</v>
      </c>
      <c r="BD356">
        <v>100.28</v>
      </c>
      <c r="BE356" t="e">
        <v>#N/A</v>
      </c>
      <c r="BF356" t="s">
        <v>722</v>
      </c>
      <c r="BG356">
        <v>100.28</v>
      </c>
      <c r="BH356" t="e">
        <v>#N/A</v>
      </c>
      <c r="BI356" t="s">
        <v>722</v>
      </c>
      <c r="BJ356">
        <v>0.1</v>
      </c>
      <c r="BK356" t="e">
        <v>#N/A</v>
      </c>
      <c r="BL356" t="s">
        <v>722</v>
      </c>
      <c r="BM356">
        <v>0.1</v>
      </c>
      <c r="BN356" t="e">
        <v>#N/A</v>
      </c>
      <c r="BO356" t="s">
        <v>722</v>
      </c>
      <c r="BP356">
        <v>0.87</v>
      </c>
      <c r="BQ356" t="e">
        <v>#N/A</v>
      </c>
      <c r="BR356" t="s">
        <v>722</v>
      </c>
      <c r="BS356">
        <v>933.38</v>
      </c>
      <c r="BT356" t="e">
        <v>#N/A</v>
      </c>
      <c r="BU356" t="s">
        <v>317</v>
      </c>
      <c r="BV356">
        <v>34.049999999999997</v>
      </c>
      <c r="BW356" t="e">
        <v>#N/A</v>
      </c>
      <c r="BX356" t="s">
        <v>665</v>
      </c>
      <c r="BY356">
        <v>39.799999999999997</v>
      </c>
      <c r="BZ356" t="e">
        <v>#N/A</v>
      </c>
      <c r="CA356" t="s">
        <v>722</v>
      </c>
      <c r="CB356">
        <v>0.77</v>
      </c>
      <c r="CC356" t="e">
        <v>#N/A</v>
      </c>
      <c r="CD356" t="s">
        <v>722</v>
      </c>
      <c r="CE356">
        <v>1022.83</v>
      </c>
      <c r="CF356" t="e">
        <v>#N/A</v>
      </c>
      <c r="CG356" t="s">
        <v>722</v>
      </c>
      <c r="CH356">
        <v>933.38</v>
      </c>
      <c r="CI356" t="e">
        <v>#N/A</v>
      </c>
      <c r="CJ356" t="s">
        <v>722</v>
      </c>
      <c r="CK356">
        <v>0.77</v>
      </c>
      <c r="CL356" t="e">
        <v>#N/A</v>
      </c>
      <c r="CM356" t="s">
        <v>722</v>
      </c>
      <c r="CN356">
        <v>1001.97</v>
      </c>
      <c r="CO356" t="e">
        <v>#N/A</v>
      </c>
      <c r="CP356" t="s">
        <v>722</v>
      </c>
      <c r="CQ356">
        <v>0.98</v>
      </c>
      <c r="CR356" t="e">
        <v>#N/A</v>
      </c>
      <c r="CS356" t="s">
        <v>722</v>
      </c>
      <c r="CT356">
        <v>1001.97</v>
      </c>
      <c r="CU356" t="e">
        <v>#N/A</v>
      </c>
      <c r="CV356" t="s">
        <v>722</v>
      </c>
      <c r="CW356">
        <v>0.82</v>
      </c>
      <c r="CX356" t="e">
        <v>#N/A</v>
      </c>
      <c r="CY356" t="s">
        <v>722</v>
      </c>
      <c r="CZ356">
        <v>0.94</v>
      </c>
      <c r="DA356" t="e">
        <v>#N/A</v>
      </c>
      <c r="DB356" t="s">
        <v>722</v>
      </c>
      <c r="DC356">
        <v>1005.5</v>
      </c>
      <c r="DD356" t="e">
        <v>#N/A</v>
      </c>
      <c r="DE356" t="s">
        <v>722</v>
      </c>
      <c r="DF356">
        <v>0.88</v>
      </c>
      <c r="DG356" t="e">
        <v>#N/A</v>
      </c>
      <c r="DH356" t="s">
        <v>722</v>
      </c>
      <c r="DI356">
        <v>0.82</v>
      </c>
      <c r="DJ356" t="e">
        <v>#N/A</v>
      </c>
      <c r="DK356" t="s">
        <v>722</v>
      </c>
      <c r="DL356">
        <v>0.86</v>
      </c>
      <c r="DM356" t="e">
        <v>#N/A</v>
      </c>
      <c r="DN356" t="s">
        <v>722</v>
      </c>
      <c r="DO356">
        <v>0.87</v>
      </c>
      <c r="DP356" t="e">
        <v>#N/A</v>
      </c>
      <c r="DQ356" t="s">
        <v>722</v>
      </c>
      <c r="DR356">
        <v>1032.57</v>
      </c>
      <c r="DS356" t="e">
        <v>#N/A</v>
      </c>
      <c r="DT356" t="s">
        <v>722</v>
      </c>
      <c r="DU356">
        <v>992.76</v>
      </c>
      <c r="DV356" t="e">
        <v>#N/A</v>
      </c>
      <c r="DW356" t="s">
        <v>722</v>
      </c>
      <c r="DX356">
        <v>0.89</v>
      </c>
      <c r="DY356" t="e">
        <v>#N/A</v>
      </c>
      <c r="DZ356" t="s">
        <v>722</v>
      </c>
      <c r="EA356">
        <v>1</v>
      </c>
      <c r="EB356" t="e">
        <v>#N/A</v>
      </c>
      <c r="EC356" t="s">
        <v>722</v>
      </c>
      <c r="ED356">
        <v>0.9</v>
      </c>
      <c r="EE356" t="e">
        <v>#N/A</v>
      </c>
      <c r="EF356" t="s">
        <v>722</v>
      </c>
      <c r="EG356">
        <v>0.9</v>
      </c>
      <c r="EH356" t="e">
        <v>#N/A</v>
      </c>
      <c r="EI356" t="s">
        <v>722</v>
      </c>
      <c r="EJ356">
        <v>0.89</v>
      </c>
      <c r="EK356" t="e">
        <v>#N/A</v>
      </c>
    </row>
    <row r="357" spans="3:141">
      <c r="C357" t="e">
        <v>#N/A</v>
      </c>
      <c r="F357" t="e">
        <v>#N/A</v>
      </c>
      <c r="BC357" t="s">
        <v>721</v>
      </c>
      <c r="BD357">
        <v>0.5</v>
      </c>
      <c r="BE357" t="e">
        <v>#N/A</v>
      </c>
      <c r="BF357" t="s">
        <v>721</v>
      </c>
      <c r="BG357">
        <v>0.5</v>
      </c>
      <c r="BH357" t="e">
        <v>#N/A</v>
      </c>
      <c r="BI357" t="s">
        <v>722</v>
      </c>
      <c r="BJ357">
        <v>100.28</v>
      </c>
      <c r="BK357" t="e">
        <v>#N/A</v>
      </c>
      <c r="BL357" t="s">
        <v>722</v>
      </c>
      <c r="BM357">
        <v>100.28</v>
      </c>
      <c r="BN357" t="e">
        <v>#N/A</v>
      </c>
      <c r="BO357" t="s">
        <v>722</v>
      </c>
      <c r="BP357">
        <v>0.8</v>
      </c>
      <c r="BQ357" t="e">
        <v>#N/A</v>
      </c>
      <c r="BR357" t="s">
        <v>722</v>
      </c>
      <c r="BS357">
        <v>1066.6500000000001</v>
      </c>
      <c r="BT357" t="e">
        <v>#N/A</v>
      </c>
      <c r="BU357" t="s">
        <v>722</v>
      </c>
      <c r="BV357">
        <v>0.89</v>
      </c>
      <c r="BW357" t="e">
        <v>#N/A</v>
      </c>
      <c r="BX357" t="s">
        <v>722</v>
      </c>
      <c r="BY357">
        <v>0.82</v>
      </c>
      <c r="BZ357" t="e">
        <v>#N/A</v>
      </c>
      <c r="CA357" t="s">
        <v>722</v>
      </c>
      <c r="CB357">
        <v>1009.37</v>
      </c>
      <c r="CC357" t="e">
        <v>#N/A</v>
      </c>
      <c r="CD357" t="s">
        <v>722</v>
      </c>
      <c r="CE357">
        <v>0.81</v>
      </c>
      <c r="CF357" t="e">
        <v>#N/A</v>
      </c>
      <c r="CG357" t="s">
        <v>722</v>
      </c>
      <c r="CH357">
        <v>1066.6500000000001</v>
      </c>
      <c r="CI357" t="e">
        <v>#N/A</v>
      </c>
      <c r="CJ357" t="s">
        <v>879</v>
      </c>
      <c r="CK357">
        <v>9.5</v>
      </c>
      <c r="CL357" t="e">
        <v>#N/A</v>
      </c>
      <c r="CM357" t="s">
        <v>722</v>
      </c>
      <c r="CN357">
        <v>0.84</v>
      </c>
      <c r="CO357" t="e">
        <v>#N/A</v>
      </c>
      <c r="CP357" t="s">
        <v>722</v>
      </c>
      <c r="CQ357">
        <v>933.38</v>
      </c>
      <c r="CR357" t="e">
        <v>#N/A</v>
      </c>
      <c r="CS357" t="s">
        <v>722</v>
      </c>
      <c r="CT357">
        <v>0.85</v>
      </c>
      <c r="CU357" t="e">
        <v>#N/A</v>
      </c>
      <c r="CV357" t="s">
        <v>722</v>
      </c>
      <c r="CW357">
        <v>1001.97</v>
      </c>
      <c r="CX357" t="e">
        <v>#N/A</v>
      </c>
      <c r="CY357" t="s">
        <v>722</v>
      </c>
      <c r="CZ357">
        <v>0.85</v>
      </c>
      <c r="DA357" t="e">
        <v>#N/A</v>
      </c>
      <c r="DB357" t="s">
        <v>722</v>
      </c>
      <c r="DC357">
        <v>1017.96</v>
      </c>
      <c r="DD357" t="e">
        <v>#N/A</v>
      </c>
      <c r="DE357" t="s">
        <v>722</v>
      </c>
      <c r="DF357">
        <v>1005.5</v>
      </c>
      <c r="DG357" t="e">
        <v>#N/A</v>
      </c>
      <c r="DH357" t="s">
        <v>722</v>
      </c>
      <c r="DI357">
        <v>1001.97</v>
      </c>
      <c r="DJ357" t="e">
        <v>#N/A</v>
      </c>
      <c r="DK357" t="s">
        <v>722</v>
      </c>
      <c r="DL357">
        <v>0.87</v>
      </c>
      <c r="DM357" t="e">
        <v>#N/A</v>
      </c>
      <c r="DN357" t="s">
        <v>722</v>
      </c>
      <c r="DO357">
        <v>0.85</v>
      </c>
      <c r="DP357" t="e">
        <v>#N/A</v>
      </c>
      <c r="DQ357" t="s">
        <v>722</v>
      </c>
      <c r="DR357">
        <v>0.86</v>
      </c>
      <c r="DS357" t="e">
        <v>#N/A</v>
      </c>
      <c r="DT357" t="s">
        <v>722</v>
      </c>
      <c r="DU357">
        <v>0.89</v>
      </c>
      <c r="DV357" t="e">
        <v>#N/A</v>
      </c>
      <c r="DW357" t="s">
        <v>722</v>
      </c>
      <c r="DX357">
        <v>0.9</v>
      </c>
      <c r="DY357" t="e">
        <v>#N/A</v>
      </c>
      <c r="DZ357" t="s">
        <v>722</v>
      </c>
      <c r="EA357">
        <v>0.89</v>
      </c>
      <c r="EB357" t="e">
        <v>#N/A</v>
      </c>
      <c r="EC357" t="s">
        <v>722</v>
      </c>
      <c r="ED357">
        <v>1</v>
      </c>
      <c r="EE357" t="e">
        <v>#N/A</v>
      </c>
      <c r="EF357" t="s">
        <v>722</v>
      </c>
      <c r="EG357">
        <v>1</v>
      </c>
      <c r="EH357" t="e">
        <v>#N/A</v>
      </c>
      <c r="EI357" t="s">
        <v>722</v>
      </c>
      <c r="EJ357">
        <v>0.9</v>
      </c>
      <c r="EK357" t="e">
        <v>#N/A</v>
      </c>
    </row>
    <row r="358" spans="3:141">
      <c r="C358" t="e">
        <v>#N/A</v>
      </c>
      <c r="F358" t="e">
        <v>#N/A</v>
      </c>
      <c r="BI358" t="s">
        <v>721</v>
      </c>
      <c r="BJ358">
        <v>0.5</v>
      </c>
      <c r="BK358" t="e">
        <v>#N/A</v>
      </c>
      <c r="BL358" t="s">
        <v>721</v>
      </c>
      <c r="BM358">
        <v>0.5</v>
      </c>
      <c r="BN358" t="e">
        <v>#N/A</v>
      </c>
      <c r="BO358" t="s">
        <v>722</v>
      </c>
      <c r="BP358">
        <v>0.77</v>
      </c>
      <c r="BQ358" t="e">
        <v>#N/A</v>
      </c>
      <c r="BR358" t="s">
        <v>879</v>
      </c>
      <c r="BS358">
        <v>10</v>
      </c>
      <c r="BT358" t="e">
        <v>#N/A</v>
      </c>
      <c r="BU358" t="s">
        <v>665</v>
      </c>
      <c r="BV358">
        <v>39.799999999999997</v>
      </c>
      <c r="BW358" t="e">
        <v>#N/A</v>
      </c>
      <c r="BX358" t="s">
        <v>722</v>
      </c>
      <c r="BY358">
        <v>0.9</v>
      </c>
      <c r="BZ358" t="e">
        <v>#N/A</v>
      </c>
      <c r="CA358" t="s">
        <v>722</v>
      </c>
      <c r="CB358">
        <v>933.38</v>
      </c>
      <c r="CC358" t="e">
        <v>#N/A</v>
      </c>
      <c r="CD358" t="s">
        <v>722</v>
      </c>
      <c r="CE358">
        <v>0.93</v>
      </c>
      <c r="CF358" t="e">
        <v>#N/A</v>
      </c>
      <c r="CG358" t="s">
        <v>665</v>
      </c>
      <c r="CH358">
        <v>39.799999999999997</v>
      </c>
      <c r="CI358" t="e">
        <v>#N/A</v>
      </c>
      <c r="CJ358" t="s">
        <v>722</v>
      </c>
      <c r="CK358">
        <v>0.96</v>
      </c>
      <c r="CL358" t="e">
        <v>#N/A</v>
      </c>
      <c r="CM358" t="s">
        <v>722</v>
      </c>
      <c r="CN358">
        <v>0.82</v>
      </c>
      <c r="CO358" t="e">
        <v>#N/A</v>
      </c>
      <c r="CP358" t="s">
        <v>722</v>
      </c>
      <c r="CQ358">
        <v>1066.6500000000001</v>
      </c>
      <c r="CR358" t="e">
        <v>#N/A</v>
      </c>
      <c r="CS358" t="s">
        <v>722</v>
      </c>
      <c r="CT358">
        <v>0.88</v>
      </c>
      <c r="CU358" t="e">
        <v>#N/A</v>
      </c>
      <c r="CV358" t="s">
        <v>722</v>
      </c>
      <c r="CW358">
        <v>0.85</v>
      </c>
      <c r="CX358" t="e">
        <v>#N/A</v>
      </c>
      <c r="CY358" t="s">
        <v>722</v>
      </c>
      <c r="CZ358">
        <v>1020.8</v>
      </c>
      <c r="DA358" t="e">
        <v>#N/A</v>
      </c>
      <c r="DB358" t="s">
        <v>722</v>
      </c>
      <c r="DC358">
        <v>0.9</v>
      </c>
      <c r="DD358" t="e">
        <v>#N/A</v>
      </c>
      <c r="DE358" t="s">
        <v>722</v>
      </c>
      <c r="DF358">
        <v>1017.96</v>
      </c>
      <c r="DG358" t="e">
        <v>#N/A</v>
      </c>
      <c r="DH358" t="s">
        <v>722</v>
      </c>
      <c r="DI358">
        <v>0.91</v>
      </c>
      <c r="DJ358" t="e">
        <v>#N/A</v>
      </c>
      <c r="DK358" t="s">
        <v>722</v>
      </c>
      <c r="DL358">
        <v>0.82</v>
      </c>
      <c r="DM358" t="e">
        <v>#N/A</v>
      </c>
      <c r="DN358" t="s">
        <v>722</v>
      </c>
      <c r="DO358">
        <v>994.59</v>
      </c>
      <c r="DP358" t="e">
        <v>#N/A</v>
      </c>
      <c r="DQ358" t="s">
        <v>722</v>
      </c>
      <c r="DR358">
        <v>0.94</v>
      </c>
      <c r="DS358" t="e">
        <v>#N/A</v>
      </c>
      <c r="DT358" t="s">
        <v>722</v>
      </c>
      <c r="DU358">
        <v>996.2</v>
      </c>
      <c r="DV358" t="e">
        <v>#N/A</v>
      </c>
      <c r="DW358" t="s">
        <v>722</v>
      </c>
      <c r="DX358">
        <v>1</v>
      </c>
      <c r="DY358" t="e">
        <v>#N/A</v>
      </c>
      <c r="DZ358" t="s">
        <v>722</v>
      </c>
      <c r="EA358">
        <v>990.91</v>
      </c>
      <c r="EB358" t="e">
        <v>#N/A</v>
      </c>
      <c r="EC358" t="s">
        <v>722</v>
      </c>
      <c r="ED358">
        <v>0.89</v>
      </c>
      <c r="EE358" t="e">
        <v>#N/A</v>
      </c>
      <c r="EF358" t="s">
        <v>722</v>
      </c>
      <c r="EG358">
        <v>0.89</v>
      </c>
      <c r="EH358" t="e">
        <v>#N/A</v>
      </c>
      <c r="EI358" t="s">
        <v>722</v>
      </c>
      <c r="EJ358">
        <v>1</v>
      </c>
      <c r="EK358" t="e">
        <v>#N/A</v>
      </c>
    </row>
    <row r="359" spans="3:141">
      <c r="C359" t="e">
        <v>#N/A</v>
      </c>
      <c r="F359" t="e">
        <v>#N/A</v>
      </c>
      <c r="BO359" t="s">
        <v>722</v>
      </c>
      <c r="BP359">
        <v>0.76</v>
      </c>
      <c r="BQ359" t="e">
        <v>#N/A</v>
      </c>
      <c r="BR359" t="s">
        <v>665</v>
      </c>
      <c r="BS359">
        <v>39.799999999999997</v>
      </c>
      <c r="BT359" t="e">
        <v>#N/A</v>
      </c>
      <c r="BU359" t="s">
        <v>722</v>
      </c>
      <c r="BV359">
        <v>0.85</v>
      </c>
      <c r="BW359" t="e">
        <v>#N/A</v>
      </c>
      <c r="BX359" t="s">
        <v>722</v>
      </c>
      <c r="BY359">
        <v>0.83</v>
      </c>
      <c r="BZ359" t="e">
        <v>#N/A</v>
      </c>
      <c r="CA359" t="s">
        <v>722</v>
      </c>
      <c r="CB359">
        <v>1066.6500000000001</v>
      </c>
      <c r="CC359" t="e">
        <v>#N/A</v>
      </c>
      <c r="CD359" t="s">
        <v>665</v>
      </c>
      <c r="CE359">
        <v>39.799999999999997</v>
      </c>
      <c r="CF359" t="e">
        <v>#N/A</v>
      </c>
      <c r="CG359" t="s">
        <v>879</v>
      </c>
      <c r="CH359">
        <v>9.5500000000000007</v>
      </c>
      <c r="CI359" t="e">
        <v>#N/A</v>
      </c>
      <c r="CJ359" t="s">
        <v>722</v>
      </c>
      <c r="CK359">
        <v>0.94</v>
      </c>
      <c r="CL359" t="e">
        <v>#N/A</v>
      </c>
      <c r="CM359" t="s">
        <v>879</v>
      </c>
      <c r="CN359">
        <v>9.5</v>
      </c>
      <c r="CO359" t="e">
        <v>#N/A</v>
      </c>
      <c r="CP359" t="s">
        <v>722</v>
      </c>
      <c r="CQ359">
        <v>0.94</v>
      </c>
      <c r="CR359" t="e">
        <v>#N/A</v>
      </c>
      <c r="CS359" t="s">
        <v>722</v>
      </c>
      <c r="CT359">
        <v>0.82</v>
      </c>
      <c r="CU359" t="e">
        <v>#N/A</v>
      </c>
      <c r="CV359" t="s">
        <v>722</v>
      </c>
      <c r="CW359">
        <v>1020.8</v>
      </c>
      <c r="CX359" t="e">
        <v>#N/A</v>
      </c>
      <c r="CY359" t="s">
        <v>722</v>
      </c>
      <c r="CZ359">
        <v>0.94</v>
      </c>
      <c r="DA359" t="e">
        <v>#N/A</v>
      </c>
      <c r="DB359" t="s">
        <v>722</v>
      </c>
      <c r="DC359">
        <v>0.82</v>
      </c>
      <c r="DD359" t="e">
        <v>#N/A</v>
      </c>
      <c r="DE359" t="s">
        <v>722</v>
      </c>
      <c r="DF359">
        <v>0.9</v>
      </c>
      <c r="DG359" t="e">
        <v>#N/A</v>
      </c>
      <c r="DH359" t="s">
        <v>722</v>
      </c>
      <c r="DI359">
        <v>0.91</v>
      </c>
      <c r="DJ359" t="e">
        <v>#N/A</v>
      </c>
      <c r="DK359" t="s">
        <v>722</v>
      </c>
      <c r="DL359">
        <v>1001.97</v>
      </c>
      <c r="DM359" t="e">
        <v>#N/A</v>
      </c>
      <c r="DN359" t="s">
        <v>722</v>
      </c>
      <c r="DO359">
        <v>991.9</v>
      </c>
      <c r="DP359" t="e">
        <v>#N/A</v>
      </c>
      <c r="DQ359" t="s">
        <v>722</v>
      </c>
      <c r="DR359">
        <v>1018.79</v>
      </c>
      <c r="DS359" t="e">
        <v>#N/A</v>
      </c>
      <c r="DT359" t="s">
        <v>722</v>
      </c>
      <c r="DU359">
        <v>0.92</v>
      </c>
      <c r="DV359" t="e">
        <v>#N/A</v>
      </c>
      <c r="DW359" t="s">
        <v>722</v>
      </c>
      <c r="DX359">
        <v>0.89</v>
      </c>
      <c r="DY359" t="e">
        <v>#N/A</v>
      </c>
      <c r="DZ359" t="s">
        <v>722</v>
      </c>
      <c r="EA359">
        <v>0.81</v>
      </c>
      <c r="EB359" t="e">
        <v>#N/A</v>
      </c>
      <c r="EC359" t="s">
        <v>722</v>
      </c>
      <c r="ED359">
        <v>990.91</v>
      </c>
      <c r="EE359" t="e">
        <v>#N/A</v>
      </c>
      <c r="EF359" t="s">
        <v>722</v>
      </c>
      <c r="EG359">
        <v>990.91</v>
      </c>
      <c r="EH359" t="e">
        <v>#N/A</v>
      </c>
      <c r="EI359" t="s">
        <v>722</v>
      </c>
      <c r="EJ359">
        <v>0.89</v>
      </c>
      <c r="EK359" t="e">
        <v>#N/A</v>
      </c>
    </row>
    <row r="360" spans="3:141">
      <c r="C360" t="e">
        <v>#N/A</v>
      </c>
      <c r="F360" t="e">
        <v>#N/A</v>
      </c>
      <c r="BO360" t="s">
        <v>722</v>
      </c>
      <c r="BP360">
        <v>0.1</v>
      </c>
      <c r="BQ360" t="e">
        <v>#N/A</v>
      </c>
      <c r="BR360" t="s">
        <v>722</v>
      </c>
      <c r="BS360">
        <v>0.1</v>
      </c>
      <c r="BT360" t="e">
        <v>#N/A</v>
      </c>
      <c r="BU360" t="s">
        <v>722</v>
      </c>
      <c r="BV360">
        <v>0.1</v>
      </c>
      <c r="BW360" t="e">
        <v>#N/A</v>
      </c>
      <c r="BX360" t="s">
        <v>722</v>
      </c>
      <c r="BY360">
        <v>0.77</v>
      </c>
      <c r="BZ360" t="e">
        <v>#N/A</v>
      </c>
      <c r="CA360" t="s">
        <v>722</v>
      </c>
      <c r="CB360">
        <v>0.82</v>
      </c>
      <c r="CC360" t="e">
        <v>#N/A</v>
      </c>
      <c r="CD360" t="s">
        <v>722</v>
      </c>
      <c r="CE360">
        <v>1025.73</v>
      </c>
      <c r="CF360" t="e">
        <v>#N/A</v>
      </c>
      <c r="CG360" t="s">
        <v>722</v>
      </c>
      <c r="CH360">
        <v>0.1</v>
      </c>
      <c r="CI360" t="e">
        <v>#N/A</v>
      </c>
      <c r="CJ360" t="s">
        <v>722</v>
      </c>
      <c r="CK360">
        <v>933.38</v>
      </c>
      <c r="CL360" t="e">
        <v>#N/A</v>
      </c>
      <c r="CM360" t="s">
        <v>722</v>
      </c>
      <c r="CN360">
        <v>933.38</v>
      </c>
      <c r="CO360" t="e">
        <v>#N/A</v>
      </c>
      <c r="CP360" t="s">
        <v>722</v>
      </c>
      <c r="CQ360">
        <v>1015.35</v>
      </c>
      <c r="CR360" t="e">
        <v>#N/A</v>
      </c>
      <c r="CS360" t="s">
        <v>722</v>
      </c>
      <c r="CT360">
        <v>1008.19</v>
      </c>
      <c r="CU360" t="e">
        <v>#N/A</v>
      </c>
      <c r="CV360" t="s">
        <v>722</v>
      </c>
      <c r="CW360">
        <v>0.82</v>
      </c>
      <c r="CX360" t="e">
        <v>#N/A</v>
      </c>
      <c r="CY360" t="s">
        <v>722</v>
      </c>
      <c r="CZ360">
        <v>0.82</v>
      </c>
      <c r="DA360" t="e">
        <v>#N/A</v>
      </c>
      <c r="DB360" t="s">
        <v>722</v>
      </c>
      <c r="DC360">
        <v>1001.97</v>
      </c>
      <c r="DD360" t="e">
        <v>#N/A</v>
      </c>
      <c r="DE360" t="s">
        <v>722</v>
      </c>
      <c r="DF360">
        <v>0.82</v>
      </c>
      <c r="DG360" t="e">
        <v>#N/A</v>
      </c>
      <c r="DH360" t="s">
        <v>722</v>
      </c>
      <c r="DI360">
        <v>0.79</v>
      </c>
      <c r="DJ360" t="e">
        <v>#N/A</v>
      </c>
      <c r="DK360" t="s">
        <v>722</v>
      </c>
      <c r="DL360">
        <v>1026.94</v>
      </c>
      <c r="DM360" t="e">
        <v>#N/A</v>
      </c>
      <c r="DN360" t="s">
        <v>722</v>
      </c>
      <c r="DO360">
        <v>1001.97</v>
      </c>
      <c r="DP360" t="e">
        <v>#N/A</v>
      </c>
      <c r="DQ360" t="s">
        <v>722</v>
      </c>
      <c r="DR360">
        <v>0.89</v>
      </c>
      <c r="DS360" t="e">
        <v>#N/A</v>
      </c>
      <c r="DT360" t="s">
        <v>722</v>
      </c>
      <c r="DU360">
        <v>0.82</v>
      </c>
      <c r="DV360" t="e">
        <v>#N/A</v>
      </c>
      <c r="DW360" t="s">
        <v>722</v>
      </c>
      <c r="DX360">
        <v>990.91</v>
      </c>
      <c r="DY360" t="e">
        <v>#N/A</v>
      </c>
      <c r="DZ360" t="s">
        <v>722</v>
      </c>
      <c r="EA360">
        <v>0.83</v>
      </c>
      <c r="EB360" t="e">
        <v>#N/A</v>
      </c>
      <c r="EC360" t="s">
        <v>722</v>
      </c>
      <c r="ED360">
        <v>0.81</v>
      </c>
      <c r="EE360" t="e">
        <v>#N/A</v>
      </c>
      <c r="EF360" t="s">
        <v>722</v>
      </c>
      <c r="EG360">
        <v>0.81</v>
      </c>
      <c r="EH360" t="e">
        <v>#N/A</v>
      </c>
      <c r="EI360" t="s">
        <v>722</v>
      </c>
      <c r="EJ360">
        <v>990.91</v>
      </c>
      <c r="EK360" t="e">
        <v>#N/A</v>
      </c>
    </row>
    <row r="361" spans="3:141">
      <c r="F361" t="e">
        <v>#N/A</v>
      </c>
      <c r="BO361" t="s">
        <v>722</v>
      </c>
      <c r="BP361">
        <v>100.28</v>
      </c>
      <c r="BQ361" t="e">
        <v>#N/A</v>
      </c>
      <c r="BR361" t="s">
        <v>722</v>
      </c>
      <c r="BS361">
        <v>100.28</v>
      </c>
      <c r="BT361" t="e">
        <v>#N/A</v>
      </c>
      <c r="BU361" t="s">
        <v>722</v>
      </c>
      <c r="BV361">
        <v>100.28</v>
      </c>
      <c r="BW361" t="e">
        <v>#N/A</v>
      </c>
      <c r="BX361" t="s">
        <v>722</v>
      </c>
      <c r="BY361">
        <v>0.1</v>
      </c>
      <c r="BZ361" t="e">
        <v>#N/A</v>
      </c>
      <c r="CA361" t="s">
        <v>665</v>
      </c>
      <c r="CB361">
        <v>39.799999999999997</v>
      </c>
      <c r="CC361" t="e">
        <v>#N/A</v>
      </c>
      <c r="CD361" t="s">
        <v>879</v>
      </c>
      <c r="CE361">
        <v>9.5500000000000007</v>
      </c>
      <c r="CF361" t="e">
        <v>#N/A</v>
      </c>
      <c r="CG361" t="s">
        <v>722</v>
      </c>
      <c r="CH361">
        <v>100.28</v>
      </c>
      <c r="CI361" t="e">
        <v>#N/A</v>
      </c>
      <c r="CJ361" t="s">
        <v>722</v>
      </c>
      <c r="CK361">
        <v>1066.6500000000001</v>
      </c>
      <c r="CL361" t="e">
        <v>#N/A</v>
      </c>
      <c r="CM361" t="s">
        <v>722</v>
      </c>
      <c r="CN361">
        <v>1066.6500000000001</v>
      </c>
      <c r="CO361" t="e">
        <v>#N/A</v>
      </c>
      <c r="CP361" t="s">
        <v>722</v>
      </c>
      <c r="CQ361">
        <v>1004.58</v>
      </c>
      <c r="CR361" t="e">
        <v>#N/A</v>
      </c>
      <c r="CS361" t="s">
        <v>722</v>
      </c>
      <c r="CT361">
        <v>933.38</v>
      </c>
      <c r="CU361" t="e">
        <v>#N/A</v>
      </c>
      <c r="CV361" t="s">
        <v>722</v>
      </c>
      <c r="CW361">
        <v>1001.46</v>
      </c>
      <c r="CX361" t="e">
        <v>#N/A</v>
      </c>
      <c r="CY361" t="s">
        <v>722</v>
      </c>
      <c r="CZ361">
        <v>0.88</v>
      </c>
      <c r="DA361" t="e">
        <v>#N/A</v>
      </c>
      <c r="DB361" t="s">
        <v>722</v>
      </c>
      <c r="DC361">
        <v>0.95</v>
      </c>
      <c r="DD361" t="e">
        <v>#N/A</v>
      </c>
      <c r="DE361" t="s">
        <v>722</v>
      </c>
      <c r="DF361">
        <v>1001.97</v>
      </c>
      <c r="DG361" t="e">
        <v>#N/A</v>
      </c>
      <c r="DH361" t="s">
        <v>722</v>
      </c>
      <c r="DI361">
        <v>1002.5</v>
      </c>
      <c r="DJ361" t="e">
        <v>#N/A</v>
      </c>
      <c r="DK361" t="s">
        <v>722</v>
      </c>
      <c r="DL361">
        <v>1028.55</v>
      </c>
      <c r="DM361" t="e">
        <v>#N/A</v>
      </c>
      <c r="DN361" t="s">
        <v>722</v>
      </c>
      <c r="DO361">
        <v>0.91</v>
      </c>
      <c r="DP361" t="e">
        <v>#N/A</v>
      </c>
      <c r="DQ361" t="s">
        <v>722</v>
      </c>
      <c r="DR361">
        <v>0.92</v>
      </c>
      <c r="DS361" t="e">
        <v>#N/A</v>
      </c>
      <c r="DT361" t="s">
        <v>722</v>
      </c>
      <c r="DU361">
        <v>994.21</v>
      </c>
      <c r="DV361" t="e">
        <v>#N/A</v>
      </c>
      <c r="DW361" t="s">
        <v>722</v>
      </c>
      <c r="DX361">
        <v>0.81</v>
      </c>
      <c r="DY361" t="e">
        <v>#N/A</v>
      </c>
      <c r="DZ361" t="s">
        <v>722</v>
      </c>
      <c r="EA361">
        <v>1023</v>
      </c>
      <c r="EB361" t="e">
        <v>#N/A</v>
      </c>
      <c r="EC361" t="s">
        <v>722</v>
      </c>
      <c r="ED361">
        <v>0.83</v>
      </c>
      <c r="EE361" t="e">
        <v>#N/A</v>
      </c>
      <c r="EF361" t="s">
        <v>722</v>
      </c>
      <c r="EG361">
        <v>0.83</v>
      </c>
      <c r="EH361" t="e">
        <v>#N/A</v>
      </c>
      <c r="EI361" t="s">
        <v>722</v>
      </c>
      <c r="EJ361">
        <v>0.81</v>
      </c>
      <c r="EK361" t="e">
        <v>#N/A</v>
      </c>
    </row>
    <row r="362" spans="3:141">
      <c r="BO362" t="s">
        <v>721</v>
      </c>
      <c r="BP362">
        <v>0.5</v>
      </c>
      <c r="BQ362" t="e">
        <v>#N/A</v>
      </c>
      <c r="BR362" t="s">
        <v>721</v>
      </c>
      <c r="BS362">
        <v>0.5</v>
      </c>
      <c r="BT362" t="e">
        <v>#N/A</v>
      </c>
      <c r="BU362" t="s">
        <v>721</v>
      </c>
      <c r="BV362">
        <v>0.5</v>
      </c>
      <c r="BW362" t="e">
        <v>#N/A</v>
      </c>
      <c r="BX362" t="s">
        <v>722</v>
      </c>
      <c r="BY362">
        <v>100.28</v>
      </c>
      <c r="BZ362" t="e">
        <v>#N/A</v>
      </c>
      <c r="CA362" t="s">
        <v>722</v>
      </c>
      <c r="CB362">
        <v>0.82</v>
      </c>
      <c r="CC362" t="e">
        <v>#N/A</v>
      </c>
      <c r="CD362" t="s">
        <v>722</v>
      </c>
      <c r="CE362">
        <v>961.91</v>
      </c>
      <c r="CF362" t="e">
        <v>#N/A</v>
      </c>
      <c r="CG362" t="s">
        <v>995</v>
      </c>
      <c r="CH362">
        <v>27.77</v>
      </c>
      <c r="CI362" t="e">
        <v>#N/A</v>
      </c>
      <c r="CJ362" t="s">
        <v>665</v>
      </c>
      <c r="CK362">
        <v>39.799999999999997</v>
      </c>
      <c r="CL362" t="e">
        <v>#N/A</v>
      </c>
      <c r="CM362" t="s">
        <v>317</v>
      </c>
      <c r="CN362">
        <v>34.380000000000003</v>
      </c>
      <c r="CO362" t="e">
        <v>#N/A</v>
      </c>
      <c r="CP362" t="s">
        <v>665</v>
      </c>
      <c r="CQ362">
        <v>39.799999999999997</v>
      </c>
      <c r="CR362" t="e">
        <v>#N/A</v>
      </c>
      <c r="CS362" t="s">
        <v>722</v>
      </c>
      <c r="CT362">
        <v>1066.6500000000001</v>
      </c>
      <c r="CU362" t="e">
        <v>#N/A</v>
      </c>
      <c r="CV362" t="s">
        <v>722</v>
      </c>
      <c r="CW362">
        <v>933.38</v>
      </c>
      <c r="CX362" t="e">
        <v>#N/A</v>
      </c>
      <c r="CY362" t="s">
        <v>722</v>
      </c>
      <c r="CZ362">
        <v>933.38</v>
      </c>
      <c r="DA362" t="e">
        <v>#N/A</v>
      </c>
      <c r="DB362" t="s">
        <v>722</v>
      </c>
      <c r="DC362">
        <v>0.8</v>
      </c>
      <c r="DD362" t="e">
        <v>#N/A</v>
      </c>
      <c r="DE362" t="s">
        <v>722</v>
      </c>
      <c r="DF362">
        <v>0.95</v>
      </c>
      <c r="DG362" t="e">
        <v>#N/A</v>
      </c>
      <c r="DH362" t="s">
        <v>722</v>
      </c>
      <c r="DI362">
        <v>1024.29</v>
      </c>
      <c r="DJ362" t="e">
        <v>#N/A</v>
      </c>
      <c r="DK362" t="s">
        <v>722</v>
      </c>
      <c r="DL362">
        <v>1024.29</v>
      </c>
      <c r="DM362" t="e">
        <v>#N/A</v>
      </c>
      <c r="DN362" t="s">
        <v>722</v>
      </c>
      <c r="DO362">
        <v>0.84</v>
      </c>
      <c r="DP362" t="e">
        <v>#N/A</v>
      </c>
      <c r="DQ362" t="s">
        <v>722</v>
      </c>
      <c r="DR362">
        <v>0.86</v>
      </c>
      <c r="DS362" t="e">
        <v>#N/A</v>
      </c>
      <c r="DT362" t="s">
        <v>722</v>
      </c>
      <c r="DU362">
        <v>1001.97</v>
      </c>
      <c r="DV362" t="e">
        <v>#N/A</v>
      </c>
      <c r="DW362" t="s">
        <v>722</v>
      </c>
      <c r="DX362">
        <v>0.83</v>
      </c>
      <c r="DY362" t="e">
        <v>#N/A</v>
      </c>
      <c r="DZ362" t="s">
        <v>722</v>
      </c>
      <c r="EA362">
        <v>992.76</v>
      </c>
      <c r="EB362" t="e">
        <v>#N/A</v>
      </c>
      <c r="EC362" t="s">
        <v>722</v>
      </c>
      <c r="ED362">
        <v>1023</v>
      </c>
      <c r="EE362" t="e">
        <v>#N/A</v>
      </c>
      <c r="EF362" t="s">
        <v>722</v>
      </c>
      <c r="EG362">
        <v>1023</v>
      </c>
      <c r="EH362" t="e">
        <v>#N/A</v>
      </c>
      <c r="EI362" t="s">
        <v>722</v>
      </c>
      <c r="EJ362">
        <v>0.83</v>
      </c>
      <c r="EK362" t="e">
        <v>#N/A</v>
      </c>
    </row>
    <row r="363" spans="3:141">
      <c r="BX363" t="s">
        <v>721</v>
      </c>
      <c r="BY363">
        <v>0.5</v>
      </c>
      <c r="BZ363" t="e">
        <v>#N/A</v>
      </c>
      <c r="CA363" t="s">
        <v>879</v>
      </c>
      <c r="CB363">
        <v>9.5500000000000007</v>
      </c>
      <c r="CC363" t="e">
        <v>#N/A</v>
      </c>
      <c r="CD363" t="s">
        <v>722</v>
      </c>
      <c r="CE363">
        <v>0.1</v>
      </c>
      <c r="CF363" t="e">
        <v>#N/A</v>
      </c>
      <c r="CG363" t="s">
        <v>721</v>
      </c>
      <c r="CH363">
        <v>0.5</v>
      </c>
      <c r="CI363" t="e">
        <v>#N/A</v>
      </c>
      <c r="CJ363" t="s">
        <v>722</v>
      </c>
      <c r="CK363">
        <v>0.84</v>
      </c>
      <c r="CL363" t="e">
        <v>#N/A</v>
      </c>
      <c r="CM363" t="s">
        <v>665</v>
      </c>
      <c r="CN363">
        <v>39.799999999999997</v>
      </c>
      <c r="CO363" t="e">
        <v>#N/A</v>
      </c>
      <c r="CP363" t="s">
        <v>722</v>
      </c>
      <c r="CQ363">
        <v>1003.44</v>
      </c>
      <c r="CR363" t="e">
        <v>#N/A</v>
      </c>
      <c r="CS363" t="s">
        <v>665</v>
      </c>
      <c r="CT363">
        <v>39.799999999999997</v>
      </c>
      <c r="CU363" t="e">
        <v>#N/A</v>
      </c>
      <c r="CV363" t="s">
        <v>722</v>
      </c>
      <c r="CW363">
        <v>1066.6500000000001</v>
      </c>
      <c r="CX363" t="e">
        <v>#N/A</v>
      </c>
      <c r="CY363" t="s">
        <v>722</v>
      </c>
      <c r="CZ363">
        <v>1066.6500000000001</v>
      </c>
      <c r="DA363" t="e">
        <v>#N/A</v>
      </c>
      <c r="DB363" t="s">
        <v>722</v>
      </c>
      <c r="DC363">
        <v>0.85</v>
      </c>
      <c r="DD363" t="e">
        <v>#N/A</v>
      </c>
      <c r="DE363" t="s">
        <v>722</v>
      </c>
      <c r="DF363">
        <v>0.8</v>
      </c>
      <c r="DG363" t="e">
        <v>#N/A</v>
      </c>
      <c r="DH363" t="s">
        <v>722</v>
      </c>
      <c r="DI363">
        <v>0.82</v>
      </c>
      <c r="DJ363" t="e">
        <v>#N/A</v>
      </c>
      <c r="DK363" t="s">
        <v>722</v>
      </c>
      <c r="DL363">
        <v>0.82</v>
      </c>
      <c r="DM363" t="e">
        <v>#N/A</v>
      </c>
      <c r="DN363" t="s">
        <v>722</v>
      </c>
      <c r="DO363">
        <v>975.68</v>
      </c>
      <c r="DP363" t="e">
        <v>#N/A</v>
      </c>
      <c r="DQ363" t="s">
        <v>722</v>
      </c>
      <c r="DR363">
        <v>0.9</v>
      </c>
      <c r="DS363" t="e">
        <v>#N/A</v>
      </c>
      <c r="DT363" t="s">
        <v>722</v>
      </c>
      <c r="DU363">
        <v>1018.33</v>
      </c>
      <c r="DV363" t="e">
        <v>#N/A</v>
      </c>
      <c r="DW363" t="s">
        <v>722</v>
      </c>
      <c r="DX363">
        <v>1023</v>
      </c>
      <c r="DY363" t="e">
        <v>#N/A</v>
      </c>
      <c r="DZ363" t="s">
        <v>722</v>
      </c>
      <c r="EA363">
        <v>1001.97</v>
      </c>
      <c r="EB363" t="e">
        <v>#N/A</v>
      </c>
      <c r="EC363" t="s">
        <v>722</v>
      </c>
      <c r="ED363">
        <v>992.76</v>
      </c>
      <c r="EE363" t="e">
        <v>#N/A</v>
      </c>
      <c r="EF363" t="s">
        <v>722</v>
      </c>
      <c r="EG363">
        <v>992.76</v>
      </c>
      <c r="EH363" t="e">
        <v>#N/A</v>
      </c>
      <c r="EI363" t="s">
        <v>722</v>
      </c>
      <c r="EJ363">
        <v>1023</v>
      </c>
      <c r="EK363" t="e">
        <v>#N/A</v>
      </c>
    </row>
    <row r="364" spans="3:141">
      <c r="CA364" t="s">
        <v>722</v>
      </c>
      <c r="CB364">
        <v>0.1</v>
      </c>
      <c r="CC364" t="e">
        <v>#N/A</v>
      </c>
      <c r="CD364" t="s">
        <v>722</v>
      </c>
      <c r="CE364">
        <v>949.44</v>
      </c>
      <c r="CF364" t="e">
        <v>#N/A</v>
      </c>
      <c r="CG364" t="s">
        <v>722</v>
      </c>
      <c r="CH364">
        <v>747.79</v>
      </c>
      <c r="CI364" t="e">
        <v>#N/A</v>
      </c>
      <c r="CJ364" t="s">
        <v>722</v>
      </c>
      <c r="CK364">
        <v>0.1</v>
      </c>
      <c r="CL364" t="e">
        <v>#N/A</v>
      </c>
      <c r="CM364" t="s">
        <v>722</v>
      </c>
      <c r="CN364">
        <v>1003.44</v>
      </c>
      <c r="CO364" t="e">
        <v>#N/A</v>
      </c>
      <c r="CP364" t="s">
        <v>722</v>
      </c>
      <c r="CQ364">
        <v>0.1</v>
      </c>
      <c r="CR364" t="e">
        <v>#N/A</v>
      </c>
      <c r="CS364" t="s">
        <v>879</v>
      </c>
      <c r="CT364">
        <v>9.4</v>
      </c>
      <c r="CU364" t="e">
        <v>#N/A</v>
      </c>
      <c r="CV364" t="s">
        <v>665</v>
      </c>
      <c r="CW364">
        <v>39.799999999999997</v>
      </c>
      <c r="CX364" t="e">
        <v>#N/A</v>
      </c>
      <c r="CY364" t="s">
        <v>665</v>
      </c>
      <c r="CZ364">
        <v>39.799999999999997</v>
      </c>
      <c r="DA364" t="e">
        <v>#N/A</v>
      </c>
      <c r="DB364" t="s">
        <v>722</v>
      </c>
      <c r="DC364">
        <v>0.82</v>
      </c>
      <c r="DD364" t="e">
        <v>#N/A</v>
      </c>
      <c r="DE364" t="s">
        <v>722</v>
      </c>
      <c r="DF364">
        <v>0.82</v>
      </c>
      <c r="DG364" t="e">
        <v>#N/A</v>
      </c>
      <c r="DH364" t="s">
        <v>722</v>
      </c>
      <c r="DI364">
        <v>0.79</v>
      </c>
      <c r="DJ364" t="e">
        <v>#N/A</v>
      </c>
      <c r="DK364" t="s">
        <v>722</v>
      </c>
      <c r="DL364">
        <v>0.79</v>
      </c>
      <c r="DM364" t="e">
        <v>#N/A</v>
      </c>
      <c r="DN364" t="s">
        <v>722</v>
      </c>
      <c r="DO364">
        <v>0.86</v>
      </c>
      <c r="DP364" t="e">
        <v>#N/A</v>
      </c>
      <c r="DQ364" t="s">
        <v>722</v>
      </c>
      <c r="DR364">
        <v>1001.97</v>
      </c>
      <c r="DS364" t="e">
        <v>#N/A</v>
      </c>
      <c r="DT364" t="s">
        <v>722</v>
      </c>
      <c r="DU364">
        <v>0.85</v>
      </c>
      <c r="DV364" t="e">
        <v>#N/A</v>
      </c>
      <c r="DW364" t="s">
        <v>722</v>
      </c>
      <c r="DX364">
        <v>992.76</v>
      </c>
      <c r="DY364" t="e">
        <v>#N/A</v>
      </c>
      <c r="DZ364" t="s">
        <v>722</v>
      </c>
      <c r="EA364">
        <v>0.87</v>
      </c>
      <c r="EB364" t="e">
        <v>#N/A</v>
      </c>
      <c r="EC364" t="s">
        <v>722</v>
      </c>
      <c r="ED364">
        <v>1001.97</v>
      </c>
      <c r="EE364" t="e">
        <v>#N/A</v>
      </c>
      <c r="EF364" t="s">
        <v>722</v>
      </c>
      <c r="EG364">
        <v>1001.97</v>
      </c>
      <c r="EH364" t="e">
        <v>#N/A</v>
      </c>
      <c r="EI364" t="s">
        <v>722</v>
      </c>
      <c r="EJ364">
        <v>992.76</v>
      </c>
      <c r="EK364" t="e">
        <v>#N/A</v>
      </c>
    </row>
    <row r="365" spans="3:141">
      <c r="CA365" t="s">
        <v>722</v>
      </c>
      <c r="CB365">
        <v>100.28</v>
      </c>
      <c r="CC365" t="e">
        <v>#N/A</v>
      </c>
      <c r="CD365" t="s">
        <v>995</v>
      </c>
      <c r="CE365">
        <v>27.77</v>
      </c>
      <c r="CF365" t="e">
        <v>#N/A</v>
      </c>
      <c r="CG365" t="s">
        <v>721</v>
      </c>
      <c r="CH365">
        <v>0.5</v>
      </c>
      <c r="CI365" t="e">
        <v>#N/A</v>
      </c>
      <c r="CJ365" t="s">
        <v>722</v>
      </c>
      <c r="CK365">
        <v>100.28</v>
      </c>
      <c r="CL365" t="e">
        <v>#N/A</v>
      </c>
      <c r="CM365" t="s">
        <v>722</v>
      </c>
      <c r="CN365">
        <v>0.1</v>
      </c>
      <c r="CO365" t="e">
        <v>#N/A</v>
      </c>
      <c r="CP365" t="s">
        <v>722</v>
      </c>
      <c r="CQ365">
        <v>100.28</v>
      </c>
      <c r="CR365" t="e">
        <v>#N/A</v>
      </c>
      <c r="CS365" t="s">
        <v>722</v>
      </c>
      <c r="CT365">
        <v>0.1</v>
      </c>
      <c r="CU365" t="e">
        <v>#N/A</v>
      </c>
      <c r="CV365" t="s">
        <v>722</v>
      </c>
      <c r="CW365">
        <v>0.1</v>
      </c>
      <c r="CX365" t="e">
        <v>#N/A</v>
      </c>
      <c r="CY365" t="s">
        <v>722</v>
      </c>
      <c r="CZ365">
        <v>0.1</v>
      </c>
      <c r="DA365" t="e">
        <v>#N/A</v>
      </c>
      <c r="DB365" t="s">
        <v>722</v>
      </c>
      <c r="DC365">
        <v>933.38</v>
      </c>
      <c r="DD365" t="e">
        <v>#N/A</v>
      </c>
      <c r="DE365" t="s">
        <v>722</v>
      </c>
      <c r="DF365">
        <v>933.38</v>
      </c>
      <c r="DG365" t="e">
        <v>#N/A</v>
      </c>
      <c r="DH365" t="s">
        <v>722</v>
      </c>
      <c r="DI365">
        <v>933.38</v>
      </c>
      <c r="DJ365" t="e">
        <v>#N/A</v>
      </c>
      <c r="DK365" t="s">
        <v>722</v>
      </c>
      <c r="DL365">
        <v>933.38</v>
      </c>
      <c r="DM365" t="e">
        <v>#N/A</v>
      </c>
      <c r="DN365" t="s">
        <v>722</v>
      </c>
      <c r="DO365">
        <v>1024.29</v>
      </c>
      <c r="DP365" t="e">
        <v>#N/A</v>
      </c>
      <c r="DQ365" t="s">
        <v>722</v>
      </c>
      <c r="DR365">
        <v>0.95</v>
      </c>
      <c r="DS365" t="e">
        <v>#N/A</v>
      </c>
      <c r="DT365" t="s">
        <v>722</v>
      </c>
      <c r="DU365">
        <v>0.82</v>
      </c>
      <c r="DV365" t="e">
        <v>#N/A</v>
      </c>
      <c r="DW365" t="s">
        <v>722</v>
      </c>
      <c r="DX365">
        <v>1001.97</v>
      </c>
      <c r="DY365" t="e">
        <v>#N/A</v>
      </c>
      <c r="DZ365" t="s">
        <v>722</v>
      </c>
      <c r="EA365">
        <v>0.87</v>
      </c>
      <c r="EB365" t="e">
        <v>#N/A</v>
      </c>
      <c r="EC365" t="s">
        <v>722</v>
      </c>
      <c r="ED365">
        <v>0.87</v>
      </c>
      <c r="EE365" t="e">
        <v>#N/A</v>
      </c>
      <c r="EF365" t="s">
        <v>722</v>
      </c>
      <c r="EG365">
        <v>0.87</v>
      </c>
      <c r="EH365" t="e">
        <v>#N/A</v>
      </c>
      <c r="EI365" t="s">
        <v>722</v>
      </c>
      <c r="EJ365">
        <v>1001.97</v>
      </c>
      <c r="EK365" t="e">
        <v>#N/A</v>
      </c>
    </row>
    <row r="366" spans="3:141">
      <c r="CA366" t="s">
        <v>995</v>
      </c>
      <c r="CB366">
        <v>27.77</v>
      </c>
      <c r="CC366" t="e">
        <v>#N/A</v>
      </c>
      <c r="CD366" t="s">
        <v>722</v>
      </c>
      <c r="CE366">
        <v>838.27</v>
      </c>
      <c r="CF366" t="e">
        <v>#N/A</v>
      </c>
      <c r="CJ366" t="s">
        <v>758</v>
      </c>
      <c r="CK366">
        <v>68.180000000000007</v>
      </c>
      <c r="CL366" t="e">
        <v>#N/A</v>
      </c>
      <c r="CM366" t="s">
        <v>722</v>
      </c>
      <c r="CN366">
        <v>100.28</v>
      </c>
      <c r="CO366" t="e">
        <v>#N/A</v>
      </c>
      <c r="CP366" t="s">
        <v>995</v>
      </c>
      <c r="CQ366">
        <v>30</v>
      </c>
      <c r="CR366" t="e">
        <v>#N/A</v>
      </c>
      <c r="CS366" t="s">
        <v>722</v>
      </c>
      <c r="CT366">
        <v>100.28</v>
      </c>
      <c r="CU366" t="e">
        <v>#N/A</v>
      </c>
      <c r="CV366" t="s">
        <v>722</v>
      </c>
      <c r="CW366">
        <v>100.28</v>
      </c>
      <c r="CX366" t="e">
        <v>#N/A</v>
      </c>
      <c r="CY366" t="s">
        <v>722</v>
      </c>
      <c r="CZ366">
        <v>100.28</v>
      </c>
      <c r="DA366" t="e">
        <v>#N/A</v>
      </c>
      <c r="DB366" t="s">
        <v>722</v>
      </c>
      <c r="DC366">
        <v>1066.6500000000001</v>
      </c>
      <c r="DD366" t="e">
        <v>#N/A</v>
      </c>
      <c r="DE366" t="s">
        <v>722</v>
      </c>
      <c r="DF366">
        <v>1066.6500000000001</v>
      </c>
      <c r="DG366" t="e">
        <v>#N/A</v>
      </c>
      <c r="DH366" t="s">
        <v>722</v>
      </c>
      <c r="DI366">
        <v>1066.6500000000001</v>
      </c>
      <c r="DJ366" t="e">
        <v>#N/A</v>
      </c>
      <c r="DK366" t="s">
        <v>722</v>
      </c>
      <c r="DL366">
        <v>1066.6500000000001</v>
      </c>
      <c r="DM366" t="e">
        <v>#N/A</v>
      </c>
      <c r="DN366" t="s">
        <v>722</v>
      </c>
      <c r="DO366">
        <v>0.82</v>
      </c>
      <c r="DP366" t="e">
        <v>#N/A</v>
      </c>
      <c r="DQ366" t="s">
        <v>722</v>
      </c>
      <c r="DR366">
        <v>0.84</v>
      </c>
      <c r="DS366" t="e">
        <v>#N/A</v>
      </c>
      <c r="DT366" t="s">
        <v>722</v>
      </c>
      <c r="DU366">
        <v>1024.29</v>
      </c>
      <c r="DV366" t="e">
        <v>#N/A</v>
      </c>
      <c r="DW366" t="s">
        <v>722</v>
      </c>
      <c r="DX366">
        <v>0.87</v>
      </c>
      <c r="DY366" t="e">
        <v>#N/A</v>
      </c>
      <c r="DZ366" t="s">
        <v>722</v>
      </c>
      <c r="EA366">
        <v>0.82</v>
      </c>
      <c r="EB366" t="e">
        <v>#N/A</v>
      </c>
      <c r="EC366" t="s">
        <v>722</v>
      </c>
      <c r="ED366">
        <v>0.87</v>
      </c>
      <c r="EE366" t="e">
        <v>#N/A</v>
      </c>
      <c r="EF366" t="s">
        <v>722</v>
      </c>
      <c r="EG366">
        <v>0.87</v>
      </c>
      <c r="EH366" t="e">
        <v>#N/A</v>
      </c>
      <c r="EI366" t="s">
        <v>722</v>
      </c>
      <c r="EJ366">
        <v>0.87</v>
      </c>
      <c r="EK366" t="e">
        <v>#N/A</v>
      </c>
    </row>
    <row r="367" spans="3:141">
      <c r="CA367" t="s">
        <v>721</v>
      </c>
      <c r="CB367">
        <v>0.5</v>
      </c>
      <c r="CC367" t="e">
        <v>#N/A</v>
      </c>
      <c r="CD367" t="s">
        <v>722</v>
      </c>
      <c r="CE367">
        <v>969.01</v>
      </c>
      <c r="CF367" t="e">
        <v>#N/A</v>
      </c>
      <c r="CJ367" t="s">
        <v>721</v>
      </c>
      <c r="CK367">
        <v>0.5</v>
      </c>
      <c r="CL367" t="e">
        <v>#N/A</v>
      </c>
      <c r="CM367" t="s">
        <v>721</v>
      </c>
      <c r="CN367">
        <v>0.5</v>
      </c>
      <c r="CO367" t="e">
        <v>#N/A</v>
      </c>
      <c r="CP367" t="s">
        <v>721</v>
      </c>
      <c r="CQ367">
        <v>0.5</v>
      </c>
      <c r="CR367" t="e">
        <v>#N/A</v>
      </c>
      <c r="CS367" t="s">
        <v>721</v>
      </c>
      <c r="CT367">
        <v>0.5</v>
      </c>
      <c r="CU367" t="e">
        <v>#N/A</v>
      </c>
      <c r="CV367" t="s">
        <v>721</v>
      </c>
      <c r="CW367">
        <v>0.5</v>
      </c>
      <c r="CX367" t="e">
        <v>#N/A</v>
      </c>
      <c r="CY367" t="s">
        <v>721</v>
      </c>
      <c r="CZ367">
        <v>0.5</v>
      </c>
      <c r="DA367" t="e">
        <v>#N/A</v>
      </c>
      <c r="DB367" t="s">
        <v>665</v>
      </c>
      <c r="DC367">
        <v>39.799999999999997</v>
      </c>
      <c r="DD367" t="e">
        <v>#N/A</v>
      </c>
      <c r="DE367" t="s">
        <v>665</v>
      </c>
      <c r="DF367">
        <v>39.799999999999997</v>
      </c>
      <c r="DG367" t="e">
        <v>#N/A</v>
      </c>
      <c r="DH367" t="s">
        <v>665</v>
      </c>
      <c r="DI367">
        <v>39.799999999999997</v>
      </c>
      <c r="DJ367" t="e">
        <v>#N/A</v>
      </c>
      <c r="DK367" t="s">
        <v>665</v>
      </c>
      <c r="DL367">
        <v>39.799999999999997</v>
      </c>
      <c r="DM367" t="e">
        <v>#N/A</v>
      </c>
      <c r="DN367" t="s">
        <v>722</v>
      </c>
      <c r="DO367">
        <v>967.79</v>
      </c>
      <c r="DP367" t="e">
        <v>#N/A</v>
      </c>
      <c r="DQ367" t="s">
        <v>722</v>
      </c>
      <c r="DR367">
        <v>0.86</v>
      </c>
      <c r="DS367" t="e">
        <v>#N/A</v>
      </c>
      <c r="DT367" t="s">
        <v>722</v>
      </c>
      <c r="DU367">
        <v>0.82</v>
      </c>
      <c r="DV367" t="e">
        <v>#N/A</v>
      </c>
      <c r="DW367" t="s">
        <v>722</v>
      </c>
      <c r="DX367">
        <v>0.87</v>
      </c>
      <c r="DY367" t="e">
        <v>#N/A</v>
      </c>
      <c r="DZ367" t="s">
        <v>722</v>
      </c>
      <c r="EA367">
        <v>1024.29</v>
      </c>
      <c r="EB367" t="e">
        <v>#N/A</v>
      </c>
      <c r="EC367" t="s">
        <v>722</v>
      </c>
      <c r="ED367">
        <v>0.82</v>
      </c>
      <c r="EE367" t="e">
        <v>#N/A</v>
      </c>
      <c r="EF367" t="s">
        <v>722</v>
      </c>
      <c r="EG367">
        <v>0.82</v>
      </c>
      <c r="EH367" t="e">
        <v>#N/A</v>
      </c>
      <c r="EI367" t="s">
        <v>722</v>
      </c>
      <c r="EJ367">
        <v>0.87</v>
      </c>
      <c r="EK367" t="e">
        <v>#N/A</v>
      </c>
    </row>
    <row r="368" spans="3:141">
      <c r="CD368" t="s">
        <v>722</v>
      </c>
      <c r="CE368">
        <v>747.79</v>
      </c>
      <c r="CF368" t="e">
        <v>#N/A</v>
      </c>
      <c r="DB368" t="s">
        <v>879</v>
      </c>
      <c r="DC368">
        <v>9.1</v>
      </c>
      <c r="DD368" t="e">
        <v>#N/A</v>
      </c>
      <c r="DE368" t="s">
        <v>879</v>
      </c>
      <c r="DF368">
        <v>9.1</v>
      </c>
      <c r="DG368" t="e">
        <v>#N/A</v>
      </c>
      <c r="DH368" t="s">
        <v>879</v>
      </c>
      <c r="DI368">
        <v>9</v>
      </c>
      <c r="DJ368" t="e">
        <v>#N/A</v>
      </c>
      <c r="DK368" t="s">
        <v>317</v>
      </c>
      <c r="DL368">
        <v>34.5</v>
      </c>
      <c r="DM368" t="e">
        <v>#N/A</v>
      </c>
      <c r="DN368" t="s">
        <v>722</v>
      </c>
      <c r="DO368">
        <v>933.38</v>
      </c>
      <c r="DP368" t="e">
        <v>#N/A</v>
      </c>
      <c r="DQ368" t="s">
        <v>722</v>
      </c>
      <c r="DR368">
        <v>948.06</v>
      </c>
      <c r="DS368" t="e">
        <v>#N/A</v>
      </c>
      <c r="DT368" t="s">
        <v>722</v>
      </c>
      <c r="DU368">
        <v>1035.54</v>
      </c>
      <c r="DV368" t="e">
        <v>#N/A</v>
      </c>
      <c r="DW368" t="s">
        <v>722</v>
      </c>
      <c r="DX368">
        <v>0.82</v>
      </c>
      <c r="DY368" t="e">
        <v>#N/A</v>
      </c>
      <c r="DZ368" t="s">
        <v>722</v>
      </c>
      <c r="EA368">
        <v>999.05</v>
      </c>
      <c r="EB368" t="e">
        <v>#N/A</v>
      </c>
      <c r="EC368" t="s">
        <v>722</v>
      </c>
      <c r="ED368">
        <v>1024.29</v>
      </c>
      <c r="EE368" t="e">
        <v>#N/A</v>
      </c>
      <c r="EF368" t="s">
        <v>722</v>
      </c>
      <c r="EG368">
        <v>1024.29</v>
      </c>
      <c r="EH368" t="e">
        <v>#N/A</v>
      </c>
      <c r="EI368" t="s">
        <v>722</v>
      </c>
      <c r="EJ368">
        <v>0.82</v>
      </c>
      <c r="EK368" t="e">
        <v>#N/A</v>
      </c>
    </row>
    <row r="369" spans="82:141">
      <c r="CD369" t="s">
        <v>721</v>
      </c>
      <c r="CE369">
        <v>0.5</v>
      </c>
      <c r="CF369" t="e">
        <v>#N/A</v>
      </c>
      <c r="DB369" t="s">
        <v>722</v>
      </c>
      <c r="DC369">
        <v>0.1</v>
      </c>
      <c r="DD369" t="e">
        <v>#N/A</v>
      </c>
      <c r="DE369" t="s">
        <v>722</v>
      </c>
      <c r="DF369">
        <v>0.1</v>
      </c>
      <c r="DG369" t="e">
        <v>#N/A</v>
      </c>
      <c r="DH369" t="s">
        <v>722</v>
      </c>
      <c r="DI369">
        <v>0.1</v>
      </c>
      <c r="DJ369" t="e">
        <v>#N/A</v>
      </c>
      <c r="DK369" t="s">
        <v>879</v>
      </c>
      <c r="DL369">
        <v>8.5</v>
      </c>
      <c r="DM369" t="e">
        <v>#N/A</v>
      </c>
      <c r="DN369" t="s">
        <v>722</v>
      </c>
      <c r="DO369">
        <v>1066.6500000000001</v>
      </c>
      <c r="DP369" t="e">
        <v>#N/A</v>
      </c>
      <c r="DQ369" t="s">
        <v>722</v>
      </c>
      <c r="DR369">
        <v>1024.29</v>
      </c>
      <c r="DS369" t="e">
        <v>#N/A</v>
      </c>
      <c r="DT369" t="s">
        <v>722</v>
      </c>
      <c r="DU369">
        <v>1202.82</v>
      </c>
      <c r="DV369" t="e">
        <v>#N/A</v>
      </c>
      <c r="DW369" t="s">
        <v>722</v>
      </c>
      <c r="DX369">
        <v>1024.29</v>
      </c>
      <c r="DY369" t="e">
        <v>#N/A</v>
      </c>
      <c r="DZ369" t="s">
        <v>722</v>
      </c>
      <c r="EA369">
        <v>0.82</v>
      </c>
      <c r="EB369" t="e">
        <v>#N/A</v>
      </c>
      <c r="EC369" t="s">
        <v>722</v>
      </c>
      <c r="ED369">
        <v>999.05</v>
      </c>
      <c r="EE369" t="e">
        <v>#N/A</v>
      </c>
      <c r="EF369" t="s">
        <v>722</v>
      </c>
      <c r="EG369">
        <v>999.05</v>
      </c>
      <c r="EH369" t="e">
        <v>#N/A</v>
      </c>
      <c r="EI369" t="s">
        <v>722</v>
      </c>
      <c r="EJ369">
        <v>1024.29</v>
      </c>
      <c r="EK369" t="e">
        <v>#N/A</v>
      </c>
    </row>
    <row r="370" spans="82:141">
      <c r="DB370" t="s">
        <v>722</v>
      </c>
      <c r="DC370">
        <v>100.28</v>
      </c>
      <c r="DD370" t="e">
        <v>#N/A</v>
      </c>
      <c r="DE370" t="s">
        <v>722</v>
      </c>
      <c r="DF370">
        <v>100.28</v>
      </c>
      <c r="DG370" t="e">
        <v>#N/A</v>
      </c>
      <c r="DH370" t="s">
        <v>722</v>
      </c>
      <c r="DI370">
        <v>100.28</v>
      </c>
      <c r="DJ370" t="e">
        <v>#N/A</v>
      </c>
      <c r="DK370" t="s">
        <v>722</v>
      </c>
      <c r="DL370">
        <v>0.1</v>
      </c>
      <c r="DM370" t="e">
        <v>#N/A</v>
      </c>
      <c r="DN370" t="s">
        <v>317</v>
      </c>
      <c r="DO370">
        <v>34.25</v>
      </c>
      <c r="DP370" t="e">
        <v>#N/A</v>
      </c>
      <c r="DQ370" t="s">
        <v>722</v>
      </c>
      <c r="DR370">
        <v>0.92</v>
      </c>
      <c r="DS370" t="e">
        <v>#N/A</v>
      </c>
      <c r="DT370" t="s">
        <v>722</v>
      </c>
      <c r="DU370">
        <v>933.38</v>
      </c>
      <c r="DV370" t="e">
        <v>#N/A</v>
      </c>
      <c r="DW370" t="s">
        <v>722</v>
      </c>
      <c r="DX370">
        <v>999.05</v>
      </c>
      <c r="DY370" t="e">
        <v>#N/A</v>
      </c>
      <c r="DZ370" t="s">
        <v>722</v>
      </c>
      <c r="EA370">
        <v>1035.54</v>
      </c>
      <c r="EB370" t="e">
        <v>#N/A</v>
      </c>
      <c r="EC370" t="s">
        <v>722</v>
      </c>
      <c r="ED370">
        <v>0.82</v>
      </c>
      <c r="EE370" t="e">
        <v>#N/A</v>
      </c>
      <c r="EF370" t="s">
        <v>722</v>
      </c>
      <c r="EG370">
        <v>0.82</v>
      </c>
      <c r="EH370" t="e">
        <v>#N/A</v>
      </c>
      <c r="EI370" t="s">
        <v>722</v>
      </c>
      <c r="EJ370">
        <v>999.05</v>
      </c>
      <c r="EK370" t="e">
        <v>#N/A</v>
      </c>
    </row>
    <row r="371" spans="82:141">
      <c r="DB371" t="s">
        <v>721</v>
      </c>
      <c r="DC371">
        <v>0.5</v>
      </c>
      <c r="DD371" t="e">
        <v>#N/A</v>
      </c>
      <c r="DE371" t="s">
        <v>721</v>
      </c>
      <c r="DF371">
        <v>0.5</v>
      </c>
      <c r="DG371" t="e">
        <v>#N/A</v>
      </c>
      <c r="DH371" t="s">
        <v>995</v>
      </c>
      <c r="DI371">
        <v>82</v>
      </c>
      <c r="DJ371" t="e">
        <v>#N/A</v>
      </c>
      <c r="DK371" t="s">
        <v>722</v>
      </c>
      <c r="DL371">
        <v>100.28</v>
      </c>
      <c r="DM371" t="e">
        <v>#N/A</v>
      </c>
      <c r="DN371" t="s">
        <v>665</v>
      </c>
      <c r="DO371">
        <v>39.799999999999997</v>
      </c>
      <c r="DP371" t="e">
        <v>#N/A</v>
      </c>
      <c r="DQ371" t="s">
        <v>722</v>
      </c>
      <c r="DR371">
        <v>1035.54</v>
      </c>
      <c r="DS371" t="e">
        <v>#N/A</v>
      </c>
      <c r="DT371" t="s">
        <v>665</v>
      </c>
      <c r="DU371">
        <v>39.799999999999997</v>
      </c>
      <c r="DV371" t="e">
        <v>#N/A</v>
      </c>
      <c r="DW371" t="s">
        <v>722</v>
      </c>
      <c r="DX371">
        <v>0.82</v>
      </c>
      <c r="DY371" t="e">
        <v>#N/A</v>
      </c>
      <c r="DZ371" t="s">
        <v>722</v>
      </c>
      <c r="EA371">
        <v>933.38</v>
      </c>
      <c r="EB371" t="e">
        <v>#N/A</v>
      </c>
      <c r="EC371" t="s">
        <v>722</v>
      </c>
      <c r="ED371">
        <v>1035.54</v>
      </c>
      <c r="EE371" t="e">
        <v>#N/A</v>
      </c>
      <c r="EF371" t="s">
        <v>722</v>
      </c>
      <c r="EG371">
        <v>1035.54</v>
      </c>
      <c r="EH371" t="e">
        <v>#N/A</v>
      </c>
      <c r="EI371" t="s">
        <v>722</v>
      </c>
      <c r="EJ371">
        <v>0.82</v>
      </c>
      <c r="EK371" t="e">
        <v>#N/A</v>
      </c>
    </row>
    <row r="372" spans="82:141">
      <c r="DH372" t="s">
        <v>721</v>
      </c>
      <c r="DI372">
        <v>0.5</v>
      </c>
      <c r="DJ372" t="e">
        <v>#N/A</v>
      </c>
      <c r="DK372" t="s">
        <v>995</v>
      </c>
      <c r="DL372">
        <v>70.02</v>
      </c>
      <c r="DM372" t="e">
        <v>#N/A</v>
      </c>
      <c r="DN372" t="s">
        <v>722</v>
      </c>
      <c r="DO372">
        <v>0.1</v>
      </c>
      <c r="DP372" t="e">
        <v>#N/A</v>
      </c>
      <c r="DQ372" t="s">
        <v>722</v>
      </c>
      <c r="DR372">
        <v>1202.82</v>
      </c>
      <c r="DS372" t="e">
        <v>#N/A</v>
      </c>
      <c r="DT372" t="s">
        <v>995</v>
      </c>
      <c r="DU372">
        <v>58.7</v>
      </c>
      <c r="DV372" t="e">
        <v>#N/A</v>
      </c>
      <c r="DW372" t="s">
        <v>722</v>
      </c>
      <c r="DX372">
        <v>1035.54</v>
      </c>
      <c r="DY372" t="e">
        <v>#N/A</v>
      </c>
      <c r="DZ372" t="s">
        <v>317</v>
      </c>
      <c r="EA372">
        <v>36.1</v>
      </c>
      <c r="EB372" t="e">
        <v>#N/A</v>
      </c>
      <c r="EC372" t="s">
        <v>722</v>
      </c>
      <c r="ED372">
        <v>933.38</v>
      </c>
      <c r="EE372" t="e">
        <v>#N/A</v>
      </c>
      <c r="EF372" t="s">
        <v>722</v>
      </c>
      <c r="EG372">
        <v>933.38</v>
      </c>
      <c r="EH372" t="e">
        <v>#N/A</v>
      </c>
      <c r="EI372" t="s">
        <v>722</v>
      </c>
      <c r="EJ372">
        <v>1035.54</v>
      </c>
      <c r="EK372" t="e">
        <v>#N/A</v>
      </c>
    </row>
    <row r="373" spans="82:141">
      <c r="DK373" t="s">
        <v>721</v>
      </c>
      <c r="DL373">
        <v>0.5</v>
      </c>
      <c r="DM373" t="e">
        <v>#N/A</v>
      </c>
      <c r="DN373" t="s">
        <v>722</v>
      </c>
      <c r="DO373">
        <v>100.28</v>
      </c>
      <c r="DP373" t="e">
        <v>#N/A</v>
      </c>
      <c r="DQ373" t="s">
        <v>879</v>
      </c>
      <c r="DR373">
        <v>8.9</v>
      </c>
      <c r="DS373" t="e">
        <v>#N/A</v>
      </c>
      <c r="DT373" t="s">
        <v>722</v>
      </c>
      <c r="DU373">
        <v>0.1</v>
      </c>
      <c r="DV373" t="e">
        <v>#N/A</v>
      </c>
      <c r="DW373" t="s">
        <v>879</v>
      </c>
      <c r="DX373">
        <v>8.3000000000000007</v>
      </c>
      <c r="DY373" t="e">
        <v>#N/A</v>
      </c>
      <c r="DZ373" t="s">
        <v>722</v>
      </c>
      <c r="EA373">
        <v>1097.3</v>
      </c>
      <c r="EB373" t="e">
        <v>#N/A</v>
      </c>
      <c r="EC373" t="s">
        <v>722</v>
      </c>
      <c r="ED373">
        <v>1097.3</v>
      </c>
      <c r="EE373" t="e">
        <v>#N/A</v>
      </c>
      <c r="EF373" t="s">
        <v>317</v>
      </c>
      <c r="EG373">
        <v>36.799999999999997</v>
      </c>
      <c r="EH373" t="e">
        <v>#N/A</v>
      </c>
      <c r="EI373" t="s">
        <v>722</v>
      </c>
      <c r="EJ373">
        <v>933.38</v>
      </c>
      <c r="EK373" t="e">
        <v>#N/A</v>
      </c>
    </row>
    <row r="374" spans="82:141">
      <c r="DN374" t="s">
        <v>721</v>
      </c>
      <c r="DO374">
        <v>0.5</v>
      </c>
      <c r="DP374" t="e">
        <v>#N/A</v>
      </c>
      <c r="DQ374" t="s">
        <v>722</v>
      </c>
      <c r="DR374">
        <v>933.38</v>
      </c>
      <c r="DS374" t="e">
        <v>#N/A</v>
      </c>
      <c r="DT374" t="s">
        <v>722</v>
      </c>
      <c r="DU374">
        <v>100.28</v>
      </c>
      <c r="DV374" t="e">
        <v>#N/A</v>
      </c>
      <c r="DW374" t="s">
        <v>722</v>
      </c>
      <c r="DX374">
        <v>933.38</v>
      </c>
      <c r="DY374" t="e">
        <v>#N/A</v>
      </c>
      <c r="DZ374" t="s">
        <v>665</v>
      </c>
      <c r="EA374">
        <v>39.799999999999997</v>
      </c>
      <c r="EB374" t="e">
        <v>#N/A</v>
      </c>
      <c r="EC374" t="s">
        <v>665</v>
      </c>
      <c r="ED374">
        <v>39.799999999999997</v>
      </c>
      <c r="EE374" t="e">
        <v>#N/A</v>
      </c>
      <c r="EF374" t="s">
        <v>722</v>
      </c>
      <c r="EG374">
        <v>1097.3</v>
      </c>
      <c r="EH374" t="e">
        <v>#N/A</v>
      </c>
      <c r="EI374" t="s">
        <v>722</v>
      </c>
      <c r="EJ374">
        <v>1097.3</v>
      </c>
      <c r="EK374" t="e">
        <v>#N/A</v>
      </c>
    </row>
    <row r="375" spans="82:141">
      <c r="DQ375" t="s">
        <v>665</v>
      </c>
      <c r="DR375">
        <v>39.799999999999997</v>
      </c>
      <c r="DS375" t="e">
        <v>#N/A</v>
      </c>
      <c r="DW375" t="s">
        <v>722</v>
      </c>
      <c r="DX375">
        <v>1097.3</v>
      </c>
      <c r="DY375" t="e">
        <v>#N/A</v>
      </c>
      <c r="DZ375" t="s">
        <v>1075</v>
      </c>
      <c r="EA375">
        <v>0.73</v>
      </c>
      <c r="EB375" t="e">
        <v>#N/A</v>
      </c>
      <c r="EC375" t="s">
        <v>995</v>
      </c>
      <c r="ED375">
        <v>49</v>
      </c>
      <c r="EE375" t="e">
        <v>#N/A</v>
      </c>
      <c r="EF375" t="s">
        <v>1075</v>
      </c>
      <c r="EG375">
        <v>0.69</v>
      </c>
      <c r="EH375" t="e">
        <v>#N/A</v>
      </c>
      <c r="EI375" t="s">
        <v>665</v>
      </c>
      <c r="EJ375">
        <v>39.799999999999997</v>
      </c>
      <c r="EK375" t="e">
        <v>#N/A</v>
      </c>
    </row>
    <row r="376" spans="82:141">
      <c r="DQ376" t="s">
        <v>722</v>
      </c>
      <c r="DR376">
        <v>0.1</v>
      </c>
      <c r="DS376" t="e">
        <v>#N/A</v>
      </c>
      <c r="DW376" t="s">
        <v>665</v>
      </c>
      <c r="DX376">
        <v>39.799999999999997</v>
      </c>
      <c r="DY376" t="e">
        <v>#N/A</v>
      </c>
      <c r="DZ376" t="s">
        <v>722</v>
      </c>
      <c r="EA376">
        <v>0.1</v>
      </c>
      <c r="EB376" t="e">
        <v>#N/A</v>
      </c>
      <c r="EC376" t="s">
        <v>1075</v>
      </c>
      <c r="ED376">
        <v>0.72</v>
      </c>
      <c r="EE376" t="e">
        <v>#N/A</v>
      </c>
      <c r="EF376" t="s">
        <v>665</v>
      </c>
      <c r="EG376">
        <v>39.799999999999997</v>
      </c>
      <c r="EH376" t="e">
        <v>#N/A</v>
      </c>
      <c r="EI376" t="s">
        <v>1118</v>
      </c>
      <c r="EJ376">
        <v>7.89</v>
      </c>
      <c r="EK376" t="e">
        <v>#N/A</v>
      </c>
    </row>
    <row r="377" spans="82:141">
      <c r="DQ377" t="s">
        <v>722</v>
      </c>
      <c r="DR377">
        <v>100.28</v>
      </c>
      <c r="DS377" t="e">
        <v>#N/A</v>
      </c>
      <c r="DW377" t="s">
        <v>722</v>
      </c>
      <c r="DX377">
        <v>0.1</v>
      </c>
      <c r="DY377" t="e">
        <v>#N/A</v>
      </c>
      <c r="DZ377" t="s">
        <v>722</v>
      </c>
      <c r="EA377">
        <v>100.28</v>
      </c>
      <c r="EB377" t="e">
        <v>#N/A</v>
      </c>
      <c r="EC377" t="s">
        <v>722</v>
      </c>
      <c r="ED377">
        <v>0.1</v>
      </c>
      <c r="EE377" t="e">
        <v>#N/A</v>
      </c>
      <c r="EF377" t="s">
        <v>1118</v>
      </c>
      <c r="EG377">
        <v>8.5299999999999994</v>
      </c>
      <c r="EH377" t="e">
        <v>#N/A</v>
      </c>
      <c r="EI377" t="s">
        <v>879</v>
      </c>
      <c r="EJ377">
        <v>11.4</v>
      </c>
      <c r="EK377" t="e">
        <v>#N/A</v>
      </c>
    </row>
    <row r="378" spans="82:141">
      <c r="DQ378" t="s">
        <v>995</v>
      </c>
      <c r="DR378">
        <v>65</v>
      </c>
      <c r="DS378" t="e">
        <v>#N/A</v>
      </c>
      <c r="DW378" t="s">
        <v>722</v>
      </c>
      <c r="DX378">
        <v>100.28</v>
      </c>
      <c r="DY378" t="e">
        <v>#N/A</v>
      </c>
      <c r="DZ378" t="s">
        <v>995</v>
      </c>
      <c r="EA378">
        <v>50</v>
      </c>
      <c r="EB378" t="e">
        <v>#N/A</v>
      </c>
      <c r="EC378" t="s">
        <v>722</v>
      </c>
      <c r="ED378">
        <v>100.28</v>
      </c>
      <c r="EE378" t="e">
        <v>#N/A</v>
      </c>
      <c r="EF378" t="s">
        <v>722</v>
      </c>
      <c r="EG378">
        <v>0.1</v>
      </c>
      <c r="EH378" t="e">
        <v>#N/A</v>
      </c>
      <c r="EI378" t="s">
        <v>722</v>
      </c>
      <c r="EJ378">
        <v>0.1</v>
      </c>
      <c r="EK378" t="e">
        <v>#N/A</v>
      </c>
    </row>
    <row r="379" spans="82:141">
      <c r="DQ379" t="s">
        <v>721</v>
      </c>
      <c r="DR379">
        <v>0.5</v>
      </c>
      <c r="DS379" t="e">
        <v>#N/A</v>
      </c>
      <c r="DZ379" t="s">
        <v>665</v>
      </c>
      <c r="EA379">
        <v>39.799999999999997</v>
      </c>
      <c r="EF379" t="s">
        <v>722</v>
      </c>
      <c r="EG379">
        <v>100.28</v>
      </c>
      <c r="EH379" t="e">
        <v>#N/A</v>
      </c>
      <c r="EI379" t="s">
        <v>722</v>
      </c>
      <c r="EJ379">
        <v>100.28</v>
      </c>
      <c r="EK379" t="e">
        <v>#N/A</v>
      </c>
    </row>
    <row r="380" spans="82:141">
      <c r="DZ380" t="s">
        <v>1075</v>
      </c>
      <c r="EA380">
        <v>0.73</v>
      </c>
    </row>
    <row r="381" spans="82:141">
      <c r="DZ381" t="s">
        <v>722</v>
      </c>
      <c r="EA381">
        <v>0.1</v>
      </c>
    </row>
    <row r="382" spans="82:141">
      <c r="DZ382" t="s">
        <v>722</v>
      </c>
      <c r="EA382">
        <v>100.28</v>
      </c>
    </row>
    <row r="383" spans="82:141">
      <c r="DZ383" t="s">
        <v>995</v>
      </c>
      <c r="EA383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AA9D-3E09-47E1-AB6C-E17D8F5B0F91}">
  <sheetPr codeName="Sheet1"/>
  <dimension ref="A1:M160"/>
  <sheetViews>
    <sheetView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L19" sqref="L19"/>
    </sheetView>
  </sheetViews>
  <sheetFormatPr defaultRowHeight="14.4"/>
  <cols>
    <col min="1" max="1" width="7.21875" bestFit="1" customWidth="1"/>
    <col min="2" max="2" width="7" bestFit="1" customWidth="1"/>
    <col min="3" max="3" width="13.44140625" bestFit="1" customWidth="1"/>
    <col min="4" max="4" width="12.33203125" bestFit="1" customWidth="1"/>
    <col min="5" max="5" width="12.6640625" bestFit="1" customWidth="1"/>
    <col min="6" max="6" width="12" customWidth="1"/>
    <col min="7" max="7" width="10.109375" customWidth="1"/>
    <col min="8" max="8" width="16.21875" customWidth="1"/>
    <col min="9" max="9" width="10.44140625" bestFit="1" customWidth="1"/>
    <col min="10" max="10" width="12.33203125" bestFit="1" customWidth="1"/>
    <col min="11" max="11" width="5.109375" bestFit="1" customWidth="1"/>
    <col min="12" max="12" width="5.5546875" bestFit="1" customWidth="1"/>
    <col min="13" max="13" width="3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503</v>
      </c>
      <c r="H1" t="s">
        <v>505</v>
      </c>
      <c r="I1" t="s">
        <v>595</v>
      </c>
      <c r="J1" t="s">
        <v>596</v>
      </c>
      <c r="L1" s="3" t="s">
        <v>8</v>
      </c>
      <c r="M1">
        <v>46</v>
      </c>
    </row>
    <row r="2" spans="1:13">
      <c r="A2" s="1" t="s">
        <v>6</v>
      </c>
      <c r="B2">
        <f>INDEX('اسعار الاسهم'!A:B,MATCH(A2,'اسعار الاسهم'!K:K,0),2)</f>
        <v>0</v>
      </c>
      <c r="C2">
        <f>11675000*$M$1</f>
        <v>537050000</v>
      </c>
      <c r="D2" s="2">
        <v>5000000</v>
      </c>
      <c r="E2">
        <f t="shared" ref="E2:E33" si="0">IFERROR(_xlfn.IFNA(C2/D2," ")," ")</f>
        <v>107.41</v>
      </c>
      <c r="F2">
        <f t="shared" ref="F2:F33" si="1">IF( AND(E2&gt;0,E2&lt;&gt;" "),B2/E2,IF(E2&lt;0,"negative"," "))</f>
        <v>0</v>
      </c>
      <c r="G2">
        <f>_xlfn.IFNA( INDEX('القيمة الدفترية'!A:A,MATCH(A2,'القيمة الدفترية'!E:E,0),1),"")</f>
        <v>8.07</v>
      </c>
      <c r="H2">
        <f t="shared" ref="H2:H33" si="2">IFERROR(B2/G2,"")</f>
        <v>0</v>
      </c>
      <c r="I2">
        <f t="shared" ref="I2:I33" si="3">IF(AND(G2&gt;0,E2&gt;0),SQRT(G2*E2),0)</f>
        <v>29.44144527702402</v>
      </c>
      <c r="J2">
        <f t="shared" ref="J2:J33" si="4">IFERROR( I2/B2,0)</f>
        <v>0</v>
      </c>
    </row>
    <row r="3" spans="1:13">
      <c r="A3" s="1" t="s">
        <v>53</v>
      </c>
      <c r="B3">
        <f>INDEX('اسعار الاسهم'!A:B,MATCH(A3,'اسعار الاسهم'!K:K,0),2)</f>
        <v>0.03</v>
      </c>
      <c r="C3" s="2">
        <v>3195467</v>
      </c>
      <c r="D3" s="2">
        <v>100000000</v>
      </c>
      <c r="E3">
        <f t="shared" si="0"/>
        <v>3.1954669999999998E-2</v>
      </c>
      <c r="F3">
        <f t="shared" si="1"/>
        <v>0.93882991124614967</v>
      </c>
      <c r="G3">
        <f>_xlfn.IFNA( INDEX('القيمة الدفترية'!A:A,MATCH(A3,'القيمة الدفترية'!E:E,0),1),"")</f>
        <v>0.68</v>
      </c>
      <c r="H3">
        <f t="shared" si="2"/>
        <v>4.4117647058823525E-2</v>
      </c>
      <c r="I3">
        <f t="shared" si="3"/>
        <v>0.14740819380210857</v>
      </c>
      <c r="J3">
        <f t="shared" si="4"/>
        <v>4.9136064600702856</v>
      </c>
    </row>
    <row r="4" spans="1:13">
      <c r="A4" t="s">
        <v>7</v>
      </c>
      <c r="B4">
        <f>INDEX('اسعار الاسهم'!A:B,MATCH(A4,'اسعار الاسهم'!K:K,0),2)</f>
        <v>37.4</v>
      </c>
      <c r="C4" s="2">
        <v>4429315000</v>
      </c>
      <c r="D4" s="2">
        <v>215153245</v>
      </c>
      <c r="E4">
        <f t="shared" si="0"/>
        <v>20.58679152155014</v>
      </c>
      <c r="F4">
        <f t="shared" si="1"/>
        <v>1.8166988265679906</v>
      </c>
      <c r="G4">
        <f>_xlfn.IFNA( INDEX('القيمة الدفترية'!A:A,MATCH(A4,'القيمة الدفترية'!E:E,0),1),"")</f>
        <v>122.1</v>
      </c>
      <c r="H4">
        <f t="shared" si="2"/>
        <v>0.30630630630630629</v>
      </c>
      <c r="I4">
        <f t="shared" si="3"/>
        <v>50.136286707147271</v>
      </c>
      <c r="J4">
        <f t="shared" si="4"/>
        <v>1.3405424253247933</v>
      </c>
    </row>
    <row r="5" spans="1:13">
      <c r="A5" t="s">
        <v>499</v>
      </c>
      <c r="B5">
        <f>INDEX('اسعار الاسهم'!A:B,MATCH(A5,'اسعار الاسهم'!K:K,0),2)</f>
        <v>12.54</v>
      </c>
      <c r="C5" s="2">
        <v>598042000</v>
      </c>
      <c r="D5" s="2">
        <v>62627993</v>
      </c>
      <c r="E5">
        <f t="shared" si="0"/>
        <v>9.5491164789521523</v>
      </c>
      <c r="F5">
        <f t="shared" si="1"/>
        <v>1.3132104972894878</v>
      </c>
      <c r="G5">
        <f>_xlfn.IFNA( INDEX('القيمة الدفترية'!A:A,MATCH(A5,'القيمة الدفترية'!E:E,0),1),"")</f>
        <v>20.61</v>
      </c>
      <c r="H5">
        <f t="shared" si="2"/>
        <v>0.6084425036390102</v>
      </c>
      <c r="I5">
        <f t="shared" si="3"/>
        <v>14.028802180913516</v>
      </c>
      <c r="J5">
        <f t="shared" si="4"/>
        <v>1.1187242568511577</v>
      </c>
    </row>
    <row r="6" spans="1:13">
      <c r="A6" t="s">
        <v>18</v>
      </c>
      <c r="B6">
        <f>INDEX('اسعار الاسهم'!A:B,MATCH(A6,'اسعار الاسهم'!K:K,0),2)</f>
        <v>15.8</v>
      </c>
      <c r="C6" s="2">
        <v>157839943</v>
      </c>
      <c r="D6" s="2">
        <v>22500000</v>
      </c>
      <c r="E6">
        <f t="shared" si="0"/>
        <v>7.0151085777777782</v>
      </c>
      <c r="F6">
        <f t="shared" si="1"/>
        <v>2.2522816040297227</v>
      </c>
      <c r="G6">
        <f>_xlfn.IFNA( INDEX('القيمة الدفترية'!A:A,MATCH(A6,'القيمة الدفترية'!E:E,0),1),"")</f>
        <v>14.9</v>
      </c>
      <c r="H6">
        <f t="shared" si="2"/>
        <v>1.0604026845637584</v>
      </c>
      <c r="I6">
        <f t="shared" si="3"/>
        <v>10.223752628506272</v>
      </c>
      <c r="J6">
        <f t="shared" si="4"/>
        <v>0.64707295117128305</v>
      </c>
    </row>
    <row r="7" spans="1:13">
      <c r="A7" t="s">
        <v>100</v>
      </c>
      <c r="B7">
        <f>INDEX('اسعار الاسهم'!A:B,MATCH(A7,'اسعار الاسهم'!K:K,0),2)</f>
        <v>0.2</v>
      </c>
      <c r="C7" s="2">
        <v>99750247</v>
      </c>
      <c r="D7" s="2">
        <v>1287311425</v>
      </c>
      <c r="E7">
        <f t="shared" si="0"/>
        <v>7.7487269251882859E-2</v>
      </c>
      <c r="F7">
        <f t="shared" si="1"/>
        <v>2.5810691476282761</v>
      </c>
      <c r="G7">
        <f>_xlfn.IFNA( INDEX('القيمة الدفترية'!A:A,MATCH(A7,'القيمة الدفترية'!E:E,0),1),"")</f>
        <v>0.98</v>
      </c>
      <c r="H7">
        <f t="shared" si="2"/>
        <v>0.20408163265306123</v>
      </c>
      <c r="I7">
        <f t="shared" si="3"/>
        <v>0.27556763936798745</v>
      </c>
      <c r="J7">
        <f t="shared" si="4"/>
        <v>1.3778381968399371</v>
      </c>
    </row>
    <row r="8" spans="1:13">
      <c r="A8" t="s">
        <v>31</v>
      </c>
      <c r="B8">
        <f>INDEX('اسعار الاسهم'!A:B,MATCH(A8,'اسعار الاسهم'!K:K,0),2)</f>
        <v>177.02</v>
      </c>
      <c r="C8" s="2">
        <v>28445389</v>
      </c>
      <c r="D8" s="2">
        <v>2500000</v>
      </c>
      <c r="E8">
        <f t="shared" si="0"/>
        <v>11.378155599999999</v>
      </c>
      <c r="F8">
        <f t="shared" si="1"/>
        <v>15.557881806432672</v>
      </c>
      <c r="G8">
        <f>_xlfn.IFNA( INDEX('القيمة الدفترية'!A:A,MATCH(A8,'القيمة الدفترية'!E:E,0),1),"")</f>
        <v>126.62</v>
      </c>
      <c r="H8">
        <f t="shared" si="2"/>
        <v>1.3980413836676671</v>
      </c>
      <c r="I8">
        <f t="shared" si="3"/>
        <v>37.956581274819783</v>
      </c>
      <c r="J8">
        <f t="shared" si="4"/>
        <v>0.21441973378612461</v>
      </c>
    </row>
    <row r="9" spans="1:13">
      <c r="A9" t="s">
        <v>32</v>
      </c>
      <c r="B9">
        <f>INDEX('اسعار الاسهم'!A:B,MATCH(A9,'اسعار الاسهم'!K:K,0),2)</f>
        <v>18.73</v>
      </c>
      <c r="C9" s="2">
        <v>3402473000</v>
      </c>
      <c r="D9" s="2">
        <v>744110400</v>
      </c>
      <c r="E9">
        <f t="shared" si="0"/>
        <v>4.5725378922267446</v>
      </c>
      <c r="F9">
        <f t="shared" si="1"/>
        <v>4.096193501608977</v>
      </c>
      <c r="G9">
        <f>_xlfn.IFNA( INDEX('القيمة الدفترية'!A:A,MATCH(A9,'القيمة الدفترية'!E:E,0),1),"")</f>
        <v>21.79</v>
      </c>
      <c r="H9">
        <f t="shared" si="2"/>
        <v>0.85956860945387803</v>
      </c>
      <c r="I9">
        <f t="shared" si="3"/>
        <v>9.9817634049110158</v>
      </c>
      <c r="J9">
        <f t="shared" si="4"/>
        <v>0.53292917271281448</v>
      </c>
    </row>
    <row r="10" spans="1:13">
      <c r="A10" t="s">
        <v>29</v>
      </c>
      <c r="B10">
        <f>INDEX('اسعار الاسهم'!A:B,MATCH(A10,'اسعار الاسهم'!K:K,0),2)</f>
        <v>1.31</v>
      </c>
      <c r="C10" s="2">
        <v>119080551</v>
      </c>
      <c r="D10" s="2">
        <v>754785221</v>
      </c>
      <c r="E10">
        <f t="shared" si="0"/>
        <v>0.15776746508395134</v>
      </c>
      <c r="F10">
        <f t="shared" si="1"/>
        <v>8.3033596267958156</v>
      </c>
      <c r="G10">
        <f>_xlfn.IFNA( INDEX('القيمة الدفترية'!A:A,MATCH(A10,'القيمة الدفترية'!E:E,0),1),"")</f>
        <v>1.66</v>
      </c>
      <c r="H10">
        <f t="shared" si="2"/>
        <v>0.78915662650602414</v>
      </c>
      <c r="I10">
        <f t="shared" si="3"/>
        <v>0.511755793361794</v>
      </c>
      <c r="J10">
        <f t="shared" si="4"/>
        <v>0.39065327737541528</v>
      </c>
    </row>
    <row r="11" spans="1:13">
      <c r="A11" t="s">
        <v>35</v>
      </c>
      <c r="B11">
        <f>INDEX('اسعار الاسهم'!A:B,MATCH(A11,'اسعار الاسهم'!K:K,0),2)</f>
        <v>5.45</v>
      </c>
      <c r="C11" s="2">
        <v>556973601</v>
      </c>
      <c r="D11" s="2">
        <v>1054805160</v>
      </c>
      <c r="E11">
        <f t="shared" si="0"/>
        <v>0.52803458128703129</v>
      </c>
      <c r="F11">
        <f t="shared" si="1"/>
        <v>10.321293705264857</v>
      </c>
      <c r="G11">
        <f>_xlfn.IFNA( INDEX('القيمة الدفترية'!A:A,MATCH(A11,'القيمة الدفترية'!E:E,0),1),"")</f>
        <v>4.91</v>
      </c>
      <c r="H11">
        <f t="shared" si="2"/>
        <v>1.109979633401222</v>
      </c>
      <c r="I11">
        <f t="shared" si="3"/>
        <v>1.6101707344624432</v>
      </c>
      <c r="J11">
        <f t="shared" si="4"/>
        <v>0.29544417146099872</v>
      </c>
    </row>
    <row r="12" spans="1:13">
      <c r="A12" t="s">
        <v>24</v>
      </c>
      <c r="B12" t="e">
        <f>INDEX('اسعار الاسهم'!A:B,MATCH(A12,'اسعار الاسهم'!K:K,0),2)</f>
        <v>#N/A</v>
      </c>
      <c r="C12" s="2">
        <v>16228330141</v>
      </c>
      <c r="D12" s="2">
        <v>2154822966</v>
      </c>
      <c r="E12">
        <f t="shared" si="0"/>
        <v>7.5311663171683501</v>
      </c>
      <c r="F12" t="e">
        <f t="shared" si="1"/>
        <v>#N/A</v>
      </c>
      <c r="G12">
        <f>_xlfn.IFNA( INDEX('القيمة الدفترية'!A:A,MATCH(A12,'القيمة الدفترية'!E:E,0),1),"")</f>
        <v>30.92</v>
      </c>
      <c r="H12" t="str">
        <f t="shared" si="2"/>
        <v/>
      </c>
      <c r="I12">
        <f t="shared" si="3"/>
        <v>15.25987098657277</v>
      </c>
      <c r="J12">
        <f t="shared" si="4"/>
        <v>0</v>
      </c>
    </row>
    <row r="13" spans="1:13">
      <c r="A13" t="s">
        <v>25</v>
      </c>
      <c r="B13">
        <f>INDEX('اسعار الاسهم'!A:B,MATCH(A13,'اسعار الاسهم'!K:K,0),2)</f>
        <v>22.19</v>
      </c>
      <c r="C13" s="2">
        <v>2217803000</v>
      </c>
      <c r="D13" s="2">
        <v>727139130</v>
      </c>
      <c r="E13">
        <f t="shared" si="0"/>
        <v>3.0500394058011979</v>
      </c>
      <c r="F13">
        <f t="shared" si="1"/>
        <v>7.2753158394591404</v>
      </c>
      <c r="G13">
        <f>_xlfn.IFNA( INDEX('القيمة الدفترية'!A:A,MATCH(A13,'القيمة الدفترية'!E:E,0),1),"")</f>
        <v>12.47</v>
      </c>
      <c r="H13">
        <f t="shared" si="2"/>
        <v>1.7794707297514034</v>
      </c>
      <c r="I13">
        <f t="shared" si="3"/>
        <v>6.1671704525123134</v>
      </c>
      <c r="J13">
        <f t="shared" si="4"/>
        <v>0.27792566257378609</v>
      </c>
    </row>
    <row r="14" spans="1:13">
      <c r="A14" t="s">
        <v>75</v>
      </c>
      <c r="B14">
        <f>INDEX('اسعار الاسهم'!A:B,MATCH(A14,'اسعار الاسهم'!K:K,0),2)</f>
        <v>31.4</v>
      </c>
      <c r="C14" s="2">
        <v>819760090</v>
      </c>
      <c r="D14" s="2">
        <v>79200000</v>
      </c>
      <c r="E14">
        <f t="shared" si="0"/>
        <v>10.350506186868687</v>
      </c>
      <c r="F14">
        <f t="shared" si="1"/>
        <v>3.0336680576874628</v>
      </c>
      <c r="G14">
        <f>_xlfn.IFNA( INDEX('القيمة الدفترية'!A:A,MATCH(A14,'القيمة الدفترية'!E:E,0),1),"")</f>
        <v>18.79</v>
      </c>
      <c r="H14">
        <f t="shared" si="2"/>
        <v>1.6711016498137308</v>
      </c>
      <c r="I14">
        <f t="shared" si="3"/>
        <v>13.945824151023224</v>
      </c>
      <c r="J14">
        <f t="shared" si="4"/>
        <v>0.44413452710265044</v>
      </c>
    </row>
    <row r="15" spans="1:13">
      <c r="A15" t="s">
        <v>17</v>
      </c>
      <c r="B15">
        <f>INDEX('اسعار الاسهم'!A:B,MATCH(A15,'اسعار الاسهم'!K:K,0),2)</f>
        <v>10.11</v>
      </c>
      <c r="C15" s="2">
        <v>6811786786</v>
      </c>
      <c r="D15" s="2">
        <v>4529338000</v>
      </c>
      <c r="E15">
        <f t="shared" si="0"/>
        <v>1.5039254712278041</v>
      </c>
      <c r="F15">
        <f t="shared" si="1"/>
        <v>6.7224075882870711</v>
      </c>
      <c r="G15">
        <f>_xlfn.IFNA( INDEX('القيمة الدفترية'!A:A,MATCH(A15,'القيمة الدفترية'!E:E,0),1),"")</f>
        <v>7.88</v>
      </c>
      <c r="H15">
        <f t="shared" si="2"/>
        <v>1.282994923857868</v>
      </c>
      <c r="I15">
        <f t="shared" si="3"/>
        <v>3.4425183678921885</v>
      </c>
      <c r="J15">
        <f t="shared" si="4"/>
        <v>0.34050626784294646</v>
      </c>
    </row>
    <row r="16" spans="1:13">
      <c r="A16" t="s">
        <v>14</v>
      </c>
      <c r="B16">
        <f>INDEX('اسعار الاسهم'!A:B,MATCH(A16,'اسعار الاسهم'!K:K,0),2)</f>
        <v>13.65</v>
      </c>
      <c r="C16" s="2">
        <v>380296464</v>
      </c>
      <c r="D16" s="2">
        <v>100000000</v>
      </c>
      <c r="E16">
        <f t="shared" si="0"/>
        <v>3.8029646399999999</v>
      </c>
      <c r="F16">
        <f t="shared" si="1"/>
        <v>3.5893050007427889</v>
      </c>
      <c r="G16">
        <f>_xlfn.IFNA( INDEX('القيمة الدفترية'!A:A,MATCH(A16,'القيمة الدفترية'!E:E,0),1),"")</f>
        <v>14.01</v>
      </c>
      <c r="H16">
        <f t="shared" si="2"/>
        <v>0.97430406852248397</v>
      </c>
      <c r="I16">
        <f t="shared" si="3"/>
        <v>7.2992831570230239</v>
      </c>
      <c r="J16">
        <f t="shared" si="4"/>
        <v>0.53474601882952555</v>
      </c>
    </row>
    <row r="17" spans="1:10">
      <c r="A17" t="s">
        <v>21</v>
      </c>
      <c r="B17">
        <f>INDEX('اسعار الاسهم'!A:B,MATCH(A17,'اسعار الاسهم'!K:K,0),2)</f>
        <v>4.8</v>
      </c>
      <c r="C17" s="2">
        <v>170912710</v>
      </c>
      <c r="D17" s="2">
        <v>174931671</v>
      </c>
      <c r="E17">
        <f t="shared" si="0"/>
        <v>0.9770255381599825</v>
      </c>
      <c r="F17">
        <f t="shared" si="1"/>
        <v>4.9128705571399571</v>
      </c>
      <c r="G17">
        <f>_xlfn.IFNA( INDEX('القيمة الدفترية'!A:A,MATCH(A17,'القيمة الدفترية'!E:E,0),1),"")</f>
        <v>3.78</v>
      </c>
      <c r="H17">
        <f t="shared" si="2"/>
        <v>1.2698412698412698</v>
      </c>
      <c r="I17">
        <f t="shared" si="3"/>
        <v>1.9217587086428758</v>
      </c>
      <c r="J17">
        <f t="shared" si="4"/>
        <v>0.40036639763393245</v>
      </c>
    </row>
    <row r="18" spans="1:10">
      <c r="A18" t="s">
        <v>37</v>
      </c>
      <c r="B18">
        <f>INDEX('اسعار الاسهم'!A:B,MATCH(A18,'اسعار الاسهم'!K:K,0),2)</f>
        <v>95.5</v>
      </c>
      <c r="C18" s="2">
        <v>11472963000</v>
      </c>
      <c r="D18" s="2">
        <v>1707071600</v>
      </c>
      <c r="E18">
        <f t="shared" si="0"/>
        <v>6.7208446324102633</v>
      </c>
      <c r="F18">
        <f t="shared" si="1"/>
        <v>14.209523538078175</v>
      </c>
      <c r="G18">
        <f>_xlfn.IFNA( INDEX('القيمة الدفترية'!A:A,MATCH(A18,'القيمة الدفترية'!E:E,0),1),"")</f>
        <v>29.8</v>
      </c>
      <c r="H18">
        <f t="shared" si="2"/>
        <v>3.2046979865771812</v>
      </c>
      <c r="I18">
        <f t="shared" si="3"/>
        <v>14.152072994647316</v>
      </c>
      <c r="J18">
        <f t="shared" si="4"/>
        <v>0.14818924601724939</v>
      </c>
    </row>
    <row r="19" spans="1:10">
      <c r="A19" t="s">
        <v>11</v>
      </c>
      <c r="B19">
        <f>INDEX('اسعار الاسهم'!A:B,MATCH(A19,'اسعار الاسهم'!K:K,0),2)</f>
        <v>34.5</v>
      </c>
      <c r="C19" s="2">
        <v>2293345000</v>
      </c>
      <c r="D19" s="2">
        <v>460000000</v>
      </c>
      <c r="E19">
        <f t="shared" si="0"/>
        <v>4.9855326086956522</v>
      </c>
      <c r="F19">
        <f t="shared" si="1"/>
        <v>6.9200229359298318</v>
      </c>
      <c r="G19">
        <f>_xlfn.IFNA( INDEX('القيمة الدفترية'!A:A,MATCH(A19,'القيمة الدفترية'!E:E,0),1),"")</f>
        <v>16.989999999999998</v>
      </c>
      <c r="H19">
        <f t="shared" si="2"/>
        <v>2.0306062389640966</v>
      </c>
      <c r="I19">
        <f t="shared" si="3"/>
        <v>9.2034884159072607</v>
      </c>
      <c r="J19">
        <f t="shared" si="4"/>
        <v>0.26676778017122493</v>
      </c>
    </row>
    <row r="20" spans="1:10">
      <c r="A20" t="s">
        <v>33</v>
      </c>
      <c r="B20">
        <f>INDEX('اسعار الاسهم'!A:B,MATCH(A20,'اسعار الاسهم'!K:K,0),2)</f>
        <v>46.1</v>
      </c>
      <c r="C20" s="2">
        <v>4673840000</v>
      </c>
      <c r="D20" s="2">
        <v>500000000</v>
      </c>
      <c r="E20">
        <f t="shared" si="0"/>
        <v>9.3476800000000004</v>
      </c>
      <c r="F20">
        <f t="shared" si="1"/>
        <v>4.9317049792033956</v>
      </c>
      <c r="G20">
        <f>_xlfn.IFNA( INDEX('القيمة الدفترية'!A:A,MATCH(A20,'القيمة الدفترية'!E:E,0),1),"")</f>
        <v>28.69</v>
      </c>
      <c r="H20">
        <f t="shared" si="2"/>
        <v>1.6068316486580689</v>
      </c>
      <c r="I20">
        <f t="shared" si="3"/>
        <v>16.376353049442969</v>
      </c>
      <c r="J20">
        <f t="shared" si="4"/>
        <v>0.355235424066008</v>
      </c>
    </row>
    <row r="21" spans="1:10">
      <c r="A21" t="s">
        <v>22</v>
      </c>
      <c r="B21">
        <f>INDEX('اسعار الاسهم'!A:B,MATCH(A21,'اسعار الاسهم'!K:K,0),2)</f>
        <v>0</v>
      </c>
      <c r="C21" s="2">
        <v>159502805</v>
      </c>
      <c r="D21" s="2">
        <v>20000000</v>
      </c>
      <c r="E21">
        <f t="shared" si="0"/>
        <v>7.9751402499999999</v>
      </c>
      <c r="F21">
        <f t="shared" si="1"/>
        <v>0</v>
      </c>
      <c r="G21">
        <f>_xlfn.IFNA( INDEX('القيمة الدفترية'!A:A,MATCH(A21,'القيمة الدفترية'!E:E,0),1),"")</f>
        <v>42.29</v>
      </c>
      <c r="H21">
        <f t="shared" si="2"/>
        <v>0</v>
      </c>
      <c r="I21">
        <f t="shared" si="3"/>
        <v>18.364876290694149</v>
      </c>
      <c r="J21">
        <f t="shared" si="4"/>
        <v>0</v>
      </c>
    </row>
    <row r="22" spans="1:10">
      <c r="A22" s="3" t="s">
        <v>12</v>
      </c>
      <c r="B22">
        <f>INDEX('اسعار الاسهم'!A:B,MATCH(A22,'اسعار الاسهم'!K:K,0),2)</f>
        <v>0.78</v>
      </c>
      <c r="C22" s="2">
        <v>1458086741</v>
      </c>
      <c r="D22" s="2">
        <v>1054805160</v>
      </c>
      <c r="E22">
        <f t="shared" si="0"/>
        <v>1.3823280320320011</v>
      </c>
      <c r="F22">
        <f t="shared" si="1"/>
        <v>0.56426548686378875</v>
      </c>
      <c r="G22">
        <f>_xlfn.IFNA( INDEX('القيمة الدفترية'!A:A,MATCH(A22,'القيمة الدفترية'!E:E,0),1),"")</f>
        <v>1.95</v>
      </c>
      <c r="H22">
        <f t="shared" si="2"/>
        <v>0.4</v>
      </c>
      <c r="I22">
        <f t="shared" si="3"/>
        <v>1.6418098740299993</v>
      </c>
      <c r="J22">
        <f t="shared" si="4"/>
        <v>2.1048844538846145</v>
      </c>
    </row>
    <row r="23" spans="1:10">
      <c r="A23" t="s">
        <v>26</v>
      </c>
      <c r="B23">
        <f>INDEX('اسعار الاسهم'!A:B,MATCH(A23,'اسعار الاسهم'!K:K,0),2)</f>
        <v>12.71</v>
      </c>
      <c r="C23" s="2">
        <v>1075634984</v>
      </c>
      <c r="D23" s="2">
        <v>1000000000</v>
      </c>
      <c r="E23">
        <f t="shared" si="0"/>
        <v>1.0756349839999999</v>
      </c>
      <c r="F23">
        <f t="shared" si="1"/>
        <v>11.816276142985696</v>
      </c>
      <c r="G23">
        <f>_xlfn.IFNA( INDEX('القيمة الدفترية'!A:A,MATCH(A23,'القيمة الدفترية'!E:E,0),1),"")</f>
        <v>4.5999999999999996</v>
      </c>
      <c r="H23">
        <f t="shared" si="2"/>
        <v>2.7630434782608702</v>
      </c>
      <c r="I23">
        <f t="shared" si="3"/>
        <v>2.224392260011709</v>
      </c>
      <c r="J23">
        <f t="shared" si="4"/>
        <v>0.17501119276252627</v>
      </c>
    </row>
    <row r="24" spans="1:10">
      <c r="A24" t="s">
        <v>36</v>
      </c>
      <c r="B24">
        <f>INDEX('اسعار الاسهم'!A:B,MATCH(A24,'اسعار الاسهم'!K:K,0),2)</f>
        <v>35.5</v>
      </c>
      <c r="C24" s="2">
        <v>545939000</v>
      </c>
      <c r="D24" s="2">
        <v>73125000</v>
      </c>
      <c r="E24">
        <f t="shared" si="0"/>
        <v>7.4658324786324783</v>
      </c>
      <c r="F24">
        <f t="shared" si="1"/>
        <v>4.7549955214776745</v>
      </c>
      <c r="G24">
        <f>_xlfn.IFNA( INDEX('القيمة الدفترية'!A:A,MATCH(A24,'القيمة الدفترية'!E:E,0),1),"")</f>
        <v>15.24</v>
      </c>
      <c r="H24">
        <f t="shared" si="2"/>
        <v>2.3293963254593177</v>
      </c>
      <c r="I24">
        <f t="shared" si="3"/>
        <v>10.666737410021819</v>
      </c>
      <c r="J24">
        <f t="shared" si="4"/>
        <v>0.3004714763386428</v>
      </c>
    </row>
    <row r="25" spans="1:10">
      <c r="A25" t="s">
        <v>20</v>
      </c>
      <c r="B25">
        <f>INDEX('اسعار الاسهم'!A:B,MATCH(A25,'اسعار الاسهم'!K:K,0),2)</f>
        <v>143.44999999999999</v>
      </c>
      <c r="C25" s="2">
        <v>6559603404</v>
      </c>
      <c r="D25" s="2">
        <v>531300000</v>
      </c>
      <c r="E25">
        <f t="shared" si="0"/>
        <v>12.346326753246753</v>
      </c>
      <c r="F25">
        <f t="shared" si="1"/>
        <v>11.618840394150146</v>
      </c>
      <c r="G25">
        <f>_xlfn.IFNA( INDEX('القيمة الدفترية'!A:A,MATCH(A25,'القيمة الدفترية'!E:E,0),1),"")</f>
        <v>30.22</v>
      </c>
      <c r="H25">
        <f t="shared" si="2"/>
        <v>4.7468563864990072</v>
      </c>
      <c r="I25">
        <f t="shared" si="3"/>
        <v>19.315951814060753</v>
      </c>
      <c r="J25">
        <f t="shared" si="4"/>
        <v>0.13465285335699376</v>
      </c>
    </row>
    <row r="26" spans="1:10">
      <c r="A26" t="s">
        <v>72</v>
      </c>
      <c r="B26">
        <f>INDEX('اسعار الاسهم'!A:B,MATCH(A26,'اسعار الاسهم'!K:K,0),2)</f>
        <v>2.25</v>
      </c>
      <c r="C26" s="2">
        <v>25591409</v>
      </c>
      <c r="D26" s="2">
        <v>350000000</v>
      </c>
      <c r="E26">
        <f t="shared" si="0"/>
        <v>7.3118311428571434E-2</v>
      </c>
      <c r="F26">
        <f t="shared" si="1"/>
        <v>30.77204541570962</v>
      </c>
      <c r="G26">
        <f>_xlfn.IFNA( INDEX('القيمة الدفترية'!A:A,MATCH(A26,'القيمة الدفترية'!E:E,0),1),"")</f>
        <v>0.81</v>
      </c>
      <c r="H26">
        <f t="shared" si="2"/>
        <v>2.7777777777777777</v>
      </c>
      <c r="I26">
        <f t="shared" si="3"/>
        <v>0.24336358038363684</v>
      </c>
      <c r="J26">
        <f t="shared" si="4"/>
        <v>0.10816159128161637</v>
      </c>
    </row>
    <row r="27" spans="1:10">
      <c r="A27" t="s">
        <v>38</v>
      </c>
      <c r="B27">
        <f>INDEX('اسعار الاسهم'!A:B,MATCH(A27,'اسعار الاسهم'!K:K,0),2)</f>
        <v>109.5</v>
      </c>
      <c r="C27" s="2">
        <v>123608766</v>
      </c>
      <c r="D27" s="2">
        <v>14722935</v>
      </c>
      <c r="E27">
        <f t="shared" si="0"/>
        <v>8.3956606478259932</v>
      </c>
      <c r="F27">
        <f t="shared" si="1"/>
        <v>13.042451879990454</v>
      </c>
      <c r="G27">
        <f>_xlfn.IFNA( INDEX('القيمة الدفترية'!A:A,MATCH(A27,'القيمة الدفترية'!E:E,0),1),"")</f>
        <v>34.35</v>
      </c>
      <c r="H27">
        <f t="shared" si="2"/>
        <v>3.1877729257641918</v>
      </c>
      <c r="I27">
        <f t="shared" si="3"/>
        <v>16.982077118327513</v>
      </c>
      <c r="J27">
        <f t="shared" si="4"/>
        <v>0.15508746226783118</v>
      </c>
    </row>
    <row r="28" spans="1:10">
      <c r="A28" t="s">
        <v>23</v>
      </c>
      <c r="B28">
        <f>INDEX('اسعار الاسهم'!A:B,MATCH(A28,'اسعار الاسهم'!K:K,0),2)</f>
        <v>8.6999999999999993</v>
      </c>
      <c r="C28" s="2">
        <v>221358384</v>
      </c>
      <c r="D28" s="2">
        <v>460000000</v>
      </c>
      <c r="E28">
        <f t="shared" si="0"/>
        <v>0.48121387826086959</v>
      </c>
      <c r="F28">
        <f t="shared" si="1"/>
        <v>18.079279075329712</v>
      </c>
      <c r="G28">
        <f>_xlfn.IFNA( INDEX('القيمة الدفترية'!A:A,MATCH(A28,'القيمة الدفترية'!E:E,0),1),"")</f>
        <v>1.93</v>
      </c>
      <c r="H28">
        <f t="shared" si="2"/>
        <v>4.5077720207253886</v>
      </c>
      <c r="I28">
        <f t="shared" si="3"/>
        <v>0.96371302006535031</v>
      </c>
      <c r="J28">
        <f t="shared" si="4"/>
        <v>0.11077161150176441</v>
      </c>
    </row>
    <row r="29" spans="1:10">
      <c r="A29" t="s">
        <v>9</v>
      </c>
      <c r="B29">
        <f>INDEX('اسعار الاسهم'!A:B,MATCH(A29,'اسعار الاسهم'!K:K,0),2)</f>
        <v>77.599999999999994</v>
      </c>
      <c r="C29" s="2">
        <v>51372731</v>
      </c>
      <c r="D29" s="2">
        <v>17550000</v>
      </c>
      <c r="E29">
        <f t="shared" si="0"/>
        <v>2.9272211396011394</v>
      </c>
      <c r="F29">
        <f t="shared" si="1"/>
        <v>26.509783955227142</v>
      </c>
      <c r="G29">
        <f>_xlfn.IFNA( INDEX('القيمة الدفترية'!A:A,MATCH(A29,'القيمة الدفترية'!E:E,0),1),"")</f>
        <v>4.3899999999999997</v>
      </c>
      <c r="H29">
        <f t="shared" si="2"/>
        <v>17.676537585421411</v>
      </c>
      <c r="I29">
        <f t="shared" si="3"/>
        <v>3.5847595181335388</v>
      </c>
      <c r="J29">
        <f t="shared" si="4"/>
        <v>4.6195354615122926E-2</v>
      </c>
    </row>
    <row r="30" spans="1:10">
      <c r="A30" t="s">
        <v>19</v>
      </c>
      <c r="B30">
        <f>INDEX('اسعار الاسهم'!A:B,MATCH(A30,'اسعار الاسهم'!K:K,0),2)</f>
        <v>10.1</v>
      </c>
      <c r="C30" s="2">
        <v>400524000</v>
      </c>
      <c r="D30" s="2">
        <v>264815881</v>
      </c>
      <c r="E30">
        <f t="shared" si="0"/>
        <v>1.5124621623428998</v>
      </c>
      <c r="F30">
        <f t="shared" si="1"/>
        <v>6.6778530078097686</v>
      </c>
      <c r="G30">
        <f>_xlfn.IFNA( INDEX('القيمة الدفترية'!A:A,MATCH(A30,'القيمة الدفترية'!E:E,0),1),"")</f>
        <v>5.9</v>
      </c>
      <c r="H30">
        <f t="shared" si="2"/>
        <v>1.7118644067796609</v>
      </c>
      <c r="I30">
        <f t="shared" si="3"/>
        <v>2.9872272691951496</v>
      </c>
      <c r="J30">
        <f t="shared" si="4"/>
        <v>0.29576507615793562</v>
      </c>
    </row>
    <row r="31" spans="1:10">
      <c r="A31" t="s">
        <v>243</v>
      </c>
      <c r="B31">
        <f>INDEX('اسعار الاسهم'!A:B,MATCH(A31,'اسعار الاسهم'!K:K,0),2)</f>
        <v>653.48</v>
      </c>
      <c r="C31" s="2">
        <v>206504000</v>
      </c>
      <c r="D31" s="2">
        <v>12293440</v>
      </c>
      <c r="E31">
        <f t="shared" si="0"/>
        <v>16.797901970481817</v>
      </c>
      <c r="F31">
        <f t="shared" si="1"/>
        <v>38.90247729438655</v>
      </c>
      <c r="G31">
        <f>_xlfn.IFNA( INDEX('القيمة الدفترية'!A:A,MATCH(A31,'القيمة الدفترية'!E:E,0),1),"")</f>
        <v>268.08999999999997</v>
      </c>
      <c r="H31">
        <f t="shared" si="2"/>
        <v>2.4375396322130629</v>
      </c>
      <c r="I31">
        <f t="shared" si="3"/>
        <v>67.107000672556282</v>
      </c>
      <c r="J31">
        <f t="shared" si="4"/>
        <v>0.10269174369920468</v>
      </c>
    </row>
    <row r="32" spans="1:10">
      <c r="A32" t="s">
        <v>44</v>
      </c>
      <c r="B32">
        <f>INDEX('اسعار الاسهم'!A:B,MATCH(A32,'اسعار الاسهم'!K:K,0),2)</f>
        <v>25.67</v>
      </c>
      <c r="C32" s="2">
        <v>1811529000</v>
      </c>
      <c r="D32" s="2">
        <v>1085500000</v>
      </c>
      <c r="E32">
        <f t="shared" si="0"/>
        <v>1.6688429295255642</v>
      </c>
      <c r="F32">
        <f t="shared" si="1"/>
        <v>15.381914945882734</v>
      </c>
      <c r="G32">
        <f>_xlfn.IFNA( INDEX('القيمة الدفترية'!A:A,MATCH(A32,'القيمة الدفترية'!E:E,0),1),"")</f>
        <v>18.28</v>
      </c>
      <c r="H32">
        <f t="shared" si="2"/>
        <v>1.4042669584245078</v>
      </c>
      <c r="I32">
        <f t="shared" si="3"/>
        <v>5.523264320284456</v>
      </c>
      <c r="J32">
        <f t="shared" si="4"/>
        <v>0.21516417297563131</v>
      </c>
    </row>
    <row r="33" spans="1:10">
      <c r="A33" t="s">
        <v>40</v>
      </c>
      <c r="B33">
        <f>INDEX('اسعار الاسهم'!A:B,MATCH(A33,'اسعار الاسهم'!K:K,0),2)</f>
        <v>23.41</v>
      </c>
      <c r="C33" s="2">
        <v>5166372000</v>
      </c>
      <c r="D33" s="2">
        <v>1250000000</v>
      </c>
      <c r="E33">
        <f t="shared" si="0"/>
        <v>4.1330976000000001</v>
      </c>
      <c r="F33">
        <f t="shared" si="1"/>
        <v>5.6640327099945571</v>
      </c>
      <c r="G33">
        <f>_xlfn.IFNA( INDEX('القيمة الدفترية'!A:A,MATCH(A33,'القيمة الدفترية'!E:E,0),1),"")</f>
        <v>11.6</v>
      </c>
      <c r="H33">
        <f t="shared" si="2"/>
        <v>2.0181034482758622</v>
      </c>
      <c r="I33">
        <f t="shared" si="3"/>
        <v>6.9241557001557963</v>
      </c>
      <c r="J33">
        <f t="shared" si="4"/>
        <v>0.2957776890284407</v>
      </c>
    </row>
    <row r="34" spans="1:10">
      <c r="A34" t="s">
        <v>163</v>
      </c>
      <c r="B34">
        <f>INDEX('اسعار الاسهم'!A:B,MATCH(A34,'اسعار الاسهم'!K:K,0),2)</f>
        <v>0.3</v>
      </c>
      <c r="C34" s="2">
        <v>40695000</v>
      </c>
      <c r="D34" s="2">
        <v>1054805160</v>
      </c>
      <c r="E34">
        <f t="shared" ref="E34:E65" si="5">IFERROR(_xlfn.IFNA(C34/D34," ")," ")</f>
        <v>3.8580584873134295E-2</v>
      </c>
      <c r="F34">
        <f t="shared" ref="F34:F65" si="6">IF( AND(E34&gt;0,E34&lt;&gt;" "),B34/E34,IF(E34&lt;0,"negative"," "))</f>
        <v>7.7759318835237741</v>
      </c>
      <c r="G34">
        <f>_xlfn.IFNA( INDEX('القيمة الدفترية'!A:A,MATCH(A34,'القيمة الدفترية'!E:E,0),1),"")</f>
        <v>0.25</v>
      </c>
      <c r="H34">
        <f t="shared" ref="H34:H65" si="7">IFERROR(B34/G34,"")</f>
        <v>1.2</v>
      </c>
      <c r="I34">
        <f t="shared" ref="I34:I65" si="8">IF(AND(G34&gt;0,E34&gt;0),SQRT(G34*E34),0)</f>
        <v>9.8209705316142634E-2</v>
      </c>
      <c r="J34">
        <f t="shared" ref="J34:J65" si="9">IFERROR( I34/B34,0)</f>
        <v>0.32736568438714214</v>
      </c>
    </row>
    <row r="35" spans="1:10">
      <c r="A35" t="s">
        <v>41</v>
      </c>
      <c r="B35">
        <f>INDEX('اسعار الاسهم'!A:B,MATCH(A35,'اسعار الاسهم'!K:K,0),2)</f>
        <v>29.32</v>
      </c>
      <c r="C35" s="2">
        <v>219514279</v>
      </c>
      <c r="D35" s="2">
        <v>53342513</v>
      </c>
      <c r="E35">
        <f t="shared" si="5"/>
        <v>4.1151844308497427</v>
      </c>
      <c r="F35">
        <f t="shared" si="6"/>
        <v>7.1248325543323769</v>
      </c>
      <c r="G35">
        <f>_xlfn.IFNA( INDEX('القيمة الدفترية'!A:A,MATCH(A35,'القيمة الدفترية'!E:E,0),1),"")</f>
        <v>14.44</v>
      </c>
      <c r="H35">
        <f t="shared" si="7"/>
        <v>2.0304709141274238</v>
      </c>
      <c r="I35">
        <f t="shared" si="8"/>
        <v>7.7086485963150686</v>
      </c>
      <c r="J35">
        <f t="shared" si="9"/>
        <v>0.2629143450312097</v>
      </c>
    </row>
    <row r="36" spans="1:10">
      <c r="A36" t="s">
        <v>16</v>
      </c>
      <c r="B36">
        <f>INDEX('اسعار الاسهم'!A:B,MATCH(A36,'اسعار الاسهم'!K:K,0),2)</f>
        <v>10.17</v>
      </c>
      <c r="C36" s="2">
        <v>8499702</v>
      </c>
      <c r="D36" s="2">
        <v>16000000</v>
      </c>
      <c r="E36">
        <f t="shared" si="5"/>
        <v>0.53123137499999995</v>
      </c>
      <c r="F36">
        <f t="shared" si="6"/>
        <v>19.144200584914625</v>
      </c>
      <c r="G36">
        <f>_xlfn.IFNA( INDEX('القيمة الدفترية'!A:A,MATCH(A36,'القيمة الدفترية'!E:E,0),1),"")</f>
        <v>2.0299999999999998</v>
      </c>
      <c r="H36">
        <f t="shared" si="7"/>
        <v>5.0098522167487687</v>
      </c>
      <c r="I36">
        <f t="shared" si="8"/>
        <v>1.0384602502021922</v>
      </c>
      <c r="J36">
        <f t="shared" si="9"/>
        <v>0.10211015242892746</v>
      </c>
    </row>
    <row r="37" spans="1:10">
      <c r="A37" t="s">
        <v>481</v>
      </c>
      <c r="B37">
        <f>INDEX('اسعار الاسهم'!A:B,MATCH(A37,'اسعار الاسهم'!K:K,0),2)</f>
        <v>208.1</v>
      </c>
      <c r="C37" s="2">
        <v>102316000</v>
      </c>
      <c r="D37" s="2">
        <v>6000000</v>
      </c>
      <c r="E37">
        <f t="shared" si="5"/>
        <v>17.052666666666667</v>
      </c>
      <c r="F37">
        <f t="shared" si="6"/>
        <v>12.203369951913679</v>
      </c>
      <c r="G37">
        <f>_xlfn.IFNA( INDEX('القيمة الدفترية'!A:A,MATCH(A37,'القيمة الدفترية'!E:E,0),1),"")</f>
        <v>101.72</v>
      </c>
      <c r="H37">
        <f t="shared" si="7"/>
        <v>2.0458120330318521</v>
      </c>
      <c r="I37">
        <f t="shared" si="8"/>
        <v>41.648496411435232</v>
      </c>
      <c r="J37">
        <f t="shared" si="9"/>
        <v>0.20013693614336969</v>
      </c>
    </row>
    <row r="38" spans="1:10">
      <c r="A38" t="s">
        <v>83</v>
      </c>
      <c r="B38">
        <f>INDEX('اسعار الاسهم'!A:B,MATCH(A38,'اسعار الاسهم'!K:K,0),2)</f>
        <v>0.39</v>
      </c>
      <c r="C38" s="2">
        <v>58615536</v>
      </c>
      <c r="D38" s="2">
        <v>1464463120</v>
      </c>
      <c r="E38">
        <f t="shared" si="5"/>
        <v>4.0025272879524613E-2</v>
      </c>
      <c r="F38">
        <f t="shared" si="6"/>
        <v>9.743843625348747</v>
      </c>
      <c r="G38">
        <f>_xlfn.IFNA( INDEX('القيمة الدفترية'!A:A,MATCH(A38,'القيمة الدفترية'!E:E,0),1),"")</f>
        <v>0.43</v>
      </c>
      <c r="H38">
        <f t="shared" si="7"/>
        <v>0.90697674418604657</v>
      </c>
      <c r="I38">
        <f t="shared" si="8"/>
        <v>0.13119019528225265</v>
      </c>
      <c r="J38">
        <f t="shared" si="9"/>
        <v>0.3363851161083401</v>
      </c>
    </row>
    <row r="39" spans="1:10">
      <c r="A39" s="3" t="s">
        <v>45</v>
      </c>
      <c r="B39">
        <f>INDEX('اسعار الاسهم'!A:B,MATCH(A39,'اسعار الاسهم'!K:K,0),2)</f>
        <v>21.84</v>
      </c>
      <c r="C39" s="2">
        <v>1891982023</v>
      </c>
      <c r="D39" s="2">
        <v>665107268</v>
      </c>
      <c r="E39">
        <f t="shared" si="5"/>
        <v>2.8446268955822025</v>
      </c>
      <c r="F39">
        <f t="shared" si="6"/>
        <v>7.6776325337843865</v>
      </c>
      <c r="G39">
        <f>_xlfn.IFNA( INDEX('القيمة الدفترية'!A:A,MATCH(A39,'القيمة الدفترية'!E:E,0),1),"")</f>
        <v>19.260000000000002</v>
      </c>
      <c r="H39">
        <f t="shared" si="7"/>
        <v>1.1339563862928348</v>
      </c>
      <c r="I39">
        <f t="shared" si="8"/>
        <v>7.4018588211957423</v>
      </c>
      <c r="J39">
        <f t="shared" si="9"/>
        <v>0.33891294968844976</v>
      </c>
    </row>
    <row r="40" spans="1:10">
      <c r="A40" t="s">
        <v>58</v>
      </c>
      <c r="B40">
        <f>INDEX('اسعار الاسهم'!A:B,MATCH(A40,'اسعار الاسهم'!K:K,0),2)</f>
        <v>1.17</v>
      </c>
      <c r="C40" s="2">
        <v>88046019</v>
      </c>
      <c r="D40" s="2">
        <v>718750000</v>
      </c>
      <c r="E40">
        <f t="shared" si="5"/>
        <v>0.12249880904347826</v>
      </c>
      <c r="F40">
        <f t="shared" si="6"/>
        <v>9.5511132649847568</v>
      </c>
      <c r="G40">
        <f>_xlfn.IFNA( INDEX('القيمة الدفترية'!A:A,MATCH(A40,'القيمة الدفترية'!E:E,0),1),"")</f>
        <v>0.55000000000000004</v>
      </c>
      <c r="H40">
        <f t="shared" si="7"/>
        <v>2.127272727272727</v>
      </c>
      <c r="I40">
        <f t="shared" si="8"/>
        <v>0.25956568527814505</v>
      </c>
      <c r="J40">
        <f t="shared" si="9"/>
        <v>0.22185101305824365</v>
      </c>
    </row>
    <row r="41" spans="1:10">
      <c r="A41" t="s">
        <v>56</v>
      </c>
      <c r="B41">
        <f>INDEX('اسعار الاسهم'!A:B,MATCH(A41,'اسعار الاسهم'!K:K,0),2)</f>
        <v>2.61</v>
      </c>
      <c r="C41" s="2">
        <v>5746958</v>
      </c>
      <c r="D41" s="2">
        <v>12000000</v>
      </c>
      <c r="E41">
        <f t="shared" si="5"/>
        <v>0.47891316666666667</v>
      </c>
      <c r="F41">
        <f t="shared" si="6"/>
        <v>5.4498397239026275</v>
      </c>
      <c r="G41">
        <f>_xlfn.IFNA( INDEX('القيمة الدفترية'!A:A,MATCH(A41,'القيمة الدفترية'!E:E,0),1),"")</f>
        <v>2.16</v>
      </c>
      <c r="H41">
        <f t="shared" si="7"/>
        <v>1.2083333333333333</v>
      </c>
      <c r="I41">
        <f t="shared" si="8"/>
        <v>1.0170803508081356</v>
      </c>
      <c r="J41">
        <f t="shared" si="9"/>
        <v>0.38968595816403667</v>
      </c>
    </row>
    <row r="42" spans="1:10">
      <c r="A42" t="s">
        <v>30</v>
      </c>
      <c r="B42">
        <f>INDEX('اسعار الاسهم'!A:B,MATCH(A42,'اسعار الاسهم'!K:K,0),2)</f>
        <v>19.68</v>
      </c>
      <c r="C42" s="2">
        <v>440537529</v>
      </c>
      <c r="D42" s="2">
        <v>160000000</v>
      </c>
      <c r="E42">
        <f t="shared" si="5"/>
        <v>2.75335955625</v>
      </c>
      <c r="F42">
        <f t="shared" si="6"/>
        <v>7.1476316833837785</v>
      </c>
      <c r="G42">
        <f>_xlfn.IFNA( INDEX('القيمة الدفترية'!A:A,MATCH(A42,'القيمة الدفترية'!E:E,0),1),"")</f>
        <v>9.5500000000000007</v>
      </c>
      <c r="H42">
        <f t="shared" si="7"/>
        <v>2.0607329842931934</v>
      </c>
      <c r="I42">
        <f t="shared" si="8"/>
        <v>5.1278244667877919</v>
      </c>
      <c r="J42">
        <f t="shared" si="9"/>
        <v>0.26056018632051786</v>
      </c>
    </row>
    <row r="43" spans="1:10">
      <c r="A43" t="s">
        <v>143</v>
      </c>
      <c r="B43">
        <f>INDEX('اسعار الاسهم'!A:B,MATCH(A43,'اسعار الاسهم'!K:K,0),2)</f>
        <v>86.56</v>
      </c>
      <c r="C43" s="2">
        <v>14640225272</v>
      </c>
      <c r="D43" s="2">
        <v>1261875720</v>
      </c>
      <c r="E43">
        <f t="shared" si="5"/>
        <v>11.601954962728025</v>
      </c>
      <c r="F43">
        <f t="shared" si="6"/>
        <v>7.4608115854680692</v>
      </c>
      <c r="G43">
        <f>_xlfn.IFNA( INDEX('القيمة الدفترية'!A:A,MATCH(A43,'القيمة الدفترية'!E:E,0),1),"")</f>
        <v>17.260000000000002</v>
      </c>
      <c r="H43">
        <f t="shared" si="7"/>
        <v>5.0150637311703354</v>
      </c>
      <c r="I43">
        <f t="shared" si="8"/>
        <v>14.150962605303066</v>
      </c>
      <c r="J43">
        <f t="shared" si="9"/>
        <v>0.16348154580987831</v>
      </c>
    </row>
    <row r="44" spans="1:10">
      <c r="A44" t="s">
        <v>60</v>
      </c>
      <c r="B44">
        <f>INDEX('اسعار الاسهم'!A:B,MATCH(A44,'اسعار الاسهم'!K:K,0),2)</f>
        <v>84.5</v>
      </c>
      <c r="C44" s="2">
        <v>823306330</v>
      </c>
      <c r="D44" s="2">
        <v>148755750</v>
      </c>
      <c r="E44">
        <f t="shared" si="5"/>
        <v>5.5346185273510438</v>
      </c>
      <c r="F44">
        <f t="shared" si="6"/>
        <v>15.267538238167074</v>
      </c>
      <c r="G44">
        <f>_xlfn.IFNA( INDEX('القيمة الدفترية'!A:A,MATCH(A44,'القيمة الدفترية'!E:E,0),1),"")</f>
        <v>28.62</v>
      </c>
      <c r="H44">
        <f t="shared" si="7"/>
        <v>2.9524807826694617</v>
      </c>
      <c r="I44">
        <f t="shared" si="8"/>
        <v>12.585737255035435</v>
      </c>
      <c r="J44">
        <f t="shared" si="9"/>
        <v>0.14894363615426551</v>
      </c>
    </row>
    <row r="45" spans="1:10">
      <c r="A45" t="s">
        <v>27</v>
      </c>
      <c r="B45">
        <f>INDEX('اسعار الاسهم'!A:B,MATCH(A45,'اسعار الاسهم'!K:K,0),2)</f>
        <v>48.78</v>
      </c>
      <c r="C45" s="2">
        <v>1591649035</v>
      </c>
      <c r="D45" s="2">
        <v>142198075</v>
      </c>
      <c r="E45">
        <f t="shared" si="5"/>
        <v>11.193182713619716</v>
      </c>
      <c r="F45">
        <f t="shared" si="6"/>
        <v>4.3580098036499617</v>
      </c>
      <c r="G45">
        <f>_xlfn.IFNA( INDEX('القيمة الدفترية'!A:A,MATCH(A45,'القيمة الدفترية'!E:E,0),1),"")</f>
        <v>21.36</v>
      </c>
      <c r="H45">
        <f t="shared" si="7"/>
        <v>2.2837078651685396</v>
      </c>
      <c r="I45">
        <f t="shared" si="8"/>
        <v>15.46241839955565</v>
      </c>
      <c r="J45">
        <f t="shared" si="9"/>
        <v>0.31698274701836099</v>
      </c>
    </row>
    <row r="46" spans="1:10">
      <c r="A46" t="s">
        <v>39</v>
      </c>
      <c r="B46">
        <f>INDEX('اسعار الاسهم'!A:B,MATCH(A46,'اسعار الاسهم'!K:K,0),2)</f>
        <v>2.33</v>
      </c>
      <c r="C46" s="2">
        <v>48412495</v>
      </c>
      <c r="D46" s="2">
        <v>222114680</v>
      </c>
      <c r="E46">
        <f t="shared" si="5"/>
        <v>0.21796170788891575</v>
      </c>
      <c r="F46">
        <f t="shared" si="6"/>
        <v>10.689951104565052</v>
      </c>
      <c r="G46">
        <f>_xlfn.IFNA( INDEX('القيمة الدفترية'!A:A,MATCH(A46,'القيمة الدفترية'!E:E,0),1),"")</f>
        <v>0.69</v>
      </c>
      <c r="H46">
        <f t="shared" si="7"/>
        <v>3.3768115942028989</v>
      </c>
      <c r="I46">
        <f t="shared" si="8"/>
        <v>0.38780610934248039</v>
      </c>
      <c r="J46">
        <f t="shared" si="9"/>
        <v>0.16644039027574264</v>
      </c>
    </row>
    <row r="47" spans="1:10">
      <c r="A47" t="s">
        <v>13</v>
      </c>
      <c r="B47">
        <f>INDEX('اسعار الاسهم'!A:B,MATCH(A47,'اسعار الاسهم'!K:K,0),2)</f>
        <v>35.6</v>
      </c>
      <c r="C47" s="2">
        <v>1163341561</v>
      </c>
      <c r="D47" s="2">
        <v>479001600</v>
      </c>
      <c r="E47">
        <f t="shared" si="5"/>
        <v>2.428679906288413</v>
      </c>
      <c r="F47">
        <f t="shared" si="6"/>
        <v>14.658168788658967</v>
      </c>
      <c r="G47">
        <f>_xlfn.IFNA( INDEX('القيمة الدفترية'!A:A,MATCH(A47,'القيمة الدفترية'!E:E,0),1),"")</f>
        <v>5.78</v>
      </c>
      <c r="H47">
        <f t="shared" si="7"/>
        <v>6.1591695501730106</v>
      </c>
      <c r="I47">
        <f t="shared" si="8"/>
        <v>3.7467011968326256</v>
      </c>
      <c r="J47">
        <f t="shared" si="9"/>
        <v>0.10524441564136588</v>
      </c>
    </row>
    <row r="48" spans="1:10">
      <c r="A48" t="s">
        <v>50</v>
      </c>
      <c r="B48">
        <f>INDEX('اسعار الاسهم'!A:B,MATCH(A48,'اسعار الاسهم'!K:K,0),2)</f>
        <v>31.55</v>
      </c>
      <c r="C48" s="2">
        <v>481693052</v>
      </c>
      <c r="D48" s="2">
        <v>189630000</v>
      </c>
      <c r="E48">
        <f t="shared" si="5"/>
        <v>2.5401732426303854</v>
      </c>
      <c r="F48">
        <f t="shared" si="6"/>
        <v>12.42041269883212</v>
      </c>
      <c r="G48">
        <f>_xlfn.IFNA( INDEX('القيمة الدفترية'!A:A,MATCH(A48,'القيمة الدفترية'!E:E,0),1),"")</f>
        <v>15.55</v>
      </c>
      <c r="H48">
        <f t="shared" si="7"/>
        <v>2.0289389067524115</v>
      </c>
      <c r="I48">
        <f t="shared" si="8"/>
        <v>6.2848781947546524</v>
      </c>
      <c r="J48">
        <f t="shared" si="9"/>
        <v>0.19920374626797629</v>
      </c>
    </row>
    <row r="49" spans="1:10">
      <c r="A49" t="s">
        <v>10</v>
      </c>
      <c r="B49">
        <f>INDEX('اسعار الاسهم'!A:B,MATCH(A49,'اسعار الاسهم'!K:K,0),2)</f>
        <v>86</v>
      </c>
      <c r="C49" s="2">
        <v>13467167</v>
      </c>
      <c r="D49" s="2">
        <v>3000000</v>
      </c>
      <c r="E49">
        <f t="shared" si="5"/>
        <v>4.4890556666666663</v>
      </c>
      <c r="F49">
        <f t="shared" si="6"/>
        <v>19.157704066490005</v>
      </c>
      <c r="G49">
        <f>_xlfn.IFNA( INDEX('القيمة الدفترية'!A:A,MATCH(A49,'القيمة الدفترية'!E:E,0),1),"")</f>
        <v>13.18</v>
      </c>
      <c r="H49">
        <f t="shared" si="7"/>
        <v>6.5250379362670712</v>
      </c>
      <c r="I49">
        <f t="shared" si="8"/>
        <v>7.6919278264078024</v>
      </c>
      <c r="J49">
        <f t="shared" si="9"/>
        <v>8.9441021237300022E-2</v>
      </c>
    </row>
    <row r="50" spans="1:10">
      <c r="A50" t="s">
        <v>42</v>
      </c>
      <c r="B50">
        <f>INDEX('اسعار الاسهم'!A:B,MATCH(A50,'اسعار الاسهم'!K:K,0),2)</f>
        <v>353.5</v>
      </c>
      <c r="C50" s="2">
        <v>182131653</v>
      </c>
      <c r="D50" s="2">
        <v>12000000</v>
      </c>
      <c r="E50">
        <f t="shared" si="5"/>
        <v>15.177637750000001</v>
      </c>
      <c r="F50">
        <f t="shared" si="6"/>
        <v>23.290844453050671</v>
      </c>
      <c r="G50">
        <f>_xlfn.IFNA( INDEX('القيمة الدفترية'!A:A,MATCH(A50,'القيمة الدفترية'!E:E,0),1),"")</f>
        <v>44.85</v>
      </c>
      <c r="H50">
        <f t="shared" si="7"/>
        <v>7.8818283166109246</v>
      </c>
      <c r="I50">
        <f t="shared" si="8"/>
        <v>26.090554863542096</v>
      </c>
      <c r="J50">
        <f t="shared" si="9"/>
        <v>7.3806378680458543E-2</v>
      </c>
    </row>
    <row r="51" spans="1:10">
      <c r="A51" s="3" t="s">
        <v>70</v>
      </c>
      <c r="B51">
        <f>INDEX('اسعار الاسهم'!A:B,MATCH(A51,'اسعار الاسهم'!K:K,0),2)</f>
        <v>17.010000000000002</v>
      </c>
      <c r="C51" s="2">
        <v>2458697146</v>
      </c>
      <c r="D51" s="2">
        <v>756000000</v>
      </c>
      <c r="E51">
        <f t="shared" si="5"/>
        <v>3.2522449021164022</v>
      </c>
      <c r="F51">
        <f t="shared" si="6"/>
        <v>5.2302334270493356</v>
      </c>
      <c r="G51">
        <f>_xlfn.IFNA( INDEX('القيمة الدفترية'!A:A,MATCH(A51,'القيمة الدفترية'!E:E,0),1),"")</f>
        <v>7.48</v>
      </c>
      <c r="H51">
        <f t="shared" si="7"/>
        <v>2.2740641711229945</v>
      </c>
      <c r="I51">
        <f t="shared" si="8"/>
        <v>4.9322197708365234</v>
      </c>
      <c r="J51">
        <f t="shared" si="9"/>
        <v>0.28996001004329941</v>
      </c>
    </row>
    <row r="52" spans="1:10">
      <c r="A52" t="s">
        <v>84</v>
      </c>
      <c r="B52" t="e">
        <f>INDEX('اسعار الاسهم'!A:B,MATCH(A52,'اسعار الاسهم'!K:K,0),2)</f>
        <v>#N/A</v>
      </c>
      <c r="C52" s="2">
        <v>41987587</v>
      </c>
      <c r="D52" s="2">
        <v>111496953</v>
      </c>
      <c r="E52">
        <f t="shared" si="5"/>
        <v>0.37658057794637673</v>
      </c>
      <c r="F52" t="e">
        <f t="shared" si="6"/>
        <v>#N/A</v>
      </c>
      <c r="G52">
        <f>_xlfn.IFNA( INDEX('القيمة الدفترية'!A:A,MATCH(A52,'القيمة الدفترية'!E:E,0),1),"")</f>
        <v>7.09</v>
      </c>
      <c r="H52" t="str">
        <f t="shared" si="7"/>
        <v/>
      </c>
      <c r="I52">
        <f t="shared" si="8"/>
        <v>1.6340000910770509</v>
      </c>
      <c r="J52">
        <f t="shared" si="9"/>
        <v>0</v>
      </c>
    </row>
    <row r="53" spans="1:10">
      <c r="A53" t="s">
        <v>71</v>
      </c>
      <c r="B53">
        <f>INDEX('اسعار الاسهم'!A:B,MATCH(A53,'اسعار الاسهم'!K:K,0),2)</f>
        <v>212.05</v>
      </c>
      <c r="C53" s="2">
        <v>336287499</v>
      </c>
      <c r="D53" s="2">
        <v>21000000</v>
      </c>
      <c r="E53">
        <f t="shared" si="5"/>
        <v>16.013690428571429</v>
      </c>
      <c r="F53">
        <f t="shared" si="6"/>
        <v>13.241794634774694</v>
      </c>
      <c r="G53">
        <f>_xlfn.IFNA( INDEX('القيمة الدفترية'!A:A,MATCH(A53,'القيمة الدفترية'!E:E,0),1),"")</f>
        <v>54.45</v>
      </c>
      <c r="H53">
        <f t="shared" si="7"/>
        <v>3.8943985307621669</v>
      </c>
      <c r="I53">
        <f t="shared" si="8"/>
        <v>29.528722353595228</v>
      </c>
      <c r="J53">
        <f t="shared" si="9"/>
        <v>0.1392535833699374</v>
      </c>
    </row>
    <row r="54" spans="1:10">
      <c r="A54" s="2" t="s">
        <v>55</v>
      </c>
      <c r="B54">
        <f>INDEX('اسعار الاسهم'!A:B,MATCH(A54,'اسعار الاسهم'!K:K,0),2)</f>
        <v>1.1399999999999999</v>
      </c>
      <c r="C54" s="2">
        <v>184051537</v>
      </c>
      <c r="D54" s="2">
        <v>896363944</v>
      </c>
      <c r="E54">
        <f t="shared" si="5"/>
        <v>0.20533125883965722</v>
      </c>
      <c r="F54">
        <f t="shared" si="6"/>
        <v>5.5520041441436039</v>
      </c>
      <c r="G54">
        <f>_xlfn.IFNA( INDEX('القيمة الدفترية'!A:A,MATCH(A54,'القيمة الدفترية'!E:E,0),1),"")</f>
        <v>1.22</v>
      </c>
      <c r="H54">
        <f t="shared" si="7"/>
        <v>0.93442622950819665</v>
      </c>
      <c r="I54">
        <f t="shared" si="8"/>
        <v>0.50050388188742534</v>
      </c>
      <c r="J54">
        <f t="shared" si="9"/>
        <v>0.4390384928837065</v>
      </c>
    </row>
    <row r="55" spans="1:10">
      <c r="A55" t="s">
        <v>219</v>
      </c>
      <c r="B55">
        <f>INDEX('اسعار الاسهم'!A:B,MATCH(A55,'اسعار الاسهم'!K:K,0),2)</f>
        <v>52</v>
      </c>
      <c r="C55" s="2">
        <v>8592000</v>
      </c>
      <c r="D55" s="2">
        <v>14283363</v>
      </c>
      <c r="E55">
        <f t="shared" si="5"/>
        <v>0.60153900730521237</v>
      </c>
      <c r="F55">
        <f t="shared" si="6"/>
        <v>86.444934357541896</v>
      </c>
      <c r="G55">
        <f>_xlfn.IFNA( INDEX('القيمة الدفترية'!A:A,MATCH(A55,'القيمة الدفترية'!E:E,0),1),"")</f>
        <v>61.54</v>
      </c>
      <c r="H55">
        <f t="shared" si="7"/>
        <v>0.84497887552811179</v>
      </c>
      <c r="I55">
        <f t="shared" si="8"/>
        <v>6.0843003303225229</v>
      </c>
      <c r="J55">
        <f t="shared" si="9"/>
        <v>0.11700577558312544</v>
      </c>
    </row>
    <row r="56" spans="1:10">
      <c r="A56" t="s">
        <v>57</v>
      </c>
      <c r="B56">
        <f>INDEX('اسعار الاسهم'!A:B,MATCH(A56,'اسعار الاسهم'!K:K,0),2)</f>
        <v>8.35</v>
      </c>
      <c r="C56" s="2">
        <v>1372046301</v>
      </c>
      <c r="D56" s="2">
        <v>1291500000</v>
      </c>
      <c r="E56">
        <f t="shared" si="5"/>
        <v>1.0623664738675958</v>
      </c>
      <c r="F56">
        <f t="shared" si="6"/>
        <v>7.8598112848962813</v>
      </c>
      <c r="G56">
        <f>_xlfn.IFNA( INDEX('القيمة الدفترية'!A:A,MATCH(A56,'القيمة الدفترية'!E:E,0),1),"")</f>
        <v>2.81</v>
      </c>
      <c r="H56">
        <f t="shared" si="7"/>
        <v>2.9715302491103199</v>
      </c>
      <c r="I56">
        <f t="shared" si="8"/>
        <v>1.7277875423697047</v>
      </c>
      <c r="J56">
        <f t="shared" si="9"/>
        <v>0.20692066375685086</v>
      </c>
    </row>
    <row r="57" spans="1:10">
      <c r="A57" t="s">
        <v>43</v>
      </c>
      <c r="B57">
        <f>INDEX('اسعار الاسهم'!A:B,MATCH(A57,'اسعار الاسهم'!K:K,0),2)</f>
        <v>13.61</v>
      </c>
      <c r="C57" s="2">
        <v>1733404330</v>
      </c>
      <c r="D57" s="2">
        <v>2941594889</v>
      </c>
      <c r="E57">
        <f t="shared" si="5"/>
        <v>0.58927364080010136</v>
      </c>
      <c r="F57">
        <f t="shared" si="6"/>
        <v>23.096230779168526</v>
      </c>
      <c r="G57">
        <f>_xlfn.IFNA( INDEX('القيمة الدفترية'!A:A,MATCH(A57,'القيمة الدفترية'!E:E,0),1),"")</f>
        <v>3.79</v>
      </c>
      <c r="H57">
        <f t="shared" si="7"/>
        <v>3.5910290237467017</v>
      </c>
      <c r="I57">
        <f t="shared" si="8"/>
        <v>1.4944387236124419</v>
      </c>
      <c r="J57">
        <f t="shared" si="9"/>
        <v>0.10980446169084805</v>
      </c>
    </row>
    <row r="58" spans="1:10">
      <c r="A58" t="s">
        <v>28</v>
      </c>
      <c r="B58">
        <f>INDEX('اسعار الاسهم'!A:B,MATCH(A58,'اسعار الاسهم'!K:K,0),2)</f>
        <v>34.549999999999997</v>
      </c>
      <c r="C58" s="2">
        <v>3119237382</v>
      </c>
      <c r="D58" s="2">
        <v>1130473523</v>
      </c>
      <c r="E58">
        <f t="shared" si="5"/>
        <v>2.7592308165894126</v>
      </c>
      <c r="F58">
        <f t="shared" si="6"/>
        <v>12.521605583800353</v>
      </c>
      <c r="G58">
        <f>_xlfn.IFNA( INDEX('القيمة الدفترية'!A:A,MATCH(A58,'القيمة الدفترية'!E:E,0),1),"")</f>
        <v>6.78</v>
      </c>
      <c r="H58">
        <f t="shared" si="7"/>
        <v>5.0958702064896748</v>
      </c>
      <c r="I58">
        <f t="shared" si="8"/>
        <v>4.3252265763166928</v>
      </c>
      <c r="J58">
        <f t="shared" si="9"/>
        <v>0.12518745517559171</v>
      </c>
    </row>
    <row r="59" spans="1:10">
      <c r="A59" t="s">
        <v>96</v>
      </c>
      <c r="B59">
        <f>INDEX('اسعار الاسهم'!A:B,MATCH(A59,'اسعار الاسهم'!K:K,0),2)</f>
        <v>49</v>
      </c>
      <c r="C59" s="2">
        <v>170597583</v>
      </c>
      <c r="D59" s="2">
        <v>96148229</v>
      </c>
      <c r="E59">
        <f t="shared" si="5"/>
        <v>1.774318516048798</v>
      </c>
      <c r="F59">
        <f t="shared" si="6"/>
        <v>27.616236632145018</v>
      </c>
      <c r="G59">
        <f>_xlfn.IFNA( INDEX('القيمة الدفترية'!A:A,MATCH(A59,'القيمة الدفترية'!E:E,0),1),"")</f>
        <v>42.59</v>
      </c>
      <c r="H59">
        <f t="shared" si="7"/>
        <v>1.1505048133364639</v>
      </c>
      <c r="I59">
        <f t="shared" si="8"/>
        <v>8.6929986540041693</v>
      </c>
      <c r="J59">
        <f t="shared" si="9"/>
        <v>0.17740813579600345</v>
      </c>
    </row>
    <row r="60" spans="1:10">
      <c r="A60" t="s">
        <v>49</v>
      </c>
      <c r="B60">
        <f>INDEX('اسعار الاسهم'!A:B,MATCH(A60,'اسعار الاسهم'!K:K,0),2)</f>
        <v>547.9</v>
      </c>
      <c r="C60" s="2">
        <v>271810000</v>
      </c>
      <c r="D60" s="2">
        <v>7500000</v>
      </c>
      <c r="E60">
        <f t="shared" si="5"/>
        <v>36.24133333333333</v>
      </c>
      <c r="F60">
        <f t="shared" si="6"/>
        <v>15.118097200250176</v>
      </c>
      <c r="G60">
        <f>_xlfn.IFNA( INDEX('القيمة الدفترية'!A:A,MATCH(A60,'القيمة الدفترية'!E:E,0),1),"")</f>
        <v>113.92</v>
      </c>
      <c r="H60">
        <f t="shared" si="7"/>
        <v>4.8095154494382024</v>
      </c>
      <c r="I60">
        <f t="shared" si="8"/>
        <v>64.254281517524831</v>
      </c>
      <c r="J60">
        <f t="shared" si="9"/>
        <v>0.11727373885293819</v>
      </c>
    </row>
    <row r="61" spans="1:10">
      <c r="A61" t="s">
        <v>207</v>
      </c>
      <c r="B61">
        <f>INDEX('اسعار الاسهم'!A:B,MATCH(A61,'اسعار الاسهم'!K:K,0),2)</f>
        <v>1.86</v>
      </c>
      <c r="C61" s="2">
        <v>2913000</v>
      </c>
      <c r="D61" s="2">
        <v>182000000</v>
      </c>
      <c r="E61">
        <f t="shared" si="5"/>
        <v>1.6005494505494506E-2</v>
      </c>
      <c r="F61">
        <f t="shared" si="6"/>
        <v>116.21009268795056</v>
      </c>
      <c r="G61">
        <f>_xlfn.IFNA( INDEX('القيمة الدفترية'!A:A,MATCH(A61,'القيمة الدفترية'!E:E,0),1),"")</f>
        <v>1.54</v>
      </c>
      <c r="H61">
        <f t="shared" si="7"/>
        <v>1.2077922077922079</v>
      </c>
      <c r="I61">
        <f t="shared" si="8"/>
        <v>0.15699828514497075</v>
      </c>
      <c r="J61">
        <f t="shared" si="9"/>
        <v>8.440768018546814E-2</v>
      </c>
    </row>
    <row r="62" spans="1:10">
      <c r="A62" t="s">
        <v>69</v>
      </c>
      <c r="B62">
        <f>INDEX('اسعار الاسهم'!A:B,MATCH(A62,'اسعار الاسهم'!K:K,0),2)</f>
        <v>132.35</v>
      </c>
      <c r="C62" s="2">
        <v>29668865000</v>
      </c>
      <c r="D62" s="2">
        <v>3019501000</v>
      </c>
      <c r="E62">
        <f t="shared" si="5"/>
        <v>9.82575100985229</v>
      </c>
      <c r="F62">
        <f t="shared" si="6"/>
        <v>13.469708307008036</v>
      </c>
      <c r="G62">
        <f>_xlfn.IFNA( INDEX('القيمة الدفترية'!A:A,MATCH(A62,'القيمة الدفترية'!E:E,0),1),"")</f>
        <v>29.97</v>
      </c>
      <c r="H62">
        <f t="shared" si="7"/>
        <v>4.4160827494160824</v>
      </c>
      <c r="I62">
        <f t="shared" si="8"/>
        <v>17.160354243583466</v>
      </c>
      <c r="J62">
        <f t="shared" si="9"/>
        <v>0.12965889114910062</v>
      </c>
    </row>
    <row r="63" spans="1:10">
      <c r="A63" t="s">
        <v>78</v>
      </c>
      <c r="B63">
        <f>INDEX('اسعار الاسهم'!A:B,MATCH(A63,'اسعار الاسهم'!K:K,0),2)</f>
        <v>35.840000000000003</v>
      </c>
      <c r="C63" s="2">
        <v>9815069</v>
      </c>
      <c r="D63" s="2">
        <v>17628507</v>
      </c>
      <c r="E63">
        <f t="shared" si="5"/>
        <v>0.55677256162419198</v>
      </c>
      <c r="F63">
        <f t="shared" si="6"/>
        <v>64.370988210067608</v>
      </c>
      <c r="G63">
        <f>_xlfn.IFNA( INDEX('القيمة الدفترية'!A:A,MATCH(A63,'القيمة الدفترية'!E:E,0),1),"")</f>
        <v>6.07</v>
      </c>
      <c r="H63">
        <f t="shared" si="7"/>
        <v>5.9044481054365736</v>
      </c>
      <c r="I63">
        <f t="shared" si="8"/>
        <v>1.8383714121631802</v>
      </c>
      <c r="J63">
        <f t="shared" si="9"/>
        <v>5.1293845205445873E-2</v>
      </c>
    </row>
    <row r="64" spans="1:10">
      <c r="A64" t="s">
        <v>81</v>
      </c>
      <c r="B64">
        <f>INDEX('اسعار الاسهم'!A:B,MATCH(A64,'اسعار الاسهم'!K:K,0),2)</f>
        <v>5.86</v>
      </c>
      <c r="C64" s="2">
        <v>324234056</v>
      </c>
      <c r="D64" s="2">
        <v>528000000</v>
      </c>
      <c r="E64">
        <f t="shared" si="5"/>
        <v>0.61407965151515154</v>
      </c>
      <c r="F64">
        <f t="shared" si="6"/>
        <v>9.5427360042647713</v>
      </c>
      <c r="G64">
        <f>_xlfn.IFNA( INDEX('القيمة الدفترية'!A:A,MATCH(A64,'القيمة الدفترية'!E:E,0),1),"")</f>
        <v>3.14</v>
      </c>
      <c r="H64">
        <f t="shared" si="7"/>
        <v>1.8662420382165605</v>
      </c>
      <c r="I64">
        <f t="shared" si="8"/>
        <v>1.388600052483643</v>
      </c>
      <c r="J64">
        <f t="shared" si="9"/>
        <v>0.23696246629413703</v>
      </c>
    </row>
    <row r="65" spans="1:10">
      <c r="A65" t="s">
        <v>66</v>
      </c>
      <c r="B65">
        <f>INDEX('اسعار الاسهم'!A:B,MATCH(A65,'اسعار الاسهم'!K:K,0),2)</f>
        <v>1145.05</v>
      </c>
      <c r="C65" s="2">
        <v>126427227</v>
      </c>
      <c r="D65" s="2">
        <v>5000000</v>
      </c>
      <c r="E65">
        <f t="shared" si="5"/>
        <v>25.2854454</v>
      </c>
      <c r="F65">
        <f t="shared" si="6"/>
        <v>45.284944832334254</v>
      </c>
      <c r="G65">
        <f>_xlfn.IFNA( INDEX('القيمة الدفترية'!A:A,MATCH(A65,'القيمة الدفترية'!E:E,0),1),"")</f>
        <v>143.4</v>
      </c>
      <c r="H65">
        <f t="shared" si="7"/>
        <v>7.9850069735006963</v>
      </c>
      <c r="I65">
        <f t="shared" si="8"/>
        <v>60.215719462279949</v>
      </c>
      <c r="J65">
        <f t="shared" si="9"/>
        <v>5.2587851589258071E-2</v>
      </c>
    </row>
    <row r="66" spans="1:10">
      <c r="A66" t="s">
        <v>54</v>
      </c>
      <c r="B66">
        <f>INDEX('اسعار الاسهم'!A:B,MATCH(A66,'اسعار الاسهم'!K:K,0),2)</f>
        <v>2.1</v>
      </c>
      <c r="C66" s="2">
        <v>1248002229</v>
      </c>
      <c r="D66" s="2">
        <v>3404643209</v>
      </c>
      <c r="E66">
        <f t="shared" ref="E66:E97" si="10">IFERROR(_xlfn.IFNA(C66/D66," ")," ")</f>
        <v>0.36655888807995213</v>
      </c>
      <c r="F66">
        <f t="shared" ref="F66:F97" si="11">IF( AND(E66&gt;0,E66&lt;&gt;" "),B66/E66,IF(E66&lt;0,"negative"," "))</f>
        <v>5.7289567059739603</v>
      </c>
      <c r="G66">
        <f>_xlfn.IFNA( INDEX('القيمة الدفترية'!A:A,MATCH(A66,'القيمة الدفترية'!E:E,0),1),"")</f>
        <v>0.8</v>
      </c>
      <c r="H66">
        <f t="shared" ref="H66:H97" si="12">IFERROR(B66/G66,"")</f>
        <v>2.625</v>
      </c>
      <c r="I66">
        <f t="shared" ref="I66:I97" si="13">IF(AND(G66&gt;0,E66&gt;0),SQRT(G66*E66),0)</f>
        <v>0.54152295469717782</v>
      </c>
      <c r="J66">
        <f t="shared" ref="J66:J97" si="14">IFERROR( I66/B66,0)</f>
        <v>0.25786807366532277</v>
      </c>
    </row>
    <row r="67" spans="1:10">
      <c r="A67" t="s">
        <v>52</v>
      </c>
      <c r="B67">
        <f>INDEX('اسعار الاسهم'!A:B,MATCH(A67,'اسعار الاسهم'!K:K,0),2)</f>
        <v>9.6999999999999993</v>
      </c>
      <c r="C67" s="2">
        <v>159721752</v>
      </c>
      <c r="D67" s="2">
        <v>218454770</v>
      </c>
      <c r="E67">
        <f t="shared" si="10"/>
        <v>0.73114334834620454</v>
      </c>
      <c r="F67">
        <f t="shared" si="11"/>
        <v>13.266892220165479</v>
      </c>
      <c r="G67">
        <f>_xlfn.IFNA( INDEX('القيمة الدفترية'!A:A,MATCH(A67,'القيمة الدفترية'!E:E,0),1),"")</f>
        <v>2.4700000000000002</v>
      </c>
      <c r="H67">
        <f t="shared" si="12"/>
        <v>3.927125506072874</v>
      </c>
      <c r="I67">
        <f t="shared" si="13"/>
        <v>1.3438467436486667</v>
      </c>
      <c r="J67">
        <f t="shared" si="14"/>
        <v>0.13854090140707906</v>
      </c>
    </row>
    <row r="68" spans="1:10">
      <c r="A68" t="s">
        <v>90</v>
      </c>
      <c r="B68">
        <f>INDEX('اسعار الاسهم'!A:B,MATCH(A68,'اسعار الاسهم'!K:K,0),2)</f>
        <v>195</v>
      </c>
      <c r="C68" s="2">
        <v>115352504</v>
      </c>
      <c r="D68" s="2">
        <v>96000000</v>
      </c>
      <c r="E68">
        <f t="shared" si="10"/>
        <v>1.2015885833333333</v>
      </c>
      <c r="F68">
        <f t="shared" si="11"/>
        <v>162.28516374468992</v>
      </c>
      <c r="G68">
        <f>_xlfn.IFNA( INDEX('القيمة الدفترية'!A:A,MATCH(A68,'القيمة الدفترية'!E:E,0),1),"")</f>
        <v>15.57</v>
      </c>
      <c r="H68">
        <f t="shared" si="12"/>
        <v>12.524084778420038</v>
      </c>
      <c r="I68">
        <f t="shared" si="13"/>
        <v>4.3253594350643274</v>
      </c>
      <c r="J68">
        <f t="shared" si="14"/>
        <v>2.2181330436227321E-2</v>
      </c>
    </row>
    <row r="69" spans="1:10">
      <c r="A69" t="s">
        <v>93</v>
      </c>
      <c r="B69">
        <f>INDEX('اسعار الاسهم'!A:B,MATCH(A69,'اسعار الاسهم'!K:K,0),2)</f>
        <v>2.57</v>
      </c>
      <c r="C69" s="2">
        <v>45915948</v>
      </c>
      <c r="D69" s="2">
        <v>902798840</v>
      </c>
      <c r="E69">
        <f t="shared" si="10"/>
        <v>5.0859555823089007E-2</v>
      </c>
      <c r="F69">
        <f t="shared" si="11"/>
        <v>50.531310358657947</v>
      </c>
      <c r="G69">
        <f>_xlfn.IFNA( INDEX('القيمة الدفترية'!A:A,MATCH(A69,'القيمة الدفترية'!E:E,0),1),"")</f>
        <v>0.98</v>
      </c>
      <c r="H69">
        <f t="shared" si="12"/>
        <v>2.6224489795918364</v>
      </c>
      <c r="I69">
        <f t="shared" si="13"/>
        <v>0.22325403626055057</v>
      </c>
      <c r="J69">
        <f t="shared" si="14"/>
        <v>8.6869274809552754E-2</v>
      </c>
    </row>
    <row r="70" spans="1:10">
      <c r="A70" t="s">
        <v>178</v>
      </c>
      <c r="B70">
        <f>INDEX('اسعار الاسهم'!A:B,MATCH(A70,'اسعار الاسهم'!K:K,0),2)</f>
        <v>1.52</v>
      </c>
      <c r="C70" s="2">
        <v>33541459</v>
      </c>
      <c r="D70" s="2">
        <v>2340000000</v>
      </c>
      <c r="E70">
        <f t="shared" si="10"/>
        <v>1.4333956837606838E-2</v>
      </c>
      <c r="F70">
        <f t="shared" si="11"/>
        <v>106.04189877369377</v>
      </c>
      <c r="G70">
        <f>_xlfn.IFNA( INDEX('القيمة الدفترية'!A:A,MATCH(A70,'القيمة الدفترية'!E:E,0),1),"")</f>
        <v>0.16</v>
      </c>
      <c r="H70">
        <f t="shared" si="12"/>
        <v>9.5</v>
      </c>
      <c r="I70">
        <f t="shared" si="13"/>
        <v>4.7889801565856316E-2</v>
      </c>
      <c r="J70">
        <f t="shared" si="14"/>
        <v>3.1506448398589681E-2</v>
      </c>
    </row>
    <row r="71" spans="1:10">
      <c r="A71" t="s">
        <v>48</v>
      </c>
      <c r="B71">
        <f>INDEX('اسعار الاسهم'!A:B,MATCH(A71,'اسعار الاسهم'!K:K,0),2)</f>
        <v>54.2</v>
      </c>
      <c r="C71" s="2">
        <v>697498630</v>
      </c>
      <c r="D71" s="2">
        <v>378739700</v>
      </c>
      <c r="E71">
        <f t="shared" si="10"/>
        <v>1.8416306238823128</v>
      </c>
      <c r="F71">
        <f t="shared" si="11"/>
        <v>29.43044022896504</v>
      </c>
      <c r="G71">
        <f>_xlfn.IFNA( INDEX('القيمة الدفترية'!A:A,MATCH(A71,'القيمة الدفترية'!E:E,0),1),"")</f>
        <v>4.63</v>
      </c>
      <c r="H71">
        <f t="shared" si="12"/>
        <v>11.706263498920087</v>
      </c>
      <c r="I71">
        <f t="shared" si="13"/>
        <v>2.9200598946896803</v>
      </c>
      <c r="J71">
        <f t="shared" si="14"/>
        <v>5.3875643813462736E-2</v>
      </c>
    </row>
    <row r="72" spans="1:10">
      <c r="A72" s="2" t="s">
        <v>34</v>
      </c>
      <c r="B72">
        <f>INDEX('اسعار الاسهم'!A:B,MATCH(A72,'اسعار الاسهم'!K:K,0),2)</f>
        <v>9.4600000000000009</v>
      </c>
      <c r="C72" s="2">
        <v>734860711</v>
      </c>
      <c r="D72" s="2">
        <v>1200000000</v>
      </c>
      <c r="E72">
        <f t="shared" si="10"/>
        <v>0.61238392583333334</v>
      </c>
      <c r="F72">
        <f t="shared" si="11"/>
        <v>15.447825458721525</v>
      </c>
      <c r="G72">
        <f>_xlfn.IFNA( INDEX('القيمة الدفترية'!A:A,MATCH(A72,'القيمة الدفترية'!E:E,0),1),"")</f>
        <v>1.35</v>
      </c>
      <c r="H72">
        <f t="shared" si="12"/>
        <v>7.007407407407408</v>
      </c>
      <c r="I72">
        <f t="shared" si="13"/>
        <v>0.90924050716793303</v>
      </c>
      <c r="J72">
        <f t="shared" si="14"/>
        <v>9.6114218516694813E-2</v>
      </c>
    </row>
    <row r="73" spans="1:10">
      <c r="A73" t="s">
        <v>73</v>
      </c>
      <c r="B73">
        <f>INDEX('اسعار الاسهم'!A:B,MATCH(A73,'اسعار الاسهم'!K:K,0),2)</f>
        <v>7.59</v>
      </c>
      <c r="C73" s="2">
        <v>61961512</v>
      </c>
      <c r="D73" s="2">
        <v>156062500</v>
      </c>
      <c r="E73">
        <f t="shared" si="10"/>
        <v>0.39703011293552265</v>
      </c>
      <c r="F73">
        <f t="shared" si="11"/>
        <v>19.116937866203134</v>
      </c>
      <c r="G73">
        <f>_xlfn.IFNA( INDEX('القيمة الدفترية'!A:A,MATCH(A73,'القيمة الدفترية'!E:E,0),1),"")</f>
        <v>2.42</v>
      </c>
      <c r="H73">
        <f t="shared" si="12"/>
        <v>3.1363636363636362</v>
      </c>
      <c r="I73">
        <f t="shared" si="13"/>
        <v>0.98021062701032002</v>
      </c>
      <c r="J73">
        <f t="shared" si="14"/>
        <v>0.12914501014628724</v>
      </c>
    </row>
    <row r="74" spans="1:10">
      <c r="A74" t="s">
        <v>51</v>
      </c>
      <c r="B74">
        <f>INDEX('اسعار الاسهم'!A:B,MATCH(A74,'اسعار الاسهم'!K:K,0),2)</f>
        <v>10.33</v>
      </c>
      <c r="C74" s="2">
        <v>192240961</v>
      </c>
      <c r="D74" s="2">
        <v>180067050</v>
      </c>
      <c r="E74">
        <f t="shared" si="10"/>
        <v>1.0676076550373874</v>
      </c>
      <c r="F74">
        <f t="shared" si="11"/>
        <v>9.6758392010951297</v>
      </c>
      <c r="G74">
        <f>_xlfn.IFNA( INDEX('القيمة الدفترية'!A:A,MATCH(A74,'القيمة الدفترية'!E:E,0),1),"")</f>
        <v>3.37</v>
      </c>
      <c r="H74">
        <f t="shared" si="12"/>
        <v>3.0652818991097921</v>
      </c>
      <c r="I74">
        <f t="shared" si="13"/>
        <v>1.8967967201247464</v>
      </c>
      <c r="J74">
        <f t="shared" si="14"/>
        <v>0.18362020523956887</v>
      </c>
    </row>
    <row r="75" spans="1:10">
      <c r="A75" t="s">
        <v>85</v>
      </c>
      <c r="B75">
        <f>INDEX('اسعار الاسهم'!A:B,MATCH(A75,'اسعار الاسهم'!K:K,0),2)</f>
        <v>13.14</v>
      </c>
      <c r="C75" s="2">
        <v>111037193</v>
      </c>
      <c r="D75" s="2">
        <v>261566773</v>
      </c>
      <c r="E75">
        <f t="shared" si="10"/>
        <v>0.42450802036694468</v>
      </c>
      <c r="F75">
        <f t="shared" si="11"/>
        <v>30.953478779133043</v>
      </c>
      <c r="G75">
        <f>_xlfn.IFNA( INDEX('القيمة الدفترية'!A:A,MATCH(A75,'القيمة الدفترية'!E:E,0),1),"")</f>
        <v>2.83</v>
      </c>
      <c r="H75">
        <f t="shared" si="12"/>
        <v>4.6431095406360425</v>
      </c>
      <c r="I75">
        <f t="shared" si="13"/>
        <v>1.0960646411769943</v>
      </c>
      <c r="J75">
        <f t="shared" si="14"/>
        <v>8.3414356253956948E-2</v>
      </c>
    </row>
    <row r="76" spans="1:10">
      <c r="A76" t="s">
        <v>89</v>
      </c>
      <c r="B76">
        <f>INDEX('اسعار الاسهم'!A:B,MATCH(A76,'اسعار الاسهم'!K:K,0),2)</f>
        <v>7.15</v>
      </c>
      <c r="C76" s="2">
        <v>563881502</v>
      </c>
      <c r="D76" s="2">
        <v>2143995190</v>
      </c>
      <c r="E76">
        <f t="shared" si="10"/>
        <v>0.2630050219469009</v>
      </c>
      <c r="F76">
        <f t="shared" si="11"/>
        <v>27.185792678299283</v>
      </c>
      <c r="G76">
        <f>_xlfn.IFNA( INDEX('القيمة الدفترية'!A:A,MATCH(A76,'القيمة الدفترية'!E:E,0),1),"")</f>
        <v>0.97</v>
      </c>
      <c r="H76">
        <f t="shared" si="12"/>
        <v>7.3711340206185572</v>
      </c>
      <c r="I76">
        <f t="shared" si="13"/>
        <v>0.50508897363582772</v>
      </c>
      <c r="J76">
        <f t="shared" si="14"/>
        <v>7.0641814494521352E-2</v>
      </c>
    </row>
    <row r="77" spans="1:10">
      <c r="A77" t="s">
        <v>80</v>
      </c>
      <c r="B77">
        <f>INDEX('اسعار الاسهم'!A:B,MATCH(A77,'اسعار الاسهم'!K:K,0),2)</f>
        <v>20.7</v>
      </c>
      <c r="C77" s="2">
        <v>1378817304</v>
      </c>
      <c r="D77" s="2">
        <v>356197368</v>
      </c>
      <c r="E77">
        <f t="shared" si="10"/>
        <v>3.8709362501521909</v>
      </c>
      <c r="F77">
        <f t="shared" si="11"/>
        <v>5.3475435042843067</v>
      </c>
      <c r="G77">
        <f>_xlfn.IFNA( INDEX('القيمة الدفترية'!A:A,MATCH(A77,'القيمة الدفترية'!E:E,0),1),"")</f>
        <v>24.21</v>
      </c>
      <c r="H77">
        <f t="shared" si="12"/>
        <v>0.85501858736059477</v>
      </c>
      <c r="I77">
        <f t="shared" si="13"/>
        <v>9.6806697400636779</v>
      </c>
      <c r="J77">
        <f t="shared" si="14"/>
        <v>0.4676652048339941</v>
      </c>
    </row>
    <row r="78" spans="1:10">
      <c r="A78" t="s">
        <v>159</v>
      </c>
      <c r="B78">
        <f>INDEX('اسعار الاسهم'!A:B,MATCH(A78,'اسعار الاسهم'!K:K,0),2)</f>
        <v>1.3</v>
      </c>
      <c r="C78" s="2">
        <v>12235000</v>
      </c>
      <c r="D78" s="2">
        <v>400000000</v>
      </c>
      <c r="E78">
        <f t="shared" si="10"/>
        <v>3.05875E-2</v>
      </c>
      <c r="F78">
        <f t="shared" si="11"/>
        <v>42.501021659174498</v>
      </c>
      <c r="G78">
        <f>_xlfn.IFNA( INDEX('القيمة الدفترية'!A:A,MATCH(A78,'القيمة الدفترية'!E:E,0),1),"")</f>
        <v>0.33</v>
      </c>
      <c r="H78">
        <f t="shared" si="12"/>
        <v>3.9393939393939394</v>
      </c>
      <c r="I78">
        <f t="shared" si="13"/>
        <v>0.10046827857587688</v>
      </c>
      <c r="J78">
        <f t="shared" si="14"/>
        <v>7.7283291212212987E-2</v>
      </c>
    </row>
    <row r="79" spans="1:10">
      <c r="A79" t="s">
        <v>65</v>
      </c>
      <c r="B79">
        <f>INDEX('اسعار الاسهم'!A:B,MATCH(A79,'اسعار الاسهم'!K:K,0),2)</f>
        <v>69.209999999999994</v>
      </c>
      <c r="C79" s="2">
        <v>62565498</v>
      </c>
      <c r="D79" s="2">
        <v>16000000</v>
      </c>
      <c r="E79">
        <f t="shared" si="10"/>
        <v>3.9103436249999999</v>
      </c>
      <c r="F79">
        <f t="shared" si="11"/>
        <v>17.699211792416325</v>
      </c>
      <c r="G79">
        <f>_xlfn.IFNA( INDEX('القيمة الدفترية'!A:A,MATCH(A79,'القيمة الدفترية'!E:E,0),1),"")</f>
        <v>25.32</v>
      </c>
      <c r="H79">
        <f t="shared" si="12"/>
        <v>2.7334123222748814</v>
      </c>
      <c r="I79">
        <f t="shared" si="13"/>
        <v>9.9503718817439175</v>
      </c>
      <c r="J79">
        <f t="shared" si="14"/>
        <v>0.14377072506493163</v>
      </c>
    </row>
    <row r="80" spans="1:10">
      <c r="A80" t="s">
        <v>64</v>
      </c>
      <c r="B80">
        <f>INDEX('اسعار الاسهم'!A:B,MATCH(A80,'اسعار الاسهم'!K:K,0),2)</f>
        <v>3.95</v>
      </c>
      <c r="C80" s="2">
        <v>122533820</v>
      </c>
      <c r="D80" s="2">
        <v>500000000</v>
      </c>
      <c r="E80">
        <f t="shared" si="10"/>
        <v>0.24506764</v>
      </c>
      <c r="F80">
        <f t="shared" si="11"/>
        <v>16.11799909608629</v>
      </c>
      <c r="G80">
        <f>_xlfn.IFNA( INDEX('القيمة الدفترية'!A:A,MATCH(A80,'القيمة الدفترية'!E:E,0),1),"")</f>
        <v>1.08</v>
      </c>
      <c r="H80">
        <f t="shared" si="12"/>
        <v>3.6574074074074074</v>
      </c>
      <c r="I80">
        <f t="shared" si="13"/>
        <v>0.51446384829256953</v>
      </c>
      <c r="J80">
        <f t="shared" si="14"/>
        <v>0.13024401222596696</v>
      </c>
    </row>
    <row r="81" spans="1:10">
      <c r="A81" t="s">
        <v>109</v>
      </c>
      <c r="B81">
        <f>INDEX('اسعار الاسهم'!A:B,MATCH(A81,'اسعار الاسهم'!K:K,0),2)</f>
        <v>4.0199999999999996</v>
      </c>
      <c r="C81" s="2">
        <v>1900234</v>
      </c>
      <c r="D81" s="2">
        <v>20000000</v>
      </c>
      <c r="E81">
        <f t="shared" si="10"/>
        <v>9.5011700000000004E-2</v>
      </c>
      <c r="F81">
        <f t="shared" si="11"/>
        <v>42.310578591899727</v>
      </c>
      <c r="G81">
        <f>_xlfn.IFNA( INDEX('القيمة الدفترية'!A:A,MATCH(A81,'القيمة الدفترية'!E:E,0),1),"")</f>
        <v>0.97</v>
      </c>
      <c r="H81">
        <f t="shared" si="12"/>
        <v>4.144329896907216</v>
      </c>
      <c r="I81">
        <f t="shared" si="13"/>
        <v>0.3035808771974941</v>
      </c>
      <c r="J81">
        <f t="shared" si="14"/>
        <v>7.5517631143655256E-2</v>
      </c>
    </row>
    <row r="82" spans="1:10">
      <c r="A82" t="s">
        <v>47</v>
      </c>
      <c r="B82">
        <f>INDEX('اسعار الاسهم'!A:B,MATCH(A82,'اسعار الاسهم'!K:K,0),2)</f>
        <v>130.5</v>
      </c>
      <c r="C82" s="2">
        <v>25652515</v>
      </c>
      <c r="D82" s="2">
        <v>5600000</v>
      </c>
      <c r="E82">
        <f t="shared" si="10"/>
        <v>4.5808062500000002</v>
      </c>
      <c r="F82">
        <f t="shared" si="11"/>
        <v>28.488434759710692</v>
      </c>
      <c r="G82">
        <f>_xlfn.IFNA( INDEX('القيمة الدفترية'!A:A,MATCH(A82,'القيمة الدفترية'!E:E,0),1),"")</f>
        <v>26.14</v>
      </c>
      <c r="H82">
        <f t="shared" si="12"/>
        <v>4.9923488905891356</v>
      </c>
      <c r="I82">
        <f t="shared" si="13"/>
        <v>10.942681361302631</v>
      </c>
      <c r="J82">
        <f t="shared" si="14"/>
        <v>8.3851964454426289E-2</v>
      </c>
    </row>
    <row r="83" spans="1:10">
      <c r="A83" s="1" t="s">
        <v>116</v>
      </c>
      <c r="B83">
        <f>INDEX('اسعار الاسهم'!A:B,MATCH(A83,'اسعار الاسهم'!K:K,0),2)</f>
        <v>0.1</v>
      </c>
      <c r="C83" s="2">
        <v>342857</v>
      </c>
      <c r="D83" s="2">
        <v>350414638</v>
      </c>
      <c r="E83">
        <f t="shared" si="10"/>
        <v>9.7843229939498125E-4</v>
      </c>
      <c r="F83">
        <f t="shared" si="11"/>
        <v>102.20431200179668</v>
      </c>
      <c r="G83">
        <f>_xlfn.IFNA( INDEX('القيمة الدفترية'!A:A,MATCH(A83,'القيمة الدفترية'!E:E,0),1),"")</f>
        <v>0.5</v>
      </c>
      <c r="H83">
        <f t="shared" si="12"/>
        <v>0.2</v>
      </c>
      <c r="I83">
        <f t="shared" si="13"/>
        <v>2.2118231161136974E-2</v>
      </c>
      <c r="J83">
        <f t="shared" si="14"/>
        <v>0.22118231161136973</v>
      </c>
    </row>
    <row r="84" spans="1:10">
      <c r="A84" t="s">
        <v>76</v>
      </c>
      <c r="B84">
        <f>INDEX('اسعار الاسهم'!A:B,MATCH(A84,'اسعار الاسهم'!K:K,0),2)</f>
        <v>483</v>
      </c>
      <c r="C84" s="2">
        <v>107381279</v>
      </c>
      <c r="D84" s="2">
        <v>7000000</v>
      </c>
      <c r="E84">
        <f t="shared" si="10"/>
        <v>15.340182714285714</v>
      </c>
      <c r="F84">
        <f t="shared" si="11"/>
        <v>31.485935271827039</v>
      </c>
      <c r="G84">
        <f>_xlfn.IFNA( INDEX('القيمة الدفترية'!A:A,MATCH(A84,'القيمة الدفترية'!E:E,0),1),"")</f>
        <v>97.93</v>
      </c>
      <c r="H84">
        <f t="shared" si="12"/>
        <v>4.9320943531093633</v>
      </c>
      <c r="I84">
        <f t="shared" si="13"/>
        <v>38.759051758395742</v>
      </c>
      <c r="J84">
        <f t="shared" si="14"/>
        <v>8.0246483971833829E-2</v>
      </c>
    </row>
    <row r="85" spans="1:10">
      <c r="A85" t="s">
        <v>88</v>
      </c>
      <c r="B85">
        <f>INDEX('اسعار الاسهم'!A:B,MATCH(A85,'اسعار الاسهم'!K:K,0),2)</f>
        <v>73.2</v>
      </c>
      <c r="C85" s="2">
        <v>14964835</v>
      </c>
      <c r="D85" s="2">
        <v>10500000</v>
      </c>
      <c r="E85">
        <f t="shared" si="10"/>
        <v>1.425222380952381</v>
      </c>
      <c r="F85">
        <f t="shared" si="11"/>
        <v>51.360405911592075</v>
      </c>
      <c r="G85">
        <f>_xlfn.IFNA( INDEX('القيمة الدفترية'!A:A,MATCH(A85,'القيمة الدفترية'!E:E,0),1),"")</f>
        <v>9.68</v>
      </c>
      <c r="H85">
        <f t="shared" si="12"/>
        <v>7.561983471074381</v>
      </c>
      <c r="I85">
        <f t="shared" si="13"/>
        <v>3.714317251880761</v>
      </c>
      <c r="J85">
        <f t="shared" si="14"/>
        <v>5.0742038960119681E-2</v>
      </c>
    </row>
    <row r="86" spans="1:10">
      <c r="A86" t="s">
        <v>79</v>
      </c>
      <c r="B86">
        <f>INDEX('اسعار الاسهم'!A:B,MATCH(A86,'اسعار الاسهم'!K:K,0),2)</f>
        <v>18.18</v>
      </c>
      <c r="C86" s="2">
        <v>91513899</v>
      </c>
      <c r="D86" s="2">
        <v>131835938</v>
      </c>
      <c r="E86">
        <f t="shared" si="10"/>
        <v>0.69414986830070569</v>
      </c>
      <c r="F86">
        <f t="shared" si="11"/>
        <v>26.19030965820831</v>
      </c>
      <c r="G86">
        <f>_xlfn.IFNA( INDEX('القيمة الدفترية'!A:A,MATCH(A86,'القيمة الدفترية'!E:E,0),1),"")</f>
        <v>2.52</v>
      </c>
      <c r="H86">
        <f t="shared" si="12"/>
        <v>7.2142857142857144</v>
      </c>
      <c r="I86">
        <f t="shared" si="13"/>
        <v>1.3225950506930602</v>
      </c>
      <c r="J86">
        <f t="shared" si="14"/>
        <v>7.2750002788397147E-2</v>
      </c>
    </row>
    <row r="87" spans="1:10">
      <c r="A87" t="s">
        <v>473</v>
      </c>
      <c r="B87">
        <f>INDEX('اسعار الاسهم'!A:B,MATCH(A87,'اسعار الاسهم'!K:K,0),2)</f>
        <v>0.56000000000000005</v>
      </c>
      <c r="C87" s="2">
        <v>22384000</v>
      </c>
      <c r="D87" s="2">
        <v>560000000</v>
      </c>
      <c r="E87">
        <f t="shared" si="10"/>
        <v>3.9971428571428574E-2</v>
      </c>
      <c r="F87">
        <f t="shared" si="11"/>
        <v>14.010007147962831</v>
      </c>
      <c r="G87">
        <f>_xlfn.IFNA( INDEX('القيمة الدفترية'!A:A,MATCH(A87,'القيمة الدفترية'!E:E,0),1),"")</f>
        <v>0.21</v>
      </c>
      <c r="H87">
        <f t="shared" si="12"/>
        <v>2.666666666666667</v>
      </c>
      <c r="I87">
        <f t="shared" si="13"/>
        <v>9.1618775368370861E-2</v>
      </c>
      <c r="J87">
        <f t="shared" si="14"/>
        <v>0.16360495601494796</v>
      </c>
    </row>
    <row r="88" spans="1:10">
      <c r="A88" t="s">
        <v>95</v>
      </c>
      <c r="B88">
        <f>INDEX('اسعار الاسهم'!A:B,MATCH(A88,'اسعار الاسهم'!K:K,0),2)</f>
        <v>2.2599999999999998</v>
      </c>
      <c r="C88" s="2">
        <v>58079355</v>
      </c>
      <c r="D88" s="2">
        <v>3000000000</v>
      </c>
      <c r="E88">
        <f t="shared" si="10"/>
        <v>1.9359785000000001E-2</v>
      </c>
      <c r="F88">
        <f t="shared" si="11"/>
        <v>116.73683359603423</v>
      </c>
      <c r="G88">
        <f>_xlfn.IFNA( INDEX('القيمة الدفترية'!A:A,MATCH(A88,'القيمة الدفترية'!E:E,0),1),"")</f>
        <v>0.17</v>
      </c>
      <c r="H88">
        <f t="shared" si="12"/>
        <v>13.294117647058821</v>
      </c>
      <c r="I88">
        <f t="shared" si="13"/>
        <v>5.7368662612963188E-2</v>
      </c>
      <c r="J88">
        <f t="shared" si="14"/>
        <v>2.5384363988036812E-2</v>
      </c>
    </row>
    <row r="89" spans="1:10">
      <c r="A89" t="s">
        <v>59</v>
      </c>
      <c r="B89">
        <f>INDEX('اسعار الاسهم'!A:B,MATCH(A89,'اسعار الاسهم'!K:K,0),2)</f>
        <v>8.3699999999999992</v>
      </c>
      <c r="C89" s="2">
        <v>18106383</v>
      </c>
      <c r="D89" s="2">
        <v>74942787</v>
      </c>
      <c r="E89">
        <f t="shared" si="10"/>
        <v>0.24160274423741407</v>
      </c>
      <c r="F89">
        <f t="shared" si="11"/>
        <v>34.643646231828846</v>
      </c>
      <c r="G89">
        <f>_xlfn.IFNA( INDEX('القيمة الدفترية'!A:A,MATCH(A89,'القيمة الدفترية'!E:E,0),1),"")</f>
        <v>1.65</v>
      </c>
      <c r="H89">
        <f t="shared" si="12"/>
        <v>5.0727272727272723</v>
      </c>
      <c r="I89">
        <f t="shared" si="13"/>
        <v>0.63138302795667001</v>
      </c>
      <c r="J89">
        <f t="shared" si="14"/>
        <v>7.5434053519315425E-2</v>
      </c>
    </row>
    <row r="90" spans="1:10">
      <c r="A90" t="s">
        <v>250</v>
      </c>
      <c r="B90">
        <f>INDEX('اسعار الاسهم'!A:B,MATCH(A90,'اسعار الاسهم'!K:K,0),2)</f>
        <v>8.7899999999999991</v>
      </c>
      <c r="C90" s="2">
        <v>699155000</v>
      </c>
      <c r="D90" s="2">
        <v>1208496094</v>
      </c>
      <c r="E90">
        <f t="shared" si="10"/>
        <v>0.57853310695102667</v>
      </c>
      <c r="F90">
        <f t="shared" si="11"/>
        <v>15.193598939090759</v>
      </c>
      <c r="G90">
        <f>_xlfn.IFNA( INDEX('القيمة الدفترية'!A:A,MATCH(A90,'القيمة الدفترية'!E:E,0),1),"")</f>
        <v>2.1800000000000002</v>
      </c>
      <c r="H90">
        <f t="shared" si="12"/>
        <v>4.0321100917431183</v>
      </c>
      <c r="I90">
        <f t="shared" si="13"/>
        <v>1.1230325788476656</v>
      </c>
      <c r="J90">
        <f t="shared" si="14"/>
        <v>0.12776252319086071</v>
      </c>
    </row>
    <row r="91" spans="1:10">
      <c r="A91" t="s">
        <v>107</v>
      </c>
      <c r="B91">
        <f>INDEX('اسعار الاسهم'!A:B,MATCH(A91,'اسعار الاسهم'!K:K,0),2)</f>
        <v>82.62</v>
      </c>
      <c r="C91" s="2">
        <v>39766662</v>
      </c>
      <c r="D91" s="2">
        <v>23522400</v>
      </c>
      <c r="E91">
        <f t="shared" si="10"/>
        <v>1.6905869299051117</v>
      </c>
      <c r="F91">
        <f t="shared" si="11"/>
        <v>48.870601409793963</v>
      </c>
      <c r="G91">
        <f>_xlfn.IFNA( INDEX('القيمة الدفترية'!A:A,MATCH(A91,'القيمة الدفترية'!E:E,0),1),"")</f>
        <v>27.99</v>
      </c>
      <c r="H91">
        <f t="shared" si="12"/>
        <v>2.951768488745981</v>
      </c>
      <c r="I91">
        <f t="shared" si="13"/>
        <v>6.8789191133523353</v>
      </c>
      <c r="J91">
        <f t="shared" si="14"/>
        <v>8.3259732671899483E-2</v>
      </c>
    </row>
    <row r="92" spans="1:10">
      <c r="A92" t="s">
        <v>15</v>
      </c>
      <c r="B92">
        <f>INDEX('اسعار الاسهم'!A:B,MATCH(A92,'اسعار الاسهم'!K:K,0),2)</f>
        <v>26.64</v>
      </c>
      <c r="C92" s="2">
        <v>472919575</v>
      </c>
      <c r="D92" s="2">
        <v>80000000</v>
      </c>
      <c r="E92">
        <f t="shared" si="10"/>
        <v>5.9114946875000003</v>
      </c>
      <c r="F92">
        <f t="shared" si="11"/>
        <v>4.5064744888176813</v>
      </c>
      <c r="G92">
        <f>_xlfn.IFNA( INDEX('القيمة الدفترية'!A:A,MATCH(A92,'القيمة الدفترية'!E:E,0),1),"")</f>
        <v>2.5099999999999998</v>
      </c>
      <c r="H92">
        <f t="shared" si="12"/>
        <v>10.613545816733069</v>
      </c>
      <c r="I92">
        <f t="shared" si="13"/>
        <v>3.8519932068508376</v>
      </c>
      <c r="J92">
        <f t="shared" si="14"/>
        <v>0.14459433959650292</v>
      </c>
    </row>
    <row r="93" spans="1:10">
      <c r="A93" t="s">
        <v>63</v>
      </c>
      <c r="B93">
        <f>INDEX('اسعار الاسهم'!A:B,MATCH(A93,'اسعار الاسهم'!K:K,0),2)</f>
        <v>290.7</v>
      </c>
      <c r="C93" s="2">
        <v>369102348</v>
      </c>
      <c r="D93" s="2">
        <v>75000000</v>
      </c>
      <c r="E93">
        <f t="shared" si="10"/>
        <v>4.9213646400000002</v>
      </c>
      <c r="F93">
        <f t="shared" si="11"/>
        <v>59.068982135003914</v>
      </c>
      <c r="G93">
        <f>_xlfn.IFNA( INDEX('القيمة الدفترية'!A:A,MATCH(A93,'القيمة الدفترية'!E:E,0),1),"")</f>
        <v>10.86</v>
      </c>
      <c r="H93">
        <f t="shared" si="12"/>
        <v>26.767955801104971</v>
      </c>
      <c r="I93">
        <f t="shared" si="13"/>
        <v>7.3106784904275468</v>
      </c>
      <c r="J93">
        <f t="shared" si="14"/>
        <v>2.514853281880821E-2</v>
      </c>
    </row>
    <row r="94" spans="1:10">
      <c r="A94" t="s">
        <v>92</v>
      </c>
      <c r="B94">
        <f>INDEX('اسعار الاسهم'!A:B,MATCH(A94,'اسعار الاسهم'!K:K,0),2)</f>
        <v>4.7300000000000004</v>
      </c>
      <c r="C94" s="2">
        <v>18670134</v>
      </c>
      <c r="D94" s="2">
        <v>121250000</v>
      </c>
      <c r="E94">
        <f t="shared" si="10"/>
        <v>0.15398048659793814</v>
      </c>
      <c r="F94">
        <f t="shared" si="11"/>
        <v>30.718178027002917</v>
      </c>
      <c r="G94">
        <f>_xlfn.IFNA( INDEX('القيمة الدفترية'!A:A,MATCH(A94,'القيمة الدفترية'!E:E,0),1),"")</f>
        <v>1.48</v>
      </c>
      <c r="H94">
        <f t="shared" si="12"/>
        <v>3.1959459459459461</v>
      </c>
      <c r="I94">
        <f t="shared" si="13"/>
        <v>0.47737942997677274</v>
      </c>
      <c r="J94">
        <f t="shared" si="14"/>
        <v>0.1009258837160196</v>
      </c>
    </row>
    <row r="95" spans="1:10">
      <c r="A95" t="s">
        <v>170</v>
      </c>
      <c r="B95">
        <f>INDEX('اسعار الاسهم'!A:B,MATCH(A95,'اسعار الاسهم'!K:K,0),2)</f>
        <v>3.08</v>
      </c>
      <c r="C95" s="2">
        <v>369221904</v>
      </c>
      <c r="D95" s="2">
        <v>5463478748</v>
      </c>
      <c r="E95">
        <f t="shared" si="10"/>
        <v>6.7580001868802003E-2</v>
      </c>
      <c r="F95">
        <f t="shared" si="11"/>
        <v>45.575612826697302</v>
      </c>
      <c r="G95">
        <f>_xlfn.IFNA( INDEX('القيمة الدفترية'!A:A,MATCH(A95,'القيمة الدفترية'!E:E,0),1),"")</f>
        <v>1.84</v>
      </c>
      <c r="H95">
        <f t="shared" si="12"/>
        <v>1.6739130434782608</v>
      </c>
      <c r="I95">
        <f t="shared" si="13"/>
        <v>0.35262898836963996</v>
      </c>
      <c r="J95">
        <f t="shared" si="14"/>
        <v>0.11448993128884415</v>
      </c>
    </row>
    <row r="96" spans="1:10">
      <c r="A96" t="s">
        <v>62</v>
      </c>
      <c r="B96">
        <f>INDEX('اسعار الاسهم'!A:B,MATCH(A96,'اسعار الاسهم'!K:K,0),2)</f>
        <v>213.98</v>
      </c>
      <c r="C96" s="2">
        <v>700349388</v>
      </c>
      <c r="D96" s="2">
        <v>72766714</v>
      </c>
      <c r="E96">
        <f t="shared" si="10"/>
        <v>9.624584504393038</v>
      </c>
      <c r="F96">
        <f t="shared" si="11"/>
        <v>22.232648058971389</v>
      </c>
      <c r="G96">
        <f>_xlfn.IFNA( INDEX('القيمة الدفترية'!A:A,MATCH(A96,'القيمة الدفترية'!E:E,0),1),"")</f>
        <v>32.32</v>
      </c>
      <c r="H96">
        <f t="shared" si="12"/>
        <v>6.6206683168316829</v>
      </c>
      <c r="I96">
        <f t="shared" si="13"/>
        <v>17.637079440258326</v>
      </c>
      <c r="J96">
        <f t="shared" si="14"/>
        <v>8.2423962240668877E-2</v>
      </c>
    </row>
    <row r="97" spans="1:10">
      <c r="A97" t="s">
        <v>91</v>
      </c>
      <c r="B97">
        <f>INDEX('اسعار الاسهم'!A:B,MATCH(A97,'اسعار الاسهم'!K:K,0),2)</f>
        <v>25</v>
      </c>
      <c r="C97" s="2">
        <v>119492812</v>
      </c>
      <c r="D97" s="2">
        <v>120000000</v>
      </c>
      <c r="E97">
        <f t="shared" si="10"/>
        <v>0.99577343333333335</v>
      </c>
      <c r="F97">
        <f t="shared" si="11"/>
        <v>25.106112658893657</v>
      </c>
      <c r="G97">
        <f>_xlfn.IFNA( INDEX('القيمة الدفترية'!A:A,MATCH(A97,'القيمة الدفترية'!E:E,0),1),"")</f>
        <v>8.3800000000000008</v>
      </c>
      <c r="H97">
        <f t="shared" si="12"/>
        <v>2.9832935560859184</v>
      </c>
      <c r="I97">
        <f t="shared" si="13"/>
        <v>2.8886989063128983</v>
      </c>
      <c r="J97">
        <f t="shared" si="14"/>
        <v>0.11554795625251593</v>
      </c>
    </row>
    <row r="98" spans="1:10">
      <c r="A98" t="s">
        <v>46</v>
      </c>
      <c r="B98">
        <f>INDEX('اسعار الاسهم'!A:B,MATCH(A98,'اسعار الاسهم'!K:K,0),2)</f>
        <v>205.73</v>
      </c>
      <c r="C98" s="2">
        <v>65538610</v>
      </c>
      <c r="D98" s="2">
        <v>9600000</v>
      </c>
      <c r="E98">
        <f t="shared" ref="E98:E129" si="15">IFERROR(_xlfn.IFNA(C98/D98," ")," ")</f>
        <v>6.8269385416666664</v>
      </c>
      <c r="F98">
        <f t="shared" ref="F98:F129" si="16">IF( AND(E98&gt;0,E98&lt;&gt;" "),B98/E98,IF(E98&lt;0,"negative"," "))</f>
        <v>30.135030327924255</v>
      </c>
      <c r="G98">
        <f>_xlfn.IFNA( INDEX('القيمة الدفترية'!A:A,MATCH(A98,'القيمة الدفترية'!E:E,0),1),"")</f>
        <v>13.89</v>
      </c>
      <c r="H98">
        <f t="shared" ref="H98:H129" si="17">IFERROR(B98/G98,"")</f>
        <v>14.811375089992799</v>
      </c>
      <c r="I98">
        <f t="shared" ref="I98:I129" si="18">IF(AND(G98&gt;0,E98&gt;0),SQRT(G98*E98),0)</f>
        <v>9.7378732967599255</v>
      </c>
      <c r="J98">
        <f t="shared" ref="J98:J129" si="19">IFERROR( I98/B98,0)</f>
        <v>4.7333268345695456E-2</v>
      </c>
    </row>
    <row r="99" spans="1:10">
      <c r="A99" t="s">
        <v>108</v>
      </c>
      <c r="B99">
        <f>INDEX('اسعار الاسهم'!A:B,MATCH(A99,'اسعار الاسهم'!K:K,0),2)</f>
        <v>5.18</v>
      </c>
      <c r="C99" s="2">
        <v>13917336</v>
      </c>
      <c r="D99" s="2">
        <v>150000000</v>
      </c>
      <c r="E99">
        <f t="shared" si="15"/>
        <v>9.2782240000000002E-2</v>
      </c>
      <c r="F99">
        <f t="shared" si="16"/>
        <v>55.829650157185249</v>
      </c>
      <c r="G99">
        <f>_xlfn.IFNA( INDEX('القيمة الدفترية'!A:A,MATCH(A99,'القيمة الدفترية'!E:E,0),1),"")</f>
        <v>2.17</v>
      </c>
      <c r="H99">
        <f t="shared" si="17"/>
        <v>2.3870967741935485</v>
      </c>
      <c r="I99">
        <f t="shared" si="18"/>
        <v>0.44870643053114362</v>
      </c>
      <c r="J99">
        <f t="shared" si="19"/>
        <v>8.6622863036900311E-2</v>
      </c>
    </row>
    <row r="100" spans="1:10">
      <c r="A100" t="s">
        <v>244</v>
      </c>
      <c r="B100">
        <f>INDEX('اسعار الاسهم'!A:B,MATCH(A100,'اسعار الاسهم'!K:K,0),2)</f>
        <v>0.7</v>
      </c>
      <c r="C100" s="2">
        <v>14702000</v>
      </c>
      <c r="D100" s="2">
        <v>1005000000</v>
      </c>
      <c r="E100">
        <f t="shared" si="15"/>
        <v>1.4628855721393035E-2</v>
      </c>
      <c r="F100">
        <f t="shared" si="16"/>
        <v>47.850632566997682</v>
      </c>
      <c r="G100">
        <f>_xlfn.IFNA( INDEX('القيمة الدفترية'!A:A,MATCH(A100,'القيمة الدفترية'!E:E,0),1),"")</f>
        <v>0.12</v>
      </c>
      <c r="H100">
        <f t="shared" si="17"/>
        <v>5.833333333333333</v>
      </c>
      <c r="I100">
        <f t="shared" si="18"/>
        <v>4.1898242046262087E-2</v>
      </c>
      <c r="J100">
        <f t="shared" si="19"/>
        <v>5.9854631494660131E-2</v>
      </c>
    </row>
    <row r="101" spans="1:10">
      <c r="A101" t="s">
        <v>87</v>
      </c>
      <c r="B101">
        <f>INDEX('اسعار الاسهم'!A:B,MATCH(A101,'اسعار الاسهم'!K:K,0),2)</f>
        <v>27.92</v>
      </c>
      <c r="C101" s="2">
        <v>1613509656</v>
      </c>
      <c r="D101" s="2">
        <v>723058439</v>
      </c>
      <c r="E101">
        <f t="shared" si="15"/>
        <v>2.2315065684476436</v>
      </c>
      <c r="F101">
        <f t="shared" si="16"/>
        <v>12.511726559434983</v>
      </c>
      <c r="G101">
        <f>_xlfn.IFNA( INDEX('القيمة الدفترية'!A:A,MATCH(A101,'القيمة الدفترية'!E:E,0),1),"")</f>
        <v>4.63</v>
      </c>
      <c r="H101">
        <f t="shared" si="17"/>
        <v>6.0302375809935214</v>
      </c>
      <c r="I101">
        <f t="shared" si="18"/>
        <v>3.214323476551884</v>
      </c>
      <c r="J101">
        <f t="shared" si="19"/>
        <v>0.11512619901690128</v>
      </c>
    </row>
    <row r="102" spans="1:10">
      <c r="A102" t="s">
        <v>119</v>
      </c>
      <c r="B102">
        <f>INDEX('اسعار الاسهم'!A:B,MATCH(A102,'اسعار الاسهم'!K:K,0),2)</f>
        <v>53.3</v>
      </c>
      <c r="C102" s="2">
        <v>5932113</v>
      </c>
      <c r="D102" s="2">
        <v>15572700</v>
      </c>
      <c r="E102">
        <f t="shared" si="15"/>
        <v>0.38093028183937278</v>
      </c>
      <c r="F102">
        <f t="shared" si="16"/>
        <v>139.92061681899855</v>
      </c>
      <c r="G102">
        <f>_xlfn.IFNA( INDEX('القيمة الدفترية'!A:A,MATCH(A102,'القيمة الدفترية'!E:E,0),1),"")</f>
        <v>12.79</v>
      </c>
      <c r="H102">
        <f t="shared" si="17"/>
        <v>4.1673182173573107</v>
      </c>
      <c r="I102">
        <f t="shared" si="18"/>
        <v>2.2072830141886151</v>
      </c>
      <c r="J102">
        <f t="shared" si="19"/>
        <v>4.1412439290593156E-2</v>
      </c>
    </row>
    <row r="103" spans="1:10">
      <c r="A103" t="s">
        <v>121</v>
      </c>
      <c r="B103" t="e">
        <f>INDEX('اسعار الاسهم'!A:B,MATCH(A103,'اسعار الاسهم'!K:K,0),2)</f>
        <v>#N/A</v>
      </c>
      <c r="C103" s="2">
        <v>1040298</v>
      </c>
      <c r="D103" s="2">
        <v>1500000000</v>
      </c>
      <c r="E103">
        <f t="shared" si="15"/>
        <v>6.9353199999999996E-4</v>
      </c>
      <c r="F103" t="e">
        <f t="shared" si="16"/>
        <v>#N/A</v>
      </c>
      <c r="G103">
        <f>_xlfn.IFNA( INDEX('القيمة الدفترية'!A:A,MATCH(A103,'القيمة الدفترية'!E:E,0),1),"")</f>
        <v>1.07</v>
      </c>
      <c r="H103" t="str">
        <f t="shared" si="17"/>
        <v/>
      </c>
      <c r="I103">
        <f t="shared" si="18"/>
        <v>2.724113140087981E-2</v>
      </c>
      <c r="J103">
        <f t="shared" si="19"/>
        <v>0</v>
      </c>
    </row>
    <row r="104" spans="1:10">
      <c r="A104" t="s">
        <v>67</v>
      </c>
      <c r="B104">
        <f>INDEX('اسعار الاسهم'!A:B,MATCH(A104,'اسعار الاسهم'!K:K,0),2)</f>
        <v>52.67</v>
      </c>
      <c r="C104" s="2">
        <v>295045202</v>
      </c>
      <c r="D104" s="2">
        <v>93750000</v>
      </c>
      <c r="E104">
        <f t="shared" si="15"/>
        <v>3.1471488213333334</v>
      </c>
      <c r="F104">
        <f t="shared" si="16"/>
        <v>16.735783081807242</v>
      </c>
      <c r="G104">
        <f>_xlfn.IFNA( INDEX('القيمة الدفترية'!A:A,MATCH(A104,'القيمة الدفترية'!E:E,0),1),"")</f>
        <v>3.15</v>
      </c>
      <c r="H104">
        <f t="shared" si="17"/>
        <v>16.720634920634922</v>
      </c>
      <c r="I104">
        <f t="shared" si="18"/>
        <v>3.1485740879325039</v>
      </c>
      <c r="J104">
        <f t="shared" si="19"/>
        <v>5.9779268804490297E-2</v>
      </c>
    </row>
    <row r="105" spans="1:10">
      <c r="A105" t="s">
        <v>125</v>
      </c>
      <c r="B105">
        <f>INDEX('اسعار الاسهم'!A:B,MATCH(A105,'اسعار الاسهم'!K:K,0),2)</f>
        <v>4.58</v>
      </c>
      <c r="C105" s="2">
        <v>56175082</v>
      </c>
      <c r="D105" s="2">
        <v>207648000</v>
      </c>
      <c r="E105">
        <f t="shared" si="15"/>
        <v>0.27053033017414085</v>
      </c>
      <c r="F105">
        <f t="shared" si="16"/>
        <v>16.92970986673415</v>
      </c>
      <c r="G105">
        <f>_xlfn.IFNA( INDEX('القيمة الدفترية'!A:A,MATCH(A105,'القيمة الدفترية'!E:E,0),1),"")</f>
        <v>0.8</v>
      </c>
      <c r="H105">
        <f t="shared" si="17"/>
        <v>5.7249999999999996</v>
      </c>
      <c r="I105">
        <f t="shared" si="18"/>
        <v>0.4652142131742244</v>
      </c>
      <c r="J105">
        <f t="shared" si="19"/>
        <v>0.10157515571489616</v>
      </c>
    </row>
    <row r="106" spans="1:10">
      <c r="A106" t="s">
        <v>111</v>
      </c>
      <c r="B106">
        <f>INDEX('اسعار الاسهم'!A:B,MATCH(A106,'اسعار الاسهم'!K:K,0),2)</f>
        <v>1.1499999999999999</v>
      </c>
      <c r="C106" s="2">
        <v>4836602</v>
      </c>
      <c r="D106" s="2">
        <v>132500000</v>
      </c>
      <c r="E106">
        <f t="shared" si="15"/>
        <v>3.6502656603773588E-2</v>
      </c>
      <c r="F106">
        <f t="shared" si="16"/>
        <v>31.504556297995986</v>
      </c>
      <c r="G106">
        <f>_xlfn.IFNA( INDEX('القيمة الدفترية'!A:A,MATCH(A106,'القيمة الدفترية'!E:E,0),1),"")</f>
        <v>0.65</v>
      </c>
      <c r="H106">
        <f t="shared" si="17"/>
        <v>1.7692307692307689</v>
      </c>
      <c r="I106">
        <f t="shared" si="18"/>
        <v>0.15403482331100599</v>
      </c>
      <c r="J106">
        <f t="shared" si="19"/>
        <v>0.13394332461826608</v>
      </c>
    </row>
    <row r="107" spans="1:10">
      <c r="A107" s="3" t="s">
        <v>290</v>
      </c>
      <c r="B107">
        <f>INDEX('اسعار الاسهم'!A:B,MATCH(A107,'اسعار الاسهم'!K:K,0),2)</f>
        <v>87.9</v>
      </c>
      <c r="C107" s="2">
        <v>11137974256</v>
      </c>
      <c r="D107" s="2">
        <v>2170777876</v>
      </c>
      <c r="E107">
        <f t="shared" si="15"/>
        <v>5.1308677774639344</v>
      </c>
      <c r="F107">
        <f t="shared" si="16"/>
        <v>17.131604986212853</v>
      </c>
      <c r="G107">
        <f>_xlfn.IFNA( INDEX('القيمة الدفترية'!A:A,MATCH(A107,'القيمة الدفترية'!E:E,0),1),"")</f>
        <v>15.58</v>
      </c>
      <c r="H107">
        <f t="shared" si="17"/>
        <v>5.6418485237483953</v>
      </c>
      <c r="I107">
        <f t="shared" si="18"/>
        <v>8.9408567806943484</v>
      </c>
      <c r="J107">
        <f t="shared" si="19"/>
        <v>0.10171623186227927</v>
      </c>
    </row>
    <row r="108" spans="1:10">
      <c r="A108" t="s">
        <v>106</v>
      </c>
      <c r="B108">
        <f>INDEX('اسعار الاسهم'!A:B,MATCH(A108,'اسعار الاسهم'!K:K,0),2)</f>
        <v>70.459999999999994</v>
      </c>
      <c r="C108" s="2">
        <v>60471827</v>
      </c>
      <c r="D108" s="2">
        <v>83514200</v>
      </c>
      <c r="E108">
        <f t="shared" si="15"/>
        <v>0.72409035828637525</v>
      </c>
      <c r="F108">
        <f t="shared" si="16"/>
        <v>97.308297498602116</v>
      </c>
      <c r="G108">
        <f>_xlfn.IFNA( INDEX('القيمة الدفترية'!A:A,MATCH(A108,'القيمة الدفترية'!E:E,0),1),"")</f>
        <v>23.36</v>
      </c>
      <c r="H108">
        <f t="shared" si="17"/>
        <v>3.0162671232876712</v>
      </c>
      <c r="I108">
        <f t="shared" si="18"/>
        <v>4.1127546449514494</v>
      </c>
      <c r="J108">
        <f t="shared" si="19"/>
        <v>5.8370063084749499E-2</v>
      </c>
    </row>
    <row r="109" spans="1:10">
      <c r="A109" t="s">
        <v>110</v>
      </c>
      <c r="B109">
        <f>INDEX('اسعار الاسهم'!A:B,MATCH(A109,'اسعار الاسهم'!K:K,0),2)</f>
        <v>0.34</v>
      </c>
      <c r="C109" s="2">
        <v>41554516</v>
      </c>
      <c r="D109" s="2">
        <v>2000000000</v>
      </c>
      <c r="E109">
        <f t="shared" si="15"/>
        <v>2.0777258E-2</v>
      </c>
      <c r="F109">
        <f t="shared" si="16"/>
        <v>16.364045727304344</v>
      </c>
      <c r="G109">
        <f>_xlfn.IFNA( INDEX('القيمة الدفترية'!A:A,MATCH(A109,'القيمة الدفترية'!E:E,0),1),"")</f>
        <v>0.17</v>
      </c>
      <c r="H109">
        <f t="shared" si="17"/>
        <v>2</v>
      </c>
      <c r="I109">
        <f t="shared" si="18"/>
        <v>5.9431758008660657E-2</v>
      </c>
      <c r="J109">
        <f t="shared" si="19"/>
        <v>0.17479928826076663</v>
      </c>
    </row>
    <row r="110" spans="1:10">
      <c r="A110" t="s">
        <v>74</v>
      </c>
      <c r="B110">
        <f>INDEX('اسعار الاسهم'!A:B,MATCH(A110,'اسعار الاسهم'!K:K,0),2)</f>
        <v>21.15</v>
      </c>
      <c r="C110" s="2">
        <v>470680932</v>
      </c>
      <c r="D110" s="2">
        <v>400000000</v>
      </c>
      <c r="E110">
        <f t="shared" si="15"/>
        <v>1.1767023299999999</v>
      </c>
      <c r="F110">
        <f t="shared" si="16"/>
        <v>17.973959480474555</v>
      </c>
      <c r="G110">
        <f>_xlfn.IFNA( INDEX('القيمة الدفترية'!A:A,MATCH(A110,'القيمة الدفترية'!E:E,0),1),"")</f>
        <v>2.8</v>
      </c>
      <c r="H110">
        <f t="shared" si="17"/>
        <v>7.5535714285714288</v>
      </c>
      <c r="I110">
        <f t="shared" si="18"/>
        <v>1.8151491740350156</v>
      </c>
      <c r="J110">
        <f t="shared" si="19"/>
        <v>8.5822655982743065E-2</v>
      </c>
    </row>
    <row r="111" spans="1:10">
      <c r="A111" t="s">
        <v>104</v>
      </c>
      <c r="B111">
        <f>INDEX('اسعار الاسهم'!A:B,MATCH(A111,'اسعار الاسهم'!K:K,0),2)</f>
        <v>99.48</v>
      </c>
      <c r="C111" s="2">
        <v>3347282299</v>
      </c>
      <c r="D111" s="2">
        <v>2063562286</v>
      </c>
      <c r="E111">
        <f t="shared" si="15"/>
        <v>1.6220892975749994</v>
      </c>
      <c r="F111">
        <f t="shared" si="16"/>
        <v>61.32831290405602</v>
      </c>
      <c r="G111">
        <f>_xlfn.IFNA( INDEX('القيمة الدفترية'!A:A,MATCH(A111,'القيمة الدفترية'!E:E,0),1),"")</f>
        <v>18.579999999999998</v>
      </c>
      <c r="H111">
        <f t="shared" si="17"/>
        <v>5.3541442411194842</v>
      </c>
      <c r="I111">
        <f t="shared" si="18"/>
        <v>5.489846914891479</v>
      </c>
      <c r="J111">
        <f t="shared" si="19"/>
        <v>5.5185433402608348E-2</v>
      </c>
    </row>
    <row r="112" spans="1:10">
      <c r="A112" t="s">
        <v>61</v>
      </c>
      <c r="B112">
        <f>INDEX('اسعار الاسهم'!A:B,MATCH(A112,'اسعار الاسهم'!K:K,0),2)</f>
        <v>25.11</v>
      </c>
      <c r="C112" s="2">
        <v>454438591</v>
      </c>
      <c r="D112" s="2">
        <v>282608695</v>
      </c>
      <c r="E112">
        <f t="shared" si="15"/>
        <v>1.6080134795569543</v>
      </c>
      <c r="F112">
        <f t="shared" si="16"/>
        <v>15.615540739694794</v>
      </c>
      <c r="G112">
        <f>_xlfn.IFNA( INDEX('القيمة الدفترية'!A:A,MATCH(A112,'القيمة الدفترية'!E:E,0),1),"")</f>
        <v>4.21</v>
      </c>
      <c r="H112">
        <f t="shared" si="17"/>
        <v>5.9643705463182899</v>
      </c>
      <c r="I112">
        <f t="shared" si="18"/>
        <v>2.6018717779580869</v>
      </c>
      <c r="J112">
        <f t="shared" si="19"/>
        <v>0.10361894774823126</v>
      </c>
    </row>
    <row r="113" spans="1:10">
      <c r="A113" t="s">
        <v>112</v>
      </c>
      <c r="B113">
        <f>INDEX('اسعار الاسهم'!A:B,MATCH(A113,'اسعار الاسهم'!K:K,0),2)</f>
        <v>0.41</v>
      </c>
      <c r="C113" s="2">
        <v>806818</v>
      </c>
      <c r="D113" s="2">
        <v>290000000</v>
      </c>
      <c r="E113">
        <f t="shared" si="15"/>
        <v>2.7821310344827584E-3</v>
      </c>
      <c r="F113">
        <f t="shared" si="16"/>
        <v>147.36904729443319</v>
      </c>
      <c r="G113">
        <f>_xlfn.IFNA( INDEX('القيمة الدفترية'!A:A,MATCH(A113,'القيمة الدفترية'!E:E,0),1),"")</f>
        <v>0.08</v>
      </c>
      <c r="H113">
        <f t="shared" si="17"/>
        <v>5.125</v>
      </c>
      <c r="I113">
        <f t="shared" si="18"/>
        <v>1.4918796290539686E-2</v>
      </c>
      <c r="J113">
        <f t="shared" si="19"/>
        <v>3.6387308025706555E-2</v>
      </c>
    </row>
    <row r="114" spans="1:10">
      <c r="A114" t="s">
        <v>176</v>
      </c>
      <c r="B114">
        <f>INDEX('اسعار الاسهم'!A:B,MATCH(A114,'اسعار الاسهم'!K:K,0),2)</f>
        <v>15.19</v>
      </c>
      <c r="C114" s="2">
        <v>469299000</v>
      </c>
      <c r="D114" s="2">
        <v>1600000000</v>
      </c>
      <c r="E114">
        <f t="shared" si="15"/>
        <v>0.293311875</v>
      </c>
      <c r="F114">
        <f t="shared" si="16"/>
        <v>51.787879369016338</v>
      </c>
      <c r="G114">
        <f>_xlfn.IFNA( INDEX('القيمة الدفترية'!A:A,MATCH(A114,'القيمة الدفترية'!E:E,0),1),"")</f>
        <v>1.48</v>
      </c>
      <c r="H114">
        <f t="shared" si="17"/>
        <v>10.263513513513514</v>
      </c>
      <c r="I114">
        <f t="shared" si="18"/>
        <v>0.65886385164159678</v>
      </c>
      <c r="J114">
        <f t="shared" si="19"/>
        <v>4.3374842109387544E-2</v>
      </c>
    </row>
    <row r="115" spans="1:10">
      <c r="A115" t="s">
        <v>86</v>
      </c>
      <c r="B115">
        <f>INDEX('اسعار الاسهم'!A:B,MATCH(A115,'اسعار الاسهم'!K:K,0),2)</f>
        <v>11.27</v>
      </c>
      <c r="C115" s="2">
        <v>213272470</v>
      </c>
      <c r="D115" s="2">
        <v>1008000000</v>
      </c>
      <c r="E115">
        <f t="shared" si="15"/>
        <v>0.21157983134920635</v>
      </c>
      <c r="F115">
        <f t="shared" si="16"/>
        <v>53.265946608111207</v>
      </c>
      <c r="G115">
        <f>_xlfn.IFNA( INDEX('القيمة الدفترية'!A:A,MATCH(A115,'القيمة الدفترية'!E:E,0),1),"")</f>
        <v>1.29</v>
      </c>
      <c r="H115">
        <f t="shared" si="17"/>
        <v>8.7364341085271313</v>
      </c>
      <c r="I115">
        <f t="shared" si="18"/>
        <v>0.52243466810738759</v>
      </c>
      <c r="J115">
        <f t="shared" si="19"/>
        <v>4.6356226096485147E-2</v>
      </c>
    </row>
    <row r="116" spans="1:10">
      <c r="A116" t="s">
        <v>636</v>
      </c>
      <c r="B116">
        <f>INDEX('اسعار الاسهم'!A:B,MATCH(A116,'اسعار الاسهم'!K:K,0),2)</f>
        <v>6.21</v>
      </c>
      <c r="C116" s="2">
        <v>1034000</v>
      </c>
      <c r="D116" s="2">
        <v>21412300</v>
      </c>
      <c r="E116">
        <f t="shared" si="15"/>
        <v>4.829000154117026E-2</v>
      </c>
      <c r="F116">
        <f t="shared" si="16"/>
        <v>128.59804932301742</v>
      </c>
      <c r="G116">
        <f>_xlfn.IFNA( INDEX('القيمة الدفترية'!A:A,MATCH(A116,'القيمة الدفترية'!E:E,0),1),"")</f>
        <v>0.26</v>
      </c>
      <c r="H116">
        <f t="shared" si="17"/>
        <v>23.884615384615383</v>
      </c>
      <c r="I116">
        <f t="shared" si="18"/>
        <v>0.11205088308756994</v>
      </c>
      <c r="J116">
        <f t="shared" si="19"/>
        <v>1.8043620464987108E-2</v>
      </c>
    </row>
    <row r="117" spans="1:10">
      <c r="A117" t="s">
        <v>105</v>
      </c>
      <c r="B117">
        <f>INDEX('اسعار الاسهم'!A:B,MATCH(A117,'اسعار الاسهم'!K:K,0),2)</f>
        <v>40.5</v>
      </c>
      <c r="C117" s="2">
        <v>2879266</v>
      </c>
      <c r="D117" s="2">
        <v>5625000</v>
      </c>
      <c r="E117">
        <f t="shared" si="15"/>
        <v>0.51186951111111112</v>
      </c>
      <c r="F117">
        <f t="shared" si="16"/>
        <v>79.121727551396773</v>
      </c>
      <c r="G117">
        <f>_xlfn.IFNA( INDEX('القيمة الدفترية'!A:A,MATCH(A117,'القيمة الدفترية'!E:E,0),1),"")</f>
        <v>7.17</v>
      </c>
      <c r="H117">
        <f t="shared" si="17"/>
        <v>5.6485355648535567</v>
      </c>
      <c r="I117">
        <f t="shared" si="18"/>
        <v>1.9157516526592551</v>
      </c>
      <c r="J117">
        <f t="shared" si="19"/>
        <v>4.7302509942203828E-2</v>
      </c>
    </row>
    <row r="118" spans="1:10">
      <c r="A118" t="s">
        <v>98</v>
      </c>
      <c r="B118">
        <f>INDEX('اسعار الاسهم'!A:B,MATCH(A118,'اسعار الاسهم'!K:K,0),2)</f>
        <v>13.19</v>
      </c>
      <c r="C118" s="2">
        <v>641493144</v>
      </c>
      <c r="D118" s="2">
        <v>1352353800</v>
      </c>
      <c r="E118">
        <f t="shared" si="15"/>
        <v>0.47435304577840504</v>
      </c>
      <c r="F118">
        <f t="shared" si="16"/>
        <v>27.806293471470052</v>
      </c>
      <c r="G118">
        <f>_xlfn.IFNA( INDEX('القيمة الدفترية'!A:A,MATCH(A118,'القيمة الدفترية'!E:E,0),1),"")</f>
        <v>1.86</v>
      </c>
      <c r="H118">
        <f t="shared" si="17"/>
        <v>7.0913978494623651</v>
      </c>
      <c r="I118">
        <f t="shared" si="18"/>
        <v>0.93930648094635938</v>
      </c>
      <c r="J118">
        <f t="shared" si="19"/>
        <v>7.1213531534977975E-2</v>
      </c>
    </row>
    <row r="119" spans="1:10">
      <c r="A119" t="s">
        <v>103</v>
      </c>
      <c r="B119">
        <f>INDEX('اسعار الاسهم'!A:B,MATCH(A119,'اسعار الاسهم'!K:K,0),2)</f>
        <v>21.76</v>
      </c>
      <c r="C119" s="2">
        <v>1267003242</v>
      </c>
      <c r="D119" s="2">
        <v>1848888888</v>
      </c>
      <c r="E119">
        <f t="shared" si="15"/>
        <v>0.68527819612272989</v>
      </c>
      <c r="F119">
        <f t="shared" si="16"/>
        <v>31.753527433262878</v>
      </c>
      <c r="G119">
        <f>_xlfn.IFNA( INDEX('القيمة الدفترية'!A:A,MATCH(A119,'القيمة الدفترية'!E:E,0),1),"")</f>
        <v>2.97</v>
      </c>
      <c r="H119">
        <f t="shared" si="17"/>
        <v>7.326599326599327</v>
      </c>
      <c r="I119">
        <f t="shared" si="18"/>
        <v>1.4266310814238234</v>
      </c>
      <c r="J119">
        <f t="shared" si="19"/>
        <v>6.556209013896247E-2</v>
      </c>
    </row>
    <row r="120" spans="1:10">
      <c r="A120" t="s">
        <v>113</v>
      </c>
      <c r="B120">
        <f>INDEX('اسعار الاسهم'!A:B,MATCH(A120,'اسعار الاسهم'!K:K,0),2)</f>
        <v>1.66</v>
      </c>
      <c r="C120" s="2">
        <v>21102220</v>
      </c>
      <c r="D120" s="2">
        <v>655000000</v>
      </c>
      <c r="E120">
        <f t="shared" si="15"/>
        <v>3.2217129770992364E-2</v>
      </c>
      <c r="F120">
        <f t="shared" si="16"/>
        <v>51.525384533001741</v>
      </c>
      <c r="G120">
        <f>_xlfn.IFNA( INDEX('القيمة الدفترية'!A:A,MATCH(A120,'القيمة الدفترية'!E:E,0),1),"")</f>
        <v>0.25</v>
      </c>
      <c r="H120">
        <f t="shared" si="17"/>
        <v>6.64</v>
      </c>
      <c r="I120">
        <f t="shared" si="18"/>
        <v>8.9745654171932421E-2</v>
      </c>
      <c r="J120">
        <f t="shared" si="19"/>
        <v>5.4063647091525557E-2</v>
      </c>
    </row>
    <row r="121" spans="1:10">
      <c r="A121" t="s">
        <v>120</v>
      </c>
      <c r="B121">
        <f>INDEX('اسعار الاسهم'!A:B,MATCH(A121,'اسعار الاسهم'!K:K,0),2)</f>
        <v>0.43</v>
      </c>
      <c r="C121" s="2">
        <v>2148307</v>
      </c>
      <c r="D121" s="2">
        <v>1458000000</v>
      </c>
      <c r="E121">
        <f t="shared" si="15"/>
        <v>1.4734615912208504E-3</v>
      </c>
      <c r="F121">
        <f t="shared" si="16"/>
        <v>291.82979899986361</v>
      </c>
      <c r="G121">
        <f>_xlfn.IFNA( INDEX('القيمة الدفترية'!A:A,MATCH(A121,'القيمة الدفترية'!E:E,0),1),"")</f>
        <v>0.21</v>
      </c>
      <c r="H121">
        <f t="shared" si="17"/>
        <v>2.0476190476190474</v>
      </c>
      <c r="I121">
        <f t="shared" si="18"/>
        <v>1.7590535357298782E-2</v>
      </c>
      <c r="J121">
        <f t="shared" si="19"/>
        <v>4.0908221761159956E-2</v>
      </c>
    </row>
    <row r="122" spans="1:10">
      <c r="A122" t="s">
        <v>114</v>
      </c>
      <c r="B122">
        <f>INDEX('اسعار الاسهم'!A:B,MATCH(A122,'اسعار الاسهم'!K:K,0),2)</f>
        <v>0.36</v>
      </c>
      <c r="C122" s="2">
        <v>2222854</v>
      </c>
      <c r="D122" s="2">
        <v>525547440</v>
      </c>
      <c r="E122">
        <f t="shared" si="15"/>
        <v>4.2295972367404171E-3</v>
      </c>
      <c r="F122">
        <f t="shared" si="16"/>
        <v>85.114487231280137</v>
      </c>
      <c r="G122">
        <f>_xlfn.IFNA( INDEX('القيمة الدفترية'!A:A,MATCH(A122,'القيمة الدفترية'!E:E,0),1),"")</f>
        <v>0.16</v>
      </c>
      <c r="H122">
        <f t="shared" si="17"/>
        <v>2.25</v>
      </c>
      <c r="I122">
        <f t="shared" si="18"/>
        <v>2.6014141498009631E-2</v>
      </c>
      <c r="J122">
        <f t="shared" si="19"/>
        <v>7.2261504161137871E-2</v>
      </c>
    </row>
    <row r="123" spans="1:10">
      <c r="A123" t="s">
        <v>97</v>
      </c>
      <c r="B123">
        <f>INDEX('اسعار الاسهم'!A:B,MATCH(A123,'اسعار الاسهم'!K:K,0),2)</f>
        <v>1.66</v>
      </c>
      <c r="C123" s="2">
        <v>5619242</v>
      </c>
      <c r="D123" s="2">
        <v>400000000</v>
      </c>
      <c r="E123">
        <f t="shared" si="15"/>
        <v>1.4048105E-2</v>
      </c>
      <c r="F123">
        <f t="shared" si="16"/>
        <v>118.1654038035735</v>
      </c>
      <c r="G123">
        <f>_xlfn.IFNA( INDEX('القيمة الدفترية'!A:A,MATCH(A123,'القيمة الدفترية'!E:E,0),1),"")</f>
        <v>0.16</v>
      </c>
      <c r="H123">
        <f t="shared" si="17"/>
        <v>10.375</v>
      </c>
      <c r="I123">
        <f t="shared" si="18"/>
        <v>4.7409880826680004E-2</v>
      </c>
      <c r="J123">
        <f t="shared" si="19"/>
        <v>2.85601691726988E-2</v>
      </c>
    </row>
    <row r="124" spans="1:10">
      <c r="A124" t="s">
        <v>483</v>
      </c>
      <c r="B124">
        <f>INDEX('اسعار الاسهم'!A:B,MATCH(A124,'اسعار الاسهم'!K:K,0),2)</f>
        <v>7.28</v>
      </c>
      <c r="C124" s="2">
        <v>549436</v>
      </c>
      <c r="D124" s="2">
        <v>70270336</v>
      </c>
      <c r="E124">
        <f t="shared" si="15"/>
        <v>7.8188896094078739E-3</v>
      </c>
      <c r="F124">
        <f t="shared" si="16"/>
        <v>931.07849882424875</v>
      </c>
      <c r="G124">
        <f>_xlfn.IFNA( INDEX('القيمة الدفترية'!A:A,MATCH(A124,'القيمة الدفترية'!E:E,0),1),"")</f>
        <v>0.53</v>
      </c>
      <c r="H124">
        <f t="shared" si="17"/>
        <v>13.735849056603774</v>
      </c>
      <c r="I124">
        <f t="shared" si="18"/>
        <v>6.4373997025089044E-2</v>
      </c>
      <c r="J124">
        <f t="shared" si="19"/>
        <v>8.8425820089408028E-3</v>
      </c>
    </row>
    <row r="125" spans="1:10">
      <c r="A125" t="s">
        <v>99</v>
      </c>
      <c r="B125">
        <f>INDEX('اسعار الاسهم'!A:B,MATCH(A125,'اسعار الاسهم'!K:K,0),2)</f>
        <v>104</v>
      </c>
      <c r="C125" s="2">
        <v>21719975</v>
      </c>
      <c r="D125" s="2">
        <v>12650000</v>
      </c>
      <c r="E125">
        <f t="shared" si="15"/>
        <v>1.716994071146245</v>
      </c>
      <c r="F125">
        <f t="shared" si="16"/>
        <v>60.570972112076561</v>
      </c>
      <c r="G125">
        <f>_xlfn.IFNA( INDEX('القيمة الدفترية'!A:A,MATCH(A125,'القيمة الدفترية'!E:E,0),1),"")</f>
        <v>8.6</v>
      </c>
      <c r="H125">
        <f t="shared" si="17"/>
        <v>12.093023255813954</v>
      </c>
      <c r="I125">
        <f t="shared" si="18"/>
        <v>3.8426747210579388</v>
      </c>
      <c r="J125">
        <f t="shared" si="19"/>
        <v>3.6948795394787876E-2</v>
      </c>
    </row>
    <row r="126" spans="1:10">
      <c r="A126" t="s">
        <v>101</v>
      </c>
      <c r="B126">
        <f>INDEX('اسعار الاسهم'!A:B,MATCH(A126,'اسعار الاسهم'!K:K,0),2)</f>
        <v>19.32</v>
      </c>
      <c r="C126" s="2">
        <v>815968937</v>
      </c>
      <c r="D126" s="2">
        <v>3406523244</v>
      </c>
      <c r="E126">
        <f t="shared" si="15"/>
        <v>0.2395312987918658</v>
      </c>
      <c r="F126">
        <f t="shared" si="16"/>
        <v>80.657517816857776</v>
      </c>
      <c r="G126">
        <f>_xlfn.IFNA( INDEX('القيمة الدفترية'!A:A,MATCH(A126,'القيمة الدفترية'!E:E,0),1),"")</f>
        <v>1</v>
      </c>
      <c r="H126">
        <f t="shared" si="17"/>
        <v>19.32</v>
      </c>
      <c r="I126">
        <f t="shared" si="18"/>
        <v>0.48941934860798647</v>
      </c>
      <c r="J126">
        <f t="shared" si="19"/>
        <v>2.5332264420703233E-2</v>
      </c>
    </row>
    <row r="127" spans="1:10">
      <c r="A127" t="s">
        <v>102</v>
      </c>
      <c r="B127">
        <f>INDEX('اسعار الاسهم'!A:B,MATCH(A127,'اسعار الاسهم'!K:K,0),2)</f>
        <v>2.38</v>
      </c>
      <c r="C127" s="2">
        <v>2186223</v>
      </c>
      <c r="D127" s="2">
        <v>5000000</v>
      </c>
      <c r="E127">
        <f t="shared" si="15"/>
        <v>0.43724459999999998</v>
      </c>
      <c r="F127">
        <f t="shared" si="16"/>
        <v>5.4431775715469097</v>
      </c>
      <c r="G127">
        <f>_xlfn.IFNA( INDEX('القيمة الدفترية'!A:A,MATCH(A127,'القيمة الدفترية'!E:E,0),1),"")</f>
        <v>5.92</v>
      </c>
      <c r="H127">
        <f t="shared" si="17"/>
        <v>0.40202702702702703</v>
      </c>
      <c r="I127">
        <f t="shared" si="18"/>
        <v>1.6088778797658945</v>
      </c>
      <c r="J127">
        <f t="shared" si="19"/>
        <v>0.67599910914533379</v>
      </c>
    </row>
    <row r="128" spans="1:10">
      <c r="A128" t="s">
        <v>118</v>
      </c>
      <c r="B128">
        <f>INDEX('اسعار الاسهم'!A:B,MATCH(A128,'اسعار الاسهم'!K:K,0),2)</f>
        <v>24.7</v>
      </c>
      <c r="C128" s="2">
        <v>4069009</v>
      </c>
      <c r="D128" s="2">
        <v>42390300</v>
      </c>
      <c r="E128">
        <f t="shared" si="15"/>
        <v>9.5989153178911213E-2</v>
      </c>
      <c r="F128">
        <f t="shared" si="16"/>
        <v>257.32074075038912</v>
      </c>
      <c r="G128">
        <f>_xlfn.IFNA( INDEX('القيمة الدفترية'!A:A,MATCH(A128,'القيمة الدفترية'!E:E,0),1),"")</f>
        <v>2.3199999999999998</v>
      </c>
      <c r="H128">
        <f t="shared" si="17"/>
        <v>10.646551724137931</v>
      </c>
      <c r="I128">
        <f t="shared" si="18"/>
        <v>0.47190553649546646</v>
      </c>
      <c r="J128">
        <f t="shared" si="19"/>
        <v>1.9105487307508766E-2</v>
      </c>
    </row>
    <row r="129" spans="1:10">
      <c r="A129" t="s">
        <v>115</v>
      </c>
      <c r="B129">
        <f>INDEX('اسعار الاسهم'!A:B,MATCH(A129,'اسعار الاسهم'!K:K,0),2)</f>
        <v>2.17</v>
      </c>
      <c r="C129" s="2">
        <v>10595309</v>
      </c>
      <c r="D129" s="2">
        <v>1324079405</v>
      </c>
      <c r="E129">
        <f t="shared" si="15"/>
        <v>8.0020193350866294E-3</v>
      </c>
      <c r="F129">
        <f t="shared" si="16"/>
        <v>271.18154919785729</v>
      </c>
      <c r="G129">
        <f>_xlfn.IFNA( INDEX('القيمة الدفترية'!A:A,MATCH(A129,'القيمة الدفترية'!E:E,0),1),"")</f>
        <v>0.1</v>
      </c>
      <c r="H129">
        <f t="shared" si="17"/>
        <v>21.7</v>
      </c>
      <c r="I129">
        <f t="shared" si="18"/>
        <v>2.8287840736059423E-2</v>
      </c>
      <c r="J129">
        <f t="shared" si="19"/>
        <v>1.3035871306939827E-2</v>
      </c>
    </row>
    <row r="130" spans="1:10">
      <c r="A130" t="s">
        <v>122</v>
      </c>
      <c r="B130">
        <f>INDEX('اسعار الاسهم'!A:B,MATCH(A130,'اسعار الاسهم'!K:K,0),2)</f>
        <v>2.73</v>
      </c>
      <c r="C130" s="2">
        <v>254744</v>
      </c>
      <c r="D130" s="2">
        <v>63496550</v>
      </c>
      <c r="E130">
        <f t="shared" ref="E130:E160" si="20">IFERROR(_xlfn.IFNA(C130/D130," ")," ")</f>
        <v>4.0119345066779218E-3</v>
      </c>
      <c r="F130">
        <f t="shared" ref="F130:F160" si="21">IF( AND(E130&gt;0,E130&lt;&gt;" "),B130/E130,IF(E130&lt;0,"negative"," "))</f>
        <v>680.46973235876021</v>
      </c>
      <c r="G130">
        <f>_xlfn.IFNA( INDEX('القيمة الدفترية'!A:A,MATCH(A130,'القيمة الدفترية'!E:E,0),1),"")</f>
        <v>0.57999999999999996</v>
      </c>
      <c r="H130">
        <f t="shared" ref="H130:H160" si="22">IFERROR(B130/G130,"")</f>
        <v>4.7068965517241379</v>
      </c>
      <c r="I130">
        <f t="shared" ref="I130:I160" si="23">IF(AND(G130&gt;0,E130&gt;0),SQRT(G130*E130),0)</f>
        <v>4.8238180043127611E-2</v>
      </c>
      <c r="J130">
        <f t="shared" ref="J130:J160" si="24">IFERROR( I130/B130,0)</f>
        <v>1.7669663019460664E-2</v>
      </c>
    </row>
    <row r="131" spans="1:10">
      <c r="A131" t="s">
        <v>124</v>
      </c>
      <c r="B131">
        <f>INDEX('اسعار الاسهم'!A:B,MATCH(A131,'اسعار الاسهم'!K:K,0),2)</f>
        <v>44.4</v>
      </c>
      <c r="C131" s="2">
        <v>638586</v>
      </c>
      <c r="D131" s="2">
        <v>36838250</v>
      </c>
      <c r="E131">
        <f t="shared" si="20"/>
        <v>1.7334862540973037E-2</v>
      </c>
      <c r="F131">
        <f t="shared" si="21"/>
        <v>2561.3124935404157</v>
      </c>
      <c r="G131">
        <f>_xlfn.IFNA( INDEX('القيمة الدفترية'!A:A,MATCH(A131,'القيمة الدفترية'!E:E,0),1),"")</f>
        <v>3.88</v>
      </c>
      <c r="H131">
        <f t="shared" si="22"/>
        <v>11.443298969072165</v>
      </c>
      <c r="I131">
        <f t="shared" si="23"/>
        <v>0.25934391579324817</v>
      </c>
      <c r="J131">
        <f t="shared" si="24"/>
        <v>5.8410791845326165E-3</v>
      </c>
    </row>
    <row r="132" spans="1:10">
      <c r="A132" t="s">
        <v>223</v>
      </c>
      <c r="B132">
        <f>INDEX('اسعار الاسهم'!A:B,MATCH(A132,'اسعار الاسهم'!K:K,0),2)</f>
        <v>26.32</v>
      </c>
      <c r="C132" s="2">
        <v>3170000000</v>
      </c>
      <c r="D132" s="2">
        <v>1459606008</v>
      </c>
      <c r="E132">
        <f t="shared" si="20"/>
        <v>2.1718189584212784</v>
      </c>
      <c r="F132">
        <f t="shared" si="21"/>
        <v>12.11887385822082</v>
      </c>
      <c r="G132">
        <f>_xlfn.IFNA( INDEX('القيمة الدفترية'!A:A,MATCH(A132,'القيمة الدفترية'!E:E,0),1),"")</f>
        <v>0.02</v>
      </c>
      <c r="H132">
        <f t="shared" si="22"/>
        <v>1316</v>
      </c>
      <c r="I132">
        <f t="shared" si="23"/>
        <v>0.20841396106889185</v>
      </c>
      <c r="J132">
        <f t="shared" si="24"/>
        <v>7.9184635664472577E-3</v>
      </c>
    </row>
    <row r="133" spans="1:10">
      <c r="A133" t="s">
        <v>123</v>
      </c>
      <c r="B133" t="e">
        <f>INDEX('اسعار الاسهم'!A:B,MATCH(A133,'اسعار الاسهم'!K:K,0),2)</f>
        <v>#N/A</v>
      </c>
      <c r="C133" s="2">
        <v>38905</v>
      </c>
      <c r="D133" s="2">
        <v>5225000</v>
      </c>
      <c r="E133">
        <f t="shared" si="20"/>
        <v>7.4459330143540666E-3</v>
      </c>
      <c r="F133" t="e">
        <f t="shared" si="21"/>
        <v>#N/A</v>
      </c>
      <c r="G133">
        <f>_xlfn.IFNA( INDEX('القيمة الدفترية'!A:A,MATCH(A133,'القيمة الدفترية'!E:E,0),1),"")</f>
        <v>1.78</v>
      </c>
      <c r="H133" t="str">
        <f t="shared" si="22"/>
        <v/>
      </c>
      <c r="I133">
        <f t="shared" si="23"/>
        <v>0.11512497889489595</v>
      </c>
      <c r="J133">
        <f t="shared" si="24"/>
        <v>0</v>
      </c>
    </row>
    <row r="134" spans="1:10">
      <c r="A134" t="s">
        <v>117</v>
      </c>
      <c r="B134">
        <f>INDEX('اسعار الاسهم'!A:B,MATCH(A134,'اسعار الاسهم'!K:K,0),2)</f>
        <v>2.8</v>
      </c>
      <c r="C134" s="2">
        <v>192538</v>
      </c>
      <c r="D134" s="2">
        <v>20000000</v>
      </c>
      <c r="E134">
        <f t="shared" si="20"/>
        <v>9.6269000000000007E-3</v>
      </c>
      <c r="F134">
        <f t="shared" si="21"/>
        <v>290.85167603278308</v>
      </c>
      <c r="G134">
        <f>_xlfn.IFNA( INDEX('القيمة الدفترية'!A:A,MATCH(A134,'القيمة الدفترية'!E:E,0),1),"")</f>
        <v>7.0000000000000007E-2</v>
      </c>
      <c r="H134">
        <f t="shared" si="22"/>
        <v>39.999999999999993</v>
      </c>
      <c r="I134">
        <f t="shared" si="23"/>
        <v>2.5959256537890298E-2</v>
      </c>
      <c r="J134">
        <f t="shared" si="24"/>
        <v>9.2711630492465363E-3</v>
      </c>
    </row>
    <row r="135" spans="1:10">
      <c r="A135" t="s">
        <v>77</v>
      </c>
      <c r="B135" t="e">
        <f>INDEX('اسعار الاسهم'!A:B,MATCH(A135,'اسعار الاسهم'!K:K,0),2)</f>
        <v>#N/A</v>
      </c>
      <c r="C135" s="2">
        <v>40363285</v>
      </c>
      <c r="D135" s="2">
        <v>112543259</v>
      </c>
      <c r="E135">
        <f t="shared" si="20"/>
        <v>0.35864684707593192</v>
      </c>
      <c r="F135" t="e">
        <f t="shared" si="21"/>
        <v>#N/A</v>
      </c>
      <c r="G135" t="str">
        <f>_xlfn.IFNA( INDEX('القيمة الدفترية'!A:A,MATCH(A135,'القيمة الدفترية'!E:E,0),1),"")</f>
        <v/>
      </c>
      <c r="H135" t="str">
        <f t="shared" si="22"/>
        <v/>
      </c>
      <c r="I135" t="e">
        <f t="shared" si="23"/>
        <v>#VALUE!</v>
      </c>
      <c r="J135">
        <f t="shared" si="24"/>
        <v>0</v>
      </c>
    </row>
    <row r="136" spans="1:10">
      <c r="A136" t="s">
        <v>82</v>
      </c>
      <c r="B136" t="e">
        <f>INDEX('اسعار الاسهم'!A:B,MATCH(A136,'اسعار الاسهم'!K:K,0),2)</f>
        <v>#N/A</v>
      </c>
      <c r="C136" s="2">
        <v>8413824</v>
      </c>
      <c r="D136" s="2">
        <v>640000000</v>
      </c>
      <c r="E136">
        <f t="shared" si="20"/>
        <v>1.31466E-2</v>
      </c>
      <c r="F136" t="e">
        <f t="shared" si="21"/>
        <v>#N/A</v>
      </c>
      <c r="G136">
        <f>_xlfn.IFNA( INDEX('القيمة الدفترية'!A:A,MATCH(A136,'القيمة الدفترية'!E:E,0),1),"")</f>
        <v>0.13</v>
      </c>
      <c r="H136" t="str">
        <f t="shared" si="22"/>
        <v/>
      </c>
      <c r="I136">
        <f t="shared" si="23"/>
        <v>4.1340754710092076E-2</v>
      </c>
      <c r="J136">
        <f t="shared" si="24"/>
        <v>0</v>
      </c>
    </row>
    <row r="137" spans="1:10">
      <c r="A137" t="s">
        <v>150</v>
      </c>
      <c r="B137">
        <f>INDEX('اسعار الاسهم'!A:B,MATCH(A137,'اسعار الاسهم'!K:K,0),2)</f>
        <v>133.5</v>
      </c>
      <c r="C137" s="2">
        <v>-4265844</v>
      </c>
      <c r="D137" s="2">
        <v>20095300</v>
      </c>
      <c r="E137">
        <f t="shared" si="20"/>
        <v>-0.21228068254766039</v>
      </c>
      <c r="F137" t="str">
        <f t="shared" si="21"/>
        <v>negative</v>
      </c>
      <c r="G137">
        <f>_xlfn.IFNA( INDEX('القيمة الدفترية'!A:A,MATCH(A137,'القيمة الدفترية'!E:E,0),1),"")</f>
        <v>45.02</v>
      </c>
      <c r="H137">
        <f t="shared" si="22"/>
        <v>2.9653487338960458</v>
      </c>
      <c r="I137">
        <f t="shared" si="23"/>
        <v>0</v>
      </c>
      <c r="J137">
        <f t="shared" si="24"/>
        <v>0</v>
      </c>
    </row>
    <row r="138" spans="1:10">
      <c r="A138" t="s">
        <v>634</v>
      </c>
      <c r="B138">
        <f>INDEX('اسعار الاسهم'!A:B,MATCH(A138,'اسعار الاسهم'!K:K,0),2)</f>
        <v>0.08</v>
      </c>
      <c r="C138" s="2">
        <v>-2620000</v>
      </c>
      <c r="D138" s="2">
        <v>100000000</v>
      </c>
      <c r="E138">
        <f t="shared" si="20"/>
        <v>-2.6200000000000001E-2</v>
      </c>
      <c r="F138" t="str">
        <f t="shared" si="21"/>
        <v>negative</v>
      </c>
      <c r="G138">
        <f>_xlfn.IFNA( INDEX('القيمة الدفترية'!A:A,MATCH(A138,'القيمة الدفترية'!E:E,0),1),"")</f>
        <v>7.0000000000000007E-2</v>
      </c>
      <c r="H138">
        <f t="shared" si="22"/>
        <v>1.1428571428571428</v>
      </c>
      <c r="I138">
        <f t="shared" si="23"/>
        <v>0</v>
      </c>
      <c r="J138">
        <f t="shared" si="24"/>
        <v>0</v>
      </c>
    </row>
    <row r="139" spans="1:10">
      <c r="A139" t="s">
        <v>126</v>
      </c>
      <c r="B139">
        <f>INDEX('اسعار الاسهم'!A:B,MATCH(A139,'اسعار الاسهم'!K:K,0),2)</f>
        <v>0.18</v>
      </c>
      <c r="C139" s="2">
        <v>-3077796</v>
      </c>
      <c r="D139" s="2">
        <v>328061290</v>
      </c>
      <c r="E139">
        <f t="shared" si="20"/>
        <v>-9.3817713147442659E-3</v>
      </c>
      <c r="F139" t="str">
        <f t="shared" si="21"/>
        <v>negative</v>
      </c>
      <c r="G139">
        <f>_xlfn.IFNA( INDEX('القيمة الدفترية'!A:A,MATCH(A139,'القيمة الدفترية'!E:E,0),1),"")</f>
        <v>0.21</v>
      </c>
      <c r="H139">
        <f t="shared" si="22"/>
        <v>0.8571428571428571</v>
      </c>
      <c r="I139">
        <f t="shared" si="23"/>
        <v>0</v>
      </c>
      <c r="J139">
        <f t="shared" si="24"/>
        <v>0</v>
      </c>
    </row>
    <row r="140" spans="1:10">
      <c r="A140" t="s">
        <v>68</v>
      </c>
      <c r="B140">
        <f>INDEX('اسعار الاسهم'!A:B,MATCH(A140,'اسعار الاسهم'!K:K,0),2)</f>
        <v>4.62</v>
      </c>
      <c r="C140" s="2">
        <v>728068305</v>
      </c>
      <c r="D140" s="2">
        <v>1196974000</v>
      </c>
      <c r="E140">
        <f t="shared" si="20"/>
        <v>0.60825740993538702</v>
      </c>
      <c r="F140">
        <f t="shared" si="21"/>
        <v>7.5954685048403539</v>
      </c>
      <c r="G140" t="str">
        <f>_xlfn.IFNA( INDEX('القيمة الدفترية'!A:A,MATCH(A140,'القيمة الدفترية'!E:E,0),1),"")</f>
        <v/>
      </c>
      <c r="H140" t="str">
        <f t="shared" si="22"/>
        <v/>
      </c>
      <c r="I140" t="e">
        <f t="shared" si="23"/>
        <v>#VALUE!</v>
      </c>
      <c r="J140">
        <f t="shared" si="24"/>
        <v>0</v>
      </c>
    </row>
    <row r="141" spans="1:10">
      <c r="A141" t="s">
        <v>130</v>
      </c>
      <c r="B141">
        <f>INDEX('اسعار الاسهم'!A:B,MATCH(A141,'اسعار الاسهم'!K:K,0),2)</f>
        <v>351.76</v>
      </c>
      <c r="C141" s="2">
        <v>-3030968</v>
      </c>
      <c r="D141" s="2">
        <v>5200000</v>
      </c>
      <c r="E141">
        <f t="shared" si="20"/>
        <v>-0.58287846153846157</v>
      </c>
      <c r="F141" t="str">
        <f t="shared" si="21"/>
        <v>negative</v>
      </c>
      <c r="G141">
        <f>_xlfn.IFNA( INDEX('القيمة الدفترية'!A:A,MATCH(A141,'القيمة الدفترية'!E:E,0),1),"")</f>
        <v>12.53</v>
      </c>
      <c r="H141">
        <f t="shared" si="22"/>
        <v>28.07342378292099</v>
      </c>
      <c r="I141">
        <f t="shared" si="23"/>
        <v>0</v>
      </c>
      <c r="J141">
        <f t="shared" si="24"/>
        <v>0</v>
      </c>
    </row>
    <row r="142" spans="1:10">
      <c r="A142" t="s">
        <v>139</v>
      </c>
      <c r="B142">
        <f>INDEX('اسعار الاسهم'!A:B,MATCH(A142,'اسعار الاسهم'!K:K,0),2)</f>
        <v>39.99</v>
      </c>
      <c r="C142" s="2">
        <v>-4126493</v>
      </c>
      <c r="D142" s="2">
        <v>7865428</v>
      </c>
      <c r="E142">
        <f t="shared" si="20"/>
        <v>-0.52463680298135085</v>
      </c>
      <c r="F142" t="str">
        <f t="shared" si="21"/>
        <v>negative</v>
      </c>
      <c r="G142">
        <f>_xlfn.IFNA( INDEX('القيمة الدفترية'!A:A,MATCH(A142,'القيمة الدفترية'!E:E,0),1),"")</f>
        <v>3.75</v>
      </c>
      <c r="H142">
        <f t="shared" si="22"/>
        <v>10.664</v>
      </c>
      <c r="I142">
        <f t="shared" si="23"/>
        <v>0</v>
      </c>
      <c r="J142">
        <f t="shared" si="24"/>
        <v>0</v>
      </c>
    </row>
    <row r="143" spans="1:10">
      <c r="A143" t="s">
        <v>131</v>
      </c>
      <c r="B143">
        <f>INDEX('اسعار الاسهم'!A:B,MATCH(A143,'اسعار الاسهم'!K:K,0),2)</f>
        <v>1.48</v>
      </c>
      <c r="C143" s="2">
        <v>-2314155</v>
      </c>
      <c r="D143" s="2">
        <v>24500000</v>
      </c>
      <c r="E143">
        <f t="shared" si="20"/>
        <v>-9.4455306122448984E-2</v>
      </c>
      <c r="F143" t="str">
        <f t="shared" si="21"/>
        <v>negative</v>
      </c>
      <c r="G143">
        <f>_xlfn.IFNA( INDEX('القيمة الدفترية'!A:A,MATCH(A143,'القيمة الدفترية'!E:E,0),1),"")</f>
        <v>0.28000000000000003</v>
      </c>
      <c r="H143">
        <f t="shared" si="22"/>
        <v>5.2857142857142856</v>
      </c>
      <c r="I143">
        <f t="shared" si="23"/>
        <v>0</v>
      </c>
      <c r="J143">
        <f t="shared" si="24"/>
        <v>0</v>
      </c>
    </row>
    <row r="144" spans="1:10">
      <c r="A144" t="s">
        <v>134</v>
      </c>
      <c r="B144">
        <f>INDEX('اسعار الاسهم'!A:B,MATCH(A144,'اسعار الاسهم'!K:K,0),2)</f>
        <v>8.94</v>
      </c>
      <c r="C144" s="2">
        <v>-6330091</v>
      </c>
      <c r="D144" s="2">
        <v>42570000</v>
      </c>
      <c r="E144">
        <f t="shared" si="20"/>
        <v>-0.14869840263096076</v>
      </c>
      <c r="F144" t="str">
        <f t="shared" si="21"/>
        <v>negative</v>
      </c>
      <c r="G144">
        <f>_xlfn.IFNA( INDEX('القيمة الدفترية'!A:A,MATCH(A144,'القيمة الدفترية'!E:E,0),1),"")</f>
        <v>1.7</v>
      </c>
      <c r="H144">
        <f t="shared" si="22"/>
        <v>5.2588235294117647</v>
      </c>
      <c r="I144">
        <f t="shared" si="23"/>
        <v>0</v>
      </c>
      <c r="J144">
        <f t="shared" si="24"/>
        <v>0</v>
      </c>
    </row>
    <row r="145" spans="1:10">
      <c r="A145" t="s">
        <v>129</v>
      </c>
      <c r="B145">
        <f>INDEX('اسعار الاسهم'!A:B,MATCH(A145,'اسعار الاسهم'!K:K,0),2)</f>
        <v>1.73</v>
      </c>
      <c r="C145" s="2">
        <v>-484765</v>
      </c>
      <c r="D145" s="2">
        <v>41616333</v>
      </c>
      <c r="E145">
        <f t="shared" si="20"/>
        <v>-1.1648431398316618E-2</v>
      </c>
      <c r="F145" t="str">
        <f t="shared" si="21"/>
        <v>negative</v>
      </c>
      <c r="G145">
        <f>_xlfn.IFNA( INDEX('القيمة الدفترية'!A:A,MATCH(A145,'القيمة الدفترية'!E:E,0),1),"")</f>
        <v>1.5</v>
      </c>
      <c r="H145">
        <f t="shared" si="22"/>
        <v>1.1533333333333333</v>
      </c>
      <c r="I145">
        <f t="shared" si="23"/>
        <v>0</v>
      </c>
      <c r="J145">
        <f t="shared" si="24"/>
        <v>0</v>
      </c>
    </row>
    <row r="146" spans="1:10">
      <c r="A146" t="s">
        <v>137</v>
      </c>
      <c r="B146">
        <f>INDEX('اسعار الاسهم'!A:B,MATCH(A146,'اسعار الاسهم'!K:K,0),2)</f>
        <v>0.8</v>
      </c>
      <c r="C146" s="2">
        <v>-2193453</v>
      </c>
      <c r="D146" s="2">
        <v>171521690</v>
      </c>
      <c r="E146">
        <f t="shared" si="20"/>
        <v>-1.278819605846934E-2</v>
      </c>
      <c r="F146" t="str">
        <f t="shared" si="21"/>
        <v>negative</v>
      </c>
      <c r="G146" t="str">
        <f>_xlfn.IFNA( INDEX('القيمة الدفترية'!A:A,MATCH(A146,'القيمة الدفترية'!E:E,0),1),"")</f>
        <v/>
      </c>
      <c r="H146" t="str">
        <f t="shared" si="22"/>
        <v/>
      </c>
      <c r="I146">
        <f t="shared" si="23"/>
        <v>0</v>
      </c>
      <c r="J146">
        <f t="shared" si="24"/>
        <v>0</v>
      </c>
    </row>
    <row r="147" spans="1:10">
      <c r="A147" t="s">
        <v>140</v>
      </c>
      <c r="B147">
        <f>INDEX('اسعار الاسهم'!A:B,MATCH(A147,'اسعار الاسهم'!K:K,0),2)</f>
        <v>57.01</v>
      </c>
      <c r="C147" s="2">
        <v>-4998921</v>
      </c>
      <c r="D147" s="2">
        <v>7865428</v>
      </c>
      <c r="E147">
        <f t="shared" si="20"/>
        <v>-0.63555613248255527</v>
      </c>
      <c r="F147" t="str">
        <f t="shared" si="21"/>
        <v>negative</v>
      </c>
      <c r="G147">
        <f>_xlfn.IFNA( INDEX('القيمة الدفترية'!A:A,MATCH(A147,'القيمة الدفترية'!E:E,0),1),"")</f>
        <v>5.08</v>
      </c>
      <c r="H147">
        <f t="shared" si="22"/>
        <v>11.222440944881889</v>
      </c>
      <c r="I147">
        <f t="shared" si="23"/>
        <v>0</v>
      </c>
      <c r="J147">
        <f t="shared" si="24"/>
        <v>0</v>
      </c>
    </row>
    <row r="148" spans="1:10">
      <c r="A148" t="s">
        <v>133</v>
      </c>
      <c r="B148">
        <f>INDEX('اسعار الاسهم'!A:B,MATCH(A148,'اسعار الاسهم'!K:K,0),2)</f>
        <v>24.92</v>
      </c>
      <c r="C148" s="2">
        <v>-96183160</v>
      </c>
      <c r="D148" s="2">
        <v>89856499</v>
      </c>
      <c r="E148">
        <f t="shared" si="20"/>
        <v>-1.0704084965518188</v>
      </c>
      <c r="F148" t="str">
        <f t="shared" si="21"/>
        <v>negative</v>
      </c>
      <c r="G148">
        <f>_xlfn.IFNA( INDEX('القيمة الدفترية'!A:A,MATCH(A148,'القيمة الدفترية'!E:E,0),1),"")</f>
        <v>1.1000000000000001</v>
      </c>
      <c r="H148">
        <f t="shared" si="22"/>
        <v>22.654545454545453</v>
      </c>
      <c r="I148">
        <f t="shared" si="23"/>
        <v>0</v>
      </c>
      <c r="J148">
        <f t="shared" si="24"/>
        <v>0</v>
      </c>
    </row>
    <row r="149" spans="1:10">
      <c r="A149" t="s">
        <v>233</v>
      </c>
      <c r="B149">
        <f>INDEX('اسعار الاسهم'!A:B,MATCH(A149,'اسعار الاسهم'!K:K,0),2)</f>
        <v>6.11</v>
      </c>
      <c r="C149" s="2">
        <v>110360000</v>
      </c>
      <c r="D149" s="2">
        <v>464693841</v>
      </c>
      <c r="E149">
        <f t="shared" si="20"/>
        <v>0.23748969808274262</v>
      </c>
      <c r="F149">
        <f t="shared" si="21"/>
        <v>25.727431755255527</v>
      </c>
      <c r="G149" t="str">
        <f>_xlfn.IFNA( INDEX('القيمة الدفترية'!A:A,MATCH(A149,'القيمة الدفترية'!E:E,0),1),"")</f>
        <v/>
      </c>
      <c r="H149" t="str">
        <f t="shared" si="22"/>
        <v/>
      </c>
      <c r="I149" t="e">
        <f t="shared" si="23"/>
        <v>#VALUE!</v>
      </c>
      <c r="J149">
        <f t="shared" si="24"/>
        <v>0</v>
      </c>
    </row>
    <row r="150" spans="1:10">
      <c r="A150" t="s">
        <v>128</v>
      </c>
      <c r="B150">
        <f>INDEX('اسعار الاسهم'!A:B,MATCH(A150,'اسعار الاسهم'!K:K,0),2)</f>
        <v>6.24</v>
      </c>
      <c r="C150" s="2">
        <v>-9477270</v>
      </c>
      <c r="D150" s="2">
        <v>241921635</v>
      </c>
      <c r="E150">
        <f t="shared" si="20"/>
        <v>-3.9174958452971767E-2</v>
      </c>
      <c r="F150" t="str">
        <f t="shared" si="21"/>
        <v>negative</v>
      </c>
      <c r="G150">
        <f>_xlfn.IFNA( INDEX('القيمة الدفترية'!A:A,MATCH(A150,'القيمة الدفترية'!E:E,0),1),"")</f>
        <v>0.57999999999999996</v>
      </c>
      <c r="H150">
        <f t="shared" si="22"/>
        <v>10.758620689655174</v>
      </c>
      <c r="I150">
        <f t="shared" si="23"/>
        <v>0</v>
      </c>
      <c r="J150">
        <f t="shared" si="24"/>
        <v>0</v>
      </c>
    </row>
    <row r="151" spans="1:10">
      <c r="A151" t="s">
        <v>94</v>
      </c>
      <c r="B151">
        <f>INDEX('اسعار الاسهم'!A:B,MATCH(A151,'اسعار الاسهم'!K:K,0),2)</f>
        <v>43.48</v>
      </c>
      <c r="C151" s="2">
        <v>5974356398</v>
      </c>
      <c r="D151" s="2">
        <v>2079184011</v>
      </c>
      <c r="E151">
        <f t="shared" si="20"/>
        <v>2.8734139770181217</v>
      </c>
      <c r="F151">
        <f t="shared" si="21"/>
        <v>15.13182588647434</v>
      </c>
      <c r="G151" t="str">
        <f>_xlfn.IFNA( INDEX('القيمة الدفترية'!A:A,MATCH(A151,'القيمة الدفترية'!E:E,0),1),"")</f>
        <v/>
      </c>
      <c r="H151" t="str">
        <f t="shared" si="22"/>
        <v/>
      </c>
      <c r="I151" t="e">
        <f t="shared" si="23"/>
        <v>#VALUE!</v>
      </c>
      <c r="J151">
        <f t="shared" si="24"/>
        <v>0</v>
      </c>
    </row>
    <row r="152" spans="1:10">
      <c r="A152" t="s">
        <v>132</v>
      </c>
      <c r="B152">
        <f>INDEX('اسعار الاسهم'!A:B,MATCH(A152,'اسعار الاسهم'!K:K,0),2)</f>
        <v>5.56</v>
      </c>
      <c r="C152" s="2">
        <v>-1119728</v>
      </c>
      <c r="D152" s="2">
        <v>8650000</v>
      </c>
      <c r="E152">
        <f t="shared" si="20"/>
        <v>-0.12944832369942197</v>
      </c>
      <c r="F152" t="str">
        <f t="shared" si="21"/>
        <v>negative</v>
      </c>
      <c r="G152">
        <f>_xlfn.IFNA( INDEX('القيمة الدفترية'!A:A,MATCH(A152,'القيمة الدفترية'!E:E,0),1),"")</f>
        <v>0.69</v>
      </c>
      <c r="H152">
        <f t="shared" si="22"/>
        <v>8.0579710144927539</v>
      </c>
      <c r="I152">
        <f t="shared" si="23"/>
        <v>0</v>
      </c>
      <c r="J152">
        <f t="shared" si="24"/>
        <v>0</v>
      </c>
    </row>
    <row r="153" spans="1:10">
      <c r="A153" t="s">
        <v>465</v>
      </c>
      <c r="B153">
        <f>INDEX('اسعار الاسهم'!A:B,MATCH(A153,'اسعار الاسهم'!K:K,0),2)</f>
        <v>3.53</v>
      </c>
      <c r="C153" s="2">
        <v>-2546000</v>
      </c>
      <c r="D153" s="2">
        <v>50000000</v>
      </c>
      <c r="E153">
        <f t="shared" si="20"/>
        <v>-5.092E-2</v>
      </c>
      <c r="F153" t="str">
        <f t="shared" si="21"/>
        <v>negative</v>
      </c>
      <c r="G153">
        <f>_xlfn.IFNA( INDEX('القيمة الدفترية'!A:A,MATCH(A153,'القيمة الدفترية'!E:E,0),1),"")</f>
        <v>0.64</v>
      </c>
      <c r="H153">
        <f t="shared" si="22"/>
        <v>5.515625</v>
      </c>
      <c r="I153">
        <f t="shared" si="23"/>
        <v>0</v>
      </c>
      <c r="J153">
        <f t="shared" si="24"/>
        <v>0</v>
      </c>
    </row>
    <row r="154" spans="1:10">
      <c r="A154" t="s">
        <v>259</v>
      </c>
      <c r="B154">
        <f>INDEX('اسعار الاسهم'!A:B,MATCH(A154,'اسعار الاسهم'!K:K,0),2)</f>
        <v>708.01</v>
      </c>
      <c r="C154" s="2">
        <f>195100000*$M$1</f>
        <v>8974600000</v>
      </c>
      <c r="D154" s="2">
        <v>110243935</v>
      </c>
      <c r="E154">
        <f t="shared" si="20"/>
        <v>81.40674586769785</v>
      </c>
      <c r="F154">
        <f t="shared" si="21"/>
        <v>8.6971907850322019</v>
      </c>
      <c r="G154" t="str">
        <f>_xlfn.IFNA( INDEX('القيمة الدفترية'!A:A,MATCH(A154,'القيمة الدفترية'!E:E,0),1),"")</f>
        <v/>
      </c>
      <c r="H154" t="str">
        <f t="shared" si="22"/>
        <v/>
      </c>
      <c r="I154" t="e">
        <f t="shared" si="23"/>
        <v>#VALUE!</v>
      </c>
      <c r="J154">
        <f t="shared" si="24"/>
        <v>0</v>
      </c>
    </row>
    <row r="155" spans="1:10">
      <c r="A155" t="s">
        <v>138</v>
      </c>
      <c r="B155">
        <f>INDEX('اسعار الاسهم'!A:B,MATCH(A155,'اسعار الاسهم'!K:K,0),2)</f>
        <v>24.4</v>
      </c>
      <c r="C155" s="2">
        <v>-51764576</v>
      </c>
      <c r="D155" s="2">
        <v>30000000</v>
      </c>
      <c r="E155">
        <f t="shared" si="20"/>
        <v>-1.7254858666666666</v>
      </c>
      <c r="F155" t="str">
        <f t="shared" si="21"/>
        <v>negative</v>
      </c>
      <c r="G155">
        <f>_xlfn.IFNA( INDEX('القيمة الدفترية'!A:A,MATCH(A155,'القيمة الدفترية'!E:E,0),1),"")</f>
        <v>-21.82</v>
      </c>
      <c r="H155">
        <f t="shared" si="22"/>
        <v>-1.1182401466544454</v>
      </c>
      <c r="I155">
        <f t="shared" si="23"/>
        <v>0</v>
      </c>
      <c r="J155">
        <f t="shared" si="24"/>
        <v>0</v>
      </c>
    </row>
    <row r="156" spans="1:10">
      <c r="A156" t="s">
        <v>272</v>
      </c>
      <c r="B156">
        <f>INDEX('اسعار الاسهم'!A:B,MATCH(A156,'اسعار الاسهم'!K:K,0),2)</f>
        <v>33.380000000000003</v>
      </c>
      <c r="C156" s="2">
        <v>-13543328</v>
      </c>
      <c r="D156" s="2">
        <v>17311800</v>
      </c>
      <c r="E156">
        <f t="shared" si="20"/>
        <v>-0.78231772548204115</v>
      </c>
      <c r="F156" t="str">
        <f t="shared" si="21"/>
        <v>negative</v>
      </c>
      <c r="G156">
        <f>_xlfn.IFNA( INDEX('القيمة الدفترية'!A:A,MATCH(A156,'القيمة الدفترية'!E:E,0),1),"")</f>
        <v>8.48</v>
      </c>
      <c r="H156">
        <f t="shared" si="22"/>
        <v>3.9363207547169812</v>
      </c>
      <c r="I156">
        <f t="shared" si="23"/>
        <v>0</v>
      </c>
      <c r="J156">
        <f t="shared" si="24"/>
        <v>0</v>
      </c>
    </row>
    <row r="157" spans="1:10">
      <c r="A157" t="s">
        <v>127</v>
      </c>
      <c r="B157">
        <f>INDEX('اسعار الاسهم'!A:B,MATCH(A157,'اسعار الاسهم'!K:K,0),2)</f>
        <v>10.43</v>
      </c>
      <c r="C157" s="2">
        <v>-8105760</v>
      </c>
      <c r="D157" s="2">
        <v>57579946</v>
      </c>
      <c r="E157">
        <f t="shared" si="20"/>
        <v>-0.14077401184085861</v>
      </c>
      <c r="F157" t="str">
        <f t="shared" si="21"/>
        <v>negative</v>
      </c>
      <c r="G157">
        <f>_xlfn.IFNA( INDEX('القيمة الدفترية'!A:A,MATCH(A157,'القيمة الدفترية'!E:E,0),1),"")</f>
        <v>2.48</v>
      </c>
      <c r="H157">
        <f t="shared" si="22"/>
        <v>4.2056451612903221</v>
      </c>
      <c r="I157">
        <f t="shared" si="23"/>
        <v>0</v>
      </c>
      <c r="J157">
        <f t="shared" si="24"/>
        <v>0</v>
      </c>
    </row>
    <row r="158" spans="1:10">
      <c r="A158" t="s">
        <v>647</v>
      </c>
      <c r="B158" t="e">
        <f>INDEX('اسعار الاسهم'!A:B,MATCH(A158,'اسعار الاسهم'!K:K,0),2)</f>
        <v>#N/A</v>
      </c>
      <c r="C158" s="2">
        <v>271121</v>
      </c>
      <c r="D158" s="2">
        <v>250000000</v>
      </c>
      <c r="E158">
        <f t="shared" si="20"/>
        <v>1.0844839999999999E-3</v>
      </c>
      <c r="F158" t="e">
        <f t="shared" si="21"/>
        <v>#N/A</v>
      </c>
      <c r="G158" t="str">
        <f>_xlfn.IFNA( INDEX('القيمة الدفترية'!A:A,MATCH(A158,'القيمة الدفترية'!E:E,0),1),"")</f>
        <v/>
      </c>
      <c r="H158" t="str">
        <f t="shared" si="22"/>
        <v/>
      </c>
      <c r="I158" t="e">
        <f t="shared" si="23"/>
        <v>#VALUE!</v>
      </c>
      <c r="J158">
        <f t="shared" si="24"/>
        <v>0</v>
      </c>
    </row>
    <row r="159" spans="1:10">
      <c r="A159" t="s">
        <v>135</v>
      </c>
      <c r="B159">
        <f>INDEX('اسعار الاسهم'!A:B,MATCH(A159,'اسعار الاسهم'!K:K,0),2)</f>
        <v>12.29</v>
      </c>
      <c r="C159" s="2">
        <v>-5135564</v>
      </c>
      <c r="D159" s="2">
        <v>163927120</v>
      </c>
      <c r="E159">
        <f t="shared" si="20"/>
        <v>-3.1328336641307429E-2</v>
      </c>
      <c r="F159" t="str">
        <f t="shared" si="21"/>
        <v>negative</v>
      </c>
      <c r="G159">
        <f>_xlfn.IFNA( INDEX('القيمة الدفترية'!A:A,MATCH(A159,'القيمة الدفترية'!E:E,0),1),"")</f>
        <v>0.37</v>
      </c>
      <c r="H159">
        <f t="shared" si="22"/>
        <v>33.216216216216218</v>
      </c>
      <c r="I159">
        <f t="shared" si="23"/>
        <v>0</v>
      </c>
      <c r="J159">
        <f t="shared" si="24"/>
        <v>0</v>
      </c>
    </row>
    <row r="160" spans="1:10">
      <c r="A160" t="s">
        <v>136</v>
      </c>
      <c r="B160">
        <f>INDEX('اسعار الاسهم'!A:B,MATCH(A160,'اسعار الاسهم'!K:K,0),2)</f>
        <v>0</v>
      </c>
      <c r="C160" s="2">
        <v>-103575</v>
      </c>
      <c r="D160" s="2">
        <v>49138015</v>
      </c>
      <c r="E160">
        <f t="shared" si="20"/>
        <v>-2.1078385034478905E-3</v>
      </c>
      <c r="F160" t="str">
        <f t="shared" si="21"/>
        <v>negative</v>
      </c>
      <c r="G160">
        <f>_xlfn.IFNA( INDEX('القيمة الدفترية'!A:A,MATCH(A160,'القيمة الدفترية'!E:E,0),1),"")</f>
        <v>0.75</v>
      </c>
      <c r="H160">
        <f t="shared" si="22"/>
        <v>0</v>
      </c>
      <c r="I160">
        <f t="shared" si="23"/>
        <v>0</v>
      </c>
      <c r="J160">
        <f t="shared" si="24"/>
        <v>0</v>
      </c>
    </row>
  </sheetData>
  <autoFilter ref="A1:J160" xr:uid="{B2B4AA9D-3E09-47E1-AB6C-E17D8F5B0F91}">
    <sortState xmlns:xlrd2="http://schemas.microsoft.com/office/spreadsheetml/2017/richdata2" ref="A2:J160">
      <sortCondition descending="1" ref="J1:J160"/>
    </sortState>
  </autoFilter>
  <sortState xmlns:xlrd2="http://schemas.microsoft.com/office/spreadsheetml/2017/richdata2" ref="A2:J160">
    <sortCondition descending="1" ref="J7:J160"/>
  </sortState>
  <conditionalFormatting sqref="G1:H1 J1 F1:F1048576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1:H1048576 J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1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:J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1D65-5EEF-4B7E-92FC-BDD3A0339A28}">
  <sheetPr codeName="Sheet3"/>
  <dimension ref="A1:I322"/>
  <sheetViews>
    <sheetView workbookViewId="0">
      <selection activeCell="I24" sqref="I24"/>
    </sheetView>
  </sheetViews>
  <sheetFormatPr defaultRowHeight="14.4"/>
  <cols>
    <col min="1" max="1" width="10.109375" bestFit="1" customWidth="1"/>
    <col min="2" max="4" width="10.109375" customWidth="1"/>
    <col min="8" max="8" width="4.21875" bestFit="1" customWidth="1"/>
    <col min="9" max="9" width="53.88671875" bestFit="1" customWidth="1"/>
  </cols>
  <sheetData>
    <row r="1" spans="1:9">
      <c r="A1" t="s">
        <v>503</v>
      </c>
      <c r="B1" s="7" t="s">
        <v>648</v>
      </c>
      <c r="C1" s="7" t="s">
        <v>642</v>
      </c>
      <c r="D1" s="7" t="s">
        <v>641</v>
      </c>
      <c r="H1" s="3" t="s">
        <v>500</v>
      </c>
      <c r="I1" s="6" t="s">
        <v>590</v>
      </c>
    </row>
    <row r="2" spans="1:9">
      <c r="A2">
        <f>B2</f>
        <v>-75.959999999999994</v>
      </c>
      <c r="B2">
        <f>_xlfn.IFNA( INDEX('دورات القيمة الدفترية'!A:G,MATCH($E2,'دورات القيمة الدفترية'!G:G,0),4),C2)</f>
        <v>-75.959999999999994</v>
      </c>
      <c r="C2">
        <f>_xlfn.IFNA( INDEX('دورات القيمة الدفترية'!I:O,MATCH($E2,'دورات القيمة الدفترية'!O:O,0),4),D2)</f>
        <v>-73.069999999999993</v>
      </c>
      <c r="D2" t="e">
        <f>INDEX('دورات القيمة الدفترية'!Q:W,MATCH($E2,'دورات القيمة الدفترية'!W:W,0),4)</f>
        <v>#N/A</v>
      </c>
      <c r="E2" t="s">
        <v>467</v>
      </c>
    </row>
    <row r="3" spans="1:9">
      <c r="A3">
        <f t="shared" ref="A3:A66" si="0">B3</f>
        <v>17.260000000000002</v>
      </c>
      <c r="B3">
        <f>_xlfn.IFNA( INDEX('دورات القيمة الدفترية'!A:G,MATCH($E3,'دورات القيمة الدفترية'!G:G,0),4),C3)</f>
        <v>17.260000000000002</v>
      </c>
      <c r="C3">
        <f>_xlfn.IFNA( INDEX('دورات القيمة الدفترية'!I:O,MATCH($E3,'دورات القيمة الدفترية'!O:O,0),4),D3)</f>
        <v>15.98</v>
      </c>
      <c r="D3" t="e">
        <f>INDEX('دورات القيمة الدفترية'!Q:W,MATCH($E3,'دورات القيمة الدفترية'!W:W,0),4)</f>
        <v>#N/A</v>
      </c>
      <c r="E3" t="s">
        <v>143</v>
      </c>
    </row>
    <row r="4" spans="1:9">
      <c r="A4">
        <f t="shared" si="0"/>
        <v>17.260000000000002</v>
      </c>
      <c r="B4">
        <f>_xlfn.IFNA( INDEX('دورات القيمة الدفترية'!A:G,MATCH($E4,'دورات القيمة الدفترية'!G:G,0),4),C4)</f>
        <v>17.260000000000002</v>
      </c>
      <c r="C4">
        <f>_xlfn.IFNA( INDEX('دورات القيمة الدفترية'!I:O,MATCH($E4,'دورات القيمة الدفترية'!O:O,0),4),D4)</f>
        <v>15.98</v>
      </c>
      <c r="D4" t="e">
        <f>INDEX('دورات القيمة الدفترية'!Q:W,MATCH($E4,'دورات القيمة الدفترية'!W:W,0),4)</f>
        <v>#N/A</v>
      </c>
      <c r="E4" t="s">
        <v>143</v>
      </c>
    </row>
    <row r="5" spans="1:9">
      <c r="A5">
        <f t="shared" si="0"/>
        <v>0.1</v>
      </c>
      <c r="B5">
        <f>_xlfn.IFNA( INDEX('دورات القيمة الدفترية'!A:G,MATCH($E5,'دورات القيمة الدفترية'!G:G,0),4),C5)</f>
        <v>0.1</v>
      </c>
      <c r="C5">
        <f>_xlfn.IFNA( INDEX('دورات القيمة الدفترية'!I:O,MATCH($E5,'دورات القيمة الدفترية'!O:O,0),4),D5)</f>
        <v>0.1</v>
      </c>
      <c r="D5">
        <f>INDEX('دورات القيمة الدفترية'!Q:W,MATCH($E5,'دورات القيمة الدفترية'!W:W,0),4)</f>
        <v>0.1</v>
      </c>
      <c r="E5" t="s">
        <v>115</v>
      </c>
    </row>
    <row r="6" spans="1:9">
      <c r="A6">
        <f t="shared" si="0"/>
        <v>0.1</v>
      </c>
      <c r="B6">
        <f>_xlfn.IFNA( INDEX('دورات القيمة الدفترية'!A:G,MATCH($E6,'دورات القيمة الدفترية'!G:G,0),4),C6)</f>
        <v>0.1</v>
      </c>
      <c r="C6">
        <f>_xlfn.IFNA( INDEX('دورات القيمة الدفترية'!I:O,MATCH($E6,'دورات القيمة الدفترية'!O:O,0),4),D6)</f>
        <v>0.1</v>
      </c>
      <c r="D6">
        <f>INDEX('دورات القيمة الدفترية'!Q:W,MATCH($E6,'دورات القيمة الدفترية'!W:W,0),4)</f>
        <v>0.1</v>
      </c>
      <c r="E6" t="s">
        <v>115</v>
      </c>
    </row>
    <row r="7" spans="1:9">
      <c r="A7">
        <f t="shared" si="0"/>
        <v>1.03</v>
      </c>
      <c r="B7">
        <f>_xlfn.IFNA( INDEX('دورات القيمة الدفترية'!A:G,MATCH($E7,'دورات القيمة الدفترية'!G:G,0),4),C7)</f>
        <v>1.03</v>
      </c>
      <c r="C7">
        <f>_xlfn.IFNA( INDEX('دورات القيمة الدفترية'!I:O,MATCH($E7,'دورات القيمة الدفترية'!O:O,0),4),D7)</f>
        <v>1.03</v>
      </c>
      <c r="D7">
        <f>INDEX('دورات القيمة الدفترية'!Q:W,MATCH($E7,'دورات القيمة الدفترية'!W:W,0),4)</f>
        <v>0.95</v>
      </c>
      <c r="E7" t="s">
        <v>487</v>
      </c>
    </row>
    <row r="8" spans="1:9">
      <c r="A8">
        <f t="shared" si="0"/>
        <v>5.9</v>
      </c>
      <c r="B8">
        <f>_xlfn.IFNA( INDEX('دورات القيمة الدفترية'!A:G,MATCH($E8,'دورات القيمة الدفترية'!G:G,0),4),C8)</f>
        <v>5.9</v>
      </c>
      <c r="C8">
        <f>_xlfn.IFNA( INDEX('دورات القيمة الدفترية'!I:O,MATCH($E8,'دورات القيمة الدفترية'!O:O,0),4),D8)</f>
        <v>5.9</v>
      </c>
      <c r="D8">
        <f>INDEX('دورات القيمة الدفترية'!Q:W,MATCH($E8,'دورات القيمة الدفترية'!W:W,0),4)</f>
        <v>6.11</v>
      </c>
      <c r="E8" t="s">
        <v>19</v>
      </c>
    </row>
    <row r="9" spans="1:9">
      <c r="A9">
        <f t="shared" si="0"/>
        <v>5.9</v>
      </c>
      <c r="B9">
        <f>_xlfn.IFNA( INDEX('دورات القيمة الدفترية'!A:G,MATCH($E9,'دورات القيمة الدفترية'!G:G,0),4),C9)</f>
        <v>5.9</v>
      </c>
      <c r="C9">
        <f>_xlfn.IFNA( INDEX('دورات القيمة الدفترية'!I:O,MATCH($E9,'دورات القيمة الدفترية'!O:O,0),4),D9)</f>
        <v>5.9</v>
      </c>
      <c r="D9">
        <f>INDEX('دورات القيمة الدفترية'!Q:W,MATCH($E9,'دورات القيمة الدفترية'!W:W,0),4)</f>
        <v>6.11</v>
      </c>
      <c r="E9" t="s">
        <v>19</v>
      </c>
    </row>
    <row r="10" spans="1:9">
      <c r="A10">
        <f t="shared" si="0"/>
        <v>25.21</v>
      </c>
      <c r="B10">
        <f>_xlfn.IFNA( INDEX('دورات القيمة الدفترية'!A:G,MATCH($E10,'دورات القيمة الدفترية'!G:G,0),4),C10)</f>
        <v>25.21</v>
      </c>
      <c r="C10">
        <f>_xlfn.IFNA( INDEX('دورات القيمة الدفترية'!I:O,MATCH($E10,'دورات القيمة الدفترية'!O:O,0),4),D10)</f>
        <v>25.21</v>
      </c>
      <c r="D10">
        <f>INDEX('دورات القيمة الدفترية'!Q:W,MATCH($E10,'دورات القيمة الدفترية'!W:W,0),4)</f>
        <v>23.25</v>
      </c>
      <c r="E10" t="s">
        <v>489</v>
      </c>
    </row>
    <row r="11" spans="1:9">
      <c r="A11">
        <f t="shared" si="0"/>
        <v>101.72</v>
      </c>
      <c r="B11">
        <f>_xlfn.IFNA( INDEX('دورات القيمة الدفترية'!A:G,MATCH($E11,'دورات القيمة الدفترية'!G:G,0),4),C11)</f>
        <v>101.72</v>
      </c>
      <c r="C11" t="e">
        <f>_xlfn.IFNA( INDEX('دورات القيمة الدفترية'!I:O,MATCH($E11,'دورات القيمة الدفترية'!O:O,0),4),D11)</f>
        <v>#N/A</v>
      </c>
      <c r="D11" t="e">
        <f>INDEX('دورات القيمة الدفترية'!Q:W,MATCH($E11,'دورات القيمة الدفترية'!W:W,0),4)</f>
        <v>#N/A</v>
      </c>
      <c r="E11" t="s">
        <v>481</v>
      </c>
    </row>
    <row r="12" spans="1:9">
      <c r="A12">
        <f t="shared" si="0"/>
        <v>28.69</v>
      </c>
      <c r="B12">
        <f>_xlfn.IFNA( INDEX('دورات القيمة الدفترية'!A:G,MATCH($E12,'دورات القيمة الدفترية'!G:G,0),4),C12)</f>
        <v>28.69</v>
      </c>
      <c r="C12">
        <f>_xlfn.IFNA( INDEX('دورات القيمة الدفترية'!I:O,MATCH($E12,'دورات القيمة الدفترية'!O:O,0),4),D12)</f>
        <v>26.27</v>
      </c>
      <c r="D12">
        <f>INDEX('دورات القيمة الدفترية'!Q:W,MATCH($E12,'دورات القيمة الدفترية'!W:W,0),4)</f>
        <v>23.51</v>
      </c>
      <c r="E12" t="s">
        <v>33</v>
      </c>
    </row>
    <row r="13" spans="1:9">
      <c r="A13">
        <f t="shared" si="0"/>
        <v>1.08</v>
      </c>
      <c r="B13">
        <f>_xlfn.IFNA( INDEX('دورات القيمة الدفترية'!A:G,MATCH($E13,'دورات القيمة الدفترية'!G:G,0),4),C13)</f>
        <v>1.08</v>
      </c>
      <c r="C13">
        <f>_xlfn.IFNA( INDEX('دورات القيمة الدفترية'!I:O,MATCH($E13,'دورات القيمة الدفترية'!O:O,0),4),D13)</f>
        <v>1.02</v>
      </c>
      <c r="D13">
        <f>INDEX('دورات القيمة الدفترية'!Q:W,MATCH($E13,'دورات القيمة الدفترية'!W:W,0),4)</f>
        <v>0.52</v>
      </c>
      <c r="E13" t="s">
        <v>64</v>
      </c>
    </row>
    <row r="14" spans="1:9">
      <c r="A14">
        <f t="shared" si="0"/>
        <v>0.53</v>
      </c>
      <c r="B14">
        <f>_xlfn.IFNA( INDEX('دورات القيمة الدفترية'!A:G,MATCH($E14,'دورات القيمة الدفترية'!G:G,0),4),C14)</f>
        <v>0.53</v>
      </c>
      <c r="C14">
        <f>_xlfn.IFNA( INDEX('دورات القيمة الدفترية'!I:O,MATCH($E14,'دورات القيمة الدفترية'!O:O,0),4),D14)</f>
        <v>0.53</v>
      </c>
      <c r="D14">
        <f>INDEX('دورات القيمة الدفترية'!Q:W,MATCH($E14,'دورات القيمة الدفترية'!W:W,0),4)</f>
        <v>0.57999999999999996</v>
      </c>
      <c r="E14" t="s">
        <v>483</v>
      </c>
    </row>
    <row r="15" spans="1:9">
      <c r="A15">
        <f t="shared" si="0"/>
        <v>14.93</v>
      </c>
      <c r="B15">
        <f>_xlfn.IFNA( INDEX('دورات القيمة الدفترية'!A:G,MATCH($E15,'دورات القيمة الدفترية'!G:G,0),4),C15)</f>
        <v>14.93</v>
      </c>
      <c r="C15">
        <f>_xlfn.IFNA( INDEX('دورات القيمة الدفترية'!I:O,MATCH($E15,'دورات القيمة الدفترية'!O:O,0),4),D15)</f>
        <v>14.93</v>
      </c>
      <c r="D15">
        <f>INDEX('دورات القيمة الدفترية'!Q:W,MATCH($E15,'دورات القيمة الدفترية'!W:W,0),4)</f>
        <v>14.57</v>
      </c>
      <c r="E15" t="s">
        <v>144</v>
      </c>
    </row>
    <row r="16" spans="1:9">
      <c r="A16">
        <f t="shared" si="0"/>
        <v>7.29</v>
      </c>
      <c r="B16">
        <f>_xlfn.IFNA( INDEX('دورات القيمة الدفترية'!A:G,MATCH($E16,'دورات القيمة الدفترية'!G:G,0),4),C16)</f>
        <v>7.29</v>
      </c>
      <c r="C16">
        <f>_xlfn.IFNA( INDEX('دورات القيمة الدفترية'!I:O,MATCH($E16,'دورات القيمة الدفترية'!O:O,0),4),D16)</f>
        <v>7.29</v>
      </c>
      <c r="D16" t="e">
        <f>INDEX('دورات القيمة الدفترية'!Q:W,MATCH($E16,'دورات القيمة الدفترية'!W:W,0),4)</f>
        <v>#N/A</v>
      </c>
      <c r="E16" t="s">
        <v>145</v>
      </c>
    </row>
    <row r="17" spans="1:5">
      <c r="A17">
        <f t="shared" si="0"/>
        <v>7.29</v>
      </c>
      <c r="B17">
        <f>_xlfn.IFNA( INDEX('دورات القيمة الدفترية'!A:G,MATCH($E17,'دورات القيمة الدفترية'!G:G,0),4),C17)</f>
        <v>7.29</v>
      </c>
      <c r="C17">
        <f>_xlfn.IFNA( INDEX('دورات القيمة الدفترية'!I:O,MATCH($E17,'دورات القيمة الدفترية'!O:O,0),4),D17)</f>
        <v>7.29</v>
      </c>
      <c r="D17" t="e">
        <f>INDEX('دورات القيمة الدفترية'!Q:W,MATCH($E17,'دورات القيمة الدفترية'!W:W,0),4)</f>
        <v>#N/A</v>
      </c>
      <c r="E17" t="s">
        <v>145</v>
      </c>
    </row>
    <row r="18" spans="1:5">
      <c r="A18">
        <f t="shared" si="0"/>
        <v>0.09</v>
      </c>
      <c r="B18">
        <f>_xlfn.IFNA( INDEX('دورات القيمة الدفترية'!A:G,MATCH($E18,'دورات القيمة الدفترية'!G:G,0),4),C18)</f>
        <v>0.09</v>
      </c>
      <c r="C18">
        <f>_xlfn.IFNA( INDEX('دورات القيمة الدفترية'!I:O,MATCH($E18,'دورات القيمة الدفترية'!O:O,0),4),D18)</f>
        <v>0.09</v>
      </c>
      <c r="D18">
        <f>INDEX('دورات القيمة الدفترية'!Q:W,MATCH($E18,'دورات القيمة الدفترية'!W:W,0),4)</f>
        <v>0.09</v>
      </c>
      <c r="E18" t="s">
        <v>147</v>
      </c>
    </row>
    <row r="19" spans="1:5">
      <c r="A19">
        <f t="shared" si="0"/>
        <v>0.52</v>
      </c>
      <c r="B19">
        <f>_xlfn.IFNA( INDEX('دورات القيمة الدفترية'!A:G,MATCH($E19,'دورات القيمة الدفترية'!G:G,0),4),C19)</f>
        <v>0.52</v>
      </c>
      <c r="C19">
        <f>_xlfn.IFNA( INDEX('دورات القيمة الدفترية'!I:O,MATCH($E19,'دورات القيمة الدفترية'!O:O,0),4),D19)</f>
        <v>0.52</v>
      </c>
      <c r="D19">
        <f>INDEX('دورات القيمة الدفترية'!Q:W,MATCH($E19,'دورات القيمة الدفترية'!W:W,0),4)</f>
        <v>0.52</v>
      </c>
      <c r="E19" t="s">
        <v>148</v>
      </c>
    </row>
    <row r="20" spans="1:5">
      <c r="A20">
        <f t="shared" si="0"/>
        <v>0.52</v>
      </c>
      <c r="B20">
        <f>_xlfn.IFNA( INDEX('دورات القيمة الدفترية'!A:G,MATCH($E20,'دورات القيمة الدفترية'!G:G,0),4),C20)</f>
        <v>0.52</v>
      </c>
      <c r="C20">
        <f>_xlfn.IFNA( INDEX('دورات القيمة الدفترية'!I:O,MATCH($E20,'دورات القيمة الدفترية'!O:O,0),4),D20)</f>
        <v>0.52</v>
      </c>
      <c r="D20">
        <f>INDEX('دورات القيمة الدفترية'!Q:W,MATCH($E20,'دورات القيمة الدفترية'!W:W,0),4)</f>
        <v>0.52</v>
      </c>
      <c r="E20" t="s">
        <v>148</v>
      </c>
    </row>
    <row r="21" spans="1:5">
      <c r="A21">
        <f t="shared" si="0"/>
        <v>0.06</v>
      </c>
      <c r="B21">
        <f>_xlfn.IFNA( INDEX('دورات القيمة الدفترية'!A:G,MATCH($E21,'دورات القيمة الدفترية'!G:G,0),4),C21)</f>
        <v>0.06</v>
      </c>
      <c r="C21">
        <f>_xlfn.IFNA( INDEX('دورات القيمة الدفترية'!I:O,MATCH($E21,'دورات القيمة الدفترية'!O:O,0),4),D21)</f>
        <v>0.06</v>
      </c>
      <c r="D21">
        <f>INDEX('دورات القيمة الدفترية'!Q:W,MATCH($E21,'دورات القيمة الدفترية'!W:W,0),4)</f>
        <v>0.05</v>
      </c>
      <c r="E21" t="s">
        <v>472</v>
      </c>
    </row>
    <row r="22" spans="1:5">
      <c r="A22">
        <f t="shared" si="0"/>
        <v>0.06</v>
      </c>
      <c r="B22">
        <f>_xlfn.IFNA( INDEX('دورات القيمة الدفترية'!A:G,MATCH($E22,'دورات القيمة الدفترية'!G:G,0),4),C22)</f>
        <v>0.06</v>
      </c>
      <c r="C22">
        <f>_xlfn.IFNA( INDEX('دورات القيمة الدفترية'!I:O,MATCH($E22,'دورات القيمة الدفترية'!O:O,0),4),D22)</f>
        <v>0.06</v>
      </c>
      <c r="D22">
        <f>INDEX('دورات القيمة الدفترية'!Q:W,MATCH($E22,'دورات القيمة الدفترية'!W:W,0),4)</f>
        <v>0.05</v>
      </c>
      <c r="E22" t="s">
        <v>472</v>
      </c>
    </row>
    <row r="23" spans="1:5">
      <c r="A23">
        <f t="shared" si="0"/>
        <v>45.02</v>
      </c>
      <c r="B23">
        <f>_xlfn.IFNA( INDEX('دورات القيمة الدفترية'!A:G,MATCH($E23,'دورات القيمة الدفترية'!G:G,0),4),C23)</f>
        <v>45.02</v>
      </c>
      <c r="C23">
        <f>_xlfn.IFNA( INDEX('دورات القيمة الدفترية'!I:O,MATCH($E23,'دورات القيمة الدفترية'!O:O,0),4),D23)</f>
        <v>45.02</v>
      </c>
      <c r="D23">
        <f>INDEX('دورات القيمة الدفترية'!Q:W,MATCH($E23,'دورات القيمة الدفترية'!W:W,0),4)</f>
        <v>41.64</v>
      </c>
      <c r="E23" t="s">
        <v>150</v>
      </c>
    </row>
    <row r="24" spans="1:5">
      <c r="A24">
        <f t="shared" si="0"/>
        <v>5.12</v>
      </c>
      <c r="B24">
        <f>_xlfn.IFNA( INDEX('دورات القيمة الدفترية'!A:G,MATCH($E24,'دورات القيمة الدفترية'!G:G,0),4),C24)</f>
        <v>5.12</v>
      </c>
      <c r="C24">
        <f>_xlfn.IFNA( INDEX('دورات القيمة الدفترية'!I:O,MATCH($E24,'دورات القيمة الدفترية'!O:O,0),4),D24)</f>
        <v>5.12</v>
      </c>
      <c r="D24">
        <f>INDEX('دورات القيمة الدفترية'!Q:W,MATCH($E24,'دورات القيمة الدفترية'!W:W,0),4)</f>
        <v>5.12</v>
      </c>
      <c r="E24" t="s">
        <v>151</v>
      </c>
    </row>
    <row r="25" spans="1:5">
      <c r="A25" t="e">
        <f t="shared" si="0"/>
        <v>#N/A</v>
      </c>
      <c r="B25" t="e">
        <f>_xlfn.IFNA( INDEX('دورات القيمة الدفترية'!A:G,MATCH($E25,'دورات القيمة الدفترية'!G:G,0),4),C25)</f>
        <v>#N/A</v>
      </c>
      <c r="C25" t="e">
        <f>_xlfn.IFNA( INDEX('دورات القيمة الدفترية'!I:O,MATCH($E25,'دورات القيمة الدفترية'!O:O,0),4),D25)</f>
        <v>#N/A</v>
      </c>
      <c r="D25" t="e">
        <f>INDEX('دورات القيمة الدفترية'!Q:W,MATCH($E25,'دورات القيمة الدفترية'!W:W,0),4)</f>
        <v>#N/A</v>
      </c>
      <c r="E25" t="s">
        <v>470</v>
      </c>
    </row>
    <row r="26" spans="1:5">
      <c r="A26">
        <f t="shared" si="0"/>
        <v>2.3199999999999998</v>
      </c>
      <c r="B26">
        <f>_xlfn.IFNA( INDEX('دورات القيمة الدفترية'!A:G,MATCH($E26,'دورات القيمة الدفترية'!G:G,0),4),C26)</f>
        <v>2.3199999999999998</v>
      </c>
      <c r="C26">
        <f>_xlfn.IFNA( INDEX('دورات القيمة الدفترية'!I:O,MATCH($E26,'دورات القيمة الدفترية'!O:O,0),4),D26)</f>
        <v>2.34</v>
      </c>
      <c r="D26">
        <f>INDEX('دورات القيمة الدفترية'!Q:W,MATCH($E26,'دورات القيمة الدفترية'!W:W,0),4)</f>
        <v>17.98</v>
      </c>
      <c r="E26" t="s">
        <v>118</v>
      </c>
    </row>
    <row r="27" spans="1:5">
      <c r="A27">
        <f t="shared" si="0"/>
        <v>0.98</v>
      </c>
      <c r="B27">
        <f>_xlfn.IFNA( INDEX('دورات القيمة الدفترية'!A:G,MATCH($E27,'دورات القيمة الدفترية'!G:G,0),4),C27)</f>
        <v>0.98</v>
      </c>
      <c r="C27">
        <f>_xlfn.IFNA( INDEX('دورات القيمة الدفترية'!I:O,MATCH($E27,'دورات القيمة الدفترية'!O:O,0),4),D27)</f>
        <v>0.97</v>
      </c>
      <c r="D27">
        <f>INDEX('دورات القيمة الدفترية'!Q:W,MATCH($E27,'دورات القيمة الدفترية'!W:W,0),4)</f>
        <v>0.95</v>
      </c>
      <c r="E27" t="s">
        <v>93</v>
      </c>
    </row>
    <row r="28" spans="1:5">
      <c r="A28">
        <f t="shared" si="0"/>
        <v>12.79</v>
      </c>
      <c r="B28">
        <f>_xlfn.IFNA( INDEX('دورات القيمة الدفترية'!A:G,MATCH($E28,'دورات القيمة الدفترية'!G:G,0),4),C28)</f>
        <v>12.79</v>
      </c>
      <c r="C28">
        <f>_xlfn.IFNA( INDEX('دورات القيمة الدفترية'!I:O,MATCH($E28,'دورات القيمة الدفترية'!O:O,0),4),D28)</f>
        <v>12.79</v>
      </c>
      <c r="D28">
        <f>INDEX('دورات القيمة الدفترية'!Q:W,MATCH($E28,'دورات القيمة الدفترية'!W:W,0),4)</f>
        <v>12.39</v>
      </c>
      <c r="E28" t="s">
        <v>119</v>
      </c>
    </row>
    <row r="29" spans="1:5">
      <c r="A29">
        <f t="shared" si="0"/>
        <v>1.93</v>
      </c>
      <c r="B29">
        <f>_xlfn.IFNA( INDEX('دورات القيمة الدفترية'!A:G,MATCH($E29,'دورات القيمة الدفترية'!G:G,0),4),C29)</f>
        <v>1.93</v>
      </c>
      <c r="C29">
        <f>_xlfn.IFNA( INDEX('دورات القيمة الدفترية'!I:O,MATCH($E29,'دورات القيمة الدفترية'!O:O,0),4),D29)</f>
        <v>1.93</v>
      </c>
      <c r="D29">
        <f>INDEX('دورات القيمة الدفترية'!Q:W,MATCH($E29,'دورات القيمة الدفترية'!W:W,0),4)</f>
        <v>1.82</v>
      </c>
      <c r="E29" t="s">
        <v>23</v>
      </c>
    </row>
    <row r="30" spans="1:5">
      <c r="A30">
        <f t="shared" si="0"/>
        <v>1.93</v>
      </c>
      <c r="B30">
        <f>_xlfn.IFNA( INDEX('دورات القيمة الدفترية'!A:G,MATCH($E30,'دورات القيمة الدفترية'!G:G,0),4),C30)</f>
        <v>1.93</v>
      </c>
      <c r="C30">
        <f>_xlfn.IFNA( INDEX('دورات القيمة الدفترية'!I:O,MATCH($E30,'دورات القيمة الدفترية'!O:O,0),4),D30)</f>
        <v>1.93</v>
      </c>
      <c r="D30">
        <f>INDEX('دورات القيمة الدفترية'!Q:W,MATCH($E30,'دورات القيمة الدفترية'!W:W,0),4)</f>
        <v>1.82</v>
      </c>
      <c r="E30" t="s">
        <v>23</v>
      </c>
    </row>
    <row r="31" spans="1:5">
      <c r="A31">
        <f t="shared" si="0"/>
        <v>2.81</v>
      </c>
      <c r="B31">
        <f>_xlfn.IFNA( INDEX('دورات القيمة الدفترية'!A:G,MATCH($E31,'دورات القيمة الدفترية'!G:G,0),4),C31)</f>
        <v>2.81</v>
      </c>
      <c r="C31">
        <f>_xlfn.IFNA( INDEX('دورات القيمة الدفترية'!I:O,MATCH($E31,'دورات القيمة الدفترية'!O:O,0),4),D31)</f>
        <v>3.16</v>
      </c>
      <c r="D31" t="e">
        <f>INDEX('دورات القيمة الدفترية'!Q:W,MATCH($E31,'دورات القيمة الدفترية'!W:W,0),4)</f>
        <v>#N/A</v>
      </c>
      <c r="E31" t="s">
        <v>57</v>
      </c>
    </row>
    <row r="32" spans="1:5">
      <c r="A32">
        <f t="shared" si="0"/>
        <v>0.23</v>
      </c>
      <c r="B32">
        <f>_xlfn.IFNA( INDEX('دورات القيمة الدفترية'!A:G,MATCH($E32,'دورات القيمة الدفترية'!G:G,0),4),C32)</f>
        <v>0.23</v>
      </c>
      <c r="C32">
        <f>_xlfn.IFNA( INDEX('دورات القيمة الدفترية'!I:O,MATCH($E32,'دورات القيمة الدفترية'!O:O,0),4),D32)</f>
        <v>0.23</v>
      </c>
      <c r="D32">
        <f>INDEX('دورات القيمة الدفترية'!Q:W,MATCH($E32,'دورات القيمة الدفترية'!W:W,0),4)</f>
        <v>0.78</v>
      </c>
      <c r="E32" t="s">
        <v>156</v>
      </c>
    </row>
    <row r="33" spans="1:5">
      <c r="A33">
        <f t="shared" si="0"/>
        <v>1.78</v>
      </c>
      <c r="B33">
        <f>_xlfn.IFNA( INDEX('دورات القيمة الدفترية'!A:G,MATCH($E33,'دورات القيمة الدفترية'!G:G,0),4),C33)</f>
        <v>1.78</v>
      </c>
      <c r="C33">
        <f>_xlfn.IFNA( INDEX('دورات القيمة الدفترية'!I:O,MATCH($E33,'دورات القيمة الدفترية'!O:O,0),4),D33)</f>
        <v>1.78</v>
      </c>
      <c r="D33">
        <f>INDEX('دورات القيمة الدفترية'!Q:W,MATCH($E33,'دورات القيمة الدفترية'!W:W,0),4)</f>
        <v>1.78</v>
      </c>
      <c r="E33" t="s">
        <v>123</v>
      </c>
    </row>
    <row r="34" spans="1:5">
      <c r="A34" t="e">
        <f t="shared" si="0"/>
        <v>#N/A</v>
      </c>
      <c r="B34" t="e">
        <f>_xlfn.IFNA( INDEX('دورات القيمة الدفترية'!A:G,MATCH($E34,'دورات القيمة الدفترية'!G:G,0),4),C34)</f>
        <v>#N/A</v>
      </c>
      <c r="C34" t="e">
        <f>_xlfn.IFNA( INDEX('دورات القيمة الدفترية'!I:O,MATCH($E34,'دورات القيمة الدفترية'!O:O,0),4),D34)</f>
        <v>#N/A</v>
      </c>
      <c r="D34" t="e">
        <f>INDEX('دورات القيمة الدفترية'!Q:W,MATCH($E34,'دورات القيمة الدفترية'!W:W,0),4)</f>
        <v>#N/A</v>
      </c>
      <c r="E34" t="s">
        <v>493</v>
      </c>
    </row>
    <row r="35" spans="1:5">
      <c r="A35">
        <f t="shared" si="0"/>
        <v>1.66</v>
      </c>
      <c r="B35">
        <f>_xlfn.IFNA( INDEX('دورات القيمة الدفترية'!A:G,MATCH($E35,'دورات القيمة الدفترية'!G:G,0),4),C35)</f>
        <v>1.66</v>
      </c>
      <c r="C35">
        <f>_xlfn.IFNA( INDEX('دورات القيمة الدفترية'!I:O,MATCH($E35,'دورات القيمة الدفترية'!O:O,0),4),D35)</f>
        <v>1.66</v>
      </c>
      <c r="D35">
        <f>INDEX('دورات القيمة الدفترية'!Q:W,MATCH($E35,'دورات القيمة الدفترية'!W:W,0),4)</f>
        <v>1.66</v>
      </c>
      <c r="E35" t="s">
        <v>157</v>
      </c>
    </row>
    <row r="36" spans="1:5">
      <c r="A36">
        <f t="shared" si="0"/>
        <v>0.98</v>
      </c>
      <c r="B36">
        <f>_xlfn.IFNA( INDEX('دورات القيمة الدفترية'!A:G,MATCH($E36,'دورات القيمة الدفترية'!G:G,0),4),C36)</f>
        <v>0.98</v>
      </c>
      <c r="C36">
        <f>_xlfn.IFNA( INDEX('دورات القيمة الدفترية'!I:O,MATCH($E36,'دورات القيمة الدفترية'!O:O,0),4),D36)</f>
        <v>0.98</v>
      </c>
      <c r="D36">
        <f>INDEX('دورات القيمة الدفترية'!Q:W,MATCH($E36,'دورات القيمة الدفترية'!W:W,0),4)</f>
        <v>1.04</v>
      </c>
      <c r="E36" t="s">
        <v>100</v>
      </c>
    </row>
    <row r="37" spans="1:5">
      <c r="A37">
        <f t="shared" si="0"/>
        <v>0.98</v>
      </c>
      <c r="B37">
        <f>_xlfn.IFNA( INDEX('دورات القيمة الدفترية'!A:G,MATCH($E37,'دورات القيمة الدفترية'!G:G,0),4),C37)</f>
        <v>0.98</v>
      </c>
      <c r="C37">
        <f>_xlfn.IFNA( INDEX('دورات القيمة الدفترية'!I:O,MATCH($E37,'دورات القيمة الدفترية'!O:O,0),4),D37)</f>
        <v>0.98</v>
      </c>
      <c r="D37">
        <f>INDEX('دورات القيمة الدفترية'!Q:W,MATCH($E37,'دورات القيمة الدفترية'!W:W,0),4)</f>
        <v>1.04</v>
      </c>
      <c r="E37" t="s">
        <v>100</v>
      </c>
    </row>
    <row r="38" spans="1:5">
      <c r="A38">
        <f t="shared" si="0"/>
        <v>4.63</v>
      </c>
      <c r="B38">
        <f>_xlfn.IFNA( INDEX('دورات القيمة الدفترية'!A:G,MATCH($E38,'دورات القيمة الدفترية'!G:G,0),4),C38)</f>
        <v>4.63</v>
      </c>
      <c r="C38">
        <f>_xlfn.IFNA( INDEX('دورات القيمة الدفترية'!I:O,MATCH($E38,'دورات القيمة الدفترية'!O:O,0),4),D38)</f>
        <v>4.37</v>
      </c>
      <c r="D38">
        <f>INDEX('دورات القيمة الدفترية'!Q:W,MATCH($E38,'دورات القيمة الدفترية'!W:W,0),4)</f>
        <v>3.94</v>
      </c>
      <c r="E38" t="s">
        <v>48</v>
      </c>
    </row>
    <row r="39" spans="1:5">
      <c r="A39">
        <f t="shared" si="0"/>
        <v>0.33</v>
      </c>
      <c r="B39">
        <f>_xlfn.IFNA( INDEX('دورات القيمة الدفترية'!A:G,MATCH($E39,'دورات القيمة الدفترية'!G:G,0),4),C39)</f>
        <v>0.33</v>
      </c>
      <c r="C39">
        <f>_xlfn.IFNA( INDEX('دورات القيمة الدفترية'!I:O,MATCH($E39,'دورات القيمة الدفترية'!O:O,0),4),D39)</f>
        <v>0.33</v>
      </c>
      <c r="D39">
        <f>INDEX('دورات القيمة الدفترية'!Q:W,MATCH($E39,'دورات القيمة الدفترية'!W:W,0),4)</f>
        <v>0.33</v>
      </c>
      <c r="E39" t="s">
        <v>159</v>
      </c>
    </row>
    <row r="40" spans="1:5">
      <c r="A40">
        <f t="shared" si="0"/>
        <v>0.33</v>
      </c>
      <c r="B40">
        <f>_xlfn.IFNA( INDEX('دورات القيمة الدفترية'!A:G,MATCH($E40,'دورات القيمة الدفترية'!G:G,0),4),C40)</f>
        <v>0.33</v>
      </c>
      <c r="C40">
        <f>_xlfn.IFNA( INDEX('دورات القيمة الدفترية'!I:O,MATCH($E40,'دورات القيمة الدفترية'!O:O,0),4),D40)</f>
        <v>0.33</v>
      </c>
      <c r="D40">
        <f>INDEX('دورات القيمة الدفترية'!Q:W,MATCH($E40,'دورات القيمة الدفترية'!W:W,0),4)</f>
        <v>0.33</v>
      </c>
      <c r="E40" t="s">
        <v>159</v>
      </c>
    </row>
    <row r="41" spans="1:5">
      <c r="A41">
        <f t="shared" si="0"/>
        <v>7.0000000000000007E-2</v>
      </c>
      <c r="B41">
        <f>_xlfn.IFNA( INDEX('دورات القيمة الدفترية'!A:G,MATCH($E41,'دورات القيمة الدفترية'!G:G,0),4),C41)</f>
        <v>7.0000000000000007E-2</v>
      </c>
      <c r="C41">
        <f>_xlfn.IFNA( INDEX('دورات القيمة الدفترية'!I:O,MATCH($E41,'دورات القيمة الدفترية'!O:O,0),4),D41)</f>
        <v>7.0000000000000007E-2</v>
      </c>
      <c r="D41">
        <f>INDEX('دورات القيمة الدفترية'!Q:W,MATCH($E41,'دورات القيمة الدفترية'!W:W,0),4)</f>
        <v>7.0000000000000007E-2</v>
      </c>
      <c r="E41" t="s">
        <v>634</v>
      </c>
    </row>
    <row r="42" spans="1:5">
      <c r="A42">
        <f t="shared" si="0"/>
        <v>1.65</v>
      </c>
      <c r="B42">
        <f>_xlfn.IFNA( INDEX('دورات القيمة الدفترية'!A:G,MATCH($E42,'دورات القيمة الدفترية'!G:G,0),4),C42)</f>
        <v>1.65</v>
      </c>
      <c r="C42">
        <f>_xlfn.IFNA( INDEX('دورات القيمة الدفترية'!I:O,MATCH($E42,'دورات القيمة الدفترية'!O:O,0),4),D42)</f>
        <v>1.62</v>
      </c>
      <c r="D42">
        <f>INDEX('دورات القيمة الدفترية'!Q:W,MATCH($E42,'دورات القيمة الدفترية'!W:W,0),4)</f>
        <v>1.57</v>
      </c>
      <c r="E42" t="s">
        <v>59</v>
      </c>
    </row>
    <row r="43" spans="1:5">
      <c r="A43">
        <f t="shared" si="0"/>
        <v>35.51</v>
      </c>
      <c r="B43">
        <f>_xlfn.IFNA( INDEX('دورات القيمة الدفترية'!A:G,MATCH($E43,'دورات القيمة الدفترية'!G:G,0),4),C43)</f>
        <v>35.51</v>
      </c>
      <c r="C43">
        <f>_xlfn.IFNA( INDEX('دورات القيمة الدفترية'!I:O,MATCH($E43,'دورات القيمة الدفترية'!O:O,0),4),D43)</f>
        <v>35.51</v>
      </c>
      <c r="D43">
        <f>INDEX('دورات القيمة الدفترية'!Q:W,MATCH($E43,'دورات القيمة الدفترية'!W:W,0),4)</f>
        <v>-4.37</v>
      </c>
      <c r="E43" t="s">
        <v>162</v>
      </c>
    </row>
    <row r="44" spans="1:5">
      <c r="A44">
        <f t="shared" si="0"/>
        <v>0.25</v>
      </c>
      <c r="B44">
        <f>_xlfn.IFNA( INDEX('دورات القيمة الدفترية'!A:G,MATCH($E44,'دورات القيمة الدفترية'!G:G,0),4),C44)</f>
        <v>0.25</v>
      </c>
      <c r="C44">
        <f>_xlfn.IFNA( INDEX('دورات القيمة الدفترية'!I:O,MATCH($E44,'دورات القيمة الدفترية'!O:O,0),4),D44)</f>
        <v>0.25</v>
      </c>
      <c r="D44">
        <f>INDEX('دورات القيمة الدفترية'!Q:W,MATCH($E44,'دورات القيمة الدفترية'!W:W,0),4)</f>
        <v>0.25</v>
      </c>
      <c r="E44" t="s">
        <v>163</v>
      </c>
    </row>
    <row r="45" spans="1:5">
      <c r="A45">
        <f t="shared" si="0"/>
        <v>3.78</v>
      </c>
      <c r="B45">
        <f>_xlfn.IFNA( INDEX('دورات القيمة الدفترية'!A:G,MATCH($E45,'دورات القيمة الدفترية'!G:G,0),4),C45)</f>
        <v>3.78</v>
      </c>
      <c r="C45">
        <f>_xlfn.IFNA( INDEX('دورات القيمة الدفترية'!I:O,MATCH($E45,'دورات القيمة الدفترية'!O:O,0),4),D45)</f>
        <v>3.78</v>
      </c>
      <c r="D45">
        <f>INDEX('دورات القيمة الدفترية'!Q:W,MATCH($E45,'دورات القيمة الدفترية'!W:W,0),4)</f>
        <v>3.3</v>
      </c>
      <c r="E45" t="s">
        <v>21</v>
      </c>
    </row>
    <row r="46" spans="1:5">
      <c r="A46">
        <f t="shared" si="0"/>
        <v>1.35</v>
      </c>
      <c r="B46">
        <f>_xlfn.IFNA( INDEX('دورات القيمة الدفترية'!A:G,MATCH($E46,'دورات القيمة الدفترية'!G:G,0),4),C46)</f>
        <v>1.35</v>
      </c>
      <c r="C46">
        <f>_xlfn.IFNA( INDEX('دورات القيمة الدفترية'!I:O,MATCH($E46,'دورات القيمة الدفترية'!O:O,0),4),D46)</f>
        <v>1.35</v>
      </c>
      <c r="D46">
        <f>INDEX('دورات القيمة الدفترية'!Q:W,MATCH($E46,'دورات القيمة الدفترية'!W:W,0),4)</f>
        <v>1.2</v>
      </c>
      <c r="E46" t="s">
        <v>34</v>
      </c>
    </row>
    <row r="47" spans="1:5">
      <c r="A47">
        <f t="shared" si="0"/>
        <v>143.4</v>
      </c>
      <c r="B47">
        <f>_xlfn.IFNA( INDEX('دورات القيمة الدفترية'!A:G,MATCH($E47,'دورات القيمة الدفترية'!G:G,0),4),C47)</f>
        <v>143.4</v>
      </c>
      <c r="C47">
        <f>_xlfn.IFNA( INDEX('دورات القيمة الدفترية'!I:O,MATCH($E47,'دورات القيمة الدفترية'!O:O,0),4),D47)</f>
        <v>143.86000000000001</v>
      </c>
      <c r="D47" t="e">
        <f>INDEX('دورات القيمة الدفترية'!Q:W,MATCH($E47,'دورات القيمة الدفترية'!W:W,0),4)</f>
        <v>#N/A</v>
      </c>
      <c r="E47" t="s">
        <v>66</v>
      </c>
    </row>
    <row r="48" spans="1:5">
      <c r="A48">
        <f t="shared" si="0"/>
        <v>143.4</v>
      </c>
      <c r="B48">
        <f>_xlfn.IFNA( INDEX('دورات القيمة الدفترية'!A:G,MATCH($E48,'دورات القيمة الدفترية'!G:G,0),4),C48)</f>
        <v>143.4</v>
      </c>
      <c r="C48">
        <f>_xlfn.IFNA( INDEX('دورات القيمة الدفترية'!I:O,MATCH($E48,'دورات القيمة الدفترية'!O:O,0),4),D48)</f>
        <v>143.86000000000001</v>
      </c>
      <c r="D48" t="e">
        <f>INDEX('دورات القيمة الدفترية'!Q:W,MATCH($E48,'دورات القيمة الدفترية'!W:W,0),4)</f>
        <v>#N/A</v>
      </c>
      <c r="E48" t="s">
        <v>66</v>
      </c>
    </row>
    <row r="49" spans="1:5">
      <c r="A49" t="e">
        <f t="shared" si="0"/>
        <v>#N/A</v>
      </c>
      <c r="B49" t="e">
        <f>_xlfn.IFNA( INDEX('دورات القيمة الدفترية'!A:G,MATCH($E49,'دورات القيمة الدفترية'!G:G,0),4),C49)</f>
        <v>#N/A</v>
      </c>
      <c r="C49" t="e">
        <f>_xlfn.IFNA( INDEX('دورات القيمة الدفترية'!I:O,MATCH($E49,'دورات القيمة الدفترية'!O:O,0),4),D49)</f>
        <v>#N/A</v>
      </c>
      <c r="D49" t="e">
        <f>INDEX('دورات القيمة الدفترية'!Q:W,MATCH($E49,'دورات القيمة الدفترية'!W:W,0),4)</f>
        <v>#N/A</v>
      </c>
      <c r="E49" t="s">
        <v>474</v>
      </c>
    </row>
    <row r="50" spans="1:5">
      <c r="A50">
        <f t="shared" si="0"/>
        <v>0.21</v>
      </c>
      <c r="B50">
        <f>_xlfn.IFNA( INDEX('دورات القيمة الدفترية'!A:G,MATCH($E50,'دورات القيمة الدفترية'!G:G,0),4),C50)</f>
        <v>0.21</v>
      </c>
      <c r="C50">
        <f>_xlfn.IFNA( INDEX('دورات القيمة الدفترية'!I:O,MATCH($E50,'دورات القيمة الدفترية'!O:O,0),4),D50)</f>
        <v>0.12</v>
      </c>
      <c r="D50">
        <f>INDEX('دورات القيمة الدفترية'!Q:W,MATCH($E50,'دورات القيمة الدفترية'!W:W,0),4)</f>
        <v>0.14000000000000001</v>
      </c>
      <c r="E50" t="s">
        <v>126</v>
      </c>
    </row>
    <row r="51" spans="1:5">
      <c r="A51">
        <f t="shared" si="0"/>
        <v>0.21</v>
      </c>
      <c r="B51">
        <f>_xlfn.IFNA( INDEX('دورات القيمة الدفترية'!A:G,MATCH($E51,'دورات القيمة الدفترية'!G:G,0),4),C51)</f>
        <v>0.21</v>
      </c>
      <c r="C51">
        <f>_xlfn.IFNA( INDEX('دورات القيمة الدفترية'!I:O,MATCH($E51,'دورات القيمة الدفترية'!O:O,0),4),D51)</f>
        <v>0.12</v>
      </c>
      <c r="D51">
        <f>INDEX('دورات القيمة الدفترية'!Q:W,MATCH($E51,'دورات القيمة الدفترية'!W:W,0),4)</f>
        <v>0.14000000000000001</v>
      </c>
      <c r="E51" t="s">
        <v>126</v>
      </c>
    </row>
    <row r="52" spans="1:5">
      <c r="A52">
        <f t="shared" si="0"/>
        <v>16.72</v>
      </c>
      <c r="B52">
        <f>_xlfn.IFNA( INDEX('دورات القيمة الدفترية'!A:G,MATCH($E52,'دورات القيمة الدفترية'!G:G,0),4),C52)</f>
        <v>16.72</v>
      </c>
      <c r="C52">
        <f>_xlfn.IFNA( INDEX('دورات القيمة الدفترية'!I:O,MATCH($E52,'دورات القيمة الدفترية'!O:O,0),4),D52)</f>
        <v>16.72</v>
      </c>
      <c r="D52">
        <f>INDEX('دورات القيمة الدفترية'!Q:W,MATCH($E52,'دورات القيمة الدفترية'!W:W,0),4)</f>
        <v>16.72</v>
      </c>
      <c r="E52" t="s">
        <v>168</v>
      </c>
    </row>
    <row r="53" spans="1:5">
      <c r="A53">
        <f t="shared" si="0"/>
        <v>23.36</v>
      </c>
      <c r="B53">
        <f>_xlfn.IFNA( INDEX('دورات القيمة الدفترية'!A:G,MATCH($E53,'دورات القيمة الدفترية'!G:G,0),4),C53)</f>
        <v>23.36</v>
      </c>
      <c r="C53">
        <f>_xlfn.IFNA( INDEX('دورات القيمة الدفترية'!I:O,MATCH($E53,'دورات القيمة الدفترية'!O:O,0),4),D53)</f>
        <v>23.36</v>
      </c>
      <c r="D53">
        <f>INDEX('دورات القيمة الدفترية'!Q:W,MATCH($E53,'دورات القيمة الدفترية'!W:W,0),4)</f>
        <v>23.04</v>
      </c>
      <c r="E53" t="s">
        <v>106</v>
      </c>
    </row>
    <row r="54" spans="1:5">
      <c r="A54">
        <f t="shared" si="0"/>
        <v>1.84</v>
      </c>
      <c r="B54">
        <f>_xlfn.IFNA( INDEX('دورات القيمة الدفترية'!A:G,MATCH($E54,'دورات القيمة الدفترية'!G:G,0),4),C54)</f>
        <v>1.84</v>
      </c>
      <c r="C54">
        <f>_xlfn.IFNA( INDEX('دورات القيمة الدفترية'!I:O,MATCH($E54,'دورات القيمة الدفترية'!O:O,0),4),D54)</f>
        <v>1.84</v>
      </c>
      <c r="D54">
        <f>INDEX('دورات القيمة الدفترية'!Q:W,MATCH($E54,'دورات القيمة الدفترية'!W:W,0),4)</f>
        <v>0</v>
      </c>
      <c r="E54" t="s">
        <v>170</v>
      </c>
    </row>
    <row r="55" spans="1:5">
      <c r="A55">
        <f t="shared" si="0"/>
        <v>9.02</v>
      </c>
      <c r="B55">
        <f>_xlfn.IFNA( INDEX('دورات القيمة الدفترية'!A:G,MATCH($E55,'دورات القيمة الدفترية'!G:G,0),4),C55)</f>
        <v>9.02</v>
      </c>
      <c r="C55">
        <f>_xlfn.IFNA( INDEX('دورات القيمة الدفترية'!I:O,MATCH($E55,'دورات القيمة الدفترية'!O:O,0),4),D55)</f>
        <v>8.2899999999999991</v>
      </c>
      <c r="D55">
        <f>INDEX('دورات القيمة الدفترية'!Q:W,MATCH($E55,'دورات القيمة الدفترية'!W:W,0),4)</f>
        <v>9.84</v>
      </c>
      <c r="E55" t="s">
        <v>491</v>
      </c>
    </row>
    <row r="56" spans="1:5">
      <c r="A56">
        <f t="shared" si="0"/>
        <v>9.02</v>
      </c>
      <c r="B56">
        <f>_xlfn.IFNA( INDEX('دورات القيمة الدفترية'!A:G,MATCH($E56,'دورات القيمة الدفترية'!G:G,0),4),C56)</f>
        <v>9.02</v>
      </c>
      <c r="C56">
        <f>_xlfn.IFNA( INDEX('دورات القيمة الدفترية'!I:O,MATCH($E56,'دورات القيمة الدفترية'!O:O,0),4),D56)</f>
        <v>8.2899999999999991</v>
      </c>
      <c r="D56">
        <f>INDEX('دورات القيمة الدفترية'!Q:W,MATCH($E56,'دورات القيمة الدفترية'!W:W,0),4)</f>
        <v>9.84</v>
      </c>
      <c r="E56" t="s">
        <v>491</v>
      </c>
    </row>
    <row r="57" spans="1:5">
      <c r="A57">
        <f t="shared" si="0"/>
        <v>16.989999999999998</v>
      </c>
      <c r="B57">
        <f>_xlfn.IFNA( INDEX('دورات القيمة الدفترية'!A:G,MATCH($E57,'دورات القيمة الدفترية'!G:G,0),4),C57)</f>
        <v>16.989999999999998</v>
      </c>
      <c r="C57">
        <f>_xlfn.IFNA( INDEX('دورات القيمة الدفترية'!I:O,MATCH($E57,'دورات القيمة الدفترية'!O:O,0),4),D57)</f>
        <v>19.02</v>
      </c>
      <c r="D57">
        <f>INDEX('دورات القيمة الدفترية'!Q:W,MATCH($E57,'دورات القيمة الدفترية'!W:W,0),4)</f>
        <v>16.96</v>
      </c>
      <c r="E57" t="s">
        <v>11</v>
      </c>
    </row>
    <row r="58" spans="1:5">
      <c r="A58">
        <f t="shared" si="0"/>
        <v>-7.58</v>
      </c>
      <c r="B58">
        <f>_xlfn.IFNA( INDEX('دورات القيمة الدفترية'!A:G,MATCH($E58,'دورات القيمة الدفترية'!G:G,0),4),C58)</f>
        <v>-7.58</v>
      </c>
      <c r="C58">
        <f>_xlfn.IFNA( INDEX('دورات القيمة الدفترية'!I:O,MATCH($E58,'دورات القيمة الدفترية'!O:O,0),4),D58)</f>
        <v>-7.58</v>
      </c>
      <c r="D58">
        <f>INDEX('دورات القيمة الدفترية'!Q:W,MATCH($E58,'دورات القيمة الدفترية'!W:W,0),4)</f>
        <v>-9.83</v>
      </c>
      <c r="E58" t="s">
        <v>172</v>
      </c>
    </row>
    <row r="59" spans="1:5">
      <c r="A59">
        <f t="shared" si="0"/>
        <v>5.92</v>
      </c>
      <c r="B59">
        <f>_xlfn.IFNA( INDEX('دورات القيمة الدفترية'!A:G,MATCH($E59,'دورات القيمة الدفترية'!G:G,0),4),C59)</f>
        <v>5.92</v>
      </c>
      <c r="C59">
        <f>_xlfn.IFNA( INDEX('دورات القيمة الدفترية'!I:O,MATCH($E59,'دورات القيمة الدفترية'!O:O,0),4),D59)</f>
        <v>5.29</v>
      </c>
      <c r="D59">
        <f>INDEX('دورات القيمة الدفترية'!Q:W,MATCH($E59,'دورات القيمة الدفترية'!W:W,0),4)</f>
        <v>5.36</v>
      </c>
      <c r="E59" t="s">
        <v>102</v>
      </c>
    </row>
    <row r="60" spans="1:5">
      <c r="A60">
        <f t="shared" si="0"/>
        <v>5.92</v>
      </c>
      <c r="B60">
        <f>_xlfn.IFNA( INDEX('دورات القيمة الدفترية'!A:G,MATCH($E60,'دورات القيمة الدفترية'!G:G,0),4),C60)</f>
        <v>5.92</v>
      </c>
      <c r="C60">
        <f>_xlfn.IFNA( INDEX('دورات القيمة الدفترية'!I:O,MATCH($E60,'دورات القيمة الدفترية'!O:O,0),4),D60)</f>
        <v>5.29</v>
      </c>
      <c r="D60">
        <f>INDEX('دورات القيمة الدفترية'!Q:W,MATCH($E60,'دورات القيمة الدفترية'!W:W,0),4)</f>
        <v>5.36</v>
      </c>
      <c r="E60" t="s">
        <v>102</v>
      </c>
    </row>
    <row r="61" spans="1:5">
      <c r="A61">
        <f t="shared" si="0"/>
        <v>34.35</v>
      </c>
      <c r="B61">
        <f>_xlfn.IFNA( INDEX('دورات القيمة الدفترية'!A:G,MATCH($E61,'دورات القيمة الدفترية'!G:G,0),4),C61)</f>
        <v>34.35</v>
      </c>
      <c r="C61">
        <f>_xlfn.IFNA( INDEX('دورات القيمة الدفترية'!I:O,MATCH($E61,'دورات القيمة الدفترية'!O:O,0),4),D61)</f>
        <v>34.35</v>
      </c>
      <c r="D61" t="e">
        <f>INDEX('دورات القيمة الدفترية'!Q:W,MATCH($E61,'دورات القيمة الدفترية'!W:W,0),4)</f>
        <v>#N/A</v>
      </c>
      <c r="E61" t="s">
        <v>38</v>
      </c>
    </row>
    <row r="62" spans="1:5">
      <c r="A62">
        <f t="shared" si="0"/>
        <v>0.55000000000000004</v>
      </c>
      <c r="B62">
        <f>_xlfn.IFNA( INDEX('دورات القيمة الدفترية'!A:G,MATCH($E62,'دورات القيمة الدفترية'!G:G,0),4),C62)</f>
        <v>0.55000000000000004</v>
      </c>
      <c r="C62">
        <f>_xlfn.IFNA( INDEX('دورات القيمة الدفترية'!I:O,MATCH($E62,'دورات القيمة الدفترية'!O:O,0),4),D62)</f>
        <v>0.55000000000000004</v>
      </c>
      <c r="D62">
        <f>INDEX('دورات القيمة الدفترية'!Q:W,MATCH($E62,'دورات القيمة الدفترية'!W:W,0),4)</f>
        <v>0.51</v>
      </c>
      <c r="E62" t="s">
        <v>58</v>
      </c>
    </row>
    <row r="63" spans="1:5">
      <c r="A63">
        <f t="shared" si="0"/>
        <v>4.5999999999999996</v>
      </c>
      <c r="B63">
        <f>_xlfn.IFNA( INDEX('دورات القيمة الدفترية'!A:G,MATCH($E63,'دورات القيمة الدفترية'!G:G,0),4),C63)</f>
        <v>4.5999999999999996</v>
      </c>
      <c r="C63">
        <f>_xlfn.IFNA( INDEX('دورات القيمة الدفترية'!I:O,MATCH($E63,'دورات القيمة الدفترية'!O:O,0),4),D63)</f>
        <v>4.5999999999999996</v>
      </c>
      <c r="D63">
        <f>INDEX('دورات القيمة الدفترية'!Q:W,MATCH($E63,'دورات القيمة الدفترية'!W:W,0),4)</f>
        <v>4.37</v>
      </c>
      <c r="E63" t="s">
        <v>26</v>
      </c>
    </row>
    <row r="64" spans="1:5">
      <c r="A64">
        <f t="shared" si="0"/>
        <v>11.6</v>
      </c>
      <c r="B64">
        <f>_xlfn.IFNA( INDEX('دورات القيمة الدفترية'!A:G,MATCH($E64,'دورات القيمة الدفترية'!G:G,0),4),C64)</f>
        <v>11.6</v>
      </c>
      <c r="C64">
        <f>_xlfn.IFNA( INDEX('دورات القيمة الدفترية'!I:O,MATCH($E64,'دورات القيمة الدفترية'!O:O,0),4),D64)</f>
        <v>10.51</v>
      </c>
      <c r="D64">
        <f>INDEX('دورات القيمة الدفترية'!Q:W,MATCH($E64,'دورات القيمة الدفترية'!W:W,0),4)</f>
        <v>9.5299999999999994</v>
      </c>
      <c r="E64" t="s">
        <v>40</v>
      </c>
    </row>
    <row r="65" spans="1:5">
      <c r="A65">
        <f t="shared" si="0"/>
        <v>0.13</v>
      </c>
      <c r="B65">
        <f>_xlfn.IFNA( INDEX('دورات القيمة الدفترية'!A:G,MATCH($E65,'دورات القيمة الدفترية'!G:G,0),4),C65)</f>
        <v>0.13</v>
      </c>
      <c r="C65" t="e">
        <f>_xlfn.IFNA( INDEX('دورات القيمة الدفترية'!I:O,MATCH($E65,'دورات القيمة الدفترية'!O:O,0),4),D65)</f>
        <v>#N/A</v>
      </c>
      <c r="D65" t="e">
        <f>INDEX('دورات القيمة الدفترية'!Q:W,MATCH($E65,'دورات القيمة الدفترية'!W:W,0),4)</f>
        <v>#N/A</v>
      </c>
      <c r="E65" t="s">
        <v>82</v>
      </c>
    </row>
    <row r="66" spans="1:5">
      <c r="A66">
        <f t="shared" si="0"/>
        <v>2.2799999999999998</v>
      </c>
      <c r="B66">
        <f>_xlfn.IFNA( INDEX('دورات القيمة الدفترية'!A:G,MATCH($E66,'دورات القيمة الدفترية'!G:G,0),4),C66)</f>
        <v>2.2799999999999998</v>
      </c>
      <c r="C66">
        <f>_xlfn.IFNA( INDEX('دورات القيمة الدفترية'!I:O,MATCH($E66,'دورات القيمة الدفترية'!O:O,0),4),D66)</f>
        <v>2.35</v>
      </c>
      <c r="D66">
        <f>INDEX('دورات القيمة الدفترية'!Q:W,MATCH($E66,'دورات القيمة الدفترية'!W:W,0),4)</f>
        <v>2.73</v>
      </c>
      <c r="E66" t="s">
        <v>175</v>
      </c>
    </row>
    <row r="67" spans="1:5">
      <c r="A67">
        <f t="shared" ref="A67:A130" si="1">B67</f>
        <v>1.48</v>
      </c>
      <c r="B67">
        <f>_xlfn.IFNA( INDEX('دورات القيمة الدفترية'!A:G,MATCH($E67,'دورات القيمة الدفترية'!G:G,0),4),C67)</f>
        <v>1.48</v>
      </c>
      <c r="C67">
        <f>_xlfn.IFNA( INDEX('دورات القيمة الدفترية'!I:O,MATCH($E67,'دورات القيمة الدفترية'!O:O,0),4),D67)</f>
        <v>1.48</v>
      </c>
      <c r="D67">
        <f>INDEX('دورات القيمة الدفترية'!Q:W,MATCH($E67,'دورات القيمة الدفترية'!W:W,0),4)</f>
        <v>1.39</v>
      </c>
      <c r="E67" t="s">
        <v>176</v>
      </c>
    </row>
    <row r="68" spans="1:5">
      <c r="A68" t="e">
        <f t="shared" si="1"/>
        <v>#N/A</v>
      </c>
      <c r="B68" t="e">
        <f>_xlfn.IFNA( INDEX('دورات القيمة الدفترية'!A:G,MATCH($E68,'دورات القيمة الدفترية'!G:G,0),4),C68)</f>
        <v>#N/A</v>
      </c>
      <c r="C68" t="e">
        <f>_xlfn.IFNA( INDEX('دورات القيمة الدفترية'!I:O,MATCH($E68,'دورات القيمة الدفترية'!O:O,0),4),D68)</f>
        <v>#N/A</v>
      </c>
      <c r="D68" t="e">
        <f>INDEX('دورات القيمة الدفترية'!Q:W,MATCH($E68,'دورات القيمة الدفترية'!W:W,0),4)</f>
        <v>#N/A</v>
      </c>
      <c r="E68" t="s">
        <v>68</v>
      </c>
    </row>
    <row r="69" spans="1:5">
      <c r="A69" t="e">
        <f t="shared" si="1"/>
        <v>#N/A</v>
      </c>
      <c r="B69" t="e">
        <f>_xlfn.IFNA( INDEX('دورات القيمة الدفترية'!A:G,MATCH($E69,'دورات القيمة الدفترية'!G:G,0),4),C69)</f>
        <v>#N/A</v>
      </c>
      <c r="C69" t="e">
        <f>_xlfn.IFNA( INDEX('دورات القيمة الدفترية'!I:O,MATCH($E69,'دورات القيمة الدفترية'!O:O,0),4),D69)</f>
        <v>#N/A</v>
      </c>
      <c r="D69" t="e">
        <f>INDEX('دورات القيمة الدفترية'!Q:W,MATCH($E69,'دورات القيمة الدفترية'!W:W,0),4)</f>
        <v>#N/A</v>
      </c>
      <c r="E69" t="s">
        <v>466</v>
      </c>
    </row>
    <row r="70" spans="1:5">
      <c r="A70">
        <f t="shared" si="1"/>
        <v>29.97</v>
      </c>
      <c r="B70">
        <f>_xlfn.IFNA( INDEX('دورات القيمة الدفترية'!A:G,MATCH($E70,'دورات القيمة الدفترية'!G:G,0),4),C70)</f>
        <v>29.97</v>
      </c>
      <c r="C70">
        <f>_xlfn.IFNA( INDEX('دورات القيمة الدفترية'!I:O,MATCH($E70,'دورات القيمة الدفترية'!O:O,0),4),D70)</f>
        <v>25.6</v>
      </c>
      <c r="D70">
        <f>INDEX('دورات القيمة الدفترية'!Q:W,MATCH($E70,'دورات القيمة الدفترية'!W:W,0),4)</f>
        <v>22.69</v>
      </c>
      <c r="E70" t="s">
        <v>69</v>
      </c>
    </row>
    <row r="71" spans="1:5">
      <c r="A71">
        <f t="shared" si="1"/>
        <v>0.16</v>
      </c>
      <c r="B71">
        <f>_xlfn.IFNA( INDEX('دورات القيمة الدفترية'!A:G,MATCH($E71,'دورات القيمة الدفترية'!G:G,0),4),C71)</f>
        <v>0.16</v>
      </c>
      <c r="C71">
        <f>_xlfn.IFNA( INDEX('دورات القيمة الدفترية'!I:O,MATCH($E71,'دورات القيمة الدفترية'!O:O,0),4),D71)</f>
        <v>0.16</v>
      </c>
      <c r="D71">
        <f>INDEX('دورات القيمة الدفترية'!Q:W,MATCH($E71,'دورات القيمة الدفترية'!W:W,0),4)</f>
        <v>-5.58</v>
      </c>
      <c r="E71" t="s">
        <v>114</v>
      </c>
    </row>
    <row r="72" spans="1:5">
      <c r="A72">
        <f t="shared" si="1"/>
        <v>0.16</v>
      </c>
      <c r="B72">
        <f>_xlfn.IFNA( INDEX('دورات القيمة الدفترية'!A:G,MATCH($E72,'دورات القيمة الدفترية'!G:G,0),4),C72)</f>
        <v>0.16</v>
      </c>
      <c r="C72">
        <f>_xlfn.IFNA( INDEX('دورات القيمة الدفترية'!I:O,MATCH($E72,'دورات القيمة الدفترية'!O:O,0),4),D72)</f>
        <v>0.16</v>
      </c>
      <c r="D72">
        <f>INDEX('دورات القيمة الدفترية'!Q:W,MATCH($E72,'دورات القيمة الدفترية'!W:W,0),4)</f>
        <v>0.16</v>
      </c>
      <c r="E72" t="s">
        <v>178</v>
      </c>
    </row>
    <row r="73" spans="1:5">
      <c r="A73">
        <f t="shared" si="1"/>
        <v>0.16</v>
      </c>
      <c r="B73">
        <f>_xlfn.IFNA( INDEX('دورات القيمة الدفترية'!A:G,MATCH($E73,'دورات القيمة الدفترية'!G:G,0),4),C73)</f>
        <v>0.16</v>
      </c>
      <c r="C73">
        <f>_xlfn.IFNA( INDEX('دورات القيمة الدفترية'!I:O,MATCH($E73,'دورات القيمة الدفترية'!O:O,0),4),D73)</f>
        <v>0.16</v>
      </c>
      <c r="D73">
        <f>INDEX('دورات القيمة الدفترية'!Q:W,MATCH($E73,'دورات القيمة الدفترية'!W:W,0),4)</f>
        <v>0.16</v>
      </c>
      <c r="E73" t="s">
        <v>178</v>
      </c>
    </row>
    <row r="74" spans="1:5">
      <c r="A74">
        <f t="shared" si="1"/>
        <v>49.93</v>
      </c>
      <c r="B74">
        <f>_xlfn.IFNA( INDEX('دورات القيمة الدفترية'!A:G,MATCH($E74,'دورات القيمة الدفترية'!G:G,0),4),C74)</f>
        <v>49.93</v>
      </c>
      <c r="C74">
        <f>_xlfn.IFNA( INDEX('دورات القيمة الدفترية'!I:O,MATCH($E74,'دورات القيمة الدفترية'!O:O,0),4),D74)</f>
        <v>49.93</v>
      </c>
      <c r="D74" t="e">
        <f>INDEX('دورات القيمة الدفترية'!Q:W,MATCH($E74,'دورات القيمة الدفترية'!W:W,0),4)</f>
        <v>#N/A</v>
      </c>
      <c r="E74" t="s">
        <v>180</v>
      </c>
    </row>
    <row r="75" spans="1:5">
      <c r="A75">
        <f t="shared" si="1"/>
        <v>49.93</v>
      </c>
      <c r="B75">
        <f>_xlfn.IFNA( INDEX('دورات القيمة الدفترية'!A:G,MATCH($E75,'دورات القيمة الدفترية'!G:G,0),4),C75)</f>
        <v>49.93</v>
      </c>
      <c r="C75">
        <f>_xlfn.IFNA( INDEX('دورات القيمة الدفترية'!I:O,MATCH($E75,'دورات القيمة الدفترية'!O:O,0),4),D75)</f>
        <v>49.93</v>
      </c>
      <c r="D75" t="e">
        <f>INDEX('دورات القيمة الدفترية'!Q:W,MATCH($E75,'دورات القيمة الدفترية'!W:W,0),4)</f>
        <v>#N/A</v>
      </c>
      <c r="E75" t="s">
        <v>180</v>
      </c>
    </row>
    <row r="76" spans="1:5">
      <c r="A76">
        <f t="shared" si="1"/>
        <v>5.42</v>
      </c>
      <c r="B76">
        <f>_xlfn.IFNA( INDEX('دورات القيمة الدفترية'!A:G,MATCH($E76,'دورات القيمة الدفترية'!G:G,0),4),C76)</f>
        <v>5.42</v>
      </c>
      <c r="C76" t="e">
        <f>_xlfn.IFNA( INDEX('دورات القيمة الدفترية'!I:O,MATCH($E76,'دورات القيمة الدفترية'!O:O,0),4),D76)</f>
        <v>#N/A</v>
      </c>
      <c r="D76" t="e">
        <f>INDEX('دورات القيمة الدفترية'!Q:W,MATCH($E76,'دورات القيمة الدفترية'!W:W,0),4)</f>
        <v>#N/A</v>
      </c>
      <c r="E76" t="s">
        <v>181</v>
      </c>
    </row>
    <row r="77" spans="1:5">
      <c r="A77">
        <f t="shared" si="1"/>
        <v>27.99</v>
      </c>
      <c r="B77">
        <f>_xlfn.IFNA( INDEX('دورات القيمة الدفترية'!A:G,MATCH($E77,'دورات القيمة الدفترية'!G:G,0),4),C77)</f>
        <v>27.99</v>
      </c>
      <c r="C77">
        <f>_xlfn.IFNA( INDEX('دورات القيمة الدفترية'!I:O,MATCH($E77,'دورات القيمة الدفترية'!O:O,0),4),D77)</f>
        <v>31.6</v>
      </c>
      <c r="D77">
        <f>INDEX('دورات القيمة الدفترية'!Q:W,MATCH($E77,'دورات القيمة الدفترية'!W:W,0),4)</f>
        <v>42.23</v>
      </c>
      <c r="E77" t="s">
        <v>107</v>
      </c>
    </row>
    <row r="78" spans="1:5">
      <c r="A78">
        <f t="shared" si="1"/>
        <v>27.99</v>
      </c>
      <c r="B78">
        <f>_xlfn.IFNA( INDEX('دورات القيمة الدفترية'!A:G,MATCH($E78,'دورات القيمة الدفترية'!G:G,0),4),C78)</f>
        <v>27.99</v>
      </c>
      <c r="C78">
        <f>_xlfn.IFNA( INDEX('دورات القيمة الدفترية'!I:O,MATCH($E78,'دورات القيمة الدفترية'!O:O,0),4),D78)</f>
        <v>31.6</v>
      </c>
      <c r="D78">
        <f>INDEX('دورات القيمة الدفترية'!Q:W,MATCH($E78,'دورات القيمة الدفترية'!W:W,0),4)</f>
        <v>42.23</v>
      </c>
      <c r="E78" t="s">
        <v>107</v>
      </c>
    </row>
    <row r="79" spans="1:5">
      <c r="A79">
        <f t="shared" si="1"/>
        <v>13.42</v>
      </c>
      <c r="B79">
        <f>_xlfn.IFNA( INDEX('دورات القيمة الدفترية'!A:G,MATCH($E79,'دورات القيمة الدفترية'!G:G,0),4),C79)</f>
        <v>13.42</v>
      </c>
      <c r="C79">
        <f>_xlfn.IFNA( INDEX('دورات القيمة الدفترية'!I:O,MATCH($E79,'دورات القيمة الدفترية'!O:O,0),4),D79)</f>
        <v>13.42</v>
      </c>
      <c r="D79">
        <f>INDEX('دورات القيمة الدفترية'!Q:W,MATCH($E79,'دورات القيمة الدفترية'!W:W,0),4)</f>
        <v>13.42</v>
      </c>
      <c r="E79" t="s">
        <v>182</v>
      </c>
    </row>
    <row r="80" spans="1:5">
      <c r="A80">
        <f t="shared" si="1"/>
        <v>14.01</v>
      </c>
      <c r="B80">
        <f>_xlfn.IFNA( INDEX('دورات القيمة الدفترية'!A:G,MATCH($E80,'دورات القيمة الدفترية'!G:G,0),4),C80)</f>
        <v>14.01</v>
      </c>
      <c r="C80">
        <f>_xlfn.IFNA( INDEX('دورات القيمة الدفترية'!I:O,MATCH($E80,'دورات القيمة الدفترية'!O:O,0),4),D80)</f>
        <v>12.53</v>
      </c>
      <c r="D80" t="e">
        <f>INDEX('دورات القيمة الدفترية'!Q:W,MATCH($E80,'دورات القيمة الدفترية'!W:W,0),4)</f>
        <v>#N/A</v>
      </c>
      <c r="E80" t="s">
        <v>14</v>
      </c>
    </row>
    <row r="81" spans="1:5">
      <c r="A81">
        <f t="shared" si="1"/>
        <v>2.16</v>
      </c>
      <c r="B81">
        <f>_xlfn.IFNA( INDEX('دورات القيمة الدفترية'!A:G,MATCH($E81,'دورات القيمة الدفترية'!G:G,0),4),C81)</f>
        <v>2.16</v>
      </c>
      <c r="C81">
        <f>_xlfn.IFNA( INDEX('دورات القيمة الدفترية'!I:O,MATCH($E81,'دورات القيمة الدفترية'!O:O,0),4),D81)</f>
        <v>2.1</v>
      </c>
      <c r="D81" t="e">
        <f>INDEX('دورات القيمة الدفترية'!Q:W,MATCH($E81,'دورات القيمة الدفترية'!W:W,0),4)</f>
        <v>#N/A</v>
      </c>
      <c r="E81" t="s">
        <v>56</v>
      </c>
    </row>
    <row r="82" spans="1:5">
      <c r="A82">
        <f t="shared" si="1"/>
        <v>2.16</v>
      </c>
      <c r="B82">
        <f>_xlfn.IFNA( INDEX('دورات القيمة الدفترية'!A:G,MATCH($E82,'دورات القيمة الدفترية'!G:G,0),4),C82)</f>
        <v>2.16</v>
      </c>
      <c r="C82">
        <f>_xlfn.IFNA( INDEX('دورات القيمة الدفترية'!I:O,MATCH($E82,'دورات القيمة الدفترية'!O:O,0),4),D82)</f>
        <v>2.1</v>
      </c>
      <c r="D82" t="e">
        <f>INDEX('دورات القيمة الدفترية'!Q:W,MATCH($E82,'دورات القيمة الدفترية'!W:W,0),4)</f>
        <v>#N/A</v>
      </c>
      <c r="E82" t="s">
        <v>56</v>
      </c>
    </row>
    <row r="83" spans="1:5">
      <c r="A83">
        <f t="shared" si="1"/>
        <v>4.21</v>
      </c>
      <c r="B83">
        <f>_xlfn.IFNA( INDEX('دورات القيمة الدفترية'!A:G,MATCH($E83,'دورات القيمة الدفترية'!G:G,0),4),C83)</f>
        <v>4.21</v>
      </c>
      <c r="C83">
        <f>_xlfn.IFNA( INDEX('دورات القيمة الدفترية'!I:O,MATCH($E83,'دورات القيمة الدفترية'!O:O,0),4),D83)</f>
        <v>4.21</v>
      </c>
      <c r="D83">
        <f>INDEX('دورات القيمة الدفترية'!Q:W,MATCH($E83,'دورات القيمة الدفترية'!W:W,0),4)</f>
        <v>4.21</v>
      </c>
      <c r="E83" t="s">
        <v>61</v>
      </c>
    </row>
    <row r="84" spans="1:5">
      <c r="A84">
        <f t="shared" si="1"/>
        <v>0.44</v>
      </c>
      <c r="B84">
        <f>_xlfn.IFNA( INDEX('دورات القيمة الدفترية'!A:G,MATCH($E84,'دورات القيمة الدفترية'!G:G,0),4),C84)</f>
        <v>0.44</v>
      </c>
      <c r="C84">
        <f>_xlfn.IFNA( INDEX('دورات القيمة الدفترية'!I:O,MATCH($E84,'دورات القيمة الدفترية'!O:O,0),4),D84)</f>
        <v>0.44</v>
      </c>
      <c r="D84">
        <f>INDEX('دورات القيمة الدفترية'!Q:W,MATCH($E84,'دورات القيمة الدفترية'!W:W,0),4)</f>
        <v>0.35</v>
      </c>
      <c r="E84" t="s">
        <v>185</v>
      </c>
    </row>
    <row r="85" spans="1:5">
      <c r="A85">
        <f t="shared" si="1"/>
        <v>26.14</v>
      </c>
      <c r="B85">
        <f>_xlfn.IFNA( INDEX('دورات القيمة الدفترية'!A:G,MATCH($E85,'دورات القيمة الدفترية'!G:G,0),4),C85)</f>
        <v>26.14</v>
      </c>
      <c r="C85">
        <f>_xlfn.IFNA( INDEX('دورات القيمة الدفترية'!I:O,MATCH($E85,'دورات القيمة الدفترية'!O:O,0),4),D85)</f>
        <v>26.14</v>
      </c>
      <c r="D85">
        <f>INDEX('دورات القيمة الدفترية'!Q:W,MATCH($E85,'دورات القيمة الدفترية'!W:W,0),4)</f>
        <v>25.23</v>
      </c>
      <c r="E85" t="s">
        <v>47</v>
      </c>
    </row>
    <row r="86" spans="1:5">
      <c r="A86">
        <f t="shared" si="1"/>
        <v>12.53</v>
      </c>
      <c r="B86">
        <f>_xlfn.IFNA( INDEX('دورات القيمة الدفترية'!A:G,MATCH($E86,'دورات القيمة الدفترية'!G:G,0),4),C86)</f>
        <v>12.53</v>
      </c>
      <c r="C86">
        <f>_xlfn.IFNA( INDEX('دورات القيمة الدفترية'!I:O,MATCH($E86,'دورات القيمة الدفترية'!O:O,0),4),D86)</f>
        <v>12.54</v>
      </c>
      <c r="D86" t="e">
        <f>INDEX('دورات القيمة الدفترية'!Q:W,MATCH($E86,'دورات القيمة الدفترية'!W:W,0),4)</f>
        <v>#N/A</v>
      </c>
      <c r="E86" t="s">
        <v>130</v>
      </c>
    </row>
    <row r="87" spans="1:5">
      <c r="A87">
        <f t="shared" si="1"/>
        <v>12.53</v>
      </c>
      <c r="B87">
        <f>_xlfn.IFNA( INDEX('دورات القيمة الدفترية'!A:G,MATCH($E87,'دورات القيمة الدفترية'!G:G,0),4),C87)</f>
        <v>12.53</v>
      </c>
      <c r="C87">
        <f>_xlfn.IFNA( INDEX('دورات القيمة الدفترية'!I:O,MATCH($E87,'دورات القيمة الدفترية'!O:O,0),4),D87)</f>
        <v>12.54</v>
      </c>
      <c r="D87" t="e">
        <f>INDEX('دورات القيمة الدفترية'!Q:W,MATCH($E87,'دورات القيمة الدفترية'!W:W,0),4)</f>
        <v>#N/A</v>
      </c>
      <c r="E87" t="s">
        <v>130</v>
      </c>
    </row>
    <row r="88" spans="1:5">
      <c r="A88">
        <f t="shared" si="1"/>
        <v>1.1000000000000001</v>
      </c>
      <c r="B88">
        <f>_xlfn.IFNA( INDEX('دورات القيمة الدفترية'!A:G,MATCH($E88,'دورات القيمة الدفترية'!G:G,0),4),C88)</f>
        <v>1.1000000000000001</v>
      </c>
      <c r="C88">
        <f>_xlfn.IFNA( INDEX('دورات القيمة الدفترية'!I:O,MATCH($E88,'دورات القيمة الدفترية'!O:O,0),4),D88)</f>
        <v>1.1000000000000001</v>
      </c>
      <c r="D88" t="e">
        <f>INDEX('دورات القيمة الدفترية'!Q:W,MATCH($E88,'دورات القيمة الدفترية'!W:W,0),4)</f>
        <v>#N/A</v>
      </c>
      <c r="E88" t="s">
        <v>464</v>
      </c>
    </row>
    <row r="89" spans="1:5">
      <c r="A89">
        <f t="shared" si="1"/>
        <v>3.56</v>
      </c>
      <c r="B89">
        <f>_xlfn.IFNA( INDEX('دورات القيمة الدفترية'!A:G,MATCH($E89,'دورات القيمة الدفترية'!G:G,0),4),C89)</f>
        <v>3.56</v>
      </c>
      <c r="C89">
        <f>_xlfn.IFNA( INDEX('دورات القيمة الدفترية'!I:O,MATCH($E89,'دورات القيمة الدفترية'!O:O,0),4),D89)</f>
        <v>3.56</v>
      </c>
      <c r="D89" t="e">
        <f>INDEX('دورات القيمة الدفترية'!Q:W,MATCH($E89,'دورات القيمة الدفترية'!W:W,0),4)</f>
        <v>#N/A</v>
      </c>
      <c r="E89" t="s">
        <v>187</v>
      </c>
    </row>
    <row r="90" spans="1:5">
      <c r="A90">
        <f t="shared" si="1"/>
        <v>3.56</v>
      </c>
      <c r="B90">
        <f>_xlfn.IFNA( INDEX('دورات القيمة الدفترية'!A:G,MATCH($E90,'دورات القيمة الدفترية'!G:G,0),4),C90)</f>
        <v>3.56</v>
      </c>
      <c r="C90">
        <f>_xlfn.IFNA( INDEX('دورات القيمة الدفترية'!I:O,MATCH($E90,'دورات القيمة الدفترية'!O:O,0),4),D90)</f>
        <v>3.56</v>
      </c>
      <c r="D90" t="e">
        <f>INDEX('دورات القيمة الدفترية'!Q:W,MATCH($E90,'دورات القيمة الدفترية'!W:W,0),4)</f>
        <v>#N/A</v>
      </c>
      <c r="E90" t="s">
        <v>187</v>
      </c>
    </row>
    <row r="91" spans="1:5">
      <c r="A91">
        <f t="shared" si="1"/>
        <v>0.16</v>
      </c>
      <c r="B91">
        <f>_xlfn.IFNA( INDEX('دورات القيمة الدفترية'!A:G,MATCH($E91,'دورات القيمة الدفترية'!G:G,0),4),C91)</f>
        <v>0.16</v>
      </c>
      <c r="C91">
        <f>_xlfn.IFNA( INDEX('دورات القيمة الدفترية'!I:O,MATCH($E91,'دورات القيمة الدفترية'!O:O,0),4),D91)</f>
        <v>0.16</v>
      </c>
      <c r="D91">
        <f>INDEX('دورات القيمة الدفترية'!Q:W,MATCH($E91,'دورات القيمة الدفترية'!W:W,0),4)</f>
        <v>0.15</v>
      </c>
      <c r="E91" t="s">
        <v>97</v>
      </c>
    </row>
    <row r="92" spans="1:5">
      <c r="A92">
        <f t="shared" si="1"/>
        <v>0.16</v>
      </c>
      <c r="B92">
        <f>_xlfn.IFNA( INDEX('دورات القيمة الدفترية'!A:G,MATCH($E92,'دورات القيمة الدفترية'!G:G,0),4),C92)</f>
        <v>0.16</v>
      </c>
      <c r="C92">
        <f>_xlfn.IFNA( INDEX('دورات القيمة الدفترية'!I:O,MATCH($E92,'دورات القيمة الدفترية'!O:O,0),4),D92)</f>
        <v>0.16</v>
      </c>
      <c r="D92">
        <f>INDEX('دورات القيمة الدفترية'!Q:W,MATCH($E92,'دورات القيمة الدفترية'!W:W,0),4)</f>
        <v>0.15</v>
      </c>
      <c r="E92" t="s">
        <v>97</v>
      </c>
    </row>
    <row r="93" spans="1:5">
      <c r="A93">
        <f t="shared" si="1"/>
        <v>14.44</v>
      </c>
      <c r="B93">
        <f>_xlfn.IFNA( INDEX('دورات القيمة الدفترية'!A:G,MATCH($E93,'دورات القيمة الدفترية'!G:G,0),4),C93)</f>
        <v>14.44</v>
      </c>
      <c r="C93">
        <f>_xlfn.IFNA( INDEX('دورات القيمة الدفترية'!I:O,MATCH($E93,'دورات القيمة الدفترية'!O:O,0),4),D93)</f>
        <v>14.72</v>
      </c>
      <c r="D93">
        <f>INDEX('دورات القيمة الدفترية'!Q:W,MATCH($E93,'دورات القيمة الدفترية'!W:W,0),4)</f>
        <v>13.39</v>
      </c>
      <c r="E93" t="s">
        <v>41</v>
      </c>
    </row>
    <row r="94" spans="1:5">
      <c r="A94">
        <f t="shared" si="1"/>
        <v>0.26</v>
      </c>
      <c r="B94">
        <f>_xlfn.IFNA( INDEX('دورات القيمة الدفترية'!A:G,MATCH($E94,'دورات القيمة الدفترية'!G:G,0),4),C94)</f>
        <v>0.26</v>
      </c>
      <c r="C94">
        <f>_xlfn.IFNA( INDEX('دورات القيمة الدفترية'!I:O,MATCH($E94,'دورات القيمة الدفترية'!O:O,0),4),D94)</f>
        <v>0.26</v>
      </c>
      <c r="D94">
        <f>INDEX('دورات القيمة الدفترية'!Q:W,MATCH($E94,'دورات القيمة الدفترية'!W:W,0),4)</f>
        <v>0.27</v>
      </c>
      <c r="E94" t="s">
        <v>190</v>
      </c>
    </row>
    <row r="95" spans="1:5">
      <c r="A95">
        <f t="shared" si="1"/>
        <v>74.36</v>
      </c>
      <c r="B95">
        <f>_xlfn.IFNA( INDEX('دورات القيمة الدفترية'!A:G,MATCH($E95,'دورات القيمة الدفترية'!G:G,0),4),C95)</f>
        <v>74.36</v>
      </c>
      <c r="C95">
        <f>_xlfn.IFNA( INDEX('دورات القيمة الدفترية'!I:O,MATCH($E95,'دورات القيمة الدفترية'!O:O,0),4),D95)</f>
        <v>74.36</v>
      </c>
      <c r="D95" t="e">
        <f>INDEX('دورات القيمة الدفترية'!Q:W,MATCH($E95,'دورات القيمة الدفترية'!W:W,0),4)</f>
        <v>#N/A</v>
      </c>
      <c r="E95" t="s">
        <v>192</v>
      </c>
    </row>
    <row r="96" spans="1:5">
      <c r="A96">
        <f t="shared" si="1"/>
        <v>74.36</v>
      </c>
      <c r="B96">
        <f>_xlfn.IFNA( INDEX('دورات القيمة الدفترية'!A:G,MATCH($E96,'دورات القيمة الدفترية'!G:G,0),4),C96)</f>
        <v>74.36</v>
      </c>
      <c r="C96">
        <f>_xlfn.IFNA( INDEX('دورات القيمة الدفترية'!I:O,MATCH($E96,'دورات القيمة الدفترية'!O:O,0),4),D96)</f>
        <v>74.36</v>
      </c>
      <c r="D96" t="e">
        <f>INDEX('دورات القيمة الدفترية'!Q:W,MATCH($E96,'دورات القيمة الدفترية'!W:W,0),4)</f>
        <v>#N/A</v>
      </c>
      <c r="E96" t="s">
        <v>192</v>
      </c>
    </row>
    <row r="97" spans="1:5">
      <c r="A97">
        <f t="shared" si="1"/>
        <v>0.69</v>
      </c>
      <c r="B97">
        <f>_xlfn.IFNA( INDEX('دورات القيمة الدفترية'!A:G,MATCH($E97,'دورات القيمة الدفترية'!G:G,0),4),C97)</f>
        <v>0.69</v>
      </c>
      <c r="C97">
        <f>_xlfn.IFNA( INDEX('دورات القيمة الدفترية'!I:O,MATCH($E97,'دورات القيمة الدفترية'!O:O,0),4),D97)</f>
        <v>0.65</v>
      </c>
      <c r="D97">
        <f>INDEX('دورات القيمة الدفترية'!Q:W,MATCH($E97,'دورات القيمة الدفترية'!W:W,0),4)</f>
        <v>0.61</v>
      </c>
      <c r="E97" t="s">
        <v>39</v>
      </c>
    </row>
    <row r="98" spans="1:5">
      <c r="A98">
        <f t="shared" si="1"/>
        <v>0.69</v>
      </c>
      <c r="B98">
        <f>_xlfn.IFNA( INDEX('دورات القيمة الدفترية'!A:G,MATCH($E98,'دورات القيمة الدفترية'!G:G,0),4),C98)</f>
        <v>0.69</v>
      </c>
      <c r="C98">
        <f>_xlfn.IFNA( INDEX('دورات القيمة الدفترية'!I:O,MATCH($E98,'دورات القيمة الدفترية'!O:O,0),4),D98)</f>
        <v>0.65</v>
      </c>
      <c r="D98">
        <f>INDEX('دورات القيمة الدفترية'!Q:W,MATCH($E98,'دورات القيمة الدفترية'!W:W,0),4)</f>
        <v>0.61</v>
      </c>
      <c r="E98" t="s">
        <v>39</v>
      </c>
    </row>
    <row r="99" spans="1:5">
      <c r="A99">
        <f t="shared" si="1"/>
        <v>32.32</v>
      </c>
      <c r="B99">
        <f>_xlfn.IFNA( INDEX('دورات القيمة الدفترية'!A:G,MATCH($E99,'دورات القيمة الدفترية'!G:G,0),4),C99)</f>
        <v>32.32</v>
      </c>
      <c r="C99">
        <f>_xlfn.IFNA( INDEX('دورات القيمة الدفترية'!I:O,MATCH($E99,'دورات القيمة الدفترية'!O:O,0),4),D99)</f>
        <v>0</v>
      </c>
      <c r="D99">
        <f>INDEX('دورات القيمة الدفترية'!Q:W,MATCH($E99,'دورات القيمة الدفترية'!W:W,0),4)</f>
        <v>29.12</v>
      </c>
      <c r="E99" t="s">
        <v>62</v>
      </c>
    </row>
    <row r="100" spans="1:5">
      <c r="A100">
        <f t="shared" si="1"/>
        <v>32.32</v>
      </c>
      <c r="B100">
        <f>_xlfn.IFNA( INDEX('دورات القيمة الدفترية'!A:G,MATCH($E100,'دورات القيمة الدفترية'!G:G,0),4),C100)</f>
        <v>32.32</v>
      </c>
      <c r="C100">
        <f>_xlfn.IFNA( INDEX('دورات القيمة الدفترية'!I:O,MATCH($E100,'دورات القيمة الدفترية'!O:O,0),4),D100)</f>
        <v>0</v>
      </c>
      <c r="D100">
        <f>INDEX('دورات القيمة الدفترية'!Q:W,MATCH($E100,'دورات القيمة الدفترية'!W:W,0),4)</f>
        <v>29.12</v>
      </c>
      <c r="E100" t="s">
        <v>62</v>
      </c>
    </row>
    <row r="101" spans="1:5">
      <c r="A101">
        <f t="shared" si="1"/>
        <v>4.63</v>
      </c>
      <c r="B101">
        <f>_xlfn.IFNA( INDEX('دورات القيمة الدفترية'!A:G,MATCH($E101,'دورات القيمة الدفترية'!G:G,0),4),C101)</f>
        <v>4.63</v>
      </c>
      <c r="C101">
        <f>_xlfn.IFNA( INDEX('دورات القيمة الدفترية'!I:O,MATCH($E101,'دورات القيمة الدفترية'!O:O,0),4),D101)</f>
        <v>4.63</v>
      </c>
      <c r="D101">
        <f>INDEX('دورات القيمة الدفترية'!Q:W,MATCH($E101,'دورات القيمة الدفترية'!W:W,0),4)</f>
        <v>3.99</v>
      </c>
      <c r="E101" t="s">
        <v>87</v>
      </c>
    </row>
    <row r="102" spans="1:5">
      <c r="A102">
        <f t="shared" si="1"/>
        <v>2.97</v>
      </c>
      <c r="B102">
        <f>_xlfn.IFNA( INDEX('دورات القيمة الدفترية'!A:G,MATCH($E102,'دورات القيمة الدفترية'!G:G,0),4),C102)</f>
        <v>2.97</v>
      </c>
      <c r="C102">
        <f>_xlfn.IFNA( INDEX('دورات القيمة الدفترية'!I:O,MATCH($E102,'دورات القيمة الدفترية'!O:O,0),4),D102)</f>
        <v>2.71</v>
      </c>
      <c r="D102">
        <f>INDEX('دورات القيمة الدفترية'!Q:W,MATCH($E102,'دورات القيمة الدفترية'!W:W,0),4)</f>
        <v>2.5499999999999998</v>
      </c>
      <c r="E102" t="s">
        <v>103</v>
      </c>
    </row>
    <row r="103" spans="1:5">
      <c r="A103">
        <f t="shared" si="1"/>
        <v>23.46</v>
      </c>
      <c r="B103">
        <f>_xlfn.IFNA( INDEX('دورات القيمة الدفترية'!A:G,MATCH($E103,'دورات القيمة الدفترية'!G:G,0),4),C103)</f>
        <v>23.46</v>
      </c>
      <c r="C103">
        <f>_xlfn.IFNA( INDEX('دورات القيمة الدفترية'!I:O,MATCH($E103,'دورات القيمة الدفترية'!O:O,0),4),D103)</f>
        <v>26.53</v>
      </c>
      <c r="D103" t="e">
        <f>INDEX('دورات القيمة الدفترية'!Q:W,MATCH($E103,'دورات القيمة الدفترية'!W:W,0),4)</f>
        <v>#N/A</v>
      </c>
      <c r="E103" t="s">
        <v>195</v>
      </c>
    </row>
    <row r="104" spans="1:5">
      <c r="A104">
        <f t="shared" si="1"/>
        <v>23.46</v>
      </c>
      <c r="B104">
        <f>_xlfn.IFNA( INDEX('دورات القيمة الدفترية'!A:G,MATCH($E104,'دورات القيمة الدفترية'!G:G,0),4),C104)</f>
        <v>23.46</v>
      </c>
      <c r="C104">
        <f>_xlfn.IFNA( INDEX('دورات القيمة الدفترية'!I:O,MATCH($E104,'دورات القيمة الدفترية'!O:O,0),4),D104)</f>
        <v>26.53</v>
      </c>
      <c r="D104" t="e">
        <f>INDEX('دورات القيمة الدفترية'!Q:W,MATCH($E104,'دورات القيمة الدفترية'!W:W,0),4)</f>
        <v>#N/A</v>
      </c>
      <c r="E104" t="s">
        <v>195</v>
      </c>
    </row>
    <row r="105" spans="1:5">
      <c r="A105">
        <f t="shared" si="1"/>
        <v>42.59</v>
      </c>
      <c r="B105">
        <f>_xlfn.IFNA( INDEX('دورات القيمة الدفترية'!A:G,MATCH($E105,'دورات القيمة الدفترية'!G:G,0),4),C105)</f>
        <v>42.59</v>
      </c>
      <c r="C105">
        <f>_xlfn.IFNA( INDEX('دورات القيمة الدفترية'!I:O,MATCH($E105,'دورات القيمة الدفترية'!O:O,0),4),D105)</f>
        <v>42.26</v>
      </c>
      <c r="D105">
        <f>INDEX('دورات القيمة الدفترية'!Q:W,MATCH($E105,'دورات القيمة الدفترية'!W:W,0),4)</f>
        <v>42.09</v>
      </c>
      <c r="E105" t="s">
        <v>96</v>
      </c>
    </row>
    <row r="106" spans="1:5">
      <c r="A106">
        <f t="shared" si="1"/>
        <v>14.89</v>
      </c>
      <c r="B106">
        <f>_xlfn.IFNA( INDEX('دورات القيمة الدفترية'!A:G,MATCH($E106,'دورات القيمة الدفترية'!G:G,0),4),C106)</f>
        <v>14.89</v>
      </c>
      <c r="C106">
        <f>_xlfn.IFNA( INDEX('دورات القيمة الدفترية'!I:O,MATCH($E106,'دورات القيمة الدفترية'!O:O,0),4),D106)</f>
        <v>14.17</v>
      </c>
      <c r="D106">
        <f>INDEX('دورات القيمة الدفترية'!Q:W,MATCH($E106,'دورات القيمة الدفترية'!W:W,0),4)</f>
        <v>11.47</v>
      </c>
      <c r="E106" t="s">
        <v>475</v>
      </c>
    </row>
    <row r="107" spans="1:5">
      <c r="A107">
        <f t="shared" si="1"/>
        <v>7.17</v>
      </c>
      <c r="B107">
        <f>_xlfn.IFNA( INDEX('دورات القيمة الدفترية'!A:G,MATCH($E107,'دورات القيمة الدفترية'!G:G,0),4),C107)</f>
        <v>7.17</v>
      </c>
      <c r="C107">
        <f>_xlfn.IFNA( INDEX('دورات القيمة الدفترية'!I:O,MATCH($E107,'دورات القيمة الدفترية'!O:O,0),4),D107)</f>
        <v>7.17</v>
      </c>
      <c r="D107" t="e">
        <f>INDEX('دورات القيمة الدفترية'!Q:W,MATCH($E107,'دورات القيمة الدفترية'!W:W,0),4)</f>
        <v>#N/A</v>
      </c>
      <c r="E107" t="s">
        <v>198</v>
      </c>
    </row>
    <row r="108" spans="1:5">
      <c r="A108">
        <f t="shared" si="1"/>
        <v>7.17</v>
      </c>
      <c r="B108">
        <f>_xlfn.IFNA( INDEX('دورات القيمة الدفترية'!A:G,MATCH($E108,'دورات القيمة الدفترية'!G:G,0),4),C108)</f>
        <v>7.17</v>
      </c>
      <c r="C108">
        <f>_xlfn.IFNA( INDEX('دورات القيمة الدفترية'!I:O,MATCH($E108,'دورات القيمة الدفترية'!O:O,0),4),D108)</f>
        <v>7.17</v>
      </c>
      <c r="D108" t="e">
        <f>INDEX('دورات القيمة الدفترية'!Q:W,MATCH($E108,'دورات القيمة الدفترية'!W:W,0),4)</f>
        <v>#N/A</v>
      </c>
      <c r="E108" t="s">
        <v>198</v>
      </c>
    </row>
    <row r="109" spans="1:5">
      <c r="A109" t="e">
        <f t="shared" si="1"/>
        <v>#N/A</v>
      </c>
      <c r="B109" t="e">
        <f>_xlfn.IFNA( INDEX('دورات القيمة الدفترية'!A:G,MATCH($E109,'دورات القيمة الدفترية'!G:G,0),4),C109)</f>
        <v>#N/A</v>
      </c>
      <c r="C109" t="e">
        <f>_xlfn.IFNA( INDEX('دورات القيمة الدفترية'!I:O,MATCH($E109,'دورات القيمة الدفترية'!O:O,0),4),D109)</f>
        <v>#N/A</v>
      </c>
      <c r="D109" t="e">
        <f>INDEX('دورات القيمة الدفترية'!Q:W,MATCH($E109,'دورات القيمة الدفترية'!W:W,0),4)</f>
        <v>#N/A</v>
      </c>
      <c r="E109" t="s">
        <v>492</v>
      </c>
    </row>
    <row r="110" spans="1:5">
      <c r="A110">
        <f t="shared" si="1"/>
        <v>16.38</v>
      </c>
      <c r="B110">
        <f>_xlfn.IFNA( INDEX('دورات القيمة الدفترية'!A:G,MATCH($E110,'دورات القيمة الدفترية'!G:G,0),4),C110)</f>
        <v>16.38</v>
      </c>
      <c r="C110">
        <f>_xlfn.IFNA( INDEX('دورات القيمة الدفترية'!I:O,MATCH($E110,'دورات القيمة الدفترية'!O:O,0),4),D110)</f>
        <v>16.38</v>
      </c>
      <c r="D110">
        <f>INDEX('دورات القيمة الدفترية'!Q:W,MATCH($E110,'دورات القيمة الدفترية'!W:W,0),4)</f>
        <v>16.04</v>
      </c>
      <c r="E110" t="s">
        <v>486</v>
      </c>
    </row>
    <row r="111" spans="1:5">
      <c r="A111">
        <f t="shared" si="1"/>
        <v>0.5</v>
      </c>
      <c r="B111">
        <f>_xlfn.IFNA( INDEX('دورات القيمة الدفترية'!A:G,MATCH($E111,'دورات القيمة الدفترية'!G:G,0),4),C111)</f>
        <v>0.5</v>
      </c>
      <c r="C111">
        <f>_xlfn.IFNA( INDEX('دورات القيمة الدفترية'!I:O,MATCH($E111,'دورات القيمة الدفترية'!O:O,0),4),D111)</f>
        <v>0.5</v>
      </c>
      <c r="D111">
        <f>INDEX('دورات القيمة الدفترية'!Q:W,MATCH($E111,'دورات القيمة الدفترية'!W:W,0),4)</f>
        <v>0.43</v>
      </c>
      <c r="E111" t="s">
        <v>199</v>
      </c>
    </row>
    <row r="112" spans="1:5">
      <c r="A112">
        <f t="shared" si="1"/>
        <v>0.17</v>
      </c>
      <c r="B112">
        <f>_xlfn.IFNA( INDEX('دورات القيمة الدفترية'!A:G,MATCH($E112,'دورات القيمة الدفترية'!G:G,0),4),C112)</f>
        <v>0.17</v>
      </c>
      <c r="C112">
        <f>_xlfn.IFNA( INDEX('دورات القيمة الدفترية'!I:O,MATCH($E112,'دورات القيمة الدفترية'!O:O,0),4),D112)</f>
        <v>0.17</v>
      </c>
      <c r="D112" t="e">
        <f>INDEX('دورات القيمة الدفترية'!Q:W,MATCH($E112,'دورات القيمة الدفترية'!W:W,0),4)</f>
        <v>#N/A</v>
      </c>
      <c r="E112" t="s">
        <v>95</v>
      </c>
    </row>
    <row r="113" spans="1:5">
      <c r="A113">
        <f t="shared" si="1"/>
        <v>1.07</v>
      </c>
      <c r="B113">
        <f>_xlfn.IFNA( INDEX('دورات القيمة الدفترية'!A:G,MATCH($E113,'دورات القيمة الدفترية'!G:G,0),4),C113)</f>
        <v>1.07</v>
      </c>
      <c r="C113">
        <f>_xlfn.IFNA( INDEX('دورات القيمة الدفترية'!I:O,MATCH($E113,'دورات القيمة الدفترية'!O:O,0),4),D113)</f>
        <v>1.07</v>
      </c>
      <c r="D113">
        <f>INDEX('دورات القيمة الدفترية'!Q:W,MATCH($E113,'دورات القيمة الدفترية'!W:W,0),4)</f>
        <v>1.08</v>
      </c>
      <c r="E113" t="s">
        <v>121</v>
      </c>
    </row>
    <row r="114" spans="1:5">
      <c r="A114" t="e">
        <f t="shared" si="1"/>
        <v>#N/A</v>
      </c>
      <c r="B114" t="e">
        <f>_xlfn.IFNA( INDEX('دورات القيمة الدفترية'!A:G,MATCH($E114,'دورات القيمة الدفترية'!G:G,0),4),C114)</f>
        <v>#N/A</v>
      </c>
      <c r="C114" t="e">
        <f>_xlfn.IFNA( INDEX('دورات القيمة الدفترية'!I:O,MATCH($E114,'دورات القيمة الدفترية'!O:O,0),4),D114)</f>
        <v>#N/A</v>
      </c>
      <c r="D114" t="e">
        <f>INDEX('دورات القيمة الدفترية'!Q:W,MATCH($E114,'دورات القيمة الدفترية'!W:W,0),4)</f>
        <v>#N/A</v>
      </c>
      <c r="E114" t="s">
        <v>482</v>
      </c>
    </row>
    <row r="115" spans="1:5">
      <c r="A115" t="e">
        <f t="shared" si="1"/>
        <v>#N/A</v>
      </c>
      <c r="B115" t="e">
        <f>_xlfn.IFNA( INDEX('دورات القيمة الدفترية'!A:G,MATCH($E115,'دورات القيمة الدفترية'!G:G,0),4),C115)</f>
        <v>#N/A</v>
      </c>
      <c r="C115" t="e">
        <f>_xlfn.IFNA( INDEX('دورات القيمة الدفترية'!I:O,MATCH($E115,'دورات القيمة الدفترية'!O:O,0),4),D115)</f>
        <v>#N/A</v>
      </c>
      <c r="D115" t="e">
        <f>INDEX('دورات القيمة الدفترية'!Q:W,MATCH($E115,'دورات القيمة الدفترية'!W:W,0),4)</f>
        <v>#N/A</v>
      </c>
      <c r="E115" t="s">
        <v>482</v>
      </c>
    </row>
    <row r="116" spans="1:5">
      <c r="A116">
        <f t="shared" si="1"/>
        <v>0.61</v>
      </c>
      <c r="B116">
        <f>_xlfn.IFNA( INDEX('دورات القيمة الدفترية'!A:G,MATCH($E116,'دورات القيمة الدفترية'!G:G,0),4),C116)</f>
        <v>0.61</v>
      </c>
      <c r="C116">
        <f>_xlfn.IFNA( INDEX('دورات القيمة الدفترية'!I:O,MATCH($E116,'دورات القيمة الدفترية'!O:O,0),4),D116)</f>
        <v>0.56000000000000005</v>
      </c>
      <c r="D116">
        <f>INDEX('دورات القيمة الدفترية'!Q:W,MATCH($E116,'دورات القيمة الدفترية'!W:W,0),4)</f>
        <v>0.53</v>
      </c>
      <c r="E116" t="s">
        <v>202</v>
      </c>
    </row>
    <row r="117" spans="1:5">
      <c r="A117">
        <f t="shared" si="1"/>
        <v>0.8</v>
      </c>
      <c r="B117">
        <f>_xlfn.IFNA( INDEX('دورات القيمة الدفترية'!A:G,MATCH($E117,'دورات القيمة الدفترية'!G:G,0),4),C117)</f>
        <v>0.8</v>
      </c>
      <c r="C117">
        <f>_xlfn.IFNA( INDEX('دورات القيمة الدفترية'!I:O,MATCH($E117,'دورات القيمة الدفترية'!O:O,0),4),D117)</f>
        <v>0.72</v>
      </c>
      <c r="D117">
        <f>INDEX('دورات القيمة الدفترية'!Q:W,MATCH($E117,'دورات القيمة الدفترية'!W:W,0),4)</f>
        <v>0.56999999999999995</v>
      </c>
      <c r="E117" t="s">
        <v>54</v>
      </c>
    </row>
    <row r="118" spans="1:5">
      <c r="A118">
        <f t="shared" si="1"/>
        <v>0.8</v>
      </c>
      <c r="B118">
        <f>_xlfn.IFNA( INDEX('دورات القيمة الدفترية'!A:G,MATCH($E118,'دورات القيمة الدفترية'!G:G,0),4),C118)</f>
        <v>0.8</v>
      </c>
      <c r="C118">
        <f>_xlfn.IFNA( INDEX('دورات القيمة الدفترية'!I:O,MATCH($E118,'دورات القيمة الدفترية'!O:O,0),4),D118)</f>
        <v>0.72</v>
      </c>
      <c r="D118">
        <f>INDEX('دورات القيمة الدفترية'!Q:W,MATCH($E118,'دورات القيمة الدفترية'!W:W,0),4)</f>
        <v>0.56999999999999995</v>
      </c>
      <c r="E118" t="s">
        <v>54</v>
      </c>
    </row>
    <row r="119" spans="1:5">
      <c r="A119">
        <f t="shared" si="1"/>
        <v>1.22</v>
      </c>
      <c r="B119">
        <f>_xlfn.IFNA( INDEX('دورات القيمة الدفترية'!A:G,MATCH($E119,'دورات القيمة الدفترية'!G:G,0),4),C119)</f>
        <v>1.22</v>
      </c>
      <c r="C119">
        <f>_xlfn.IFNA( INDEX('دورات القيمة الدفترية'!I:O,MATCH($E119,'دورات القيمة الدفترية'!O:O,0),4),D119)</f>
        <v>1.04</v>
      </c>
      <c r="D119">
        <f>INDEX('دورات القيمة الدفترية'!Q:W,MATCH($E119,'دورات القيمة الدفترية'!W:W,0),4)</f>
        <v>1.02</v>
      </c>
      <c r="E119" t="s">
        <v>55</v>
      </c>
    </row>
    <row r="120" spans="1:5">
      <c r="A120">
        <f t="shared" si="1"/>
        <v>3.75</v>
      </c>
      <c r="B120">
        <f>_xlfn.IFNA( INDEX('دورات القيمة الدفترية'!A:G,MATCH($E120,'دورات القيمة الدفترية'!G:G,0),4),C120)</f>
        <v>3.75</v>
      </c>
      <c r="C120">
        <f>_xlfn.IFNA( INDEX('دورات القيمة الدفترية'!I:O,MATCH($E120,'دورات القيمة الدفترية'!O:O,0),4),D120)</f>
        <v>3.75</v>
      </c>
      <c r="D120">
        <f>INDEX('دورات القيمة الدفترية'!Q:W,MATCH($E120,'دورات القيمة الدفترية'!W:W,0),4)</f>
        <v>3.83</v>
      </c>
      <c r="E120" t="s">
        <v>139</v>
      </c>
    </row>
    <row r="121" spans="1:5">
      <c r="A121">
        <f t="shared" si="1"/>
        <v>3.75</v>
      </c>
      <c r="B121">
        <f>_xlfn.IFNA( INDEX('دورات القيمة الدفترية'!A:G,MATCH($E121,'دورات القيمة الدفترية'!G:G,0),4),C121)</f>
        <v>3.75</v>
      </c>
      <c r="C121">
        <f>_xlfn.IFNA( INDEX('دورات القيمة الدفترية'!I:O,MATCH($E121,'دورات القيمة الدفترية'!O:O,0),4),D121)</f>
        <v>3.75</v>
      </c>
      <c r="D121">
        <f>INDEX('دورات القيمة الدفترية'!Q:W,MATCH($E121,'دورات القيمة الدفترية'!W:W,0),4)</f>
        <v>3.83</v>
      </c>
      <c r="E121" t="s">
        <v>139</v>
      </c>
    </row>
    <row r="122" spans="1:5">
      <c r="A122">
        <f t="shared" si="1"/>
        <v>3.42</v>
      </c>
      <c r="B122">
        <f>_xlfn.IFNA( INDEX('دورات القيمة الدفترية'!A:G,MATCH($E122,'دورات القيمة الدفترية'!G:G,0),4),C122)</f>
        <v>3.42</v>
      </c>
      <c r="C122">
        <f>_xlfn.IFNA( INDEX('دورات القيمة الدفترية'!I:O,MATCH($E122,'دورات القيمة الدفترية'!O:O,0),4),D122)</f>
        <v>3.42</v>
      </c>
      <c r="D122">
        <f>INDEX('دورات القيمة الدفترية'!Q:W,MATCH($E122,'دورات القيمة الدفترية'!W:W,0),4)</f>
        <v>3.42</v>
      </c>
      <c r="E122" t="s">
        <v>205</v>
      </c>
    </row>
    <row r="123" spans="1:5">
      <c r="A123">
        <f t="shared" si="1"/>
        <v>1.54</v>
      </c>
      <c r="B123">
        <f>_xlfn.IFNA( INDEX('دورات القيمة الدفترية'!A:G,MATCH($E123,'دورات القيمة الدفترية'!G:G,0),4),C123)</f>
        <v>1.54</v>
      </c>
      <c r="C123">
        <f>_xlfn.IFNA( INDEX('دورات القيمة الدفترية'!I:O,MATCH($E123,'دورات القيمة الدفترية'!O:O,0),4),D123)</f>
        <v>1.54</v>
      </c>
      <c r="D123">
        <f>INDEX('دورات القيمة الدفترية'!Q:W,MATCH($E123,'دورات القيمة الدفترية'!W:W,0),4)</f>
        <v>1.54</v>
      </c>
      <c r="E123" t="s">
        <v>207</v>
      </c>
    </row>
    <row r="124" spans="1:5">
      <c r="A124">
        <f t="shared" si="1"/>
        <v>7.88</v>
      </c>
      <c r="B124">
        <f>_xlfn.IFNA( INDEX('دورات القيمة الدفترية'!A:G,MATCH($E124,'دورات القيمة الدفترية'!G:G,0),4),C124)</f>
        <v>7.88</v>
      </c>
      <c r="C124">
        <f>_xlfn.IFNA( INDEX('دورات القيمة الدفترية'!I:O,MATCH($E124,'دورات القيمة الدفترية'!O:O,0),4),D124)</f>
        <v>7.48</v>
      </c>
      <c r="D124">
        <f>INDEX('دورات القيمة الدفترية'!Q:W,MATCH($E124,'دورات القيمة الدفترية'!W:W,0),4)</f>
        <v>7.15</v>
      </c>
      <c r="E124" t="s">
        <v>17</v>
      </c>
    </row>
    <row r="125" spans="1:5">
      <c r="A125">
        <f t="shared" si="1"/>
        <v>10.32</v>
      </c>
      <c r="B125">
        <f>_xlfn.IFNA( INDEX('دورات القيمة الدفترية'!A:G,MATCH($E125,'دورات القيمة الدفترية'!G:G,0),4),C125)</f>
        <v>10.32</v>
      </c>
      <c r="C125">
        <f>_xlfn.IFNA( INDEX('دورات القيمة الدفترية'!I:O,MATCH($E125,'دورات القيمة الدفترية'!O:O,0),4),D125)</f>
        <v>10.32</v>
      </c>
      <c r="D125">
        <f>INDEX('دورات القيمة الدفترية'!Q:W,MATCH($E125,'دورات القيمة الدفترية'!W:W,0),4)</f>
        <v>11.29</v>
      </c>
      <c r="E125" t="s">
        <v>210</v>
      </c>
    </row>
    <row r="126" spans="1:5">
      <c r="A126">
        <f t="shared" si="1"/>
        <v>0.28000000000000003</v>
      </c>
      <c r="B126">
        <f>_xlfn.IFNA( INDEX('دورات القيمة الدفترية'!A:G,MATCH($E126,'دورات القيمة الدفترية'!G:G,0),4),C126)</f>
        <v>0.28000000000000003</v>
      </c>
      <c r="C126">
        <f>_xlfn.IFNA( INDEX('دورات القيمة الدفترية'!I:O,MATCH($E126,'دورات القيمة الدفترية'!O:O,0),4),D126)</f>
        <v>0.24</v>
      </c>
      <c r="D126">
        <f>INDEX('دورات القيمة الدفترية'!Q:W,MATCH($E126,'دورات القيمة الدفترية'!W:W,0),4)</f>
        <v>0.2</v>
      </c>
      <c r="E126" t="s">
        <v>131</v>
      </c>
    </row>
    <row r="127" spans="1:5">
      <c r="A127">
        <f t="shared" si="1"/>
        <v>1.7</v>
      </c>
      <c r="B127">
        <f>_xlfn.IFNA( INDEX('دورات القيمة الدفترية'!A:G,MATCH($E127,'دورات القيمة الدفترية'!G:G,0),4),C127)</f>
        <v>1.7</v>
      </c>
      <c r="C127">
        <f>_xlfn.IFNA( INDEX('دورات القيمة الدفترية'!I:O,MATCH($E127,'دورات القيمة الدفترية'!O:O,0),4),D127)</f>
        <v>1.69</v>
      </c>
      <c r="D127">
        <f>INDEX('دورات القيمة الدفترية'!Q:W,MATCH($E127,'دورات القيمة الدفترية'!W:W,0),4)</f>
        <v>1.74</v>
      </c>
      <c r="E127" t="s">
        <v>134</v>
      </c>
    </row>
    <row r="128" spans="1:5">
      <c r="A128">
        <f t="shared" si="1"/>
        <v>2</v>
      </c>
      <c r="B128">
        <f>_xlfn.IFNA( INDEX('دورات القيمة الدفترية'!A:G,MATCH($E128,'دورات القيمة الدفترية'!G:G,0),4),C128)</f>
        <v>2</v>
      </c>
      <c r="C128">
        <f>_xlfn.IFNA( INDEX('دورات القيمة الدفترية'!I:O,MATCH($E128,'دورات القيمة الدفترية'!O:O,0),4),D128)</f>
        <v>2</v>
      </c>
      <c r="D128">
        <f>INDEX('دورات القيمة الدفترية'!Q:W,MATCH($E128,'دورات القيمة الدفترية'!W:W,0),4)</f>
        <v>4.2699999999999996</v>
      </c>
      <c r="E128" t="s">
        <v>478</v>
      </c>
    </row>
    <row r="129" spans="1:5">
      <c r="A129">
        <f t="shared" si="1"/>
        <v>2</v>
      </c>
      <c r="B129">
        <f>_xlfn.IFNA( INDEX('دورات القيمة الدفترية'!A:G,MATCH($E129,'دورات القيمة الدفترية'!G:G,0),4),C129)</f>
        <v>2</v>
      </c>
      <c r="C129">
        <f>_xlfn.IFNA( INDEX('دورات القيمة الدفترية'!I:O,MATCH($E129,'دورات القيمة الدفترية'!O:O,0),4),D129)</f>
        <v>2</v>
      </c>
      <c r="D129">
        <f>INDEX('دورات القيمة الدفترية'!Q:W,MATCH($E129,'دورات القيمة الدفترية'!W:W,0),4)</f>
        <v>4.2699999999999996</v>
      </c>
      <c r="E129" t="s">
        <v>478</v>
      </c>
    </row>
    <row r="130" spans="1:5">
      <c r="A130" t="e">
        <f t="shared" si="1"/>
        <v>#N/A</v>
      </c>
      <c r="B130" t="e">
        <f>_xlfn.IFNA( INDEX('دورات القيمة الدفترية'!A:G,MATCH($E130,'دورات القيمة الدفترية'!G:G,0),4),C130)</f>
        <v>#N/A</v>
      </c>
      <c r="C130" t="e">
        <f>_xlfn.IFNA( INDEX('دورات القيمة الدفترية'!I:O,MATCH($E130,'دورات القيمة الدفترية'!O:O,0),4),D130)</f>
        <v>#N/A</v>
      </c>
      <c r="D130" t="e">
        <f>INDEX('دورات القيمة الدفترية'!Q:W,MATCH($E130,'دورات القيمة الدفترية'!W:W,0),4)</f>
        <v>#N/A</v>
      </c>
      <c r="E130" t="s">
        <v>479</v>
      </c>
    </row>
    <row r="131" spans="1:5">
      <c r="A131">
        <f t="shared" ref="A131:A194" si="2">B131</f>
        <v>-9.6</v>
      </c>
      <c r="B131">
        <f>_xlfn.IFNA( INDEX('دورات القيمة الدفترية'!A:G,MATCH($E131,'دورات القيمة الدفترية'!G:G,0),4),C131)</f>
        <v>-9.6</v>
      </c>
      <c r="C131">
        <f>_xlfn.IFNA( INDEX('دورات القيمة الدفترية'!I:O,MATCH($E131,'دورات القيمة الدفترية'!O:O,0),4),D131)</f>
        <v>-9.6</v>
      </c>
      <c r="D131">
        <f>INDEX('دورات القيمة الدفترية'!Q:W,MATCH($E131,'دورات القيمة الدفترية'!W:W,0),4)</f>
        <v>-8.66</v>
      </c>
      <c r="E131" t="s">
        <v>212</v>
      </c>
    </row>
    <row r="132" spans="1:5">
      <c r="A132">
        <f t="shared" si="2"/>
        <v>29.8</v>
      </c>
      <c r="B132">
        <f>_xlfn.IFNA( INDEX('دورات القيمة الدفترية'!A:G,MATCH($E132,'دورات القيمة الدفترية'!G:G,0),4),C132)</f>
        <v>29.8</v>
      </c>
      <c r="C132">
        <f>_xlfn.IFNA( INDEX('دورات القيمة الدفترية'!I:O,MATCH($E132,'دورات القيمة الدفترية'!O:O,0),4),D132)</f>
        <v>28.51</v>
      </c>
      <c r="D132">
        <f>INDEX('دورات القيمة الدفترية'!Q:W,MATCH($E132,'دورات القيمة الدفترية'!W:W,0),4)</f>
        <v>26.92</v>
      </c>
      <c r="E132" t="s">
        <v>37</v>
      </c>
    </row>
    <row r="133" spans="1:5">
      <c r="A133">
        <f t="shared" si="2"/>
        <v>2.42</v>
      </c>
      <c r="B133">
        <f>_xlfn.IFNA( INDEX('دورات القيمة الدفترية'!A:G,MATCH($E133,'دورات القيمة الدفترية'!G:G,0),4),C133)</f>
        <v>2.42</v>
      </c>
      <c r="C133">
        <f>_xlfn.IFNA( INDEX('دورات القيمة الدفترية'!I:O,MATCH($E133,'دورات القيمة الدفترية'!O:O,0),4),D133)</f>
        <v>2.23</v>
      </c>
      <c r="D133" t="e">
        <f>INDEX('دورات القيمة الدفترية'!Q:W,MATCH($E133,'دورات القيمة الدفترية'!W:W,0),4)</f>
        <v>#N/A</v>
      </c>
      <c r="E133" t="s">
        <v>73</v>
      </c>
    </row>
    <row r="134" spans="1:5">
      <c r="A134">
        <f t="shared" si="2"/>
        <v>21.79</v>
      </c>
      <c r="B134">
        <f>_xlfn.IFNA( INDEX('دورات القيمة الدفترية'!A:G,MATCH($E134,'دورات القيمة الدفترية'!G:G,0),4),C134)</f>
        <v>21.79</v>
      </c>
      <c r="C134">
        <f>_xlfn.IFNA( INDEX('دورات القيمة الدفترية'!I:O,MATCH($E134,'دورات القيمة الدفترية'!O:O,0),4),D134)</f>
        <v>18.39</v>
      </c>
      <c r="D134" t="e">
        <f>INDEX('دورات القيمة الدفترية'!Q:W,MATCH($E134,'دورات القيمة الدفترية'!W:W,0),4)</f>
        <v>#N/A</v>
      </c>
      <c r="E134" t="s">
        <v>32</v>
      </c>
    </row>
    <row r="135" spans="1:5">
      <c r="A135">
        <f t="shared" si="2"/>
        <v>122.1</v>
      </c>
      <c r="B135">
        <f>_xlfn.IFNA( INDEX('دورات القيمة الدفترية'!A:G,MATCH($E135,'دورات القيمة الدفترية'!G:G,0),4),C135)</f>
        <v>122.1</v>
      </c>
      <c r="C135">
        <f>_xlfn.IFNA( INDEX('دورات القيمة الدفترية'!I:O,MATCH($E135,'دورات القيمة الدفترية'!O:O,0),4),D135)</f>
        <v>118.01</v>
      </c>
      <c r="D135">
        <f>INDEX('دورات القيمة الدفترية'!Q:W,MATCH($E135,'دورات القيمة الدفترية'!W:W,0),4)</f>
        <v>118.8</v>
      </c>
      <c r="E135" t="s">
        <v>7</v>
      </c>
    </row>
    <row r="136" spans="1:5">
      <c r="A136">
        <f t="shared" si="2"/>
        <v>122.1</v>
      </c>
      <c r="B136">
        <f>_xlfn.IFNA( INDEX('دورات القيمة الدفترية'!A:G,MATCH($E136,'دورات القيمة الدفترية'!G:G,0),4),C136)</f>
        <v>122.1</v>
      </c>
      <c r="C136">
        <f>_xlfn.IFNA( INDEX('دورات القيمة الدفترية'!I:O,MATCH($E136,'دورات القيمة الدفترية'!O:O,0),4),D136)</f>
        <v>118.01</v>
      </c>
      <c r="D136">
        <f>INDEX('دورات القيمة الدفترية'!Q:W,MATCH($E136,'دورات القيمة الدفترية'!W:W,0),4)</f>
        <v>118.8</v>
      </c>
      <c r="E136" t="s">
        <v>7</v>
      </c>
    </row>
    <row r="137" spans="1:5">
      <c r="A137">
        <f t="shared" si="2"/>
        <v>4.3899999999999997</v>
      </c>
      <c r="B137">
        <f>_xlfn.IFNA( INDEX('دورات القيمة الدفترية'!A:G,MATCH($E137,'دورات القيمة الدفترية'!G:G,0),4),C137)</f>
        <v>4.3899999999999997</v>
      </c>
      <c r="C137">
        <f>_xlfn.IFNA( INDEX('دورات القيمة الدفترية'!I:O,MATCH($E137,'دورات القيمة الدفترية'!O:O,0),4),D137)</f>
        <v>4.3899999999999997</v>
      </c>
      <c r="D137">
        <f>INDEX('دورات القيمة الدفترية'!Q:W,MATCH($E137,'دورات القيمة الدفترية'!W:W,0),4)</f>
        <v>3.76</v>
      </c>
      <c r="E137" t="s">
        <v>9</v>
      </c>
    </row>
    <row r="138" spans="1:5">
      <c r="A138">
        <f t="shared" si="2"/>
        <v>1.43</v>
      </c>
      <c r="B138">
        <f>_xlfn.IFNA( INDEX('دورات القيمة الدفترية'!A:G,MATCH($E138,'دورات القيمة الدفترية'!G:G,0),4),C138)</f>
        <v>1.43</v>
      </c>
      <c r="C138">
        <f>_xlfn.IFNA( INDEX('دورات القيمة الدفترية'!I:O,MATCH($E138,'دورات القيمة الدفترية'!O:O,0),4),D138)</f>
        <v>1.43</v>
      </c>
      <c r="D138">
        <f>INDEX('دورات القيمة الدفترية'!Q:W,MATCH($E138,'دورات القيمة الدفترية'!W:W,0),4)</f>
        <v>1.33</v>
      </c>
      <c r="E138" t="s">
        <v>215</v>
      </c>
    </row>
    <row r="139" spans="1:5">
      <c r="A139">
        <f t="shared" si="2"/>
        <v>2.0299999999999998</v>
      </c>
      <c r="B139">
        <f>_xlfn.IFNA( INDEX('دورات القيمة الدفترية'!A:G,MATCH($E139,'دورات القيمة الدفترية'!G:G,0),4),C139)</f>
        <v>2.0299999999999998</v>
      </c>
      <c r="C139">
        <f>_xlfn.IFNA( INDEX('دورات القيمة الدفترية'!I:O,MATCH($E139,'دورات القيمة الدفترية'!O:O,0),4),D139)</f>
        <v>2.11</v>
      </c>
      <c r="D139">
        <f>INDEX('دورات القيمة الدفترية'!Q:W,MATCH($E139,'دورات القيمة الدفترية'!W:W,0),4)</f>
        <v>3.98</v>
      </c>
      <c r="E139" t="s">
        <v>16</v>
      </c>
    </row>
    <row r="140" spans="1:5">
      <c r="A140">
        <f t="shared" si="2"/>
        <v>0.65</v>
      </c>
      <c r="B140">
        <f>_xlfn.IFNA( INDEX('دورات القيمة الدفترية'!A:G,MATCH($E140,'دورات القيمة الدفترية'!G:G,0),4),C140)</f>
        <v>0.65</v>
      </c>
      <c r="C140" t="e">
        <f>_xlfn.IFNA( INDEX('دورات القيمة الدفترية'!I:O,MATCH($E140,'دورات القيمة الدفترية'!O:O,0),4),D140)</f>
        <v>#N/A</v>
      </c>
      <c r="D140" t="e">
        <f>INDEX('دورات القيمة الدفترية'!Q:W,MATCH($E140,'دورات القيمة الدفترية'!W:W,0),4)</f>
        <v>#N/A</v>
      </c>
      <c r="E140" t="s">
        <v>111</v>
      </c>
    </row>
    <row r="141" spans="1:5">
      <c r="A141">
        <f t="shared" si="2"/>
        <v>0.65</v>
      </c>
      <c r="B141">
        <f>_xlfn.IFNA( INDEX('دورات القيمة الدفترية'!A:G,MATCH($E141,'دورات القيمة الدفترية'!G:G,0),4),C141)</f>
        <v>0.65</v>
      </c>
      <c r="C141" t="e">
        <f>_xlfn.IFNA( INDEX('دورات القيمة الدفترية'!I:O,MATCH($E141,'دورات القيمة الدفترية'!O:O,0),4),D141)</f>
        <v>#N/A</v>
      </c>
      <c r="D141" t="e">
        <f>INDEX('دورات القيمة الدفترية'!Q:W,MATCH($E141,'دورات القيمة الدفترية'!W:W,0),4)</f>
        <v>#N/A</v>
      </c>
      <c r="E141" t="s">
        <v>111</v>
      </c>
    </row>
    <row r="142" spans="1:5">
      <c r="A142">
        <f t="shared" si="2"/>
        <v>1</v>
      </c>
      <c r="B142">
        <f>_xlfn.IFNA( INDEX('دورات القيمة الدفترية'!A:G,MATCH($E142,'دورات القيمة الدفترية'!G:G,0),4),C142)</f>
        <v>1</v>
      </c>
      <c r="C142">
        <f>_xlfn.IFNA( INDEX('دورات القيمة الدفترية'!I:O,MATCH($E142,'دورات القيمة الدفترية'!O:O,0),4),D142)</f>
        <v>0.92</v>
      </c>
      <c r="D142">
        <f>INDEX('دورات القيمة الدفترية'!Q:W,MATCH($E142,'دورات القيمة الدفترية'!W:W,0),4)</f>
        <v>0.84</v>
      </c>
      <c r="E142" t="s">
        <v>101</v>
      </c>
    </row>
    <row r="143" spans="1:5">
      <c r="A143">
        <f t="shared" si="2"/>
        <v>18.28</v>
      </c>
      <c r="B143">
        <f>_xlfn.IFNA( INDEX('دورات القيمة الدفترية'!A:G,MATCH($E143,'دورات القيمة الدفترية'!G:G,0),4),C143)</f>
        <v>18.28</v>
      </c>
      <c r="C143">
        <f>_xlfn.IFNA( INDEX('دورات القيمة الدفترية'!I:O,MATCH($E143,'دورات القيمة الدفترية'!O:O,0),4),D143)</f>
        <v>17.71</v>
      </c>
      <c r="D143">
        <f>INDEX('دورات القيمة الدفترية'!Q:W,MATCH($E143,'دورات القيمة الدفترية'!W:W,0),4)</f>
        <v>17.12</v>
      </c>
      <c r="E143" t="s">
        <v>44</v>
      </c>
    </row>
    <row r="144" spans="1:5">
      <c r="A144">
        <f t="shared" si="2"/>
        <v>1.95</v>
      </c>
      <c r="B144">
        <f>_xlfn.IFNA( INDEX('دورات القيمة الدفترية'!A:G,MATCH($E144,'دورات القيمة الدفترية'!G:G,0),4),C144)</f>
        <v>1.95</v>
      </c>
      <c r="C144">
        <f>_xlfn.IFNA( INDEX('دورات القيمة الدفترية'!I:O,MATCH($E144,'دورات القيمة الدفترية'!O:O,0),4),D144)</f>
        <v>1.95</v>
      </c>
      <c r="D144">
        <f>INDEX('دورات القيمة الدفترية'!Q:W,MATCH($E144,'دورات القيمة الدفترية'!W:W,0),4)</f>
        <v>1.95</v>
      </c>
      <c r="E144" t="s">
        <v>12</v>
      </c>
    </row>
    <row r="145" spans="1:5">
      <c r="A145">
        <f t="shared" si="2"/>
        <v>1.95</v>
      </c>
      <c r="B145">
        <f>_xlfn.IFNA( INDEX('دورات القيمة الدفترية'!A:G,MATCH($E145,'دورات القيمة الدفترية'!G:G,0),4),C145)</f>
        <v>1.95</v>
      </c>
      <c r="C145">
        <f>_xlfn.IFNA( INDEX('دورات القيمة الدفترية'!I:O,MATCH($E145,'دورات القيمة الدفترية'!O:O,0),4),D145)</f>
        <v>1.95</v>
      </c>
      <c r="D145">
        <f>INDEX('دورات القيمة الدفترية'!Q:W,MATCH($E145,'دورات القيمة الدفترية'!W:W,0),4)</f>
        <v>1.95</v>
      </c>
      <c r="E145" t="s">
        <v>12</v>
      </c>
    </row>
    <row r="146" spans="1:5">
      <c r="A146">
        <f t="shared" si="2"/>
        <v>0.43</v>
      </c>
      <c r="B146">
        <f>_xlfn.IFNA( INDEX('دورات القيمة الدفترية'!A:G,MATCH($E146,'دورات القيمة الدفترية'!G:G,0),4),C146)</f>
        <v>0.43</v>
      </c>
      <c r="C146">
        <f>_xlfn.IFNA( INDEX('دورات القيمة الدفترية'!I:O,MATCH($E146,'دورات القيمة الدفترية'!O:O,0),4),D146)</f>
        <v>0.42</v>
      </c>
      <c r="D146">
        <f>INDEX('دورات القيمة الدفترية'!Q:W,MATCH($E146,'دورات القيمة الدفترية'!W:W,0),4)</f>
        <v>0.41</v>
      </c>
      <c r="E146" t="s">
        <v>83</v>
      </c>
    </row>
    <row r="147" spans="1:5">
      <c r="A147">
        <f t="shared" si="2"/>
        <v>7.17</v>
      </c>
      <c r="B147">
        <f>_xlfn.IFNA( INDEX('دورات القيمة الدفترية'!A:G,MATCH($E147,'دورات القيمة الدفترية'!G:G,0),4),C147)</f>
        <v>7.17</v>
      </c>
      <c r="C147">
        <f>_xlfn.IFNA( INDEX('دورات القيمة الدفترية'!I:O,MATCH($E147,'دورات القيمة الدفترية'!O:O,0),4),D147)</f>
        <v>7.02</v>
      </c>
      <c r="D147">
        <f>INDEX('دورات القيمة الدفترية'!Q:W,MATCH($E147,'دورات القيمة الدفترية'!W:W,0),4)</f>
        <v>6.75</v>
      </c>
      <c r="E147" t="s">
        <v>105</v>
      </c>
    </row>
    <row r="148" spans="1:5">
      <c r="A148">
        <f t="shared" si="2"/>
        <v>1.5</v>
      </c>
      <c r="B148">
        <f>_xlfn.IFNA( INDEX('دورات القيمة الدفترية'!A:G,MATCH($E148,'دورات القيمة الدفترية'!G:G,0),4),C148)</f>
        <v>1.5</v>
      </c>
      <c r="C148">
        <f>_xlfn.IFNA( INDEX('دورات القيمة الدفترية'!I:O,MATCH($E148,'دورات القيمة الدفترية'!O:O,0),4),D148)</f>
        <v>1.5</v>
      </c>
      <c r="D148">
        <f>INDEX('دورات القيمة الدفترية'!Q:W,MATCH($E148,'دورات القيمة الدفترية'!W:W,0),4)</f>
        <v>1.51</v>
      </c>
      <c r="E148" t="s">
        <v>129</v>
      </c>
    </row>
    <row r="149" spans="1:5">
      <c r="A149" t="e">
        <f t="shared" si="2"/>
        <v>#N/A</v>
      </c>
      <c r="B149" t="e">
        <f>_xlfn.IFNA( INDEX('دورات القيمة الدفترية'!A:G,MATCH($E149,'دورات القيمة الدفترية'!G:G,0),4),C149)</f>
        <v>#N/A</v>
      </c>
      <c r="C149" t="e">
        <f>_xlfn.IFNA( INDEX('دورات القيمة الدفترية'!I:O,MATCH($E149,'دورات القيمة الدفترية'!O:O,0),4),D149)</f>
        <v>#N/A</v>
      </c>
      <c r="D149" t="e">
        <f>INDEX('دورات القيمة الدفترية'!Q:W,MATCH($E149,'دورات القيمة الدفترية'!W:W,0),4)</f>
        <v>#N/A</v>
      </c>
      <c r="E149" t="s">
        <v>137</v>
      </c>
    </row>
    <row r="150" spans="1:5">
      <c r="A150">
        <f t="shared" si="2"/>
        <v>1.32</v>
      </c>
      <c r="B150">
        <f>_xlfn.IFNA( INDEX('دورات القيمة الدفترية'!A:G,MATCH($E150,'دورات القيمة الدفترية'!G:G,0),4),C150)</f>
        <v>1.32</v>
      </c>
      <c r="C150">
        <f>_xlfn.IFNA( INDEX('دورات القيمة الدفترية'!I:O,MATCH($E150,'دورات القيمة الدفترية'!O:O,0),4),D150)</f>
        <v>1.32</v>
      </c>
      <c r="D150">
        <f>INDEX('دورات القيمة الدفترية'!Q:W,MATCH($E150,'دورات القيمة الدفترية'!W:W,0),4)</f>
        <v>1.31</v>
      </c>
      <c r="E150" t="s">
        <v>635</v>
      </c>
    </row>
    <row r="151" spans="1:5">
      <c r="A151">
        <f t="shared" si="2"/>
        <v>5.08</v>
      </c>
      <c r="B151">
        <f>_xlfn.IFNA( INDEX('دورات القيمة الدفترية'!A:G,MATCH($E151,'دورات القيمة الدفترية'!G:G,0),4),C151)</f>
        <v>5.08</v>
      </c>
      <c r="C151">
        <f>_xlfn.IFNA( INDEX('دورات القيمة الدفترية'!I:O,MATCH($E151,'دورات القيمة الدفترية'!O:O,0),4),D151)</f>
        <v>5.08</v>
      </c>
      <c r="D151">
        <f>INDEX('دورات القيمة الدفترية'!Q:W,MATCH($E151,'دورات القيمة الدفترية'!W:W,0),4)</f>
        <v>5.19</v>
      </c>
      <c r="E151" t="s">
        <v>140</v>
      </c>
    </row>
    <row r="152" spans="1:5">
      <c r="A152">
        <f t="shared" si="2"/>
        <v>5.08</v>
      </c>
      <c r="B152">
        <f>_xlfn.IFNA( INDEX('دورات القيمة الدفترية'!A:G,MATCH($E152,'دورات القيمة الدفترية'!G:G,0),4),C152)</f>
        <v>5.08</v>
      </c>
      <c r="C152">
        <f>_xlfn.IFNA( INDEX('دورات القيمة الدفترية'!I:O,MATCH($E152,'دورات القيمة الدفترية'!O:O,0),4),D152)</f>
        <v>5.08</v>
      </c>
      <c r="D152">
        <f>INDEX('دورات القيمة الدفترية'!Q:W,MATCH($E152,'دورات القيمة الدفترية'!W:W,0),4)</f>
        <v>5.19</v>
      </c>
      <c r="E152" t="s">
        <v>140</v>
      </c>
    </row>
    <row r="153" spans="1:5">
      <c r="A153">
        <f t="shared" si="2"/>
        <v>30.03</v>
      </c>
      <c r="B153">
        <f>_xlfn.IFNA( INDEX('دورات القيمة الدفترية'!A:G,MATCH($E153,'دورات القيمة الدفترية'!G:G,0),4),C153)</f>
        <v>30.03</v>
      </c>
      <c r="C153">
        <f>_xlfn.IFNA( INDEX('دورات القيمة الدفترية'!I:O,MATCH($E153,'دورات القيمة الدفترية'!O:O,0),4),D153)</f>
        <v>22.73</v>
      </c>
      <c r="D153" t="e">
        <f>INDEX('دورات القيمة الدفترية'!Q:W,MATCH($E153,'دورات القيمة الدفترية'!W:W,0),4)</f>
        <v>#N/A</v>
      </c>
      <c r="E153" t="s">
        <v>217</v>
      </c>
    </row>
    <row r="154" spans="1:5">
      <c r="A154">
        <f t="shared" si="2"/>
        <v>30.03</v>
      </c>
      <c r="B154">
        <f>_xlfn.IFNA( INDEX('دورات القيمة الدفترية'!A:G,MATCH($E154,'دورات القيمة الدفترية'!G:G,0),4),C154)</f>
        <v>30.03</v>
      </c>
      <c r="C154">
        <f>_xlfn.IFNA( INDEX('دورات القيمة الدفترية'!I:O,MATCH($E154,'دورات القيمة الدفترية'!O:O,0),4),D154)</f>
        <v>22.73</v>
      </c>
      <c r="D154" t="e">
        <f>INDEX('دورات القيمة الدفترية'!Q:W,MATCH($E154,'دورات القيمة الدفترية'!W:W,0),4)</f>
        <v>#N/A</v>
      </c>
      <c r="E154" t="s">
        <v>217</v>
      </c>
    </row>
    <row r="155" spans="1:5">
      <c r="A155" t="e">
        <f t="shared" si="2"/>
        <v>#N/A</v>
      </c>
      <c r="B155" t="e">
        <f>_xlfn.IFNA( INDEX('دورات القيمة الدفترية'!A:G,MATCH($E155,'دورات القيمة الدفترية'!G:G,0),4),C155)</f>
        <v>#N/A</v>
      </c>
      <c r="C155" t="e">
        <f>_xlfn.IFNA( INDEX('دورات القيمة الدفترية'!I:O,MATCH($E155,'دورات القيمة الدفترية'!O:O,0),4),D155)</f>
        <v>#N/A</v>
      </c>
      <c r="D155" t="e">
        <f>INDEX('دورات القيمة الدفترية'!Q:W,MATCH($E155,'دورات القيمة الدفترية'!W:W,0),4)</f>
        <v>#N/A</v>
      </c>
      <c r="E155" t="s">
        <v>480</v>
      </c>
    </row>
    <row r="156" spans="1:5">
      <c r="A156">
        <f t="shared" si="2"/>
        <v>61.54</v>
      </c>
      <c r="B156">
        <f>_xlfn.IFNA( INDEX('دورات القيمة الدفترية'!A:G,MATCH($E156,'دورات القيمة الدفترية'!G:G,0),4),C156)</f>
        <v>61.54</v>
      </c>
      <c r="C156">
        <f>_xlfn.IFNA( INDEX('دورات القيمة الدفترية'!I:O,MATCH($E156,'دورات القيمة الدفترية'!O:O,0),4),D156)</f>
        <v>61.54</v>
      </c>
      <c r="D156">
        <f>INDEX('دورات القيمة الدفترية'!Q:W,MATCH($E156,'دورات القيمة الدفترية'!W:W,0),4)</f>
        <v>60.55</v>
      </c>
      <c r="E156" t="s">
        <v>219</v>
      </c>
    </row>
    <row r="157" spans="1:5">
      <c r="A157" t="e">
        <f t="shared" si="2"/>
        <v>#N/A</v>
      </c>
      <c r="B157" t="e">
        <f>_xlfn.IFNA( INDEX('دورات القيمة الدفترية'!A:G,MATCH($E157,'دورات القيمة الدفترية'!G:G,0),4),C157)</f>
        <v>#N/A</v>
      </c>
      <c r="C157" t="e">
        <f>_xlfn.IFNA( INDEX('دورات القيمة الدفترية'!I:O,MATCH($E157,'دورات القيمة الدفترية'!O:O,0),4),D157)</f>
        <v>#N/A</v>
      </c>
      <c r="D157" t="e">
        <f>INDEX('دورات القيمة الدفترية'!Q:W,MATCH($E157,'دورات القيمة الدفترية'!W:W,0),4)</f>
        <v>#N/A</v>
      </c>
      <c r="E157" t="s">
        <v>461</v>
      </c>
    </row>
    <row r="158" spans="1:5">
      <c r="A158">
        <f t="shared" si="2"/>
        <v>30.22</v>
      </c>
      <c r="B158">
        <f>_xlfn.IFNA( INDEX('دورات القيمة الدفترية'!A:G,MATCH($E158,'دورات القيمة الدفترية'!G:G,0),4),C158)</f>
        <v>30.22</v>
      </c>
      <c r="C158">
        <f>_xlfn.IFNA( INDEX('دورات القيمة الدفترية'!I:O,MATCH($E158,'دورات القيمة الدفترية'!O:O,0),4),D158)</f>
        <v>30.22</v>
      </c>
      <c r="D158">
        <f>INDEX('دورات القيمة الدفترية'!Q:W,MATCH($E158,'دورات القيمة الدفترية'!W:W,0),4)</f>
        <v>27.36</v>
      </c>
      <c r="E158" t="s">
        <v>20</v>
      </c>
    </row>
    <row r="159" spans="1:5">
      <c r="A159">
        <f t="shared" si="2"/>
        <v>0.59</v>
      </c>
      <c r="B159">
        <f>_xlfn.IFNA( INDEX('دورات القيمة الدفترية'!A:G,MATCH($E159,'دورات القيمة الدفترية'!G:G,0),4),C159)</f>
        <v>0.59</v>
      </c>
      <c r="C159">
        <f>_xlfn.IFNA( INDEX('دورات القيمة الدفترية'!I:O,MATCH($E159,'دورات القيمة الدفترية'!O:O,0),4),D159)</f>
        <v>0.59</v>
      </c>
      <c r="D159">
        <f>INDEX('دورات القيمة الدفترية'!Q:W,MATCH($E159,'دورات القيمة الدفترية'!W:W,0),4)</f>
        <v>0.59</v>
      </c>
      <c r="E159" t="s">
        <v>221</v>
      </c>
    </row>
    <row r="160" spans="1:5">
      <c r="A160">
        <f t="shared" si="2"/>
        <v>0.02</v>
      </c>
      <c r="B160">
        <f>_xlfn.IFNA( INDEX('دورات القيمة الدفترية'!A:G,MATCH($E160,'دورات القيمة الدفترية'!G:G,0),4),C160)</f>
        <v>0.02</v>
      </c>
      <c r="C160">
        <f>_xlfn.IFNA( INDEX('دورات القيمة الدفترية'!I:O,MATCH($E160,'دورات القيمة الدفترية'!O:O,0),4),D160)</f>
        <v>0.02</v>
      </c>
      <c r="D160">
        <f>INDEX('دورات القيمة الدفترية'!Q:W,MATCH($E160,'دورات القيمة الدفترية'!W:W,0),4)</f>
        <v>18.48</v>
      </c>
      <c r="E160" t="s">
        <v>223</v>
      </c>
    </row>
    <row r="161" spans="1:5">
      <c r="A161">
        <f t="shared" si="2"/>
        <v>1.71</v>
      </c>
      <c r="B161">
        <f>_xlfn.IFNA( INDEX('دورات القيمة الدفترية'!A:G,MATCH($E161,'دورات القيمة الدفترية'!G:G,0),4),C161)</f>
        <v>1.71</v>
      </c>
      <c r="C161">
        <f>_xlfn.IFNA( INDEX('دورات القيمة الدفترية'!I:O,MATCH($E161,'دورات القيمة الدفترية'!O:O,0),4),D161)</f>
        <v>1.71</v>
      </c>
      <c r="D161">
        <f>INDEX('دورات القيمة الدفترية'!Q:W,MATCH($E161,'دورات القيمة الدفترية'!W:W,0),4)</f>
        <v>1.71</v>
      </c>
      <c r="E161" t="s">
        <v>639</v>
      </c>
    </row>
    <row r="162" spans="1:5">
      <c r="A162">
        <f t="shared" si="2"/>
        <v>14.9</v>
      </c>
      <c r="B162">
        <f>_xlfn.IFNA( INDEX('دورات القيمة الدفترية'!A:G,MATCH($E162,'دورات القيمة الدفترية'!G:G,0),4),C162)</f>
        <v>14.9</v>
      </c>
      <c r="C162">
        <f>_xlfn.IFNA( INDEX('دورات القيمة الدفترية'!I:O,MATCH($E162,'دورات القيمة الدفترية'!O:O,0),4),D162)</f>
        <v>11.43</v>
      </c>
      <c r="D162">
        <f>INDEX('دورات القيمة الدفترية'!Q:W,MATCH($E162,'دورات القيمة الدفترية'!W:W,0),4)</f>
        <v>8.07</v>
      </c>
      <c r="E162" t="s">
        <v>18</v>
      </c>
    </row>
    <row r="163" spans="1:5">
      <c r="A163">
        <f t="shared" si="2"/>
        <v>1.38</v>
      </c>
      <c r="B163">
        <f>_xlfn.IFNA( INDEX('دورات القيمة الدفترية'!A:G,MATCH($E163,'دورات القيمة الدفترية'!G:G,0),4),C163)</f>
        <v>1.38</v>
      </c>
      <c r="C163">
        <f>_xlfn.IFNA( INDEX('دورات القيمة الدفترية'!I:O,MATCH($E163,'دورات القيمة الدفترية'!O:O,0),4),D163)</f>
        <v>1.38</v>
      </c>
      <c r="D163">
        <f>INDEX('دورات القيمة الدفترية'!Q:W,MATCH($E163,'دورات القيمة الدفترية'!W:W,0),4)</f>
        <v>1.38</v>
      </c>
      <c r="E163" t="s">
        <v>225</v>
      </c>
    </row>
    <row r="164" spans="1:5">
      <c r="A164">
        <f t="shared" si="2"/>
        <v>42.29</v>
      </c>
      <c r="B164">
        <f>_xlfn.IFNA( INDEX('دورات القيمة الدفترية'!A:G,MATCH($E164,'دورات القيمة الدفترية'!G:G,0),4),C164)</f>
        <v>42.29</v>
      </c>
      <c r="C164">
        <f>_xlfn.IFNA( INDEX('دورات القيمة الدفترية'!I:O,MATCH($E164,'دورات القيمة الدفترية'!O:O,0),4),D164)</f>
        <v>42.29</v>
      </c>
      <c r="D164">
        <f>INDEX('دورات القيمة الدفترية'!Q:W,MATCH($E164,'دورات القيمة الدفترية'!W:W,0),4)</f>
        <v>41.21</v>
      </c>
      <c r="E164" t="s">
        <v>469</v>
      </c>
    </row>
    <row r="165" spans="1:5">
      <c r="A165">
        <f t="shared" si="2"/>
        <v>1.01</v>
      </c>
      <c r="B165">
        <f>_xlfn.IFNA( INDEX('دورات القيمة الدفترية'!A:G,MATCH($E165,'دورات القيمة الدفترية'!G:G,0),4),C165)</f>
        <v>1.01</v>
      </c>
      <c r="C165">
        <f>_xlfn.IFNA( INDEX('دورات القيمة الدفترية'!I:O,MATCH($E165,'دورات القيمة الدفترية'!O:O,0),4),D165)</f>
        <v>1.01</v>
      </c>
      <c r="D165">
        <f>INDEX('دورات القيمة الدفترية'!Q:W,MATCH($E165,'دورات القيمة الدفترية'!W:W,0),4)</f>
        <v>1.01</v>
      </c>
      <c r="E165" t="s">
        <v>226</v>
      </c>
    </row>
    <row r="166" spans="1:5">
      <c r="A166" t="e">
        <f t="shared" si="2"/>
        <v>#N/A</v>
      </c>
      <c r="B166" t="e">
        <f>_xlfn.IFNA( INDEX('دورات القيمة الدفترية'!A:G,MATCH($E166,'دورات القيمة الدفترية'!G:G,0),4),C166)</f>
        <v>#N/A</v>
      </c>
      <c r="C166" t="e">
        <f>_xlfn.IFNA( INDEX('دورات القيمة الدفترية'!I:O,MATCH($E166,'دورات القيمة الدفترية'!O:O,0),4),D166)</f>
        <v>#N/A</v>
      </c>
      <c r="D166" t="e">
        <f>INDEX('دورات القيمة الدفترية'!Q:W,MATCH($E166,'دورات القيمة الدفترية'!W:W,0),4)</f>
        <v>#N/A</v>
      </c>
      <c r="E166" t="s">
        <v>490</v>
      </c>
    </row>
    <row r="167" spans="1:5">
      <c r="A167">
        <f t="shared" si="2"/>
        <v>3.88</v>
      </c>
      <c r="B167">
        <f>_xlfn.IFNA( INDEX('دورات القيمة الدفترية'!A:G,MATCH($E167,'دورات القيمة الدفترية'!G:G,0),4),C167)</f>
        <v>3.88</v>
      </c>
      <c r="C167">
        <f>_xlfn.IFNA( INDEX('دورات القيمة الدفترية'!I:O,MATCH($E167,'دورات القيمة الدفترية'!O:O,0),4),D167)</f>
        <v>3.86</v>
      </c>
      <c r="D167">
        <f>INDEX('دورات القيمة الدفترية'!Q:W,MATCH($E167,'دورات القيمة الدفترية'!W:W,0),4)</f>
        <v>3.86</v>
      </c>
      <c r="E167" t="s">
        <v>124</v>
      </c>
    </row>
    <row r="168" spans="1:5">
      <c r="A168">
        <f t="shared" si="2"/>
        <v>3.88</v>
      </c>
      <c r="B168">
        <f>_xlfn.IFNA( INDEX('دورات القيمة الدفترية'!A:G,MATCH($E168,'دورات القيمة الدفترية'!G:G,0),4),C168)</f>
        <v>3.88</v>
      </c>
      <c r="C168">
        <f>_xlfn.IFNA( INDEX('دورات القيمة الدفترية'!I:O,MATCH($E168,'دورات القيمة الدفترية'!O:O,0),4),D168)</f>
        <v>3.86</v>
      </c>
      <c r="D168">
        <f>INDEX('دورات القيمة الدفترية'!Q:W,MATCH($E168,'دورات القيمة الدفترية'!W:W,0),4)</f>
        <v>3.86</v>
      </c>
      <c r="E168" t="s">
        <v>124</v>
      </c>
    </row>
    <row r="169" spans="1:5">
      <c r="A169">
        <f t="shared" si="2"/>
        <v>0.21</v>
      </c>
      <c r="B169">
        <f>_xlfn.IFNA( INDEX('دورات القيمة الدفترية'!A:G,MATCH($E169,'دورات القيمة الدفترية'!G:G,0),4),C169)</f>
        <v>0.21</v>
      </c>
      <c r="C169">
        <f>_xlfn.IFNA( INDEX('دورات القيمة الدفترية'!I:O,MATCH($E169,'دورات القيمة الدفترية'!O:O,0),4),D169)</f>
        <v>0.21</v>
      </c>
      <c r="D169">
        <f>INDEX('دورات القيمة الدفترية'!Q:W,MATCH($E169,'دورات القيمة الدفترية'!W:W,0),4)</f>
        <v>0.21</v>
      </c>
      <c r="E169" t="s">
        <v>120</v>
      </c>
    </row>
    <row r="170" spans="1:5">
      <c r="A170">
        <f t="shared" si="2"/>
        <v>0.21</v>
      </c>
      <c r="B170">
        <f>_xlfn.IFNA( INDEX('دورات القيمة الدفترية'!A:G,MATCH($E170,'دورات القيمة الدفترية'!G:G,0),4),C170)</f>
        <v>0.21</v>
      </c>
      <c r="C170">
        <f>_xlfn.IFNA( INDEX('دورات القيمة الدفترية'!I:O,MATCH($E170,'دورات القيمة الدفترية'!O:O,0),4),D170)</f>
        <v>0.21</v>
      </c>
      <c r="D170">
        <f>INDEX('دورات القيمة الدفترية'!Q:W,MATCH($E170,'دورات القيمة الدفترية'!W:W,0),4)</f>
        <v>0.21</v>
      </c>
      <c r="E170" t="s">
        <v>120</v>
      </c>
    </row>
    <row r="171" spans="1:5">
      <c r="A171">
        <f t="shared" si="2"/>
        <v>9.5500000000000007</v>
      </c>
      <c r="B171">
        <f>_xlfn.IFNA( INDEX('دورات القيمة الدفترية'!A:G,MATCH($E171,'دورات القيمة الدفترية'!G:G,0),4),C171)</f>
        <v>9.5500000000000007</v>
      </c>
      <c r="C171">
        <f>_xlfn.IFNA( INDEX('دورات القيمة الدفترية'!I:O,MATCH($E171,'دورات القيمة الدفترية'!O:O,0),4),D171)</f>
        <v>9.5500000000000007</v>
      </c>
      <c r="D171" t="e">
        <f>INDEX('دورات القيمة الدفترية'!Q:W,MATCH($E171,'دورات القيمة الدفترية'!W:W,0),4)</f>
        <v>#N/A</v>
      </c>
      <c r="E171" t="s">
        <v>30</v>
      </c>
    </row>
    <row r="172" spans="1:5">
      <c r="A172">
        <f t="shared" si="2"/>
        <v>9.5500000000000007</v>
      </c>
      <c r="B172">
        <f>_xlfn.IFNA( INDEX('دورات القيمة الدفترية'!A:G,MATCH($E172,'دورات القيمة الدفترية'!G:G,0),4),C172)</f>
        <v>9.5500000000000007</v>
      </c>
      <c r="C172">
        <f>_xlfn.IFNA( INDEX('دورات القيمة الدفترية'!I:O,MATCH($E172,'دورات القيمة الدفترية'!O:O,0),4),D172)</f>
        <v>9.5500000000000007</v>
      </c>
      <c r="D172" t="e">
        <f>INDEX('دورات القيمة الدفترية'!Q:W,MATCH($E172,'دورات القيمة الدفترية'!W:W,0),4)</f>
        <v>#N/A</v>
      </c>
      <c r="E172" t="s">
        <v>30</v>
      </c>
    </row>
    <row r="173" spans="1:5">
      <c r="A173">
        <f t="shared" si="2"/>
        <v>0.08</v>
      </c>
      <c r="B173">
        <f>_xlfn.IFNA( INDEX('دورات القيمة الدفترية'!A:G,MATCH($E173,'دورات القيمة الدفترية'!G:G,0),4),C173)</f>
        <v>0.08</v>
      </c>
      <c r="C173">
        <f>_xlfn.IFNA( INDEX('دورات القيمة الدفترية'!I:O,MATCH($E173,'دورات القيمة الدفترية'!O:O,0),4),D173)</f>
        <v>7.0000000000000007E-2</v>
      </c>
      <c r="D173">
        <f>INDEX('دورات القيمة الدفترية'!Q:W,MATCH($E173,'دورات القيمة الدفترية'!W:W,0),4)</f>
        <v>7.0000000000000007E-2</v>
      </c>
      <c r="E173" t="s">
        <v>112</v>
      </c>
    </row>
    <row r="174" spans="1:5">
      <c r="A174">
        <f t="shared" si="2"/>
        <v>0.08</v>
      </c>
      <c r="B174">
        <f>_xlfn.IFNA( INDEX('دورات القيمة الدفترية'!A:G,MATCH($E174,'دورات القيمة الدفترية'!G:G,0),4),C174)</f>
        <v>0.08</v>
      </c>
      <c r="C174">
        <f>_xlfn.IFNA( INDEX('دورات القيمة الدفترية'!I:O,MATCH($E174,'دورات القيمة الدفترية'!O:O,0),4),D174)</f>
        <v>7.0000000000000007E-2</v>
      </c>
      <c r="D174">
        <f>INDEX('دورات القيمة الدفترية'!Q:W,MATCH($E174,'دورات القيمة الدفترية'!W:W,0),4)</f>
        <v>7.0000000000000007E-2</v>
      </c>
      <c r="E174" t="s">
        <v>112</v>
      </c>
    </row>
    <row r="175" spans="1:5">
      <c r="A175">
        <f t="shared" si="2"/>
        <v>8.6</v>
      </c>
      <c r="B175">
        <f>_xlfn.IFNA( INDEX('دورات القيمة الدفترية'!A:G,MATCH($E175,'دورات القيمة الدفترية'!G:G,0),4),C175)</f>
        <v>8.6</v>
      </c>
      <c r="C175">
        <f>_xlfn.IFNA( INDEX('دورات القيمة الدفترية'!I:O,MATCH($E175,'دورات القيمة الدفترية'!O:O,0),4),D175)</f>
        <v>8.6</v>
      </c>
      <c r="D175" t="e">
        <f>INDEX('دورات القيمة الدفترية'!Q:W,MATCH($E175,'دورات القيمة الدفترية'!W:W,0),4)</f>
        <v>#N/A</v>
      </c>
      <c r="E175" t="s">
        <v>99</v>
      </c>
    </row>
    <row r="176" spans="1:5">
      <c r="A176" t="e">
        <f t="shared" si="2"/>
        <v>#N/A</v>
      </c>
      <c r="B176" t="e">
        <f>_xlfn.IFNA( INDEX('دورات القيمة الدفترية'!A:G,MATCH($E176,'دورات القيمة الدفترية'!G:G,0),4),C176)</f>
        <v>#N/A</v>
      </c>
      <c r="C176" t="e">
        <f>_xlfn.IFNA( INDEX('دورات القيمة الدفترية'!I:O,MATCH($E176,'دورات القيمة الدفترية'!O:O,0),4),D176)</f>
        <v>#N/A</v>
      </c>
      <c r="D176" t="e">
        <f>INDEX('دورات القيمة الدفترية'!Q:W,MATCH($E176,'دورات القيمة الدفترية'!W:W,0),4)</f>
        <v>#N/A</v>
      </c>
      <c r="E176" t="s">
        <v>476</v>
      </c>
    </row>
    <row r="177" spans="1:5">
      <c r="A177">
        <f t="shared" si="2"/>
        <v>1.1000000000000001</v>
      </c>
      <c r="B177">
        <f>_xlfn.IFNA( INDEX('دورات القيمة الدفترية'!A:G,MATCH($E177,'دورات القيمة الدفترية'!G:G,0),4),C177)</f>
        <v>1.1000000000000001</v>
      </c>
      <c r="C177">
        <f>_xlfn.IFNA( INDEX('دورات القيمة الدفترية'!I:O,MATCH($E177,'دورات القيمة الدفترية'!O:O,0),4),D177)</f>
        <v>1.27</v>
      </c>
      <c r="D177">
        <f>INDEX('دورات القيمة الدفترية'!Q:W,MATCH($E177,'دورات القيمة الدفترية'!W:W,0),4)</f>
        <v>1.56</v>
      </c>
      <c r="E177" t="s">
        <v>133</v>
      </c>
    </row>
    <row r="178" spans="1:5">
      <c r="A178">
        <f t="shared" si="2"/>
        <v>1.1000000000000001</v>
      </c>
      <c r="B178">
        <f>_xlfn.IFNA( INDEX('دورات القيمة الدفترية'!A:G,MATCH($E178,'دورات القيمة الدفترية'!G:G,0),4),C178)</f>
        <v>1.1000000000000001</v>
      </c>
      <c r="C178">
        <f>_xlfn.IFNA( INDEX('دورات القيمة الدفترية'!I:O,MATCH($E178,'دورات القيمة الدفترية'!O:O,0),4),D178)</f>
        <v>1.27</v>
      </c>
      <c r="D178">
        <f>INDEX('دورات القيمة الدفترية'!Q:W,MATCH($E178,'دورات القيمة الدفترية'!W:W,0),4)</f>
        <v>1.56</v>
      </c>
      <c r="E178" t="s">
        <v>133</v>
      </c>
    </row>
    <row r="179" spans="1:5">
      <c r="A179">
        <f t="shared" si="2"/>
        <v>0.3</v>
      </c>
      <c r="B179">
        <f>_xlfn.IFNA( INDEX('دورات القيمة الدفترية'!A:G,MATCH($E179,'دورات القيمة الدفترية'!G:G,0),4),C179)</f>
        <v>0.3</v>
      </c>
      <c r="C179">
        <f>_xlfn.IFNA( INDEX('دورات القيمة الدفترية'!I:O,MATCH($E179,'دورات القيمة الدفترية'!O:O,0),4),D179)</f>
        <v>0.37</v>
      </c>
      <c r="D179" t="e">
        <f>INDEX('دورات القيمة الدفترية'!Q:W,MATCH($E179,'دورات القيمة الدفترية'!W:W,0),4)</f>
        <v>#N/A</v>
      </c>
      <c r="E179" t="s">
        <v>228</v>
      </c>
    </row>
    <row r="180" spans="1:5">
      <c r="A180">
        <f t="shared" si="2"/>
        <v>0.3</v>
      </c>
      <c r="B180">
        <f>_xlfn.IFNA( INDEX('دورات القيمة الدفترية'!A:G,MATCH($E180,'دورات القيمة الدفترية'!G:G,0),4),C180)</f>
        <v>0.3</v>
      </c>
      <c r="C180">
        <f>_xlfn.IFNA( INDEX('دورات القيمة الدفترية'!I:O,MATCH($E180,'دورات القيمة الدفترية'!O:O,0),4),D180)</f>
        <v>0.37</v>
      </c>
      <c r="D180" t="e">
        <f>INDEX('دورات القيمة الدفترية'!Q:W,MATCH($E180,'دورات القيمة الدفترية'!W:W,0),4)</f>
        <v>#N/A</v>
      </c>
      <c r="E180" t="s">
        <v>228</v>
      </c>
    </row>
    <row r="181" spans="1:5">
      <c r="A181">
        <f t="shared" si="2"/>
        <v>1.29</v>
      </c>
      <c r="B181">
        <f>_xlfn.IFNA( INDEX('دورات القيمة الدفترية'!A:G,MATCH($E181,'دورات القيمة الدفترية'!G:G,0),4),C181)</f>
        <v>1.29</v>
      </c>
      <c r="C181">
        <f>_xlfn.IFNA( INDEX('دورات القيمة الدفترية'!I:O,MATCH($E181,'دورات القيمة الدفترية'!O:O,0),4),D181)</f>
        <v>1.26</v>
      </c>
      <c r="D181">
        <f>INDEX('دورات القيمة الدفترية'!Q:W,MATCH($E181,'دورات القيمة الدفترية'!W:W,0),4)</f>
        <v>1.22</v>
      </c>
      <c r="E181" t="s">
        <v>86</v>
      </c>
    </row>
    <row r="182" spans="1:5">
      <c r="A182">
        <f t="shared" si="2"/>
        <v>4.3600000000000003</v>
      </c>
      <c r="B182">
        <f>_xlfn.IFNA( INDEX('دورات القيمة الدفترية'!A:G,MATCH($E182,'دورات القيمة الدفترية'!G:G,0),4),C182)</f>
        <v>4.3600000000000003</v>
      </c>
      <c r="C182">
        <f>_xlfn.IFNA( INDEX('دورات القيمة الدفترية'!I:O,MATCH($E182,'دورات القيمة الدفترية'!O:O,0),4),D182)</f>
        <v>4.3600000000000003</v>
      </c>
      <c r="D182">
        <f>INDEX('دورات القيمة الدفترية'!Q:W,MATCH($E182,'دورات القيمة الدفترية'!W:W,0),4)</f>
        <v>4.0199999999999996</v>
      </c>
      <c r="E182" t="s">
        <v>231</v>
      </c>
    </row>
    <row r="183" spans="1:5">
      <c r="A183" t="e">
        <f t="shared" si="2"/>
        <v>#N/A</v>
      </c>
      <c r="B183" t="e">
        <f>_xlfn.IFNA( INDEX('دورات القيمة الدفترية'!A:G,MATCH($E183,'دورات القيمة الدفترية'!G:G,0),4),C183)</f>
        <v>#N/A</v>
      </c>
      <c r="C183" t="e">
        <f>_xlfn.IFNA( INDEX('دورات القيمة الدفترية'!I:O,MATCH($E183,'دورات القيمة الدفترية'!O:O,0),4),D183)</f>
        <v>#N/A</v>
      </c>
      <c r="D183" t="e">
        <f>INDEX('دورات القيمة الدفترية'!Q:W,MATCH($E183,'دورات القيمة الدفترية'!W:W,0),4)</f>
        <v>#N/A</v>
      </c>
      <c r="E183" t="s">
        <v>233</v>
      </c>
    </row>
    <row r="184" spans="1:5">
      <c r="A184">
        <f t="shared" si="2"/>
        <v>0.89</v>
      </c>
      <c r="B184">
        <f>_xlfn.IFNA( INDEX('دورات القيمة الدفترية'!A:G,MATCH($E184,'دورات القيمة الدفترية'!G:G,0),4),C184)</f>
        <v>0.89</v>
      </c>
      <c r="C184">
        <f>_xlfn.IFNA( INDEX('دورات القيمة الدفترية'!I:O,MATCH($E184,'دورات القيمة الدفترية'!O:O,0),4),D184)</f>
        <v>0.89</v>
      </c>
      <c r="D184" t="e">
        <f>INDEX('دورات القيمة الدفترية'!Q:W,MATCH($E184,'دورات القيمة الدفترية'!W:W,0),4)</f>
        <v>#N/A</v>
      </c>
      <c r="E184" t="s">
        <v>633</v>
      </c>
    </row>
    <row r="185" spans="1:5">
      <c r="A185">
        <f t="shared" si="2"/>
        <v>0.17</v>
      </c>
      <c r="B185">
        <f>_xlfn.IFNA( INDEX('دورات القيمة الدفترية'!A:G,MATCH($E185,'دورات القيمة الدفترية'!G:G,0),4),C185)</f>
        <v>0.17</v>
      </c>
      <c r="C185">
        <f>_xlfn.IFNA( INDEX('دورات القيمة الدفترية'!I:O,MATCH($E185,'دورات القيمة الدفترية'!O:O,0),4),D185)</f>
        <v>0.15</v>
      </c>
      <c r="D185">
        <f>INDEX('دورات القيمة الدفترية'!Q:W,MATCH($E185,'دورات القيمة الدفترية'!W:W,0),4)</f>
        <v>0.14000000000000001</v>
      </c>
      <c r="E185" t="s">
        <v>110</v>
      </c>
    </row>
    <row r="186" spans="1:5">
      <c r="A186">
        <f t="shared" si="2"/>
        <v>0.17</v>
      </c>
      <c r="B186">
        <f>_xlfn.IFNA( INDEX('دورات القيمة الدفترية'!A:G,MATCH($E186,'دورات القيمة الدفترية'!G:G,0),4),C186)</f>
        <v>0.17</v>
      </c>
      <c r="C186">
        <f>_xlfn.IFNA( INDEX('دورات القيمة الدفترية'!I:O,MATCH($E186,'دورات القيمة الدفترية'!O:O,0),4),D186)</f>
        <v>0.15</v>
      </c>
      <c r="D186">
        <f>INDEX('دورات القيمة الدفترية'!Q:W,MATCH($E186,'دورات القيمة الدفترية'!W:W,0),4)</f>
        <v>0.14000000000000001</v>
      </c>
      <c r="E186" t="s">
        <v>110</v>
      </c>
    </row>
    <row r="187" spans="1:5">
      <c r="A187">
        <f t="shared" si="2"/>
        <v>9.68</v>
      </c>
      <c r="B187">
        <f>_xlfn.IFNA( INDEX('دورات القيمة الدفترية'!A:G,MATCH($E187,'دورات القيمة الدفترية'!G:G,0),4),C187)</f>
        <v>9.68</v>
      </c>
      <c r="C187">
        <f>_xlfn.IFNA( INDEX('دورات القيمة الدفترية'!I:O,MATCH($E187,'دورات القيمة الدفترية'!O:O,0),4),D187)</f>
        <v>9.18</v>
      </c>
      <c r="D187">
        <f>INDEX('دورات القيمة الدفترية'!Q:W,MATCH($E187,'دورات القيمة الدفترية'!W:W,0),4)</f>
        <v>9.76</v>
      </c>
      <c r="E187" t="s">
        <v>88</v>
      </c>
    </row>
    <row r="188" spans="1:5">
      <c r="A188">
        <f t="shared" si="2"/>
        <v>9.68</v>
      </c>
      <c r="B188">
        <f>_xlfn.IFNA( INDEX('دورات القيمة الدفترية'!A:G,MATCH($E188,'دورات القيمة الدفترية'!G:G,0),4),C188)</f>
        <v>9.68</v>
      </c>
      <c r="C188">
        <f>_xlfn.IFNA( INDEX('دورات القيمة الدفترية'!I:O,MATCH($E188,'دورات القيمة الدفترية'!O:O,0),4),D188)</f>
        <v>9.18</v>
      </c>
      <c r="D188">
        <f>INDEX('دورات القيمة الدفترية'!Q:W,MATCH($E188,'دورات القيمة الدفترية'!W:W,0),4)</f>
        <v>9.76</v>
      </c>
      <c r="E188" t="s">
        <v>88</v>
      </c>
    </row>
    <row r="189" spans="1:5">
      <c r="A189">
        <f t="shared" si="2"/>
        <v>3.37</v>
      </c>
      <c r="B189">
        <f>_xlfn.IFNA( INDEX('دورات القيمة الدفترية'!A:G,MATCH($E189,'دورات القيمة الدفترية'!G:G,0),4),C189)</f>
        <v>3.37</v>
      </c>
      <c r="C189">
        <f>_xlfn.IFNA( INDEX('دورات القيمة الدفترية'!I:O,MATCH($E189,'دورات القيمة الدفترية'!O:O,0),4),D189)</f>
        <v>3.29</v>
      </c>
      <c r="D189">
        <f>INDEX('دورات القيمة الدفترية'!Q:W,MATCH($E189,'دورات القيمة الدفترية'!W:W,0),4)</f>
        <v>3.1</v>
      </c>
      <c r="E189" t="s">
        <v>51</v>
      </c>
    </row>
    <row r="190" spans="1:5">
      <c r="A190">
        <f t="shared" si="2"/>
        <v>3.37</v>
      </c>
      <c r="B190">
        <f>_xlfn.IFNA( INDEX('دورات القيمة الدفترية'!A:G,MATCH($E190,'دورات القيمة الدفترية'!G:G,0),4),C190)</f>
        <v>3.37</v>
      </c>
      <c r="C190">
        <f>_xlfn.IFNA( INDEX('دورات القيمة الدفترية'!I:O,MATCH($E190,'دورات القيمة الدفترية'!O:O,0),4),D190)</f>
        <v>3.29</v>
      </c>
      <c r="D190">
        <f>INDEX('دورات القيمة الدفترية'!Q:W,MATCH($E190,'دورات القيمة الدفترية'!W:W,0),4)</f>
        <v>3.1</v>
      </c>
      <c r="E190" t="s">
        <v>51</v>
      </c>
    </row>
    <row r="191" spans="1:5">
      <c r="A191">
        <f t="shared" si="2"/>
        <v>2.5099999999999998</v>
      </c>
      <c r="B191">
        <f>_xlfn.IFNA( INDEX('دورات القيمة الدفترية'!A:G,MATCH($E191,'دورات القيمة الدفترية'!G:G,0),4),C191)</f>
        <v>2.5099999999999998</v>
      </c>
      <c r="C191">
        <f>_xlfn.IFNA( INDEX('دورات القيمة الدفترية'!I:O,MATCH($E191,'دورات القيمة الدفترية'!O:O,0),4),D191)</f>
        <v>2.44</v>
      </c>
      <c r="D191">
        <f>INDEX('دورات القيمة الدفترية'!Q:W,MATCH($E191,'دورات القيمة الدفترية'!W:W,0),4)</f>
        <v>2.2999999999999998</v>
      </c>
      <c r="E191" t="s">
        <v>15</v>
      </c>
    </row>
    <row r="192" spans="1:5">
      <c r="A192">
        <f t="shared" si="2"/>
        <v>2.5099999999999998</v>
      </c>
      <c r="B192">
        <f>_xlfn.IFNA( INDEX('دورات القيمة الدفترية'!A:G,MATCH($E192,'دورات القيمة الدفترية'!G:G,0),4),C192)</f>
        <v>2.5099999999999998</v>
      </c>
      <c r="C192">
        <f>_xlfn.IFNA( INDEX('دورات القيمة الدفترية'!I:O,MATCH($E192,'دورات القيمة الدفترية'!O:O,0),4),D192)</f>
        <v>2.44</v>
      </c>
      <c r="D192">
        <f>INDEX('دورات القيمة الدفترية'!Q:W,MATCH($E192,'دورات القيمة الدفترية'!W:W,0),4)</f>
        <v>2.2999999999999998</v>
      </c>
      <c r="E192" t="s">
        <v>15</v>
      </c>
    </row>
    <row r="193" spans="1:5">
      <c r="A193">
        <f t="shared" si="2"/>
        <v>0.21</v>
      </c>
      <c r="B193">
        <f>_xlfn.IFNA( INDEX('دورات القيمة الدفترية'!A:G,MATCH($E193,'دورات القيمة الدفترية'!G:G,0),4),C193)</f>
        <v>0.21</v>
      </c>
      <c r="C193">
        <f>_xlfn.IFNA( INDEX('دورات القيمة الدفترية'!I:O,MATCH($E193,'دورات القيمة الدفترية'!O:O,0),4),D193)</f>
        <v>0.21</v>
      </c>
      <c r="D193">
        <f>INDEX('دورات القيمة الدفترية'!Q:W,MATCH($E193,'دورات القيمة الدفترية'!W:W,0),4)</f>
        <v>0.18</v>
      </c>
      <c r="E193" t="s">
        <v>473</v>
      </c>
    </row>
    <row r="194" spans="1:5">
      <c r="A194">
        <f t="shared" si="2"/>
        <v>0.8</v>
      </c>
      <c r="B194">
        <f>_xlfn.IFNA( INDEX('دورات القيمة الدفترية'!A:G,MATCH($E194,'دورات القيمة الدفترية'!G:G,0),4),C194)</f>
        <v>0.8</v>
      </c>
      <c r="C194">
        <f>_xlfn.IFNA( INDEX('دورات القيمة الدفترية'!I:O,MATCH($E194,'دورات القيمة الدفترية'!O:O,0),4),D194)</f>
        <v>0.68</v>
      </c>
      <c r="D194">
        <f>INDEX('دورات القيمة الدفترية'!Q:W,MATCH($E194,'دورات القيمة الدفترية'!W:W,0),4)</f>
        <v>0.85</v>
      </c>
      <c r="E194" t="s">
        <v>125</v>
      </c>
    </row>
    <row r="195" spans="1:5">
      <c r="A195">
        <f t="shared" ref="A195:A258" si="3">B195</f>
        <v>0</v>
      </c>
      <c r="B195">
        <f>_xlfn.IFNA( INDEX('دورات القيمة الدفترية'!A:G,MATCH($E195,'دورات القيمة الدفترية'!G:G,0),4),C195)</f>
        <v>0</v>
      </c>
      <c r="C195">
        <f>_xlfn.IFNA( INDEX('دورات القيمة الدفترية'!I:O,MATCH($E195,'دورات القيمة الدفترية'!O:O,0),4),D195)</f>
        <v>0</v>
      </c>
      <c r="D195">
        <f>INDEX('دورات القيمة الدفترية'!Q:W,MATCH($E195,'دورات القيمة الدفترية'!W:W,0),4)</f>
        <v>2.46</v>
      </c>
      <c r="E195" t="s">
        <v>235</v>
      </c>
    </row>
    <row r="196" spans="1:5">
      <c r="A196" t="e">
        <f t="shared" si="3"/>
        <v>#N/A</v>
      </c>
      <c r="B196" t="e">
        <f>_xlfn.IFNA( INDEX('دورات القيمة الدفترية'!A:G,MATCH($E196,'دورات القيمة الدفترية'!G:G,0),4),C196)</f>
        <v>#N/A</v>
      </c>
      <c r="C196" t="e">
        <f>_xlfn.IFNA( INDEX('دورات القيمة الدفترية'!I:O,MATCH($E196,'دورات القيمة الدفترية'!O:O,0),4),D196)</f>
        <v>#N/A</v>
      </c>
      <c r="D196" t="e">
        <f>INDEX('دورات القيمة الدفترية'!Q:W,MATCH($E196,'دورات القيمة الدفترية'!W:W,0),4)</f>
        <v>#N/A</v>
      </c>
      <c r="E196" t="s">
        <v>77</v>
      </c>
    </row>
    <row r="197" spans="1:5">
      <c r="A197">
        <f t="shared" si="3"/>
        <v>10.86</v>
      </c>
      <c r="B197">
        <f>_xlfn.IFNA( INDEX('دورات القيمة الدفترية'!A:G,MATCH($E197,'دورات القيمة الدفترية'!G:G,0),4),C197)</f>
        <v>10.86</v>
      </c>
      <c r="C197">
        <f>_xlfn.IFNA( INDEX('دورات القيمة الدفترية'!I:O,MATCH($E197,'دورات القيمة الدفترية'!O:O,0),4),D197)</f>
        <v>10.86</v>
      </c>
      <c r="D197">
        <f>INDEX('دورات القيمة الدفترية'!Q:W,MATCH($E197,'دورات القيمة الدفترية'!W:W,0),4)</f>
        <v>10</v>
      </c>
      <c r="E197" t="s">
        <v>63</v>
      </c>
    </row>
    <row r="198" spans="1:5">
      <c r="A198">
        <f t="shared" si="3"/>
        <v>15.57</v>
      </c>
      <c r="B198">
        <f>_xlfn.IFNA( INDEX('دورات القيمة الدفترية'!A:G,MATCH($E198,'دورات القيمة الدفترية'!G:G,0),4),C198)</f>
        <v>15.57</v>
      </c>
      <c r="C198">
        <f>_xlfn.IFNA( INDEX('دورات القيمة الدفترية'!I:O,MATCH($E198,'دورات القيمة الدفترية'!O:O,0),4),D198)</f>
        <v>19.73</v>
      </c>
      <c r="D198">
        <f>INDEX('دورات القيمة الدفترية'!Q:W,MATCH($E198,'دورات القيمة الدفترية'!W:W,0),4)</f>
        <v>20.14</v>
      </c>
      <c r="E198" t="s">
        <v>90</v>
      </c>
    </row>
    <row r="199" spans="1:5">
      <c r="A199">
        <f t="shared" si="3"/>
        <v>0.69</v>
      </c>
      <c r="B199">
        <f>_xlfn.IFNA( INDEX('دورات القيمة الدفترية'!A:G,MATCH($E199,'دورات القيمة الدفترية'!G:G,0),4),C199)</f>
        <v>0.69</v>
      </c>
      <c r="C199">
        <f>_xlfn.IFNA( INDEX('دورات القيمة الدفترية'!I:O,MATCH($E199,'دورات القيمة الدفترية'!O:O,0),4),D199)</f>
        <v>0.69</v>
      </c>
      <c r="D199">
        <f>INDEX('دورات القيمة الدفترية'!Q:W,MATCH($E199,'دورات القيمة الدفترية'!W:W,0),4)</f>
        <v>0.69</v>
      </c>
      <c r="E199" t="s">
        <v>236</v>
      </c>
    </row>
    <row r="200" spans="1:5">
      <c r="A200">
        <f t="shared" si="3"/>
        <v>20.61</v>
      </c>
      <c r="B200">
        <f>_xlfn.IFNA( INDEX('دورات القيمة الدفترية'!A:G,MATCH($E200,'دورات القيمة الدفترية'!G:G,0),4),C200)</f>
        <v>20.61</v>
      </c>
      <c r="C200">
        <f>_xlfn.IFNA( INDEX('دورات القيمة الدفترية'!I:O,MATCH($E200,'دورات القيمة الدفترية'!O:O,0),4),D200)</f>
        <v>20.61</v>
      </c>
      <c r="D200">
        <f>INDEX('دورات القيمة الدفترية'!Q:W,MATCH($E200,'دورات القيمة الدفترية'!W:W,0),4)</f>
        <v>16.91</v>
      </c>
      <c r="E200" t="s">
        <v>499</v>
      </c>
    </row>
    <row r="201" spans="1:5">
      <c r="A201">
        <f t="shared" si="3"/>
        <v>0.57999999999999996</v>
      </c>
      <c r="B201">
        <f>_xlfn.IFNA( INDEX('دورات القيمة الدفترية'!A:G,MATCH($E201,'دورات القيمة الدفترية'!G:G,0),4),C201)</f>
        <v>0.57999999999999996</v>
      </c>
      <c r="C201">
        <f>_xlfn.IFNA( INDEX('دورات القيمة الدفترية'!I:O,MATCH($E201,'دورات القيمة الدفترية'!O:O,0),4),D201)</f>
        <v>0.98</v>
      </c>
      <c r="D201">
        <f>INDEX('دورات القيمة الدفترية'!Q:W,MATCH($E201,'دورات القيمة الدفترية'!W:W,0),4)</f>
        <v>0.62</v>
      </c>
      <c r="E201" t="s">
        <v>128</v>
      </c>
    </row>
    <row r="202" spans="1:5">
      <c r="A202">
        <f t="shared" si="3"/>
        <v>0.57999999999999996</v>
      </c>
      <c r="B202">
        <f>_xlfn.IFNA( INDEX('دورات القيمة الدفترية'!A:G,MATCH($E202,'دورات القيمة الدفترية'!G:G,0),4),C202)</f>
        <v>0.57999999999999996</v>
      </c>
      <c r="C202">
        <f>_xlfn.IFNA( INDEX('دورات القيمة الدفترية'!I:O,MATCH($E202,'دورات القيمة الدفترية'!O:O,0),4),D202)</f>
        <v>0.98</v>
      </c>
      <c r="D202">
        <f>INDEX('دورات القيمة الدفترية'!Q:W,MATCH($E202,'دورات القيمة الدفترية'!W:W,0),4)</f>
        <v>0.62</v>
      </c>
      <c r="E202" t="s">
        <v>128</v>
      </c>
    </row>
    <row r="203" spans="1:5">
      <c r="A203">
        <f t="shared" si="3"/>
        <v>0.25</v>
      </c>
      <c r="B203">
        <f>_xlfn.IFNA( INDEX('دورات القيمة الدفترية'!A:G,MATCH($E203,'دورات القيمة الدفترية'!G:G,0),4),C203)</f>
        <v>0.25</v>
      </c>
      <c r="C203">
        <f>_xlfn.IFNA( INDEX('دورات القيمة الدفترية'!I:O,MATCH($E203,'دورات القيمة الدفترية'!O:O,0),4),D203)</f>
        <v>0.23</v>
      </c>
      <c r="D203">
        <f>INDEX('دورات القيمة الدفترية'!Q:W,MATCH($E203,'دورات القيمة الدفترية'!W:W,0),4)</f>
        <v>0.22</v>
      </c>
      <c r="E203" t="s">
        <v>113</v>
      </c>
    </row>
    <row r="204" spans="1:5">
      <c r="A204" t="e">
        <f t="shared" si="3"/>
        <v>#N/A</v>
      </c>
      <c r="B204" t="e">
        <f>_xlfn.IFNA( INDEX('دورات القيمة الدفترية'!A:G,MATCH($E204,'دورات القيمة الدفترية'!G:G,0),4),C204)</f>
        <v>#N/A</v>
      </c>
      <c r="C204" t="e">
        <f>_xlfn.IFNA( INDEX('دورات القيمة الدفترية'!I:O,MATCH($E204,'دورات القيمة الدفترية'!O:O,0),4),D204)</f>
        <v>#N/A</v>
      </c>
      <c r="D204" t="e">
        <f>INDEX('دورات القيمة الدفترية'!Q:W,MATCH($E204,'دورات القيمة الدفترية'!W:W,0),4)</f>
        <v>#N/A</v>
      </c>
      <c r="E204" t="s">
        <v>94</v>
      </c>
    </row>
    <row r="205" spans="1:5">
      <c r="A205">
        <f t="shared" si="3"/>
        <v>3.15</v>
      </c>
      <c r="B205">
        <f>_xlfn.IFNA( INDEX('دورات القيمة الدفترية'!A:G,MATCH($E205,'دورات القيمة الدفترية'!G:G,0),4),C205)</f>
        <v>3.15</v>
      </c>
      <c r="C205">
        <f>_xlfn.IFNA( INDEX('دورات القيمة الدفترية'!I:O,MATCH($E205,'دورات القيمة الدفترية'!O:O,0),4),D205)</f>
        <v>3.15</v>
      </c>
      <c r="D205">
        <f>INDEX('دورات القيمة الدفترية'!Q:W,MATCH($E205,'دورات القيمة الدفترية'!W:W,0),4)</f>
        <v>5.01</v>
      </c>
      <c r="E205" t="s">
        <v>67</v>
      </c>
    </row>
    <row r="206" spans="1:5">
      <c r="A206">
        <f t="shared" si="3"/>
        <v>3.15</v>
      </c>
      <c r="B206">
        <f>_xlfn.IFNA( INDEX('دورات القيمة الدفترية'!A:G,MATCH($E206,'دورات القيمة الدفترية'!G:G,0),4),C206)</f>
        <v>3.15</v>
      </c>
      <c r="C206">
        <f>_xlfn.IFNA( INDEX('دورات القيمة الدفترية'!I:O,MATCH($E206,'دورات القيمة الدفترية'!O:O,0),4),D206)</f>
        <v>3.15</v>
      </c>
      <c r="D206">
        <f>INDEX('دورات القيمة الدفترية'!Q:W,MATCH($E206,'دورات القيمة الدفترية'!W:W,0),4)</f>
        <v>5.01</v>
      </c>
      <c r="E206" t="s">
        <v>67</v>
      </c>
    </row>
    <row r="207" spans="1:5">
      <c r="A207">
        <f t="shared" si="3"/>
        <v>18.79</v>
      </c>
      <c r="B207">
        <f>_xlfn.IFNA( INDEX('دورات القيمة الدفترية'!A:G,MATCH($E207,'دورات القيمة الدفترية'!G:G,0),4),C207)</f>
        <v>18.79</v>
      </c>
      <c r="C207" t="e">
        <f>_xlfn.IFNA( INDEX('دورات القيمة الدفترية'!I:O,MATCH($E207,'دورات القيمة الدفترية'!O:O,0),4),D207)</f>
        <v>#N/A</v>
      </c>
      <c r="D207" t="e">
        <f>INDEX('دورات القيمة الدفترية'!Q:W,MATCH($E207,'دورات القيمة الدفترية'!W:W,0),4)</f>
        <v>#N/A</v>
      </c>
      <c r="E207" t="s">
        <v>75</v>
      </c>
    </row>
    <row r="208" spans="1:5">
      <c r="A208">
        <f t="shared" si="3"/>
        <v>18.79</v>
      </c>
      <c r="B208">
        <f>_xlfn.IFNA( INDEX('دورات القيمة الدفترية'!A:G,MATCH($E208,'دورات القيمة الدفترية'!G:G,0),4),C208)</f>
        <v>18.79</v>
      </c>
      <c r="C208" t="e">
        <f>_xlfn.IFNA( INDEX('دورات القيمة الدفترية'!I:O,MATCH($E208,'دورات القيمة الدفترية'!O:O,0),4),D208)</f>
        <v>#N/A</v>
      </c>
      <c r="D208" t="e">
        <f>INDEX('دورات القيمة الدفترية'!Q:W,MATCH($E208,'دورات القيمة الدفترية'!W:W,0),4)</f>
        <v>#N/A</v>
      </c>
      <c r="E208" t="s">
        <v>75</v>
      </c>
    </row>
    <row r="209" spans="1:5">
      <c r="A209">
        <f t="shared" si="3"/>
        <v>15.24</v>
      </c>
      <c r="B209">
        <f>_xlfn.IFNA( INDEX('دورات القيمة الدفترية'!A:G,MATCH($E209,'دورات القيمة الدفترية'!G:G,0),4),C209)</f>
        <v>15.24</v>
      </c>
      <c r="C209">
        <f>_xlfn.IFNA( INDEX('دورات القيمة الدفترية'!I:O,MATCH($E209,'دورات القيمة الدفترية'!O:O,0),4),D209)</f>
        <v>13.25</v>
      </c>
      <c r="D209" t="e">
        <f>INDEX('دورات القيمة الدفترية'!Q:W,MATCH($E209,'دورات القيمة الدفترية'!W:W,0),4)</f>
        <v>#N/A</v>
      </c>
      <c r="E209" t="s">
        <v>36</v>
      </c>
    </row>
    <row r="210" spans="1:5">
      <c r="A210">
        <f t="shared" si="3"/>
        <v>15.24</v>
      </c>
      <c r="B210">
        <f>_xlfn.IFNA( INDEX('دورات القيمة الدفترية'!A:G,MATCH($E210,'دورات القيمة الدفترية'!G:G,0),4),C210)</f>
        <v>15.24</v>
      </c>
      <c r="C210">
        <f>_xlfn.IFNA( INDEX('دورات القيمة الدفترية'!I:O,MATCH($E210,'دورات القيمة الدفترية'!O:O,0),4),D210)</f>
        <v>13.25</v>
      </c>
      <c r="D210" t="e">
        <f>INDEX('دورات القيمة الدفترية'!Q:W,MATCH($E210,'دورات القيمة الدفترية'!W:W,0),4)</f>
        <v>#N/A</v>
      </c>
      <c r="E210" t="s">
        <v>36</v>
      </c>
    </row>
    <row r="211" spans="1:5">
      <c r="A211">
        <f t="shared" si="3"/>
        <v>21.73</v>
      </c>
      <c r="B211">
        <f>_xlfn.IFNA( INDEX('دورات القيمة الدفترية'!A:G,MATCH($E211,'دورات القيمة الدفترية'!G:G,0),4),C211)</f>
        <v>21.73</v>
      </c>
      <c r="C211">
        <f>_xlfn.IFNA( INDEX('دورات القيمة الدفترية'!I:O,MATCH($E211,'دورات القيمة الدفترية'!O:O,0),4),D211)</f>
        <v>21.73</v>
      </c>
      <c r="D211" t="e">
        <f>INDEX('دورات القيمة الدفترية'!Q:W,MATCH($E211,'دورات القيمة الدفترية'!W:W,0),4)</f>
        <v>#N/A</v>
      </c>
      <c r="E211" t="s">
        <v>241</v>
      </c>
    </row>
    <row r="212" spans="1:5">
      <c r="A212">
        <f t="shared" si="3"/>
        <v>21.73</v>
      </c>
      <c r="B212">
        <f>_xlfn.IFNA( INDEX('دورات القيمة الدفترية'!A:G,MATCH($E212,'دورات القيمة الدفترية'!G:G,0),4),C212)</f>
        <v>21.73</v>
      </c>
      <c r="C212">
        <f>_xlfn.IFNA( INDEX('دورات القيمة الدفترية'!I:O,MATCH($E212,'دورات القيمة الدفترية'!O:O,0),4),D212)</f>
        <v>21.73</v>
      </c>
      <c r="D212" t="e">
        <f>INDEX('دورات القيمة الدفترية'!Q:W,MATCH($E212,'دورات القيمة الدفترية'!W:W,0),4)</f>
        <v>#N/A</v>
      </c>
      <c r="E212" t="s">
        <v>241</v>
      </c>
    </row>
    <row r="213" spans="1:5">
      <c r="A213">
        <f t="shared" si="3"/>
        <v>268.08999999999997</v>
      </c>
      <c r="B213">
        <f>_xlfn.IFNA( INDEX('دورات القيمة الدفترية'!A:G,MATCH($E213,'دورات القيمة الدفترية'!G:G,0),4),C213)</f>
        <v>268.08999999999997</v>
      </c>
      <c r="C213">
        <f>_xlfn.IFNA( INDEX('دورات القيمة الدفترية'!I:O,MATCH($E213,'دورات القيمة الدفترية'!O:O,0),4),D213)</f>
        <v>268.08999999999997</v>
      </c>
      <c r="D213">
        <f>INDEX('دورات القيمة الدفترية'!Q:W,MATCH($E213,'دورات القيمة الدفترية'!W:W,0),4)</f>
        <v>272.13</v>
      </c>
      <c r="E213" t="s">
        <v>243</v>
      </c>
    </row>
    <row r="214" spans="1:5">
      <c r="A214">
        <f t="shared" si="3"/>
        <v>0.69</v>
      </c>
      <c r="B214">
        <f>_xlfn.IFNA( INDEX('دورات القيمة الدفترية'!A:G,MATCH($E214,'دورات القيمة الدفترية'!G:G,0),4),C214)</f>
        <v>0.69</v>
      </c>
      <c r="C214">
        <f>_xlfn.IFNA( INDEX('دورات القيمة الدفترية'!I:O,MATCH($E214,'دورات القيمة الدفترية'!O:O,0),4),D214)</f>
        <v>0.69</v>
      </c>
      <c r="D214">
        <f>INDEX('دورات القيمة الدفترية'!Q:W,MATCH($E214,'دورات القيمة الدفترية'!W:W,0),4)</f>
        <v>0.71</v>
      </c>
      <c r="E214" t="s">
        <v>132</v>
      </c>
    </row>
    <row r="215" spans="1:5">
      <c r="A215">
        <f t="shared" si="3"/>
        <v>7.0000000000000007E-2</v>
      </c>
      <c r="B215">
        <f>_xlfn.IFNA( INDEX('دورات القيمة الدفترية'!A:G,MATCH($E215,'دورات القيمة الدفترية'!G:G,0),4),C215)</f>
        <v>7.0000000000000007E-2</v>
      </c>
      <c r="C215">
        <f>_xlfn.IFNA( INDEX('دورات القيمة الدفترية'!I:O,MATCH($E215,'دورات القيمة الدفترية'!O:O,0),4),D215)</f>
        <v>7.0000000000000007E-2</v>
      </c>
      <c r="D215" t="e">
        <f>INDEX('دورات القيمة الدفترية'!Q:W,MATCH($E215,'دورات القيمة الدفترية'!W:W,0),4)</f>
        <v>#N/A</v>
      </c>
      <c r="E215" t="s">
        <v>117</v>
      </c>
    </row>
    <row r="216" spans="1:5">
      <c r="A216">
        <f t="shared" si="3"/>
        <v>0.64</v>
      </c>
      <c r="B216">
        <f>_xlfn.IFNA( INDEX('دورات القيمة الدفترية'!A:G,MATCH($E216,'دورات القيمة الدفترية'!G:G,0),4),C216)</f>
        <v>0.64</v>
      </c>
      <c r="C216">
        <f>_xlfn.IFNA( INDEX('دورات القيمة الدفترية'!I:O,MATCH($E216,'دورات القيمة الدفترية'!O:O,0),4),D216)</f>
        <v>0.64</v>
      </c>
      <c r="D216">
        <f>INDEX('دورات القيمة الدفترية'!Q:W,MATCH($E216,'دورات القيمة الدفترية'!W:W,0),4)</f>
        <v>0.65</v>
      </c>
      <c r="E216" t="s">
        <v>465</v>
      </c>
    </row>
    <row r="217" spans="1:5">
      <c r="A217">
        <f t="shared" si="3"/>
        <v>0.12</v>
      </c>
      <c r="B217">
        <f>_xlfn.IFNA( INDEX('دورات القيمة الدفترية'!A:G,MATCH($E217,'دورات القيمة الدفترية'!G:G,0),4),C217)</f>
        <v>0.12</v>
      </c>
      <c r="C217">
        <f>_xlfn.IFNA( INDEX('دورات القيمة الدفترية'!I:O,MATCH($E217,'دورات القيمة الدفترية'!O:O,0),4),D217)</f>
        <v>0.12</v>
      </c>
      <c r="D217" t="e">
        <f>INDEX('دورات القيمة الدفترية'!Q:W,MATCH($E217,'دورات القيمة الدفترية'!W:W,0),4)</f>
        <v>#N/A</v>
      </c>
      <c r="E217" t="s">
        <v>244</v>
      </c>
    </row>
    <row r="218" spans="1:5">
      <c r="A218">
        <f t="shared" si="3"/>
        <v>0.12</v>
      </c>
      <c r="B218">
        <f>_xlfn.IFNA( INDEX('دورات القيمة الدفترية'!A:G,MATCH($E218,'دورات القيمة الدفترية'!G:G,0),4),C218)</f>
        <v>0.12</v>
      </c>
      <c r="C218">
        <f>_xlfn.IFNA( INDEX('دورات القيمة الدفترية'!I:O,MATCH($E218,'دورات القيمة الدفترية'!O:O,0),4),D218)</f>
        <v>0.12</v>
      </c>
      <c r="D218" t="e">
        <f>INDEX('دورات القيمة الدفترية'!Q:W,MATCH($E218,'دورات القيمة الدفترية'!W:W,0),4)</f>
        <v>#N/A</v>
      </c>
      <c r="E218" t="s">
        <v>244</v>
      </c>
    </row>
    <row r="219" spans="1:5">
      <c r="A219">
        <f t="shared" si="3"/>
        <v>-0.11</v>
      </c>
      <c r="B219">
        <f>_xlfn.IFNA( INDEX('دورات القيمة الدفترية'!A:G,MATCH($E219,'دورات القيمة الدفترية'!G:G,0),4),C219)</f>
        <v>-0.11</v>
      </c>
      <c r="C219">
        <f>_xlfn.IFNA( INDEX('دورات القيمة الدفترية'!I:O,MATCH($E219,'دورات القيمة الدفترية'!O:O,0),4),D219)</f>
        <v>-0.11</v>
      </c>
      <c r="D219">
        <f>INDEX('دورات القيمة الدفترية'!Q:W,MATCH($E219,'دورات القيمة الدفترية'!W:W,0),4)</f>
        <v>-0.14000000000000001</v>
      </c>
      <c r="E219" t="s">
        <v>245</v>
      </c>
    </row>
    <row r="220" spans="1:5">
      <c r="A220">
        <f t="shared" si="3"/>
        <v>8.3800000000000008</v>
      </c>
      <c r="B220">
        <f>_xlfn.IFNA( INDEX('دورات القيمة الدفترية'!A:G,MATCH($E220,'دورات القيمة الدفترية'!G:G,0),4),C220)</f>
        <v>8.3800000000000008</v>
      </c>
      <c r="C220">
        <f>_xlfn.IFNA( INDEX('دورات القيمة الدفترية'!I:O,MATCH($E220,'دورات القيمة الدفترية'!O:O,0),4),D220)</f>
        <v>10.17</v>
      </c>
      <c r="D220" t="e">
        <f>INDEX('دورات القيمة الدفترية'!Q:W,MATCH($E220,'دورات القيمة الدفترية'!W:W,0),4)</f>
        <v>#N/A</v>
      </c>
      <c r="E220" t="s">
        <v>91</v>
      </c>
    </row>
    <row r="221" spans="1:5">
      <c r="A221">
        <f t="shared" si="3"/>
        <v>8.3800000000000008</v>
      </c>
      <c r="B221">
        <f>_xlfn.IFNA( INDEX('دورات القيمة الدفترية'!A:G,MATCH($E221,'دورات القيمة الدفترية'!G:G,0),4),C221)</f>
        <v>8.3800000000000008</v>
      </c>
      <c r="C221">
        <f>_xlfn.IFNA( INDEX('دورات القيمة الدفترية'!I:O,MATCH($E221,'دورات القيمة الدفترية'!O:O,0),4),D221)</f>
        <v>10.17</v>
      </c>
      <c r="D221" t="e">
        <f>INDEX('دورات القيمة الدفترية'!Q:W,MATCH($E221,'دورات القيمة الدفترية'!W:W,0),4)</f>
        <v>#N/A</v>
      </c>
      <c r="E221" t="s">
        <v>91</v>
      </c>
    </row>
    <row r="222" spans="1:5">
      <c r="A222" t="e">
        <f t="shared" si="3"/>
        <v>#N/A</v>
      </c>
      <c r="B222" t="e">
        <f>_xlfn.IFNA( INDEX('دورات القيمة الدفترية'!A:G,MATCH($E222,'دورات القيمة الدفترية'!G:G,0),4),C222)</f>
        <v>#N/A</v>
      </c>
      <c r="C222" t="e">
        <f>_xlfn.IFNA( INDEX('دورات القيمة الدفترية'!I:O,MATCH($E222,'دورات القيمة الدفترية'!O:O,0),4),D222)</f>
        <v>#N/A</v>
      </c>
      <c r="D222" t="e">
        <f>INDEX('دورات القيمة الدفترية'!Q:W,MATCH($E222,'دورات القيمة الدفترية'!W:W,0),4)</f>
        <v>#N/A</v>
      </c>
      <c r="E222" t="s">
        <v>477</v>
      </c>
    </row>
    <row r="223" spans="1:5">
      <c r="A223">
        <f t="shared" si="3"/>
        <v>26.33</v>
      </c>
      <c r="B223">
        <f>_xlfn.IFNA( INDEX('دورات القيمة الدفترية'!A:G,MATCH($E223,'دورات القيمة الدفترية'!G:G,0),4),C223)</f>
        <v>26.33</v>
      </c>
      <c r="C223">
        <f>_xlfn.IFNA( INDEX('دورات القيمة الدفترية'!I:O,MATCH($E223,'دورات القيمة الدفترية'!O:O,0),4),D223)</f>
        <v>22.78</v>
      </c>
      <c r="D223" t="e">
        <f>INDEX('دورات القيمة الدفترية'!Q:W,MATCH($E223,'دورات القيمة الدفترية'!W:W,0),4)</f>
        <v>#N/A</v>
      </c>
      <c r="E223" t="s">
        <v>247</v>
      </c>
    </row>
    <row r="224" spans="1:5">
      <c r="A224">
        <f t="shared" si="3"/>
        <v>0.21</v>
      </c>
      <c r="B224">
        <f>_xlfn.IFNA( INDEX('دورات القيمة الدفترية'!A:G,MATCH($E224,'دورات القيمة الدفترية'!G:G,0),4),C224)</f>
        <v>0.21</v>
      </c>
      <c r="C224">
        <f>_xlfn.IFNA( INDEX('دورات القيمة الدفترية'!I:O,MATCH($E224,'دورات القيمة الدفترية'!O:O,0),4),D224)</f>
        <v>0.21</v>
      </c>
      <c r="D224">
        <f>INDEX('دورات القيمة الدفترية'!Q:W,MATCH($E224,'دورات القيمة الدفترية'!W:W,0),4)</f>
        <v>0.19</v>
      </c>
      <c r="E224" t="s">
        <v>249</v>
      </c>
    </row>
    <row r="225" spans="1:5">
      <c r="A225">
        <f t="shared" si="3"/>
        <v>15.55</v>
      </c>
      <c r="B225">
        <f>_xlfn.IFNA( INDEX('دورات القيمة الدفترية'!A:G,MATCH($E225,'دورات القيمة الدفترية'!G:G,0),4),C225)</f>
        <v>15.55</v>
      </c>
      <c r="C225">
        <f>_xlfn.IFNA( INDEX('دورات القيمة الدفترية'!I:O,MATCH($E225,'دورات القيمة الدفترية'!O:O,0),4),D225)</f>
        <v>14.81</v>
      </c>
      <c r="D225">
        <f>INDEX('دورات القيمة الدفترية'!Q:W,MATCH($E225,'دورات القيمة الدفترية'!W:W,0),4)</f>
        <v>14.4</v>
      </c>
      <c r="E225" t="s">
        <v>50</v>
      </c>
    </row>
    <row r="226" spans="1:5">
      <c r="A226">
        <f t="shared" si="3"/>
        <v>15.55</v>
      </c>
      <c r="B226">
        <f>_xlfn.IFNA( INDEX('دورات القيمة الدفترية'!A:G,MATCH($E226,'دورات القيمة الدفترية'!G:G,0),4),C226)</f>
        <v>15.55</v>
      </c>
      <c r="C226">
        <f>_xlfn.IFNA( INDEX('دورات القيمة الدفترية'!I:O,MATCH($E226,'دورات القيمة الدفترية'!O:O,0),4),D226)</f>
        <v>14.81</v>
      </c>
      <c r="D226">
        <f>INDEX('دورات القيمة الدفترية'!Q:W,MATCH($E226,'دورات القيمة الدفترية'!W:W,0),4)</f>
        <v>14.4</v>
      </c>
      <c r="E226" t="s">
        <v>50</v>
      </c>
    </row>
    <row r="227" spans="1:5">
      <c r="A227">
        <f t="shared" si="3"/>
        <v>2.1800000000000002</v>
      </c>
      <c r="B227">
        <f>_xlfn.IFNA( INDEX('دورات القيمة الدفترية'!A:G,MATCH($E227,'دورات القيمة الدفترية'!G:G,0),4),C227)</f>
        <v>2.1800000000000002</v>
      </c>
      <c r="C227">
        <f>_xlfn.IFNA( INDEX('دورات القيمة الدفترية'!I:O,MATCH($E227,'دورات القيمة الدفترية'!O:O,0),4),D227)</f>
        <v>2.1800000000000002</v>
      </c>
      <c r="D227">
        <f>INDEX('دورات القيمة الدفترية'!Q:W,MATCH($E227,'دورات القيمة الدفترية'!W:W,0),4)</f>
        <v>2.54</v>
      </c>
      <c r="E227" t="s">
        <v>250</v>
      </c>
    </row>
    <row r="228" spans="1:5">
      <c r="A228">
        <f t="shared" si="3"/>
        <v>0.5</v>
      </c>
      <c r="B228">
        <f>_xlfn.IFNA( INDEX('دورات القيمة الدفترية'!A:G,MATCH($E228,'دورات القيمة الدفترية'!G:G,0),4),C228)</f>
        <v>0.5</v>
      </c>
      <c r="C228">
        <f>_xlfn.IFNA( INDEX('دورات القيمة الدفترية'!I:O,MATCH($E228,'دورات القيمة الدفترية'!O:O,0),4),D228)</f>
        <v>0.5</v>
      </c>
      <c r="D228">
        <f>INDEX('دورات القيمة الدفترية'!Q:W,MATCH($E228,'دورات القيمة الدفترية'!W:W,0),4)</f>
        <v>0.5</v>
      </c>
      <c r="E228" t="s">
        <v>116</v>
      </c>
    </row>
    <row r="229" spans="1:5">
      <c r="A229">
        <f t="shared" si="3"/>
        <v>0.5</v>
      </c>
      <c r="B229">
        <f>_xlfn.IFNA( INDEX('دورات القيمة الدفترية'!A:G,MATCH($E229,'دورات القيمة الدفترية'!G:G,0),4),C229)</f>
        <v>0.5</v>
      </c>
      <c r="C229" t="e">
        <f>_xlfn.IFNA( INDEX('دورات القيمة الدفترية'!I:O,MATCH($E229,'دورات القيمة الدفترية'!O:O,0),4),D229)</f>
        <v>#N/A</v>
      </c>
      <c r="D229" t="e">
        <f>INDEX('دورات القيمة الدفترية'!Q:W,MATCH($E229,'دورات القيمة الدفترية'!W:W,0),4)</f>
        <v>#N/A</v>
      </c>
      <c r="E229" t="s">
        <v>591</v>
      </c>
    </row>
    <row r="230" spans="1:5">
      <c r="A230" t="e">
        <f t="shared" si="3"/>
        <v>#N/A</v>
      </c>
      <c r="B230" t="e">
        <f>_xlfn.IFNA( INDEX('دورات القيمة الدفترية'!A:G,MATCH($E230,'دورات القيمة الدفترية'!G:G,0),4),C230)</f>
        <v>#N/A</v>
      </c>
      <c r="C230" t="e">
        <f>_xlfn.IFNA( INDEX('دورات القيمة الدفترية'!I:O,MATCH($E230,'دورات القيمة الدفترية'!O:O,0),4),D230)</f>
        <v>#N/A</v>
      </c>
      <c r="D230" t="e">
        <f>INDEX('دورات القيمة الدفترية'!Q:W,MATCH($E230,'دورات القيمة الدفترية'!W:W,0),4)</f>
        <v>#N/A</v>
      </c>
      <c r="E230" t="s">
        <v>471</v>
      </c>
    </row>
    <row r="231" spans="1:5">
      <c r="A231">
        <f t="shared" si="3"/>
        <v>2.17</v>
      </c>
      <c r="B231">
        <f>_xlfn.IFNA( INDEX('دورات القيمة الدفترية'!A:G,MATCH($E231,'دورات القيمة الدفترية'!G:G,0),4),C231)</f>
        <v>2.17</v>
      </c>
      <c r="C231">
        <f>_xlfn.IFNA( INDEX('دورات القيمة الدفترية'!I:O,MATCH($E231,'دورات القيمة الدفترية'!O:O,0),4),D231)</f>
        <v>1.93</v>
      </c>
      <c r="D231">
        <f>INDEX('دورات القيمة الدفترية'!Q:W,MATCH($E231,'دورات القيمة الدفترية'!W:W,0),4)</f>
        <v>1.94</v>
      </c>
      <c r="E231" t="s">
        <v>108</v>
      </c>
    </row>
    <row r="232" spans="1:5">
      <c r="A232" t="e">
        <f t="shared" si="3"/>
        <v>#N/A</v>
      </c>
      <c r="B232" t="e">
        <f>_xlfn.IFNA( INDEX('دورات القيمة الدفترية'!A:G,MATCH($E232,'دورات القيمة الدفترية'!G:G,0),4),C232)</f>
        <v>#N/A</v>
      </c>
      <c r="C232" t="e">
        <f>_xlfn.IFNA( INDEX('دورات القيمة الدفترية'!I:O,MATCH($E232,'دورات القيمة الدفترية'!O:O,0),4),D232)</f>
        <v>#N/A</v>
      </c>
      <c r="D232" t="e">
        <f>INDEX('دورات القيمة الدفترية'!Q:W,MATCH($E232,'دورات القيمة الدفترية'!W:W,0),4)</f>
        <v>#N/A</v>
      </c>
      <c r="E232" t="s">
        <v>488</v>
      </c>
    </row>
    <row r="233" spans="1:5">
      <c r="A233">
        <f t="shared" si="3"/>
        <v>8.07</v>
      </c>
      <c r="B233">
        <f>_xlfn.IFNA( INDEX('دورات القيمة الدفترية'!A:G,MATCH($E233,'دورات القيمة الدفترية'!G:G,0),4),C233)</f>
        <v>8.07</v>
      </c>
      <c r="C233">
        <f>_xlfn.IFNA( INDEX('دورات القيمة الدفترية'!I:O,MATCH($E233,'دورات القيمة الدفترية'!O:O,0),4),D233)</f>
        <v>7.59</v>
      </c>
      <c r="D233">
        <f>INDEX('دورات القيمة الدفترية'!Q:W,MATCH($E233,'دورات القيمة الدفترية'!W:W,0),4)</f>
        <v>6.92</v>
      </c>
      <c r="E233" t="s">
        <v>6</v>
      </c>
    </row>
    <row r="234" spans="1:5">
      <c r="A234">
        <f t="shared" si="3"/>
        <v>0.57999999999999996</v>
      </c>
      <c r="B234">
        <f>_xlfn.IFNA( INDEX('دورات القيمة الدفترية'!A:G,MATCH($E234,'دورات القيمة الدفترية'!G:G,0),4),C234)</f>
        <v>0.57999999999999996</v>
      </c>
      <c r="C234">
        <f>_xlfn.IFNA( INDEX('دورات القيمة الدفترية'!I:O,MATCH($E234,'دورات القيمة الدفترية'!O:O,0),4),D234)</f>
        <v>0.57999999999999996</v>
      </c>
      <c r="D234">
        <f>INDEX('دورات القيمة الدفترية'!Q:W,MATCH($E234,'دورات القيمة الدفترية'!W:W,0),4)</f>
        <v>0.57999999999999996</v>
      </c>
      <c r="E234" t="s">
        <v>122</v>
      </c>
    </row>
    <row r="235" spans="1:5">
      <c r="A235">
        <f t="shared" si="3"/>
        <v>25.32</v>
      </c>
      <c r="B235">
        <f>_xlfn.IFNA( INDEX('دورات القيمة الدفترية'!A:G,MATCH($E235,'دورات القيمة الدفترية'!G:G,0),4),C235)</f>
        <v>25.32</v>
      </c>
      <c r="C235">
        <f>_xlfn.IFNA( INDEX('دورات القيمة الدفترية'!I:O,MATCH($E235,'دورات القيمة الدفترية'!O:O,0),4),D235)</f>
        <v>25.32</v>
      </c>
      <c r="D235">
        <f>INDEX('دورات القيمة الدفترية'!Q:W,MATCH($E235,'دورات القيمة الدفترية'!W:W,0),4)</f>
        <v>24.36</v>
      </c>
      <c r="E235" t="s">
        <v>65</v>
      </c>
    </row>
    <row r="236" spans="1:5">
      <c r="A236">
        <f t="shared" si="3"/>
        <v>2.52</v>
      </c>
      <c r="B236">
        <f>_xlfn.IFNA( INDEX('دورات القيمة الدفترية'!A:G,MATCH($E236,'دورات القيمة الدفترية'!G:G,0),4),C236)</f>
        <v>2.52</v>
      </c>
      <c r="C236">
        <f>_xlfn.IFNA( INDEX('دورات القيمة الدفترية'!I:O,MATCH($E236,'دورات القيمة الدفترية'!O:O,0),4),D236)</f>
        <v>2.52</v>
      </c>
      <c r="D236">
        <f>INDEX('دورات القيمة الدفترية'!Q:W,MATCH($E236,'دورات القيمة الدفترية'!W:W,0),4)</f>
        <v>2.35</v>
      </c>
      <c r="E236" t="s">
        <v>79</v>
      </c>
    </row>
    <row r="237" spans="1:5">
      <c r="A237">
        <f t="shared" si="3"/>
        <v>52.58</v>
      </c>
      <c r="B237">
        <f>_xlfn.IFNA( INDEX('دورات القيمة الدفترية'!A:G,MATCH($E237,'دورات القيمة الدفترية'!G:G,0),4),C237)</f>
        <v>52.58</v>
      </c>
      <c r="C237">
        <f>_xlfn.IFNA( INDEX('دورات القيمة الدفترية'!I:O,MATCH($E237,'دورات القيمة الدفترية'!O:O,0),4),D237)</f>
        <v>52.58</v>
      </c>
      <c r="D237" t="e">
        <f>INDEX('دورات القيمة الدفترية'!Q:W,MATCH($E237,'دورات القيمة الدفترية'!W:W,0),4)</f>
        <v>#N/A</v>
      </c>
      <c r="E237" t="s">
        <v>254</v>
      </c>
    </row>
    <row r="238" spans="1:5">
      <c r="A238">
        <f t="shared" si="3"/>
        <v>52.58</v>
      </c>
      <c r="B238">
        <f>_xlfn.IFNA( INDEX('دورات القيمة الدفترية'!A:G,MATCH($E238,'دورات القيمة الدفترية'!G:G,0),4),C238)</f>
        <v>52.58</v>
      </c>
      <c r="C238">
        <f>_xlfn.IFNA( INDEX('دورات القيمة الدفترية'!I:O,MATCH($E238,'دورات القيمة الدفترية'!O:O,0),4),D238)</f>
        <v>52.58</v>
      </c>
      <c r="D238" t="e">
        <f>INDEX('دورات القيمة الدفترية'!Q:W,MATCH($E238,'دورات القيمة الدفترية'!W:W,0),4)</f>
        <v>#N/A</v>
      </c>
      <c r="E238" t="s">
        <v>254</v>
      </c>
    </row>
    <row r="239" spans="1:5">
      <c r="A239">
        <f t="shared" si="3"/>
        <v>6.07</v>
      </c>
      <c r="B239">
        <f>_xlfn.IFNA( INDEX('دورات القيمة الدفترية'!A:G,MATCH($E239,'دورات القيمة الدفترية'!G:G,0),4),C239)</f>
        <v>6.07</v>
      </c>
      <c r="C239">
        <f>_xlfn.IFNA( INDEX('دورات القيمة الدفترية'!I:O,MATCH($E239,'دورات القيمة الدفترية'!O:O,0),4),D239)</f>
        <v>6.07</v>
      </c>
      <c r="D239">
        <f>INDEX('دورات القيمة الدفترية'!Q:W,MATCH($E239,'دورات القيمة الدفترية'!W:W,0),4)</f>
        <v>5.97</v>
      </c>
      <c r="E239" t="s">
        <v>78</v>
      </c>
    </row>
    <row r="240" spans="1:5">
      <c r="A240">
        <f t="shared" si="3"/>
        <v>24.21</v>
      </c>
      <c r="B240">
        <f>_xlfn.IFNA( INDEX('دورات القيمة الدفترية'!A:G,MATCH($E240,'دورات القيمة الدفترية'!G:G,0),4),C240)</f>
        <v>24.21</v>
      </c>
      <c r="C240">
        <f>_xlfn.IFNA( INDEX('دورات القيمة الدفترية'!I:O,MATCH($E240,'دورات القيمة الدفترية'!O:O,0),4),D240)</f>
        <v>21.89</v>
      </c>
      <c r="D240">
        <f>INDEX('دورات القيمة الدفترية'!Q:W,MATCH($E240,'دورات القيمة الدفترية'!W:W,0),4)</f>
        <v>21.29</v>
      </c>
      <c r="E240" t="s">
        <v>80</v>
      </c>
    </row>
    <row r="241" spans="1:5">
      <c r="A241">
        <f t="shared" si="3"/>
        <v>44.85</v>
      </c>
      <c r="B241">
        <f>_xlfn.IFNA( INDEX('دورات القيمة الدفترية'!A:G,MATCH($E241,'دورات القيمة الدفترية'!G:G,0),4),C241)</f>
        <v>44.85</v>
      </c>
      <c r="C241">
        <f>_xlfn.IFNA( INDEX('دورات القيمة الدفترية'!I:O,MATCH($E241,'دورات القيمة الدفترية'!O:O,0),4),D241)</f>
        <v>44.85</v>
      </c>
      <c r="D241">
        <f>INDEX('دورات القيمة الدفترية'!Q:W,MATCH($E241,'دورات القيمة الدفترية'!W:W,0),4)</f>
        <v>40.76</v>
      </c>
      <c r="E241" t="s">
        <v>42</v>
      </c>
    </row>
    <row r="242" spans="1:5">
      <c r="A242">
        <f t="shared" si="3"/>
        <v>0.42</v>
      </c>
      <c r="B242">
        <f>_xlfn.IFNA( INDEX('دورات القيمة الدفترية'!A:G,MATCH($E242,'دورات القيمة الدفترية'!G:G,0),4),C242)</f>
        <v>0.42</v>
      </c>
      <c r="C242">
        <f>_xlfn.IFNA( INDEX('دورات القيمة الدفترية'!I:O,MATCH($E242,'دورات القيمة الدفترية'!O:O,0),4),D242)</f>
        <v>0.41</v>
      </c>
      <c r="D242">
        <f>INDEX('دورات القيمة الدفترية'!Q:W,MATCH($E242,'دورات القيمة الدفترية'!W:W,0),4)</f>
        <v>1.83</v>
      </c>
      <c r="E242" t="s">
        <v>256</v>
      </c>
    </row>
    <row r="243" spans="1:5">
      <c r="A243">
        <f t="shared" si="3"/>
        <v>0.42</v>
      </c>
      <c r="B243">
        <f>_xlfn.IFNA( INDEX('دورات القيمة الدفترية'!A:G,MATCH($E243,'دورات القيمة الدفترية'!G:G,0),4),C243)</f>
        <v>0.42</v>
      </c>
      <c r="C243">
        <f>_xlfn.IFNA( INDEX('دورات القيمة الدفترية'!I:O,MATCH($E243,'دورات القيمة الدفترية'!O:O,0),4),D243)</f>
        <v>0.41</v>
      </c>
      <c r="D243">
        <f>INDEX('دورات القيمة الدفترية'!Q:W,MATCH($E243,'دورات القيمة الدفترية'!W:W,0),4)</f>
        <v>1.83</v>
      </c>
      <c r="E243" t="s">
        <v>256</v>
      </c>
    </row>
    <row r="244" spans="1:5">
      <c r="A244" t="e">
        <f t="shared" si="3"/>
        <v>#N/A</v>
      </c>
      <c r="B244" t="e">
        <f>_xlfn.IFNA( INDEX('دورات القيمة الدفترية'!A:G,MATCH($E244,'دورات القيمة الدفترية'!G:G,0),4),C244)</f>
        <v>#N/A</v>
      </c>
      <c r="C244" t="e">
        <f>_xlfn.IFNA( INDEX('دورات القيمة الدفترية'!I:O,MATCH($E244,'دورات القيمة الدفترية'!O:O,0),4),D244)</f>
        <v>#N/A</v>
      </c>
      <c r="D244" t="e">
        <f>INDEX('دورات القيمة الدفترية'!Q:W,MATCH($E244,'دورات القيمة الدفترية'!W:W,0),4)</f>
        <v>#N/A</v>
      </c>
      <c r="E244" t="s">
        <v>257</v>
      </c>
    </row>
    <row r="245" spans="1:5">
      <c r="A245">
        <f t="shared" si="3"/>
        <v>0.63</v>
      </c>
      <c r="B245">
        <f>_xlfn.IFNA( INDEX('دورات القيمة الدفترية'!A:G,MATCH($E245,'دورات القيمة الدفترية'!G:G,0),4),C245)</f>
        <v>0.63</v>
      </c>
      <c r="C245">
        <f>_xlfn.IFNA( INDEX('دورات القيمة الدفترية'!I:O,MATCH($E245,'دورات القيمة الدفترية'!O:O,0),4),D245)</f>
        <v>0.63</v>
      </c>
      <c r="D245">
        <f>INDEX('دورات القيمة الدفترية'!Q:W,MATCH($E245,'دورات القيمة الدفترية'!W:W,0),4)</f>
        <v>0.59</v>
      </c>
      <c r="E245" t="s">
        <v>258</v>
      </c>
    </row>
    <row r="246" spans="1:5">
      <c r="A246">
        <f t="shared" si="3"/>
        <v>0.63</v>
      </c>
      <c r="B246">
        <f>_xlfn.IFNA( INDEX('دورات القيمة الدفترية'!A:G,MATCH($E246,'دورات القيمة الدفترية'!G:G,0),4),C246)</f>
        <v>0.63</v>
      </c>
      <c r="C246">
        <f>_xlfn.IFNA( INDEX('دورات القيمة الدفترية'!I:O,MATCH($E246,'دورات القيمة الدفترية'!O:O,0),4),D246)</f>
        <v>0.63</v>
      </c>
      <c r="D246">
        <f>INDEX('دورات القيمة الدفترية'!Q:W,MATCH($E246,'دورات القيمة الدفترية'!W:W,0),4)</f>
        <v>0.59</v>
      </c>
      <c r="E246" t="s">
        <v>258</v>
      </c>
    </row>
    <row r="247" spans="1:5">
      <c r="A247">
        <f t="shared" si="3"/>
        <v>2.8</v>
      </c>
      <c r="B247">
        <f>_xlfn.IFNA( INDEX('دورات القيمة الدفترية'!A:G,MATCH($E247,'دورات القيمة الدفترية'!G:G,0),4),C247)</f>
        <v>2.8</v>
      </c>
      <c r="C247">
        <f>_xlfn.IFNA( INDEX('دورات القيمة الدفترية'!I:O,MATCH($E247,'دورات القيمة الدفترية'!O:O,0),4),D247)</f>
        <v>2.4</v>
      </c>
      <c r="D247">
        <f>INDEX('دورات القيمة الدفترية'!Q:W,MATCH($E247,'دورات القيمة الدفترية'!W:W,0),4)</f>
        <v>2.16</v>
      </c>
      <c r="E247" t="s">
        <v>74</v>
      </c>
    </row>
    <row r="248" spans="1:5">
      <c r="A248">
        <f t="shared" si="3"/>
        <v>2.8</v>
      </c>
      <c r="B248">
        <f>_xlfn.IFNA( INDEX('دورات القيمة الدفترية'!A:G,MATCH($E248,'دورات القيمة الدفترية'!G:G,0),4),C248)</f>
        <v>2.8</v>
      </c>
      <c r="C248">
        <f>_xlfn.IFNA( INDEX('دورات القيمة الدفترية'!I:O,MATCH($E248,'دورات القيمة الدفترية'!O:O,0),4),D248)</f>
        <v>2.4</v>
      </c>
      <c r="D248">
        <f>INDEX('دورات القيمة الدفترية'!Q:W,MATCH($E248,'دورات القيمة الدفترية'!W:W,0),4)</f>
        <v>2.16</v>
      </c>
      <c r="E248" t="s">
        <v>74</v>
      </c>
    </row>
    <row r="249" spans="1:5">
      <c r="A249" t="e">
        <f t="shared" si="3"/>
        <v>#N/A</v>
      </c>
      <c r="B249" t="e">
        <f>_xlfn.IFNA( INDEX('دورات القيمة الدفترية'!A:G,MATCH($E249,'دورات القيمة الدفترية'!G:G,0),4),C249)</f>
        <v>#N/A</v>
      </c>
      <c r="C249" t="e">
        <f>_xlfn.IFNA( INDEX('دورات القيمة الدفترية'!I:O,MATCH($E249,'دورات القيمة الدفترية'!O:O,0),4),D249)</f>
        <v>#N/A</v>
      </c>
      <c r="D249" t="e">
        <f>INDEX('دورات القيمة الدفترية'!Q:W,MATCH($E249,'دورات القيمة الدفترية'!W:W,0),4)</f>
        <v>#N/A</v>
      </c>
      <c r="E249" t="s">
        <v>259</v>
      </c>
    </row>
    <row r="250" spans="1:5">
      <c r="A250">
        <f t="shared" si="3"/>
        <v>6.78</v>
      </c>
      <c r="B250">
        <f>_xlfn.IFNA( INDEX('دورات القيمة الدفترية'!A:G,MATCH($E250,'دورات القيمة الدفترية'!G:G,0),4),C250)</f>
        <v>6.78</v>
      </c>
      <c r="C250">
        <f>_xlfn.IFNA( INDEX('دورات القيمة الدفترية'!I:O,MATCH($E250,'دورات القيمة الدفترية'!O:O,0),4),D250)</f>
        <v>6.78</v>
      </c>
      <c r="D250">
        <f>INDEX('دورات القيمة الدفترية'!Q:W,MATCH($E250,'دورات القيمة الدفترية'!W:W,0),4)</f>
        <v>5.86</v>
      </c>
      <c r="E250" t="s">
        <v>28</v>
      </c>
    </row>
    <row r="251" spans="1:5">
      <c r="A251">
        <f t="shared" si="3"/>
        <v>19.260000000000002</v>
      </c>
      <c r="B251">
        <f>_xlfn.IFNA( INDEX('دورات القيمة الدفترية'!A:G,MATCH($E251,'دورات القيمة الدفترية'!G:G,0),4),C251)</f>
        <v>19.260000000000002</v>
      </c>
      <c r="C251">
        <f>_xlfn.IFNA( INDEX('دورات القيمة الدفترية'!I:O,MATCH($E251,'دورات القيمة الدفترية'!O:O,0),4),D251)</f>
        <v>18.63</v>
      </c>
      <c r="D251">
        <f>INDEX('دورات القيمة الدفترية'!Q:W,MATCH($E251,'دورات القيمة الدفترية'!W:W,0),4)</f>
        <v>17.739999999999998</v>
      </c>
      <c r="E251" t="s">
        <v>45</v>
      </c>
    </row>
    <row r="252" spans="1:5">
      <c r="A252">
        <f t="shared" si="3"/>
        <v>28.62</v>
      </c>
      <c r="B252">
        <f>_xlfn.IFNA( INDEX('دورات القيمة الدفترية'!A:G,MATCH($E252,'دورات القيمة الدفترية'!G:G,0),4),C252)</f>
        <v>28.62</v>
      </c>
      <c r="C252">
        <f>_xlfn.IFNA( INDEX('دورات القيمة الدفترية'!I:O,MATCH($E252,'دورات القيمة الدفترية'!O:O,0),4),D252)</f>
        <v>27.42</v>
      </c>
      <c r="D252">
        <f>INDEX('دورات القيمة الدفترية'!Q:W,MATCH($E252,'دورات القيمة الدفترية'!W:W,0),4)</f>
        <v>23.19</v>
      </c>
      <c r="E252" t="s">
        <v>60</v>
      </c>
    </row>
    <row r="253" spans="1:5">
      <c r="A253">
        <f t="shared" si="3"/>
        <v>3.79</v>
      </c>
      <c r="B253">
        <f>_xlfn.IFNA( INDEX('دورات القيمة الدفترية'!A:G,MATCH($E253,'دورات القيمة الدفترية'!G:G,0),4),C253)</f>
        <v>3.79</v>
      </c>
      <c r="C253">
        <f>_xlfn.IFNA( INDEX('دورات القيمة الدفترية'!I:O,MATCH($E253,'دورات القيمة الدفترية'!O:O,0),4),D253)</f>
        <v>3.6</v>
      </c>
      <c r="D253">
        <f>INDEX('دورات القيمة الدفترية'!Q:W,MATCH($E253,'دورات القيمة الدفترية'!W:W,0),4)</f>
        <v>3.45</v>
      </c>
      <c r="E253" t="s">
        <v>43</v>
      </c>
    </row>
    <row r="254" spans="1:5">
      <c r="A254">
        <f t="shared" si="3"/>
        <v>54.45</v>
      </c>
      <c r="B254">
        <f>_xlfn.IFNA( INDEX('دورات القيمة الدفترية'!A:G,MATCH($E254,'دورات القيمة الدفترية'!G:G,0),4),C254)</f>
        <v>54.45</v>
      </c>
      <c r="C254">
        <f>_xlfn.IFNA( INDEX('دورات القيمة الدفترية'!I:O,MATCH($E254,'دورات القيمة الدفترية'!O:O,0),4),D254)</f>
        <v>54.45</v>
      </c>
      <c r="D254">
        <f>INDEX('دورات القيمة الدفترية'!Q:W,MATCH($E254,'دورات القيمة الدفترية'!W:W,0),4)</f>
        <v>48.66</v>
      </c>
      <c r="E254" t="s">
        <v>71</v>
      </c>
    </row>
    <row r="255" spans="1:5">
      <c r="A255">
        <f t="shared" si="3"/>
        <v>5.78</v>
      </c>
      <c r="B255">
        <f>_xlfn.IFNA( INDEX('دورات القيمة الدفترية'!A:G,MATCH($E255,'دورات القيمة الدفترية'!G:G,0),4),C255)</f>
        <v>5.78</v>
      </c>
      <c r="C255">
        <f>_xlfn.IFNA( INDEX('دورات القيمة الدفترية'!I:O,MATCH($E255,'دورات القيمة الدفترية'!O:O,0),4),D255)</f>
        <v>5.72</v>
      </c>
      <c r="D255">
        <f>INDEX('دورات القيمة الدفترية'!Q:W,MATCH($E255,'دورات القيمة الدفترية'!W:W,0),4)</f>
        <v>4.96</v>
      </c>
      <c r="E255" t="s">
        <v>13</v>
      </c>
    </row>
    <row r="256" spans="1:5">
      <c r="A256">
        <f t="shared" si="3"/>
        <v>-0.27</v>
      </c>
      <c r="B256">
        <f>_xlfn.IFNA( INDEX('دورات القيمة الدفترية'!A:G,MATCH($E256,'دورات القيمة الدفترية'!G:G,0),4),C256)</f>
        <v>-0.27</v>
      </c>
      <c r="C256">
        <f>_xlfn.IFNA( INDEX('دورات القيمة الدفترية'!I:O,MATCH($E256,'دورات القيمة الدفترية'!O:O,0),4),D256)</f>
        <v>0.26</v>
      </c>
      <c r="D256" t="e">
        <f>INDEX('دورات القيمة الدفترية'!Q:W,MATCH($E256,'دورات القيمة الدفترية'!W:W,0),4)</f>
        <v>#N/A</v>
      </c>
      <c r="E256" t="s">
        <v>265</v>
      </c>
    </row>
    <row r="257" spans="1:5">
      <c r="A257">
        <f t="shared" si="3"/>
        <v>-0.27</v>
      </c>
      <c r="B257">
        <f>_xlfn.IFNA( INDEX('دورات القيمة الدفترية'!A:G,MATCH($E257,'دورات القيمة الدفترية'!G:G,0),4),C257)</f>
        <v>-0.27</v>
      </c>
      <c r="C257">
        <f>_xlfn.IFNA( INDEX('دورات القيمة الدفترية'!I:O,MATCH($E257,'دورات القيمة الدفترية'!O:O,0),4),D257)</f>
        <v>0.26</v>
      </c>
      <c r="D257" t="e">
        <f>INDEX('دورات القيمة الدفترية'!Q:W,MATCH($E257,'دورات القيمة الدفترية'!W:W,0),4)</f>
        <v>#N/A</v>
      </c>
      <c r="E257" t="s">
        <v>265</v>
      </c>
    </row>
    <row r="258" spans="1:5">
      <c r="A258">
        <f t="shared" si="3"/>
        <v>4.91</v>
      </c>
      <c r="B258">
        <f>_xlfn.IFNA( INDEX('دورات القيمة الدفترية'!A:G,MATCH($E258,'دورات القيمة الدفترية'!G:G,0),4),C258)</f>
        <v>4.91</v>
      </c>
      <c r="C258">
        <f>_xlfn.IFNA( INDEX('دورات القيمة الدفترية'!I:O,MATCH($E258,'دورات القيمة الدفترية'!O:O,0),4),D258)</f>
        <v>4.7699999999999996</v>
      </c>
      <c r="D258">
        <f>INDEX('دورات القيمة الدفترية'!Q:W,MATCH($E258,'دورات القيمة الدفترية'!W:W,0),4)</f>
        <v>4.79</v>
      </c>
      <c r="E258" t="s">
        <v>35</v>
      </c>
    </row>
    <row r="259" spans="1:5">
      <c r="A259">
        <f t="shared" ref="A259:A322" si="4">B259</f>
        <v>4.91</v>
      </c>
      <c r="B259">
        <f>_xlfn.IFNA( INDEX('دورات القيمة الدفترية'!A:G,MATCH($E259,'دورات القيمة الدفترية'!G:G,0),4),C259)</f>
        <v>4.91</v>
      </c>
      <c r="C259">
        <f>_xlfn.IFNA( INDEX('دورات القيمة الدفترية'!I:O,MATCH($E259,'دورات القيمة الدفترية'!O:O,0),4),D259)</f>
        <v>4.7699999999999996</v>
      </c>
      <c r="D259">
        <f>INDEX('دورات القيمة الدفترية'!Q:W,MATCH($E259,'دورات القيمة الدفترية'!W:W,0),4)</f>
        <v>4.79</v>
      </c>
      <c r="E259" t="s">
        <v>35</v>
      </c>
    </row>
    <row r="260" spans="1:5">
      <c r="A260">
        <f t="shared" si="4"/>
        <v>0.81</v>
      </c>
      <c r="B260">
        <f>_xlfn.IFNA( INDEX('دورات القيمة الدفترية'!A:G,MATCH($E260,'دورات القيمة الدفترية'!G:G,0),4),C260)</f>
        <v>0.81</v>
      </c>
      <c r="C260">
        <f>_xlfn.IFNA( INDEX('دورات القيمة الدفترية'!I:O,MATCH($E260,'دورات القيمة الدفترية'!O:O,0),4),D260)</f>
        <v>0.81</v>
      </c>
      <c r="D260">
        <f>INDEX('دورات القيمة الدفترية'!Q:W,MATCH($E260,'دورات القيمة الدفترية'!W:W,0),4)</f>
        <v>0.8</v>
      </c>
      <c r="E260" t="s">
        <v>72</v>
      </c>
    </row>
    <row r="261" spans="1:5">
      <c r="A261">
        <f t="shared" si="4"/>
        <v>3.73</v>
      </c>
      <c r="B261">
        <f>_xlfn.IFNA( INDEX('دورات القيمة الدفترية'!A:G,MATCH($E261,'دورات القيمة الدفترية'!G:G,0),4),C261)</f>
        <v>3.73</v>
      </c>
      <c r="C261">
        <f>_xlfn.IFNA( INDEX('دورات القيمة الدفترية'!I:O,MATCH($E261,'دورات القيمة الدفترية'!O:O,0),4),D261)</f>
        <v>3.73</v>
      </c>
      <c r="D261">
        <f>INDEX('دورات القيمة الدفترية'!Q:W,MATCH($E261,'دورات القيمة الدفترية'!W:W,0),4)</f>
        <v>3.73</v>
      </c>
      <c r="E261" t="s">
        <v>640</v>
      </c>
    </row>
    <row r="262" spans="1:5">
      <c r="A262">
        <f t="shared" si="4"/>
        <v>30.92</v>
      </c>
      <c r="B262">
        <f>_xlfn.IFNA( INDEX('دورات القيمة الدفترية'!A:G,MATCH($E262,'دورات القيمة الدفترية'!G:G,0),4),C262)</f>
        <v>30.92</v>
      </c>
      <c r="C262" t="e">
        <f>_xlfn.IFNA( INDEX('دورات القيمة الدفترية'!I:O,MATCH($E262,'دورات القيمة الدفترية'!O:O,0),4),D262)</f>
        <v>#N/A</v>
      </c>
      <c r="D262" t="e">
        <f>INDEX('دورات القيمة الدفترية'!Q:W,MATCH($E262,'دورات القيمة الدفترية'!W:W,0),4)</f>
        <v>#N/A</v>
      </c>
      <c r="E262" t="s">
        <v>24</v>
      </c>
    </row>
    <row r="263" spans="1:5">
      <c r="A263">
        <f t="shared" si="4"/>
        <v>30.92</v>
      </c>
      <c r="B263">
        <f>_xlfn.IFNA( INDEX('دورات القيمة الدفترية'!A:G,MATCH($E263,'دورات القيمة الدفترية'!G:G,0),4),C263)</f>
        <v>30.92</v>
      </c>
      <c r="C263" t="e">
        <f>_xlfn.IFNA( INDEX('دورات القيمة الدفترية'!I:O,MATCH($E263,'دورات القيمة الدفترية'!O:O,0),4),D263)</f>
        <v>#N/A</v>
      </c>
      <c r="D263" t="e">
        <f>INDEX('دورات القيمة الدفترية'!Q:W,MATCH($E263,'دورات القيمة الدفترية'!W:W,0),4)</f>
        <v>#N/A</v>
      </c>
      <c r="E263" t="s">
        <v>24</v>
      </c>
    </row>
    <row r="264" spans="1:5">
      <c r="A264">
        <f t="shared" si="4"/>
        <v>2.4700000000000002</v>
      </c>
      <c r="B264">
        <f>_xlfn.IFNA( INDEX('دورات القيمة الدفترية'!A:G,MATCH($E264,'دورات القيمة الدفترية'!G:G,0),4),C264)</f>
        <v>2.4700000000000002</v>
      </c>
      <c r="C264">
        <f>_xlfn.IFNA( INDEX('دورات القيمة الدفترية'!I:O,MATCH($E264,'دورات القيمة الدفترية'!O:O,0),4),D264)</f>
        <v>2.4700000000000002</v>
      </c>
      <c r="D264">
        <f>INDEX('دورات القيمة الدفترية'!Q:W,MATCH($E264,'دورات القيمة الدفترية'!W:W,0),4)</f>
        <v>2.23</v>
      </c>
      <c r="E264" t="s">
        <v>52</v>
      </c>
    </row>
    <row r="265" spans="1:5">
      <c r="A265">
        <f t="shared" si="4"/>
        <v>2.4700000000000002</v>
      </c>
      <c r="B265">
        <f>_xlfn.IFNA( INDEX('دورات القيمة الدفترية'!A:G,MATCH($E265,'دورات القيمة الدفترية'!G:G,0),4),C265)</f>
        <v>2.4700000000000002</v>
      </c>
      <c r="C265">
        <f>_xlfn.IFNA( INDEX('دورات القيمة الدفترية'!I:O,MATCH($E265,'دورات القيمة الدفترية'!O:O,0),4),D265)</f>
        <v>2.4700000000000002</v>
      </c>
      <c r="D265">
        <f>INDEX('دورات القيمة الدفترية'!Q:W,MATCH($E265,'دورات القيمة الدفترية'!W:W,0),4)</f>
        <v>2.23</v>
      </c>
      <c r="E265" t="s">
        <v>52</v>
      </c>
    </row>
    <row r="266" spans="1:5">
      <c r="A266">
        <f t="shared" si="4"/>
        <v>-21.82</v>
      </c>
      <c r="B266">
        <f>_xlfn.IFNA( INDEX('دورات القيمة الدفترية'!A:G,MATCH($E266,'دورات القيمة الدفترية'!G:G,0),4),C266)</f>
        <v>-21.82</v>
      </c>
      <c r="C266">
        <f>_xlfn.IFNA( INDEX('دورات القيمة الدفترية'!I:O,MATCH($E266,'دورات القيمة الدفترية'!O:O,0),4),D266)</f>
        <v>-9.91</v>
      </c>
      <c r="D266" t="e">
        <f>INDEX('دورات القيمة الدفترية'!Q:W,MATCH($E266,'دورات القيمة الدفترية'!W:W,0),4)</f>
        <v>#N/A</v>
      </c>
      <c r="E266" t="s">
        <v>138</v>
      </c>
    </row>
    <row r="267" spans="1:5">
      <c r="A267">
        <f t="shared" si="4"/>
        <v>0.97</v>
      </c>
      <c r="B267">
        <f>_xlfn.IFNA( INDEX('دورات القيمة الدفترية'!A:G,MATCH($E267,'دورات القيمة الدفترية'!G:G,0),4),C267)</f>
        <v>0.97</v>
      </c>
      <c r="C267">
        <f>_xlfn.IFNA( INDEX('دورات القيمة الدفترية'!I:O,MATCH($E267,'دورات القيمة الدفترية'!O:O,0),4),D267)</f>
        <v>0.94</v>
      </c>
      <c r="D267">
        <f>INDEX('دورات القيمة الدفترية'!Q:W,MATCH($E267,'دورات القيمة الدفترية'!W:W,0),4)</f>
        <v>0.87</v>
      </c>
      <c r="E267" t="s">
        <v>89</v>
      </c>
    </row>
    <row r="268" spans="1:5">
      <c r="A268">
        <f t="shared" si="4"/>
        <v>7.09</v>
      </c>
      <c r="B268">
        <f>_xlfn.IFNA( INDEX('دورات القيمة الدفترية'!A:G,MATCH($E268,'دورات القيمة الدفترية'!G:G,0),4),C268)</f>
        <v>7.09</v>
      </c>
      <c r="C268">
        <f>_xlfn.IFNA( INDEX('دورات القيمة الدفترية'!I:O,MATCH($E268,'دورات القيمة الدفترية'!O:O,0),4),D268)</f>
        <v>7.09</v>
      </c>
      <c r="D268">
        <f>INDEX('دورات القيمة الدفترية'!Q:W,MATCH($E268,'دورات القيمة الدفترية'!W:W,0),4)</f>
        <v>6.99</v>
      </c>
      <c r="E268" t="s">
        <v>84</v>
      </c>
    </row>
    <row r="269" spans="1:5">
      <c r="A269">
        <f t="shared" si="4"/>
        <v>0.97</v>
      </c>
      <c r="B269">
        <f>_xlfn.IFNA( INDEX('دورات القيمة الدفترية'!A:G,MATCH($E269,'دورات القيمة الدفترية'!G:G,0),4),C269)</f>
        <v>0.97</v>
      </c>
      <c r="C269">
        <f>_xlfn.IFNA( INDEX('دورات القيمة الدفترية'!I:O,MATCH($E269,'دورات القيمة الدفترية'!O:O,0),4),D269)</f>
        <v>0.88</v>
      </c>
      <c r="D269">
        <f>INDEX('دورات القيمة الدفترية'!Q:W,MATCH($E269,'دورات القيمة الدفترية'!W:W,0),4)</f>
        <v>0.85</v>
      </c>
      <c r="E269" t="s">
        <v>109</v>
      </c>
    </row>
    <row r="270" spans="1:5">
      <c r="A270">
        <f t="shared" si="4"/>
        <v>1.1200000000000001</v>
      </c>
      <c r="B270">
        <f>_xlfn.IFNA( INDEX('دورات القيمة الدفترية'!A:G,MATCH($E270,'دورات القيمة الدفترية'!G:G,0),4),C270)</f>
        <v>1.1200000000000001</v>
      </c>
      <c r="C270">
        <f>_xlfn.IFNA( INDEX('دورات القيمة الدفترية'!I:O,MATCH($E270,'دورات القيمة الدفترية'!O:O,0),4),D270)</f>
        <v>1.1200000000000001</v>
      </c>
      <c r="D270">
        <f>INDEX('دورات القيمة الدفترية'!Q:W,MATCH($E270,'دورات القيمة الدفترية'!W:W,0),4)</f>
        <v>1.61</v>
      </c>
      <c r="E270" t="s">
        <v>270</v>
      </c>
    </row>
    <row r="271" spans="1:5">
      <c r="A271">
        <f t="shared" si="4"/>
        <v>8.48</v>
      </c>
      <c r="B271">
        <f>_xlfn.IFNA( INDEX('دورات القيمة الدفترية'!A:G,MATCH($E271,'دورات القيمة الدفترية'!G:G,0),4),C271)</f>
        <v>8.48</v>
      </c>
      <c r="C271">
        <f>_xlfn.IFNA( INDEX('دورات القيمة الدفترية'!I:O,MATCH($E271,'دورات القيمة الدفترية'!O:O,0),4),D271)</f>
        <v>8.48</v>
      </c>
      <c r="D271">
        <f>INDEX('دورات القيمة الدفترية'!Q:W,MATCH($E271,'دورات القيمة الدفترية'!W:W,0),4)</f>
        <v>8.6</v>
      </c>
      <c r="E271" t="s">
        <v>272</v>
      </c>
    </row>
    <row r="272" spans="1:5">
      <c r="A272">
        <f t="shared" si="4"/>
        <v>27.32</v>
      </c>
      <c r="B272">
        <f>_xlfn.IFNA( INDEX('دورات القيمة الدفترية'!A:G,MATCH($E272,'دورات القيمة الدفترية'!G:G,0),4),C272)</f>
        <v>27.32</v>
      </c>
      <c r="C272">
        <f>_xlfn.IFNA( INDEX('دورات القيمة الدفترية'!I:O,MATCH($E272,'دورات القيمة الدفترية'!O:O,0),4),D272)</f>
        <v>1.47</v>
      </c>
      <c r="D272">
        <f>INDEX('دورات القيمة الدفترية'!Q:W,MATCH($E272,'دورات القيمة الدفترية'!W:W,0),4)</f>
        <v>1.44</v>
      </c>
      <c r="E272" t="s">
        <v>274</v>
      </c>
    </row>
    <row r="273" spans="1:5">
      <c r="A273">
        <f t="shared" si="4"/>
        <v>8.35</v>
      </c>
      <c r="B273">
        <f>_xlfn.IFNA( INDEX('دورات القيمة الدفترية'!A:G,MATCH($E273,'دورات القيمة الدفترية'!G:G,0),4),C273)</f>
        <v>8.35</v>
      </c>
      <c r="C273">
        <f>_xlfn.IFNA( INDEX('دورات القيمة الدفترية'!I:O,MATCH($E273,'دورات القيمة الدفترية'!O:O,0),4),D273)</f>
        <v>8.35</v>
      </c>
      <c r="D273">
        <f>INDEX('دورات القيمة الدفترية'!Q:W,MATCH($E273,'دورات القيمة الدفترية'!W:W,0),4)</f>
        <v>14</v>
      </c>
      <c r="E273" t="s">
        <v>276</v>
      </c>
    </row>
    <row r="274" spans="1:5">
      <c r="A274">
        <f t="shared" si="4"/>
        <v>2.48</v>
      </c>
      <c r="B274">
        <f>_xlfn.IFNA( INDEX('دورات القيمة الدفترية'!A:G,MATCH($E274,'دورات القيمة الدفترية'!G:G,0),4),C274)</f>
        <v>2.48</v>
      </c>
      <c r="C274">
        <f>_xlfn.IFNA( INDEX('دورات القيمة الدفترية'!I:O,MATCH($E274,'دورات القيمة الدفترية'!O:O,0),4),D274)</f>
        <v>2.5499999999999998</v>
      </c>
      <c r="D274">
        <f>INDEX('دورات القيمة الدفترية'!Q:W,MATCH($E274,'دورات القيمة الدفترية'!W:W,0),4)</f>
        <v>2.61</v>
      </c>
      <c r="E274" t="s">
        <v>127</v>
      </c>
    </row>
    <row r="275" spans="1:5">
      <c r="A275">
        <f t="shared" si="4"/>
        <v>23.84</v>
      </c>
      <c r="B275">
        <f>_xlfn.IFNA( INDEX('دورات القيمة الدفترية'!A:G,MATCH($E275,'دورات القيمة الدفترية'!G:G,0),4),C275)</f>
        <v>23.84</v>
      </c>
      <c r="C275">
        <f>_xlfn.IFNA( INDEX('دورات القيمة الدفترية'!I:O,MATCH($E275,'دورات القيمة الدفترية'!O:O,0),4),D275)</f>
        <v>23.84</v>
      </c>
      <c r="D275" t="e">
        <f>INDEX('دورات القيمة الدفترية'!Q:W,MATCH($E275,'دورات القيمة الدفترية'!W:W,0),4)</f>
        <v>#N/A</v>
      </c>
      <c r="E275" t="s">
        <v>594</v>
      </c>
    </row>
    <row r="276" spans="1:5">
      <c r="A276">
        <f t="shared" si="4"/>
        <v>12.47</v>
      </c>
      <c r="B276">
        <f>_xlfn.IFNA( INDEX('دورات القيمة الدفترية'!A:G,MATCH($E276,'دورات القيمة الدفترية'!G:G,0),4),C276)</f>
        <v>12.47</v>
      </c>
      <c r="C276">
        <f>_xlfn.IFNA( INDEX('دورات القيمة الدفترية'!I:O,MATCH($E276,'دورات القيمة الدفترية'!O:O,0),4),D276)</f>
        <v>12.47</v>
      </c>
      <c r="D276">
        <f>INDEX('دورات القيمة الدفترية'!Q:W,MATCH($E276,'دورات القيمة الدفترية'!W:W,0),4)</f>
        <v>11.63</v>
      </c>
      <c r="E276" t="s">
        <v>25</v>
      </c>
    </row>
    <row r="277" spans="1:5">
      <c r="A277">
        <f t="shared" si="4"/>
        <v>-4.88</v>
      </c>
      <c r="B277">
        <f>_xlfn.IFNA( INDEX('دورات القيمة الدفترية'!A:G,MATCH($E277,'دورات القيمة الدفترية'!G:G,0),4),C277)</f>
        <v>-4.88</v>
      </c>
      <c r="C277">
        <f>_xlfn.IFNA( INDEX('دورات القيمة الدفترية'!I:O,MATCH($E277,'دورات القيمة الدفترية'!O:O,0),4),D277)</f>
        <v>-4.88</v>
      </c>
      <c r="D277">
        <f>INDEX('دورات القيمة الدفترية'!Q:W,MATCH($E277,'دورات القيمة الدفترية'!W:W,0),4)</f>
        <v>-4.5599999999999996</v>
      </c>
      <c r="E277" t="s">
        <v>279</v>
      </c>
    </row>
    <row r="278" spans="1:5">
      <c r="A278">
        <f t="shared" si="4"/>
        <v>-1.51</v>
      </c>
      <c r="B278">
        <f>_xlfn.IFNA( INDEX('دورات القيمة الدفترية'!A:G,MATCH($E278,'دورات القيمة الدفترية'!G:G,0),4),C278)</f>
        <v>-1.51</v>
      </c>
      <c r="C278">
        <f>_xlfn.IFNA( INDEX('دورات القيمة الدفترية'!I:O,MATCH($E278,'دورات القيمة الدفترية'!O:O,0),4),D278)</f>
        <v>-1.51</v>
      </c>
      <c r="D278" t="e">
        <f>INDEX('دورات القيمة الدفترية'!Q:W,MATCH($E278,'دورات القيمة الدفترية'!W:W,0),4)</f>
        <v>#N/A</v>
      </c>
      <c r="E278" t="s">
        <v>485</v>
      </c>
    </row>
    <row r="279" spans="1:5">
      <c r="A279">
        <f t="shared" si="4"/>
        <v>-1.51</v>
      </c>
      <c r="B279">
        <f>_xlfn.IFNA( INDEX('دورات القيمة الدفترية'!A:G,MATCH($E279,'دورات القيمة الدفترية'!G:G,0),4),C279)</f>
        <v>-1.51</v>
      </c>
      <c r="C279">
        <f>_xlfn.IFNA( INDEX('دورات القيمة الدفترية'!I:O,MATCH($E279,'دورات القيمة الدفترية'!O:O,0),4),D279)</f>
        <v>-1.51</v>
      </c>
      <c r="D279" t="e">
        <f>INDEX('دورات القيمة الدفترية'!Q:W,MATCH($E279,'دورات القيمة الدفترية'!W:W,0),4)</f>
        <v>#N/A</v>
      </c>
      <c r="E279" t="s">
        <v>485</v>
      </c>
    </row>
    <row r="280" spans="1:5">
      <c r="A280">
        <f t="shared" si="4"/>
        <v>31.97</v>
      </c>
      <c r="B280">
        <f>_xlfn.IFNA( INDEX('دورات القيمة الدفترية'!A:G,MATCH($E280,'دورات القيمة الدفترية'!G:G,0),4),C280)</f>
        <v>31.97</v>
      </c>
      <c r="C280">
        <f>_xlfn.IFNA( INDEX('دورات القيمة الدفترية'!I:O,MATCH($E280,'دورات القيمة الدفترية'!O:O,0),4),D280)</f>
        <v>31.97</v>
      </c>
      <c r="D280">
        <f>INDEX('دورات القيمة الدفترية'!Q:W,MATCH($E280,'دورات القيمة الدفترية'!W:W,0),4)</f>
        <v>31.97</v>
      </c>
      <c r="E280" t="s">
        <v>280</v>
      </c>
    </row>
    <row r="281" spans="1:5">
      <c r="A281">
        <f t="shared" si="4"/>
        <v>31.97</v>
      </c>
      <c r="B281">
        <f>_xlfn.IFNA( INDEX('دورات القيمة الدفترية'!A:G,MATCH($E281,'دورات القيمة الدفترية'!G:G,0),4),C281)</f>
        <v>31.97</v>
      </c>
      <c r="C281">
        <f>_xlfn.IFNA( INDEX('دورات القيمة الدفترية'!I:O,MATCH($E281,'دورات القيمة الدفترية'!O:O,0),4),D281)</f>
        <v>31.97</v>
      </c>
      <c r="D281">
        <f>INDEX('دورات القيمة الدفترية'!Q:W,MATCH($E281,'دورات القيمة الدفترية'!W:W,0),4)</f>
        <v>31.97</v>
      </c>
      <c r="E281" t="s">
        <v>280</v>
      </c>
    </row>
    <row r="282" spans="1:5">
      <c r="A282">
        <f t="shared" si="4"/>
        <v>6.17</v>
      </c>
      <c r="B282">
        <f>_xlfn.IFNA( INDEX('دورات القيمة الدفترية'!A:G,MATCH($E282,'دورات القيمة الدفترية'!G:G,0),4),C282)</f>
        <v>6.17</v>
      </c>
      <c r="C282">
        <f>_xlfn.IFNA( INDEX('دورات القيمة الدفترية'!I:O,MATCH($E282,'دورات القيمة الدفترية'!O:O,0),4),D282)</f>
        <v>6.17</v>
      </c>
      <c r="D282">
        <f>INDEX('دورات القيمة الدفترية'!Q:W,MATCH($E282,'دورات القيمة الدفترية'!W:W,0),4)</f>
        <v>6.17</v>
      </c>
      <c r="E282" t="s">
        <v>282</v>
      </c>
    </row>
    <row r="283" spans="1:5">
      <c r="A283">
        <f t="shared" si="4"/>
        <v>126.62</v>
      </c>
      <c r="B283">
        <f>_xlfn.IFNA( INDEX('دورات القيمة الدفترية'!A:G,MATCH($E283,'دورات القيمة الدفترية'!G:G,0),4),C283)</f>
        <v>126.62</v>
      </c>
      <c r="C283">
        <f>_xlfn.IFNA( INDEX('دورات القيمة الدفترية'!I:O,MATCH($E283,'دورات القيمة الدفترية'!O:O,0),4),D283)</f>
        <v>117.43</v>
      </c>
      <c r="D283">
        <f>INDEX('دورات القيمة الدفترية'!Q:W,MATCH($E283,'دورات القيمة الدفترية'!W:W,0),4)</f>
        <v>111.19</v>
      </c>
      <c r="E283" t="s">
        <v>31</v>
      </c>
    </row>
    <row r="284" spans="1:5">
      <c r="A284">
        <f t="shared" si="4"/>
        <v>126.62</v>
      </c>
      <c r="B284">
        <f>_xlfn.IFNA( INDEX('دورات القيمة الدفترية'!A:G,MATCH($E284,'دورات القيمة الدفترية'!G:G,0),4),C284)</f>
        <v>126.62</v>
      </c>
      <c r="C284">
        <f>_xlfn.IFNA( INDEX('دورات القيمة الدفترية'!I:O,MATCH($E284,'دورات القيمة الدفترية'!O:O,0),4),D284)</f>
        <v>117.43</v>
      </c>
      <c r="D284">
        <f>INDEX('دورات القيمة الدفترية'!Q:W,MATCH($E284,'دورات القيمة الدفترية'!W:W,0),4)</f>
        <v>111.19</v>
      </c>
      <c r="E284" t="s">
        <v>31</v>
      </c>
    </row>
    <row r="285" spans="1:5">
      <c r="A285">
        <f t="shared" si="4"/>
        <v>0.44</v>
      </c>
      <c r="B285">
        <f>_xlfn.IFNA( INDEX('دورات القيمة الدفترية'!A:G,MATCH($E285,'دورات القيمة الدفترية'!G:G,0),4),C285)</f>
        <v>0.44</v>
      </c>
      <c r="C285">
        <f>_xlfn.IFNA( INDEX('دورات القيمة الدفترية'!I:O,MATCH($E285,'دورات القيمة الدفترية'!O:O,0),4),D285)</f>
        <v>0.44</v>
      </c>
      <c r="D285">
        <f>INDEX('دورات القيمة الدفترية'!Q:W,MATCH($E285,'دورات القيمة الدفترية'!W:W,0),4)</f>
        <v>0.45</v>
      </c>
      <c r="E285" t="s">
        <v>468</v>
      </c>
    </row>
    <row r="286" spans="1:5">
      <c r="A286">
        <f t="shared" si="4"/>
        <v>7.48</v>
      </c>
      <c r="B286">
        <f>_xlfn.IFNA( INDEX('دورات القيمة الدفترية'!A:G,MATCH($E286,'دورات القيمة الدفترية'!G:G,0),4),C286)</f>
        <v>7.48</v>
      </c>
      <c r="C286">
        <f>_xlfn.IFNA( INDEX('دورات القيمة الدفترية'!I:O,MATCH($E286,'دورات القيمة الدفترية'!O:O,0),4),D286)</f>
        <v>7.48</v>
      </c>
      <c r="D286" t="e">
        <f>INDEX('دورات القيمة الدفترية'!Q:W,MATCH($E286,'دورات القيمة الدفترية'!W:W,0),4)</f>
        <v>#N/A</v>
      </c>
      <c r="E286" t="s">
        <v>70</v>
      </c>
    </row>
    <row r="287" spans="1:5">
      <c r="A287">
        <f t="shared" si="4"/>
        <v>13.89</v>
      </c>
      <c r="B287">
        <f>_xlfn.IFNA( INDEX('دورات القيمة الدفترية'!A:G,MATCH($E287,'دورات القيمة الدفترية'!G:G,0),4),C287)</f>
        <v>13.89</v>
      </c>
      <c r="C287">
        <f>_xlfn.IFNA( INDEX('دورات القيمة الدفترية'!I:O,MATCH($E287,'دورات القيمة الدفترية'!O:O,0),4),D287)</f>
        <v>13.89</v>
      </c>
      <c r="D287">
        <f>INDEX('دورات القيمة الدفترية'!Q:W,MATCH($E287,'دورات القيمة الدفترية'!W:W,0),4)</f>
        <v>12.05</v>
      </c>
      <c r="E287" t="s">
        <v>46</v>
      </c>
    </row>
    <row r="288" spans="1:5">
      <c r="A288">
        <f t="shared" si="4"/>
        <v>0.37</v>
      </c>
      <c r="B288">
        <f>_xlfn.IFNA( INDEX('دورات القيمة الدفترية'!A:G,MATCH($E288,'دورات القيمة الدفترية'!G:G,0),4),C288)</f>
        <v>0.37</v>
      </c>
      <c r="C288">
        <f>_xlfn.IFNA( INDEX('دورات القيمة الدفترية'!I:O,MATCH($E288,'دورات القيمة الدفترية'!O:O,0),4),D288)</f>
        <v>0.38</v>
      </c>
      <c r="D288">
        <f>INDEX('دورات القيمة الدفترية'!Q:W,MATCH($E288,'دورات القيمة الدفترية'!W:W,0),4)</f>
        <v>0.42</v>
      </c>
      <c r="E288" t="s">
        <v>135</v>
      </c>
    </row>
    <row r="289" spans="1:5">
      <c r="A289">
        <f t="shared" si="4"/>
        <v>0.37</v>
      </c>
      <c r="B289">
        <f>_xlfn.IFNA( INDEX('دورات القيمة الدفترية'!A:G,MATCH($E289,'دورات القيمة الدفترية'!G:G,0),4),C289)</f>
        <v>0.37</v>
      </c>
      <c r="C289">
        <f>_xlfn.IFNA( INDEX('دورات القيمة الدفترية'!I:O,MATCH($E289,'دورات القيمة الدفترية'!O:O,0),4),D289)</f>
        <v>0.38</v>
      </c>
      <c r="D289">
        <f>INDEX('دورات القيمة الدفترية'!Q:W,MATCH($E289,'دورات القيمة الدفترية'!W:W,0),4)</f>
        <v>0.42</v>
      </c>
      <c r="E289" t="s">
        <v>135</v>
      </c>
    </row>
    <row r="290" spans="1:5">
      <c r="A290" t="e">
        <f t="shared" si="4"/>
        <v>#N/A</v>
      </c>
      <c r="B290" t="e">
        <f>_xlfn.IFNA( INDEX('دورات القيمة الدفترية'!A:G,MATCH($E290,'دورات القيمة الدفترية'!G:G,0),4),C290)</f>
        <v>#N/A</v>
      </c>
      <c r="C290" t="e">
        <f>_xlfn.IFNA( INDEX('دورات القيمة الدفترية'!I:O,MATCH($E290,'دورات القيمة الدفترية'!O:O,0),4),D290)</f>
        <v>#N/A</v>
      </c>
      <c r="D290" t="e">
        <f>INDEX('دورات القيمة الدفترية'!Q:W,MATCH($E290,'دورات القيمة الدفترية'!W:W,0),4)</f>
        <v>#N/A</v>
      </c>
      <c r="E290" t="s">
        <v>463</v>
      </c>
    </row>
    <row r="291" spans="1:5">
      <c r="A291">
        <f t="shared" si="4"/>
        <v>0.75</v>
      </c>
      <c r="B291">
        <f>_xlfn.IFNA( INDEX('دورات القيمة الدفترية'!A:G,MATCH($E291,'دورات القيمة الدفترية'!G:G,0),4),C291)</f>
        <v>0.75</v>
      </c>
      <c r="C291">
        <f>_xlfn.IFNA( INDEX('دورات القيمة الدفترية'!I:O,MATCH($E291,'دورات القيمة الدفترية'!O:O,0),4),D291)</f>
        <v>0.76</v>
      </c>
      <c r="D291">
        <f>INDEX('دورات القيمة الدفترية'!Q:W,MATCH($E291,'دورات القيمة الدفترية'!W:W,0),4)</f>
        <v>0.76</v>
      </c>
      <c r="E291" t="s">
        <v>136</v>
      </c>
    </row>
    <row r="292" spans="1:5">
      <c r="A292">
        <f t="shared" si="4"/>
        <v>2.23</v>
      </c>
      <c r="B292">
        <f>_xlfn.IFNA( INDEX('دورات القيمة الدفترية'!A:G,MATCH($E292,'دورات القيمة الدفترية'!G:G,0),4),C292)</f>
        <v>2.23</v>
      </c>
      <c r="C292">
        <f>_xlfn.IFNA( INDEX('دورات القيمة الدفترية'!I:O,MATCH($E292,'دورات القيمة الدفترية'!O:O,0),4),D292)</f>
        <v>2.23</v>
      </c>
      <c r="D292" t="e">
        <f>INDEX('دورات القيمة الدفترية'!Q:W,MATCH($E292,'دورات القيمة الدفترية'!W:W,0),4)</f>
        <v>#N/A</v>
      </c>
      <c r="E292" t="s">
        <v>285</v>
      </c>
    </row>
    <row r="293" spans="1:5">
      <c r="A293" t="e">
        <f t="shared" si="4"/>
        <v>#N/A</v>
      </c>
      <c r="B293" t="e">
        <f>_xlfn.IFNA( INDEX('دورات القيمة الدفترية'!A:G,MATCH($E293,'دورات القيمة الدفترية'!G:G,0),4),C293)</f>
        <v>#N/A</v>
      </c>
      <c r="C293" t="e">
        <f>_xlfn.IFNA( INDEX('دورات القيمة الدفترية'!I:O,MATCH($E293,'دورات القيمة الدفترية'!O:O,0),4),D293)</f>
        <v>#N/A</v>
      </c>
      <c r="D293" t="e">
        <f>INDEX('دورات القيمة الدفترية'!Q:W,MATCH($E293,'دورات القيمة الدفترية'!W:W,0),4)</f>
        <v>#N/A</v>
      </c>
      <c r="E293" t="s">
        <v>287</v>
      </c>
    </row>
    <row r="294" spans="1:5">
      <c r="A294">
        <f t="shared" si="4"/>
        <v>21.36</v>
      </c>
      <c r="B294">
        <f>_xlfn.IFNA( INDEX('دورات القيمة الدفترية'!A:G,MATCH($E294,'دورات القيمة الدفترية'!G:G,0),4),C294)</f>
        <v>21.36</v>
      </c>
      <c r="C294">
        <f>_xlfn.IFNA( INDEX('دورات القيمة الدفترية'!I:O,MATCH($E294,'دورات القيمة الدفترية'!O:O,0),4),D294)</f>
        <v>20.18</v>
      </c>
      <c r="D294">
        <f>INDEX('دورات القيمة الدفترية'!Q:W,MATCH($E294,'دورات القيمة الدفترية'!W:W,0),4)</f>
        <v>20.55</v>
      </c>
      <c r="E294" t="s">
        <v>27</v>
      </c>
    </row>
    <row r="295" spans="1:5">
      <c r="A295">
        <f t="shared" si="4"/>
        <v>2.63</v>
      </c>
      <c r="B295">
        <f>_xlfn.IFNA( INDEX('دورات القيمة الدفترية'!A:G,MATCH($E295,'دورات القيمة الدفترية'!G:G,0),4),C295)</f>
        <v>2.63</v>
      </c>
      <c r="C295">
        <f>_xlfn.IFNA( INDEX('دورات القيمة الدفترية'!I:O,MATCH($E295,'دورات القيمة الدفترية'!O:O,0),4),D295)</f>
        <v>2.63</v>
      </c>
      <c r="D295">
        <f>INDEX('دورات القيمة الدفترية'!Q:W,MATCH($E295,'دورات القيمة الدفترية'!W:W,0),4)</f>
        <v>2.63</v>
      </c>
      <c r="E295" t="s">
        <v>289</v>
      </c>
    </row>
    <row r="296" spans="1:5">
      <c r="A296">
        <f t="shared" si="4"/>
        <v>15.58</v>
      </c>
      <c r="B296">
        <f>_xlfn.IFNA( INDEX('دورات القيمة الدفترية'!A:G,MATCH($E296,'دورات القيمة الدفترية'!G:G,0),4),C296)</f>
        <v>15.58</v>
      </c>
      <c r="C296">
        <f>_xlfn.IFNA( INDEX('دورات القيمة الدفترية'!I:O,MATCH($E296,'دورات القيمة الدفترية'!O:O,0),4),D296)</f>
        <v>15.58</v>
      </c>
      <c r="D296">
        <f>INDEX('دورات القيمة الدفترية'!Q:W,MATCH($E296,'دورات القيمة الدفترية'!W:W,0),4)</f>
        <v>14.86</v>
      </c>
      <c r="E296" t="s">
        <v>290</v>
      </c>
    </row>
    <row r="297" spans="1:5">
      <c r="A297" t="e">
        <f t="shared" si="4"/>
        <v>#N/A</v>
      </c>
      <c r="B297" t="e">
        <f>_xlfn.IFNA( INDEX('دورات القيمة الدفترية'!A:G,MATCH($E297,'دورات القيمة الدفترية'!G:G,0),4),C297)</f>
        <v>#N/A</v>
      </c>
      <c r="C297" t="e">
        <f>_xlfn.IFNA( INDEX('دورات القيمة الدفترية'!I:O,MATCH($E297,'دورات القيمة الدفترية'!O:O,0),4),D297)</f>
        <v>#N/A</v>
      </c>
      <c r="D297" t="e">
        <f>INDEX('دورات القيمة الدفترية'!Q:W,MATCH($E297,'دورات القيمة الدفترية'!W:W,0),4)</f>
        <v>#N/A</v>
      </c>
      <c r="E297" t="s">
        <v>460</v>
      </c>
    </row>
    <row r="298" spans="1:5">
      <c r="A298">
        <f t="shared" si="4"/>
        <v>1.76</v>
      </c>
      <c r="B298">
        <f>_xlfn.IFNA( INDEX('دورات القيمة الدفترية'!A:G,MATCH($E298,'دورات القيمة الدفترية'!G:G,0),4),C298)</f>
        <v>1.76</v>
      </c>
      <c r="C298">
        <f>_xlfn.IFNA( INDEX('دورات القيمة الدفترية'!I:O,MATCH($E298,'دورات القيمة الدفترية'!O:O,0),4),D298)</f>
        <v>2.25</v>
      </c>
      <c r="D298">
        <f>INDEX('دورات القيمة الدفترية'!Q:W,MATCH($E298,'دورات القيمة الدفترية'!W:W,0),4)</f>
        <v>2.25</v>
      </c>
      <c r="E298" t="s">
        <v>292</v>
      </c>
    </row>
    <row r="299" spans="1:5">
      <c r="A299">
        <f t="shared" si="4"/>
        <v>1.76</v>
      </c>
      <c r="B299">
        <f>_xlfn.IFNA( INDEX('دورات القيمة الدفترية'!A:G,MATCH($E299,'دورات القيمة الدفترية'!G:G,0),4),C299)</f>
        <v>1.76</v>
      </c>
      <c r="C299">
        <f>_xlfn.IFNA( INDEX('دورات القيمة الدفترية'!I:O,MATCH($E299,'دورات القيمة الدفترية'!O:O,0),4),D299)</f>
        <v>2.25</v>
      </c>
      <c r="D299">
        <f>INDEX('دورات القيمة الدفترية'!Q:W,MATCH($E299,'دورات القيمة الدفترية'!W:W,0),4)</f>
        <v>2.25</v>
      </c>
      <c r="E299" t="s">
        <v>292</v>
      </c>
    </row>
    <row r="300" spans="1:5">
      <c r="A300">
        <f t="shared" si="4"/>
        <v>1.48</v>
      </c>
      <c r="B300">
        <f>_xlfn.IFNA( INDEX('دورات القيمة الدفترية'!A:G,MATCH($E300,'دورات القيمة الدفترية'!G:G,0),4),C300)</f>
        <v>1.48</v>
      </c>
      <c r="C300">
        <f>_xlfn.IFNA( INDEX('دورات القيمة الدفترية'!I:O,MATCH($E300,'دورات القيمة الدفترية'!O:O,0),4),D300)</f>
        <v>1.46</v>
      </c>
      <c r="D300">
        <f>INDEX('دورات القيمة الدفترية'!Q:W,MATCH($E300,'دورات القيمة الدفترية'!W:W,0),4)</f>
        <v>1.41</v>
      </c>
      <c r="E300" t="s">
        <v>92</v>
      </c>
    </row>
    <row r="301" spans="1:5">
      <c r="A301">
        <f t="shared" si="4"/>
        <v>1.86</v>
      </c>
      <c r="B301">
        <f>_xlfn.IFNA( INDEX('دورات القيمة الدفترية'!A:G,MATCH($E301,'دورات القيمة الدفترية'!G:G,0),4),C301)</f>
        <v>1.86</v>
      </c>
      <c r="C301">
        <f>_xlfn.IFNA( INDEX('دورات القيمة الدفترية'!I:O,MATCH($E301,'دورات القيمة الدفترية'!O:O,0),4),D301)</f>
        <v>1.7</v>
      </c>
      <c r="D301">
        <f>INDEX('دورات القيمة الدفترية'!Q:W,MATCH($E301,'دورات القيمة الدفترية'!W:W,0),4)</f>
        <v>1.55</v>
      </c>
      <c r="E301" t="s">
        <v>98</v>
      </c>
    </row>
    <row r="302" spans="1:5">
      <c r="A302">
        <f t="shared" si="4"/>
        <v>18.579999999999998</v>
      </c>
      <c r="B302">
        <f>_xlfn.IFNA( INDEX('دورات القيمة الدفترية'!A:G,MATCH($E302,'دورات القيمة الدفترية'!G:G,0),4),C302)</f>
        <v>18.579999999999998</v>
      </c>
      <c r="C302">
        <f>_xlfn.IFNA( INDEX('دورات القيمة الدفترية'!I:O,MATCH($E302,'دورات القيمة الدفترية'!O:O,0),4),D302)</f>
        <v>18.52</v>
      </c>
      <c r="D302">
        <f>INDEX('دورات القيمة الدفترية'!Q:W,MATCH($E302,'دورات القيمة الدفترية'!W:W,0),4)</f>
        <v>17.98</v>
      </c>
      <c r="E302" t="s">
        <v>104</v>
      </c>
    </row>
    <row r="303" spans="1:5">
      <c r="A303" t="e">
        <f t="shared" si="4"/>
        <v>#N/A</v>
      </c>
      <c r="B303" t="e">
        <f>_xlfn.IFNA( INDEX('دورات القيمة الدفترية'!A:G,MATCH($E303,'دورات القيمة الدفترية'!G:G,0),4),C303)</f>
        <v>#N/A</v>
      </c>
      <c r="C303" t="e">
        <f>_xlfn.IFNA( INDEX('دورات القيمة الدفترية'!I:O,MATCH($E303,'دورات القيمة الدفترية'!O:O,0),4),D303)</f>
        <v>#N/A</v>
      </c>
      <c r="D303" t="e">
        <f>INDEX('دورات القيمة الدفترية'!Q:W,MATCH($E303,'دورات القيمة الدفترية'!W:W,0),4)</f>
        <v>#N/A</v>
      </c>
      <c r="E303" t="s">
        <v>462</v>
      </c>
    </row>
    <row r="304" spans="1:5">
      <c r="A304">
        <f t="shared" si="4"/>
        <v>0.09</v>
      </c>
      <c r="B304">
        <f>_xlfn.IFNA( INDEX('دورات القيمة الدفترية'!A:G,MATCH($E304,'دورات القيمة الدفترية'!G:G,0),4),C304)</f>
        <v>0.09</v>
      </c>
      <c r="C304">
        <f>_xlfn.IFNA( INDEX('دورات القيمة الدفترية'!I:O,MATCH($E304,'دورات القيمة الدفترية'!O:O,0),4),D304)</f>
        <v>0.09</v>
      </c>
      <c r="D304">
        <f>INDEX('دورات القيمة الدفترية'!Q:W,MATCH($E304,'دورات القيمة الدفترية'!W:W,0),4)</f>
        <v>0.08</v>
      </c>
      <c r="E304" t="s">
        <v>637</v>
      </c>
    </row>
    <row r="305" spans="1:5">
      <c r="A305">
        <f t="shared" si="4"/>
        <v>0.68</v>
      </c>
      <c r="B305">
        <f>_xlfn.IFNA( INDEX('دورات القيمة الدفترية'!A:G,MATCH($E305,'دورات القيمة الدفترية'!G:G,0),4),C305)</f>
        <v>0.68</v>
      </c>
      <c r="C305">
        <f>_xlfn.IFNA( INDEX('دورات القيمة الدفترية'!I:O,MATCH($E305,'دورات القيمة الدفترية'!O:O,0),4),D305)</f>
        <v>0.68</v>
      </c>
      <c r="D305">
        <f>INDEX('دورات القيمة الدفترية'!Q:W,MATCH($E305,'دورات القيمة الدفترية'!W:W,0),4)</f>
        <v>0.68</v>
      </c>
      <c r="E305" t="s">
        <v>53</v>
      </c>
    </row>
    <row r="306" spans="1:5">
      <c r="A306">
        <f t="shared" si="4"/>
        <v>-1.21</v>
      </c>
      <c r="B306">
        <f>_xlfn.IFNA( INDEX('دورات القيمة الدفترية'!A:G,MATCH($E306,'دورات القيمة الدفترية'!G:G,0),4),C306)</f>
        <v>-1.21</v>
      </c>
      <c r="C306">
        <f>_xlfn.IFNA( INDEX('دورات القيمة الدفترية'!I:O,MATCH($E306,'دورات القيمة الدفترية'!O:O,0),4),D306)</f>
        <v>-1.21</v>
      </c>
      <c r="D306" t="e">
        <f>INDEX('دورات القيمة الدفترية'!Q:W,MATCH($E306,'دورات القيمة الدفترية'!W:W,0),4)</f>
        <v>#N/A</v>
      </c>
      <c r="E306" t="s">
        <v>295</v>
      </c>
    </row>
    <row r="307" spans="1:5">
      <c r="A307">
        <f t="shared" si="4"/>
        <v>-1.21</v>
      </c>
      <c r="B307">
        <f>_xlfn.IFNA( INDEX('دورات القيمة الدفترية'!A:G,MATCH($E307,'دورات القيمة الدفترية'!G:G,0),4),C307)</f>
        <v>-1.21</v>
      </c>
      <c r="C307">
        <f>_xlfn.IFNA( INDEX('دورات القيمة الدفترية'!I:O,MATCH($E307,'دورات القيمة الدفترية'!O:O,0),4),D307)</f>
        <v>-1.21</v>
      </c>
      <c r="D307" t="e">
        <f>INDEX('دورات القيمة الدفترية'!Q:W,MATCH($E307,'دورات القيمة الدفترية'!W:W,0),4)</f>
        <v>#N/A</v>
      </c>
      <c r="E307" t="s">
        <v>295</v>
      </c>
    </row>
    <row r="308" spans="1:5">
      <c r="A308">
        <f t="shared" si="4"/>
        <v>97.93</v>
      </c>
      <c r="B308">
        <f>_xlfn.IFNA( INDEX('دورات القيمة الدفترية'!A:G,MATCH($E308,'دورات القيمة الدفترية'!G:G,0),4),C308)</f>
        <v>97.93</v>
      </c>
      <c r="C308">
        <f>_xlfn.IFNA( INDEX('دورات القيمة الدفترية'!I:O,MATCH($E308,'دورات القيمة الدفترية'!O:O,0),4),D308)</f>
        <v>97.93</v>
      </c>
      <c r="D308" t="e">
        <f>INDEX('دورات القيمة الدفترية'!Q:W,MATCH($E308,'دورات القيمة الدفترية'!W:W,0),4)</f>
        <v>#N/A</v>
      </c>
      <c r="E308" t="s">
        <v>76</v>
      </c>
    </row>
    <row r="309" spans="1:5">
      <c r="A309">
        <f t="shared" si="4"/>
        <v>97.93</v>
      </c>
      <c r="B309">
        <f>_xlfn.IFNA( INDEX('دورات القيمة الدفترية'!A:G,MATCH($E309,'دورات القيمة الدفترية'!G:G,0),4),C309)</f>
        <v>97.93</v>
      </c>
      <c r="C309">
        <f>_xlfn.IFNA( INDEX('دورات القيمة الدفترية'!I:O,MATCH($E309,'دورات القيمة الدفترية'!O:O,0),4),D309)</f>
        <v>97.93</v>
      </c>
      <c r="D309" t="e">
        <f>INDEX('دورات القيمة الدفترية'!Q:W,MATCH($E309,'دورات القيمة الدفترية'!W:W,0),4)</f>
        <v>#N/A</v>
      </c>
      <c r="E309" t="s">
        <v>76</v>
      </c>
    </row>
    <row r="310" spans="1:5">
      <c r="A310">
        <f t="shared" si="4"/>
        <v>1.66</v>
      </c>
      <c r="B310">
        <f>_xlfn.IFNA( INDEX('دورات القيمة الدفترية'!A:G,MATCH($E310,'دورات القيمة الدفترية'!G:G,0),4),C310)</f>
        <v>1.66</v>
      </c>
      <c r="C310">
        <f>_xlfn.IFNA( INDEX('دورات القيمة الدفترية'!I:O,MATCH($E310,'دورات القيمة الدفترية'!O:O,0),4),D310)</f>
        <v>1.64</v>
      </c>
      <c r="D310">
        <f>INDEX('دورات القيمة الدفترية'!Q:W,MATCH($E310,'دورات القيمة الدفترية'!W:W,0),4)</f>
        <v>1.61</v>
      </c>
      <c r="E310" t="s">
        <v>29</v>
      </c>
    </row>
    <row r="311" spans="1:5">
      <c r="A311">
        <f t="shared" si="4"/>
        <v>0.28000000000000003</v>
      </c>
      <c r="B311">
        <f>_xlfn.IFNA( INDEX('دورات القيمة الدفترية'!A:G,MATCH($E311,'دورات القيمة الدفترية'!G:G,0),4),C311)</f>
        <v>0.28000000000000003</v>
      </c>
      <c r="C311">
        <f>_xlfn.IFNA( INDEX('دورات القيمة الدفترية'!I:O,MATCH($E311,'دورات القيمة الدفترية'!O:O,0),4),D311)</f>
        <v>0.27</v>
      </c>
      <c r="D311">
        <f>INDEX('دورات القيمة الدفترية'!Q:W,MATCH($E311,'دورات القيمة الدفترية'!W:W,0),4)</f>
        <v>0.26</v>
      </c>
      <c r="E311" t="s">
        <v>592</v>
      </c>
    </row>
    <row r="312" spans="1:5">
      <c r="A312">
        <f t="shared" si="4"/>
        <v>2.83</v>
      </c>
      <c r="B312">
        <f>_xlfn.IFNA( INDEX('دورات القيمة الدفترية'!A:G,MATCH($E312,'دورات القيمة الدفترية'!G:G,0),4),C312)</f>
        <v>2.83</v>
      </c>
      <c r="C312">
        <f>_xlfn.IFNA( INDEX('دورات القيمة الدفترية'!I:O,MATCH($E312,'دورات القيمة الدفترية'!O:O,0),4),D312)</f>
        <v>3</v>
      </c>
      <c r="D312">
        <f>INDEX('دورات القيمة الدفترية'!Q:W,MATCH($E312,'دورات القيمة الدفترية'!W:W,0),4)</f>
        <v>2.82</v>
      </c>
      <c r="E312" t="s">
        <v>85</v>
      </c>
    </row>
    <row r="313" spans="1:5">
      <c r="A313" t="e">
        <f t="shared" si="4"/>
        <v>#N/A</v>
      </c>
      <c r="B313" t="e">
        <f>_xlfn.IFNA( INDEX('دورات القيمة الدفترية'!A:G,MATCH($E313,'دورات القيمة الدفترية'!G:G,0),4),C313)</f>
        <v>#N/A</v>
      </c>
      <c r="C313" t="e">
        <f>_xlfn.IFNA( INDEX('دورات القيمة الدفترية'!I:O,MATCH($E313,'دورات القيمة الدفترية'!O:O,0),4),D313)</f>
        <v>#N/A</v>
      </c>
      <c r="D313" t="e">
        <f>INDEX('دورات القيمة الدفترية'!Q:W,MATCH($E313,'دورات القيمة الدفترية'!W:W,0),4)</f>
        <v>#N/A</v>
      </c>
      <c r="E313" t="s">
        <v>484</v>
      </c>
    </row>
    <row r="314" spans="1:5">
      <c r="A314" t="e">
        <f t="shared" si="4"/>
        <v>#N/A</v>
      </c>
      <c r="B314" t="e">
        <f>_xlfn.IFNA( INDEX('دورات القيمة الدفترية'!A:G,MATCH($E314,'دورات القيمة الدفترية'!G:G,0),4),C314)</f>
        <v>#N/A</v>
      </c>
      <c r="C314" t="e">
        <f>_xlfn.IFNA( INDEX('دورات القيمة الدفترية'!I:O,MATCH($E314,'دورات القيمة الدفترية'!O:O,0),4),D314)</f>
        <v>#N/A</v>
      </c>
      <c r="D314" t="e">
        <f>INDEX('دورات القيمة الدفترية'!Q:W,MATCH($E314,'دورات القيمة الدفترية'!W:W,0),4)</f>
        <v>#N/A</v>
      </c>
      <c r="E314" t="s">
        <v>484</v>
      </c>
    </row>
    <row r="315" spans="1:5">
      <c r="A315">
        <f t="shared" si="4"/>
        <v>0.64</v>
      </c>
      <c r="B315">
        <f>_xlfn.IFNA( INDEX('دورات القيمة الدفترية'!A:G,MATCH($E315,'دورات القيمة الدفترية'!G:G,0),4),C315)</f>
        <v>0.64</v>
      </c>
      <c r="C315">
        <f>_xlfn.IFNA( INDEX('دورات القيمة الدفترية'!I:O,MATCH($E315,'دورات القيمة الدفترية'!O:O,0),4),D315)</f>
        <v>0.64</v>
      </c>
      <c r="D315">
        <f>INDEX('دورات القيمة الدفترية'!Q:W,MATCH($E315,'دورات القيمة الدفترية'!W:W,0),4)</f>
        <v>0.64</v>
      </c>
      <c r="E315" t="s">
        <v>638</v>
      </c>
    </row>
    <row r="316" spans="1:5">
      <c r="A316">
        <f t="shared" si="4"/>
        <v>13.18</v>
      </c>
      <c r="B316">
        <f>_xlfn.IFNA( INDEX('دورات القيمة الدفترية'!A:G,MATCH($E316,'دورات القيمة الدفترية'!G:G,0),4),C316)</f>
        <v>13.18</v>
      </c>
      <c r="C316">
        <f>_xlfn.IFNA( INDEX('دورات القيمة الدفترية'!I:O,MATCH($E316,'دورات القيمة الدفترية'!O:O,0),4),D316)</f>
        <v>13.46</v>
      </c>
      <c r="D316">
        <f>INDEX('دورات القيمة الدفترية'!Q:W,MATCH($E316,'دورات القيمة الدفترية'!W:W,0),4)</f>
        <v>12.52</v>
      </c>
      <c r="E316" t="s">
        <v>10</v>
      </c>
    </row>
    <row r="317" spans="1:5">
      <c r="A317">
        <f t="shared" si="4"/>
        <v>0.26</v>
      </c>
      <c r="B317">
        <f>_xlfn.IFNA( INDEX('دورات القيمة الدفترية'!A:G,MATCH($E317,'دورات القيمة الدفترية'!G:G,0),4),C317)</f>
        <v>0.26</v>
      </c>
      <c r="C317">
        <f>_xlfn.IFNA( INDEX('دورات القيمة الدفترية'!I:O,MATCH($E317,'دورات القيمة الدفترية'!O:O,0),4),D317)</f>
        <v>0.26</v>
      </c>
      <c r="D317">
        <f>INDEX('دورات القيمة الدفترية'!Q:W,MATCH($E317,'دورات القيمة الدفترية'!W:W,0),4)</f>
        <v>1.67</v>
      </c>
      <c r="E317" t="s">
        <v>636</v>
      </c>
    </row>
    <row r="318" spans="1:5">
      <c r="A318">
        <f t="shared" si="4"/>
        <v>113.92</v>
      </c>
      <c r="B318">
        <f>_xlfn.IFNA( INDEX('دورات القيمة الدفترية'!A:G,MATCH($E318,'دورات القيمة الدفترية'!G:G,0),4),C318)</f>
        <v>113.92</v>
      </c>
      <c r="C318">
        <f>_xlfn.IFNA( INDEX('دورات القيمة الدفترية'!I:O,MATCH($E318,'دورات القيمة الدفترية'!O:O,0),4),D318)</f>
        <v>113.92</v>
      </c>
      <c r="D318" t="e">
        <f>INDEX('دورات القيمة الدفترية'!Q:W,MATCH($E318,'دورات القيمة الدفترية'!W:W,0),4)</f>
        <v>#N/A</v>
      </c>
      <c r="E318" t="s">
        <v>49</v>
      </c>
    </row>
    <row r="319" spans="1:5">
      <c r="A319">
        <f t="shared" si="4"/>
        <v>19.55</v>
      </c>
      <c r="B319">
        <f>_xlfn.IFNA( INDEX('دورات القيمة الدفترية'!A:G,MATCH($E319,'دورات القيمة الدفترية'!G:G,0),4),C319)</f>
        <v>19.55</v>
      </c>
      <c r="C319">
        <f>_xlfn.IFNA( INDEX('دورات القيمة الدفترية'!I:O,MATCH($E319,'دورات القيمة الدفترية'!O:O,0),4),D319)</f>
        <v>19.55</v>
      </c>
      <c r="D319" t="e">
        <f>INDEX('دورات القيمة الدفترية'!Q:W,MATCH($E319,'دورات القيمة الدفترية'!W:W,0),4)</f>
        <v>#N/A</v>
      </c>
      <c r="E319" t="s">
        <v>297</v>
      </c>
    </row>
    <row r="320" spans="1:5">
      <c r="A320">
        <f t="shared" si="4"/>
        <v>1.17</v>
      </c>
      <c r="B320">
        <f>_xlfn.IFNA( INDEX('دورات القيمة الدفترية'!A:G,MATCH($E320,'دورات القيمة الدفترية'!G:G,0),4),C320)</f>
        <v>1.17</v>
      </c>
      <c r="C320">
        <f>_xlfn.IFNA( INDEX('دورات القيمة الدفترية'!I:O,MATCH($E320,'دورات القيمة الدفترية'!O:O,0),4),D320)</f>
        <v>1.27</v>
      </c>
      <c r="D320" t="e">
        <f>INDEX('دورات القيمة الدفترية'!Q:W,MATCH($E320,'دورات القيمة الدفترية'!W:W,0),4)</f>
        <v>#N/A</v>
      </c>
      <c r="E320" t="s">
        <v>299</v>
      </c>
    </row>
    <row r="321" spans="1:5">
      <c r="A321">
        <f t="shared" si="4"/>
        <v>3.14</v>
      </c>
      <c r="B321">
        <f>_xlfn.IFNA( INDEX('دورات القيمة الدفترية'!A:G,MATCH($E321,'دورات القيمة الدفترية'!G:G,0),4),C321)</f>
        <v>3.14</v>
      </c>
      <c r="C321">
        <f>_xlfn.IFNA( INDEX('دورات القيمة الدفترية'!I:O,MATCH($E321,'دورات القيمة الدفترية'!O:O,0),4),D321)</f>
        <v>3.14</v>
      </c>
      <c r="D321" t="e">
        <f>INDEX('دورات القيمة الدفترية'!Q:W,MATCH($E321,'دورات القيمة الدفترية'!W:W,0),4)</f>
        <v>#N/A</v>
      </c>
      <c r="E321" t="s">
        <v>81</v>
      </c>
    </row>
    <row r="322" spans="1:5">
      <c r="A322" t="e">
        <f t="shared" si="4"/>
        <v>#N/A</v>
      </c>
      <c r="B322" t="e">
        <f>_xlfn.IFNA( INDEX('دورات القيمة الدفترية'!A:G,MATCH($E322,'دورات القيمة الدفترية'!G:G,0),4),C322)</f>
        <v>#N/A</v>
      </c>
      <c r="C322" t="e">
        <f>_xlfn.IFNA( INDEX('دورات القيمة الدفترية'!I:O,MATCH($E322,'دورات القيمة الدفترية'!O:O,0),4),D322)</f>
        <v>#N/A</v>
      </c>
      <c r="D322" t="e">
        <f>INDEX('دورات القيمة الدفترية'!Q:W,MATCH($E322,'دورات القيمة الدفترية'!W:W,0),4)</f>
        <v>#N/A</v>
      </c>
      <c r="E322" t="e">
        <v>#N/A</v>
      </c>
    </row>
  </sheetData>
  <sortState xmlns:xlrd2="http://schemas.microsoft.com/office/spreadsheetml/2017/richdata2" ref="A2:E357">
    <sortCondition ref="E2:E357"/>
  </sortState>
  <hyperlinks>
    <hyperlink ref="I1" r:id="rId1" xr:uid="{A31BF1FF-6858-4D90-A5E4-84257DC08F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3688-8030-42A1-8511-97199F6A88F6}">
  <sheetPr codeName="Sheet4"/>
  <dimension ref="A1:W199"/>
  <sheetViews>
    <sheetView workbookViewId="0"/>
  </sheetViews>
  <sheetFormatPr defaultRowHeight="14.4"/>
  <cols>
    <col min="1" max="1" width="35.33203125" bestFit="1" customWidth="1"/>
    <col min="2" max="2" width="9.109375" bestFit="1" customWidth="1"/>
    <col min="3" max="3" width="13.21875" bestFit="1" customWidth="1"/>
    <col min="4" max="4" width="10.109375" bestFit="1" customWidth="1"/>
    <col min="5" max="5" width="11.6640625" bestFit="1" customWidth="1"/>
    <col min="6" max="6" width="16.21875" bestFit="1" customWidth="1"/>
    <col min="7" max="7" width="6.33203125" bestFit="1" customWidth="1"/>
    <col min="9" max="9" width="35.33203125" bestFit="1" customWidth="1"/>
    <col min="10" max="10" width="9.109375" bestFit="1" customWidth="1"/>
    <col min="11" max="11" width="13.21875" bestFit="1" customWidth="1"/>
    <col min="12" max="12" width="10.109375" bestFit="1" customWidth="1"/>
    <col min="13" max="13" width="11.6640625" bestFit="1" customWidth="1"/>
    <col min="14" max="14" width="16.21875" bestFit="1" customWidth="1"/>
    <col min="15" max="15" width="6.44140625" bestFit="1" customWidth="1"/>
    <col min="17" max="17" width="35.33203125" bestFit="1" customWidth="1"/>
    <col min="18" max="18" width="9.109375" bestFit="1" customWidth="1"/>
    <col min="19" max="19" width="13.21875" bestFit="1" customWidth="1"/>
    <col min="20" max="20" width="10.109375" bestFit="1" customWidth="1"/>
    <col min="21" max="21" width="11.6640625" bestFit="1" customWidth="1"/>
    <col min="22" max="22" width="16.21875" bestFit="1" customWidth="1"/>
  </cols>
  <sheetData>
    <row r="1" spans="1:23">
      <c r="C1" s="1" t="s">
        <v>597</v>
      </c>
      <c r="K1" s="1" t="s">
        <v>620</v>
      </c>
      <c r="S1" s="1" t="s">
        <v>621</v>
      </c>
    </row>
    <row r="2" spans="1:23">
      <c r="A2" t="s">
        <v>501</v>
      </c>
      <c r="B2" t="s">
        <v>4</v>
      </c>
      <c r="C2" t="s">
        <v>502</v>
      </c>
      <c r="D2" t="s">
        <v>503</v>
      </c>
      <c r="E2" t="s">
        <v>504</v>
      </c>
      <c r="F2" t="s">
        <v>505</v>
      </c>
      <c r="I2" t="s">
        <v>501</v>
      </c>
      <c r="J2" t="s">
        <v>4</v>
      </c>
      <c r="K2" t="s">
        <v>502</v>
      </c>
      <c r="L2" t="s">
        <v>503</v>
      </c>
      <c r="M2" t="s">
        <v>504</v>
      </c>
      <c r="N2" t="s">
        <v>505</v>
      </c>
      <c r="Q2" t="s">
        <v>501</v>
      </c>
      <c r="R2" t="s">
        <v>4</v>
      </c>
      <c r="S2" t="s">
        <v>502</v>
      </c>
      <c r="T2" t="s">
        <v>503</v>
      </c>
      <c r="U2" t="s">
        <v>504</v>
      </c>
      <c r="V2" t="s">
        <v>505</v>
      </c>
    </row>
    <row r="3" spans="1:23">
      <c r="A3" t="s">
        <v>384</v>
      </c>
      <c r="B3">
        <v>0.24</v>
      </c>
      <c r="C3" t="s">
        <v>507</v>
      </c>
      <c r="D3">
        <v>1.08</v>
      </c>
      <c r="E3">
        <v>7.35</v>
      </c>
      <c r="F3">
        <v>3.22</v>
      </c>
      <c r="G3" t="str">
        <f>INDEX('رموز سريعة'!$A:$B,MATCH(A3,'رموز سريعة'!$A:$A,0),2)</f>
        <v>ADPC</v>
      </c>
      <c r="I3" t="s">
        <v>384</v>
      </c>
      <c r="J3">
        <v>0.34</v>
      </c>
      <c r="K3" t="s">
        <v>507</v>
      </c>
      <c r="L3">
        <v>1.02</v>
      </c>
      <c r="M3">
        <v>6.47</v>
      </c>
      <c r="N3">
        <v>2.84</v>
      </c>
      <c r="O3" t="str">
        <f>INDEX('رموز سريعة'!$A:$B,MATCH(I3,'رموز سريعة'!$A:$A,0),2)</f>
        <v>ADPC</v>
      </c>
      <c r="Q3" t="s">
        <v>384</v>
      </c>
      <c r="R3">
        <v>0.23</v>
      </c>
      <c r="S3" t="s">
        <v>507</v>
      </c>
      <c r="T3">
        <v>0.52</v>
      </c>
      <c r="U3">
        <v>4.91</v>
      </c>
      <c r="V3">
        <v>1.86</v>
      </c>
      <c r="W3" t="str">
        <f>INDEX('رموز سريعة'!$A:$B,MATCH(Q3,'رموز سريعة'!$A:$A,0),2)</f>
        <v>ADPC</v>
      </c>
    </row>
    <row r="4" spans="1:23">
      <c r="A4" t="s">
        <v>512</v>
      </c>
      <c r="B4">
        <v>64.87</v>
      </c>
      <c r="C4" t="s">
        <v>507</v>
      </c>
      <c r="D4">
        <v>101.72</v>
      </c>
      <c r="E4">
        <v>9.99</v>
      </c>
      <c r="F4">
        <v>1.0900000000000001</v>
      </c>
      <c r="G4" t="str">
        <f>INDEX('رموز سريعة'!$A:$B,MATCH(A4,'رموز سريعة'!$A:$A,0),2)</f>
        <v>ADCI</v>
      </c>
      <c r="I4" t="s">
        <v>598</v>
      </c>
      <c r="J4">
        <v>0</v>
      </c>
      <c r="K4" t="s">
        <v>507</v>
      </c>
      <c r="L4">
        <v>0.53</v>
      </c>
      <c r="M4">
        <v>-352.02</v>
      </c>
      <c r="N4">
        <v>1.21</v>
      </c>
      <c r="O4" t="str">
        <f>INDEX('رموز سريعة'!$A:$B,MATCH(I4,'رموز سريعة'!$A:$A,0),2)</f>
        <v>ADRI</v>
      </c>
      <c r="Q4" t="s">
        <v>598</v>
      </c>
      <c r="R4">
        <v>0</v>
      </c>
      <c r="S4" t="s">
        <v>507</v>
      </c>
      <c r="T4">
        <v>0.57999999999999996</v>
      </c>
      <c r="U4">
        <v>97.44</v>
      </c>
      <c r="V4">
        <v>1.25</v>
      </c>
      <c r="W4" t="str">
        <f>INDEX('رموز سريعة'!$A:$B,MATCH(Q4,'رموز سريعة'!$A:$A,0),2)</f>
        <v>ADRI</v>
      </c>
    </row>
    <row r="5" spans="1:23">
      <c r="A5" t="s">
        <v>521</v>
      </c>
      <c r="B5">
        <v>1.51</v>
      </c>
      <c r="C5" t="s">
        <v>507</v>
      </c>
      <c r="D5">
        <v>2.81</v>
      </c>
      <c r="E5">
        <v>7.73</v>
      </c>
      <c r="F5">
        <v>3.12</v>
      </c>
      <c r="G5" t="str">
        <f>INDEX('رموز سريعة'!$A:$B,MATCH(A5,'رموز سريعة'!$A:$A,0),2)</f>
        <v>AMOC</v>
      </c>
      <c r="I5" t="s">
        <v>146</v>
      </c>
      <c r="J5">
        <v>-0.01</v>
      </c>
      <c r="K5" t="s">
        <v>507</v>
      </c>
      <c r="L5">
        <v>0.09</v>
      </c>
      <c r="M5">
        <v>-72.31</v>
      </c>
      <c r="N5">
        <v>3.44</v>
      </c>
      <c r="O5" t="str">
        <f>INDEX('رموز سريعة'!$A:$B,MATCH(I5,'رموز سريعة'!$A:$A,0),2)</f>
        <v>AIFI</v>
      </c>
      <c r="Q5" t="s">
        <v>146</v>
      </c>
      <c r="R5">
        <v>0</v>
      </c>
      <c r="S5" t="s">
        <v>507</v>
      </c>
      <c r="T5">
        <v>0.09</v>
      </c>
      <c r="U5">
        <v>22.66</v>
      </c>
      <c r="V5">
        <v>2.66</v>
      </c>
      <c r="W5" t="str">
        <f>INDEX('رموز سريعة'!$A:$B,MATCH(Q5,'رموز سريعة'!$A:$A,0),2)</f>
        <v>AIFI</v>
      </c>
    </row>
    <row r="6" spans="1:23">
      <c r="A6" t="s">
        <v>542</v>
      </c>
      <c r="B6">
        <v>0.03</v>
      </c>
      <c r="C6" t="s">
        <v>507</v>
      </c>
      <c r="D6">
        <v>0.42</v>
      </c>
      <c r="E6">
        <v>28.49</v>
      </c>
      <c r="F6">
        <v>8.15</v>
      </c>
      <c r="G6" t="str">
        <f>INDEX('رموز سريعة'!$A:$B,MATCH(A6,'رموز سريعة'!$A:$A,0),2)</f>
        <v>ODIN</v>
      </c>
      <c r="I6" t="s">
        <v>521</v>
      </c>
      <c r="J6">
        <v>1.28</v>
      </c>
      <c r="K6" t="s">
        <v>507</v>
      </c>
      <c r="L6">
        <v>3.16</v>
      </c>
      <c r="M6">
        <v>9.32</v>
      </c>
      <c r="N6">
        <v>3.15</v>
      </c>
      <c r="O6" t="str">
        <f>INDEX('رموز سريعة'!$A:$B,MATCH(I6,'رموز سريعة'!$A:$A,0),2)</f>
        <v>AMOC</v>
      </c>
      <c r="Q6" t="s">
        <v>542</v>
      </c>
      <c r="R6">
        <v>0.41</v>
      </c>
      <c r="S6" t="s">
        <v>507</v>
      </c>
      <c r="T6">
        <v>1.83</v>
      </c>
      <c r="U6">
        <v>10.36</v>
      </c>
      <c r="V6">
        <v>1.91</v>
      </c>
      <c r="W6" t="str">
        <f>INDEX('رموز سريعة'!$A:$B,MATCH(Q6,'رموز سريعة'!$A:$A,0),2)</f>
        <v>ODIN</v>
      </c>
    </row>
    <row r="7" spans="1:23">
      <c r="A7" t="s">
        <v>369</v>
      </c>
      <c r="B7">
        <v>-0.27</v>
      </c>
      <c r="C7" t="s">
        <v>507</v>
      </c>
      <c r="D7">
        <v>1.7</v>
      </c>
      <c r="E7">
        <v>-23.89</v>
      </c>
      <c r="F7">
        <v>3.07</v>
      </c>
      <c r="G7" t="str">
        <f>INDEX('رموز سريعة'!$A:$B,MATCH(A7,'رموز سريعة'!$A:$A,0),2)</f>
        <v>EPCO</v>
      </c>
      <c r="I7" t="s">
        <v>542</v>
      </c>
      <c r="J7">
        <v>0.12</v>
      </c>
      <c r="K7" t="s">
        <v>507</v>
      </c>
      <c r="L7">
        <v>0.41</v>
      </c>
      <c r="M7">
        <v>18.71</v>
      </c>
      <c r="N7">
        <v>0.94</v>
      </c>
      <c r="O7" t="str">
        <f>INDEX('رموز سريعة'!$A:$B,MATCH(I7,'رموز سريعة'!$A:$A,0),2)</f>
        <v>ODIN</v>
      </c>
      <c r="Q7" t="s">
        <v>599</v>
      </c>
      <c r="R7">
        <v>-0.02</v>
      </c>
      <c r="S7" t="s">
        <v>507</v>
      </c>
      <c r="T7">
        <v>0.59</v>
      </c>
      <c r="U7">
        <v>2.97</v>
      </c>
      <c r="V7">
        <v>0.44</v>
      </c>
      <c r="W7" t="str">
        <f>INDEX('رموز سريعة'!$A:$B,MATCH(Q7,'رموز سريعة'!$A:$A,0),2)</f>
        <v>OIH</v>
      </c>
    </row>
    <row r="8" spans="1:23">
      <c r="A8" t="s">
        <v>208</v>
      </c>
      <c r="B8">
        <v>1.61</v>
      </c>
      <c r="C8" t="s">
        <v>507</v>
      </c>
      <c r="D8">
        <v>7.88</v>
      </c>
      <c r="E8">
        <v>2.83</v>
      </c>
      <c r="F8">
        <v>0.5</v>
      </c>
      <c r="G8" t="str">
        <f>INDEX('رموز سريعة'!$A:$B,MATCH(A8,'رموز سريعة'!$A:$A,0),2)</f>
        <v>EMFD</v>
      </c>
      <c r="I8" t="s">
        <v>599</v>
      </c>
      <c r="J8">
        <v>0.26</v>
      </c>
      <c r="K8" t="s">
        <v>507</v>
      </c>
      <c r="L8">
        <v>0.63</v>
      </c>
      <c r="M8">
        <v>-13.1</v>
      </c>
      <c r="N8">
        <v>0.38</v>
      </c>
      <c r="O8" t="str">
        <f>INDEX('رموز سريعة'!$A:$B,MATCH(I8,'رموز سريعة'!$A:$A,0),2)</f>
        <v>OIH</v>
      </c>
      <c r="Q8" t="s">
        <v>369</v>
      </c>
      <c r="R8">
        <v>-0.22</v>
      </c>
      <c r="S8" t="s">
        <v>507</v>
      </c>
      <c r="T8">
        <v>1.74</v>
      </c>
      <c r="U8">
        <v>32.56</v>
      </c>
      <c r="V8">
        <v>1.5</v>
      </c>
      <c r="W8" t="str">
        <f>INDEX('رموز سريعة'!$A:$B,MATCH(Q8,'رموز سريعة'!$A:$A,0),2)</f>
        <v>EPCO</v>
      </c>
    </row>
    <row r="9" spans="1:23">
      <c r="A9" t="s">
        <v>455</v>
      </c>
      <c r="B9">
        <v>0.63</v>
      </c>
      <c r="C9" t="s">
        <v>507</v>
      </c>
      <c r="D9">
        <v>1.07</v>
      </c>
      <c r="E9">
        <v>1.46</v>
      </c>
      <c r="F9">
        <v>1.26</v>
      </c>
      <c r="G9" t="str">
        <f>INDEX('رموز سريعة'!$A:$B,MATCH(A9,'رموز سريعة'!$A:$A,0),2)</f>
        <v>MBEG</v>
      </c>
      <c r="I9" t="s">
        <v>369</v>
      </c>
      <c r="J9">
        <v>-0.18</v>
      </c>
      <c r="K9" t="s">
        <v>507</v>
      </c>
      <c r="L9">
        <v>1.69</v>
      </c>
      <c r="M9">
        <v>-17.09</v>
      </c>
      <c r="N9">
        <v>2.2000000000000002</v>
      </c>
      <c r="O9" t="str">
        <f>INDEX('رموز سريعة'!$A:$B,MATCH(I9,'رموز سريعة'!$A:$A,0),2)</f>
        <v>EPCO</v>
      </c>
      <c r="Q9" t="s">
        <v>208</v>
      </c>
      <c r="R9">
        <v>1.1100000000000001</v>
      </c>
      <c r="S9" t="s">
        <v>507</v>
      </c>
      <c r="T9">
        <v>7.15</v>
      </c>
      <c r="U9">
        <v>1.5</v>
      </c>
      <c r="V9">
        <v>0.43</v>
      </c>
      <c r="W9" t="str">
        <f>INDEX('رموز سريعة'!$A:$B,MATCH(Q9,'رموز سريعة'!$A:$A,0),2)</f>
        <v>EMFD</v>
      </c>
    </row>
    <row r="10" spans="1:23">
      <c r="A10" t="s">
        <v>407</v>
      </c>
      <c r="B10">
        <v>0</v>
      </c>
      <c r="C10" t="s">
        <v>507</v>
      </c>
      <c r="D10">
        <v>2.42</v>
      </c>
      <c r="E10">
        <v>3.24</v>
      </c>
      <c r="F10">
        <v>1.4</v>
      </c>
      <c r="G10" t="str">
        <f>INDEX('رموز سريعة'!$A:$B,MATCH(A10,'رموز سريعة'!$A:$A,0),2)</f>
        <v>ETRS</v>
      </c>
      <c r="I10" t="s">
        <v>208</v>
      </c>
      <c r="J10">
        <v>1.32</v>
      </c>
      <c r="K10" t="s">
        <v>507</v>
      </c>
      <c r="L10">
        <v>7.48</v>
      </c>
      <c r="M10">
        <v>2.89</v>
      </c>
      <c r="N10">
        <v>0.45</v>
      </c>
      <c r="O10" t="str">
        <f>INDEX('رموز سريعة'!$A:$B,MATCH(I10,'رموز سريعة'!$A:$A,0),2)</f>
        <v>EMFD</v>
      </c>
      <c r="Q10" t="s">
        <v>455</v>
      </c>
      <c r="R10">
        <v>0.31</v>
      </c>
      <c r="S10" t="s">
        <v>507</v>
      </c>
      <c r="T10">
        <v>0.91</v>
      </c>
      <c r="U10">
        <v>11.37</v>
      </c>
      <c r="V10">
        <v>2.68</v>
      </c>
      <c r="W10" t="str">
        <f>INDEX('رموز سريعة'!$A:$B,MATCH(Q10,'رموز سريعة'!$A:$A,0),2)</f>
        <v>MBEG</v>
      </c>
    </row>
    <row r="11" spans="1:23">
      <c r="A11" t="s">
        <v>229</v>
      </c>
      <c r="B11">
        <v>0.14000000000000001</v>
      </c>
      <c r="C11" t="s">
        <v>507</v>
      </c>
      <c r="D11">
        <v>1.29</v>
      </c>
      <c r="E11">
        <v>20.92</v>
      </c>
      <c r="F11">
        <v>2.4900000000000002</v>
      </c>
      <c r="G11" t="str">
        <f>INDEX('رموز سريعة'!$A:$B,MATCH(A11,'رموز سريعة'!$A:$A,0),2)</f>
        <v>ISPH</v>
      </c>
      <c r="I11" t="s">
        <v>455</v>
      </c>
      <c r="J11">
        <v>0.96</v>
      </c>
      <c r="K11" t="s">
        <v>507</v>
      </c>
      <c r="L11">
        <v>1.1100000000000001</v>
      </c>
      <c r="M11">
        <v>5.27</v>
      </c>
      <c r="N11">
        <v>1.83</v>
      </c>
      <c r="O11" t="str">
        <f>INDEX('رموز سريعة'!$A:$B,MATCH(I11,'رموز سريعة'!$A:$A,0),2)</f>
        <v>MBEG</v>
      </c>
      <c r="Q11" t="s">
        <v>313</v>
      </c>
      <c r="R11">
        <v>0.59</v>
      </c>
      <c r="S11" t="s">
        <v>507</v>
      </c>
      <c r="T11">
        <v>2.54</v>
      </c>
      <c r="U11">
        <v>9.93</v>
      </c>
      <c r="V11">
        <v>2.56</v>
      </c>
      <c r="W11" t="str">
        <f>INDEX('رموز سريعة'!$A:$B,MATCH(Q11,'رموز سريعة'!$A:$A,0),2)</f>
        <v>MTIE</v>
      </c>
    </row>
    <row r="12" spans="1:23">
      <c r="A12" t="s">
        <v>553</v>
      </c>
      <c r="B12">
        <v>6.35</v>
      </c>
      <c r="C12" t="s">
        <v>507</v>
      </c>
      <c r="D12">
        <v>17.260000000000002</v>
      </c>
      <c r="E12">
        <v>13.14</v>
      </c>
      <c r="F12">
        <v>5.26</v>
      </c>
      <c r="G12" t="str">
        <f>INDEX('رموز سريعة'!$A:$B,MATCH(A12,'رموز سريعة'!$A:$A,0),2)</f>
        <v>ABUK</v>
      </c>
      <c r="I12" t="s">
        <v>313</v>
      </c>
      <c r="J12">
        <v>0.59</v>
      </c>
      <c r="K12" t="s">
        <v>507</v>
      </c>
      <c r="L12">
        <v>2.1800000000000002</v>
      </c>
      <c r="M12">
        <v>6.57</v>
      </c>
      <c r="N12">
        <v>1.69</v>
      </c>
      <c r="O12" t="str">
        <f>INDEX('رموز سريعة'!$A:$B,MATCH(I12,'رموز سريعة'!$A:$A,0),2)</f>
        <v>MTIE</v>
      </c>
      <c r="Q12" t="s">
        <v>222</v>
      </c>
      <c r="R12">
        <v>1.39</v>
      </c>
      <c r="S12" t="s">
        <v>507</v>
      </c>
      <c r="T12">
        <v>18.48</v>
      </c>
      <c r="U12">
        <v>6.2</v>
      </c>
      <c r="V12">
        <v>1.02</v>
      </c>
      <c r="W12" t="str">
        <f>INDEX('رموز سريعة'!$A:$B,MATCH(Q12,'رموز سريعة'!$A:$A,0),2)</f>
        <v>HRHO</v>
      </c>
    </row>
    <row r="13" spans="1:23">
      <c r="A13" t="s">
        <v>524</v>
      </c>
      <c r="B13">
        <v>0.01</v>
      </c>
      <c r="C13" t="s">
        <v>507</v>
      </c>
      <c r="D13">
        <v>0.16</v>
      </c>
      <c r="E13" s="5">
        <v>10.58</v>
      </c>
      <c r="F13">
        <v>2.17</v>
      </c>
      <c r="G13" t="str">
        <f>INDEX('رموز سريعة'!$A:$B,MATCH(A13,'رموز سريعة'!$A:$A,0),2)</f>
        <v>EBSC</v>
      </c>
      <c r="I13" t="s">
        <v>222</v>
      </c>
      <c r="J13">
        <v>-3.53</v>
      </c>
      <c r="K13" t="s">
        <v>507</v>
      </c>
      <c r="L13">
        <v>0.02</v>
      </c>
      <c r="M13">
        <v>10.64</v>
      </c>
      <c r="N13">
        <v>0.8</v>
      </c>
      <c r="O13" t="str">
        <f>INDEX('رموز سريعة'!$A:$B,MATCH(I13,'رموز سريعة'!$A:$A,0),2)</f>
        <v>HRHO</v>
      </c>
      <c r="Q13" t="s">
        <v>229</v>
      </c>
      <c r="R13">
        <v>0.21</v>
      </c>
      <c r="S13" t="s">
        <v>507</v>
      </c>
      <c r="T13">
        <v>1.22</v>
      </c>
      <c r="U13">
        <v>10</v>
      </c>
      <c r="V13">
        <v>2.1800000000000002</v>
      </c>
      <c r="W13" t="str">
        <f>INDEX('رموز سريعة'!$A:$B,MATCH(Q13,'رموز سريعة'!$A:$A,0),2)</f>
        <v>ISPH</v>
      </c>
    </row>
    <row r="14" spans="1:23">
      <c r="A14" t="s">
        <v>588</v>
      </c>
      <c r="B14">
        <v>3.04</v>
      </c>
      <c r="C14" t="s">
        <v>507</v>
      </c>
      <c r="D14">
        <v>5.12</v>
      </c>
      <c r="E14">
        <v>28.29</v>
      </c>
      <c r="F14">
        <v>9.92</v>
      </c>
      <c r="G14" t="str">
        <f>INDEX('رموز سريعة'!$A:$B,MATCH(A14,'رموز سريعة'!$A:$A,0),2)</f>
        <v>ALCN</v>
      </c>
      <c r="I14" t="s">
        <v>407</v>
      </c>
      <c r="J14">
        <v>0.97</v>
      </c>
      <c r="K14" t="s">
        <v>507</v>
      </c>
      <c r="L14">
        <v>2.23</v>
      </c>
      <c r="M14">
        <v>3.88</v>
      </c>
      <c r="N14">
        <v>1.1000000000000001</v>
      </c>
      <c r="O14" t="str">
        <f>INDEX('رموز سريعة'!$A:$B,MATCH(I14,'رموز سريعة'!$A:$A,0),2)</f>
        <v>ETRS</v>
      </c>
      <c r="Q14" t="s">
        <v>149</v>
      </c>
      <c r="R14">
        <v>-1.05</v>
      </c>
      <c r="S14" t="s">
        <v>507</v>
      </c>
      <c r="T14">
        <v>41.64</v>
      </c>
      <c r="U14">
        <v>4.0599999999999996</v>
      </c>
      <c r="V14">
        <v>0.61</v>
      </c>
      <c r="W14" t="str">
        <f>INDEX('رموز سريعة'!$A:$B,MATCH(Q14,'رموز سريعة'!$A:$A,0),2)</f>
        <v>AJWA</v>
      </c>
    </row>
    <row r="15" spans="1:23">
      <c r="A15" t="s">
        <v>511</v>
      </c>
      <c r="B15">
        <v>62.91</v>
      </c>
      <c r="C15" t="s">
        <v>507</v>
      </c>
      <c r="D15">
        <v>143.4</v>
      </c>
      <c r="E15">
        <v>3.77</v>
      </c>
      <c r="F15">
        <v>1.24</v>
      </c>
      <c r="G15" t="str">
        <f>INDEX('رموز سريعة'!$A:$B,MATCH(A15,'رموز سريعة'!$A:$A,0),2)</f>
        <v>AXPH</v>
      </c>
      <c r="I15" t="s">
        <v>229</v>
      </c>
      <c r="J15">
        <v>0.15</v>
      </c>
      <c r="K15" t="s">
        <v>507</v>
      </c>
      <c r="L15">
        <v>1.26</v>
      </c>
      <c r="M15">
        <v>9.3699999999999992</v>
      </c>
      <c r="N15">
        <v>1.63</v>
      </c>
      <c r="O15" t="str">
        <f>INDEX('رموز سريعة'!$A:$B,MATCH(I15,'رموز سريعة'!$A:$A,0),2)</f>
        <v>ISPH</v>
      </c>
      <c r="Q15" t="s">
        <v>622</v>
      </c>
      <c r="R15">
        <v>0.04</v>
      </c>
      <c r="S15" t="s">
        <v>507</v>
      </c>
      <c r="T15">
        <v>0.52</v>
      </c>
      <c r="U15">
        <v>13.89</v>
      </c>
      <c r="V15">
        <v>0.74</v>
      </c>
      <c r="W15" t="str">
        <f>INDEX('رموز سريعة'!$A:$B,MATCH(Q15,'رموز سريعة'!$A:$A,0),2)</f>
        <v>AIH</v>
      </c>
    </row>
    <row r="16" spans="1:23">
      <c r="A16" t="s">
        <v>513</v>
      </c>
      <c r="B16">
        <v>0.09</v>
      </c>
      <c r="C16" t="s">
        <v>507</v>
      </c>
      <c r="D16">
        <v>3.88</v>
      </c>
      <c r="E16" s="5">
        <v>12800</v>
      </c>
      <c r="F16">
        <v>14.76</v>
      </c>
      <c r="G16" t="str">
        <f>INDEX('رموز سريعة'!$A:$B,MATCH(A16,'رموز سريعة'!$A:$A,0),2)</f>
        <v>IDRE</v>
      </c>
      <c r="I16" t="s">
        <v>553</v>
      </c>
      <c r="J16">
        <v>6.39</v>
      </c>
      <c r="K16" t="s">
        <v>507</v>
      </c>
      <c r="L16">
        <v>15.98</v>
      </c>
      <c r="M16">
        <v>5.77</v>
      </c>
      <c r="N16">
        <v>2.88</v>
      </c>
      <c r="O16" t="str">
        <f>INDEX('رموز سريعة'!$A:$B,MATCH(I16,'رموز سريعة'!$A:$A,0),2)</f>
        <v>ABUK</v>
      </c>
      <c r="Q16" t="s">
        <v>393</v>
      </c>
      <c r="R16">
        <v>0.02</v>
      </c>
      <c r="S16" t="s">
        <v>507</v>
      </c>
      <c r="T16">
        <v>0.25</v>
      </c>
      <c r="U16">
        <v>-289.62</v>
      </c>
      <c r="V16">
        <v>1.33</v>
      </c>
      <c r="W16" t="str">
        <f>INDEX('رموز سريعة'!$A:$B,MATCH(Q16,'رموز سريعة'!$A:$A,0),2)</f>
        <v>ASPI</v>
      </c>
    </row>
    <row r="17" spans="1:23">
      <c r="A17" t="s">
        <v>587</v>
      </c>
      <c r="B17">
        <v>-0.69</v>
      </c>
      <c r="C17" t="s">
        <v>507</v>
      </c>
      <c r="D17">
        <v>1.1000000000000001</v>
      </c>
      <c r="E17">
        <v>-11.27</v>
      </c>
      <c r="F17">
        <v>10.039999999999999</v>
      </c>
      <c r="G17" t="str">
        <f>INDEX('رموز سريعة'!$A:$B,MATCH(A17,'رموز سريعة'!$A:$A,0),2)</f>
        <v>ISMA</v>
      </c>
      <c r="I17" t="s">
        <v>149</v>
      </c>
      <c r="J17">
        <v>8.99</v>
      </c>
      <c r="K17" t="s">
        <v>507</v>
      </c>
      <c r="L17">
        <v>45.02</v>
      </c>
      <c r="M17">
        <v>-18.63</v>
      </c>
      <c r="N17">
        <v>0.47</v>
      </c>
      <c r="O17" t="str">
        <f>INDEX('رموز سريعة'!$A:$B,MATCH(I17,'رموز سريعة'!$A:$A,0),2)</f>
        <v>AJWA</v>
      </c>
      <c r="Q17" t="s">
        <v>278</v>
      </c>
      <c r="R17">
        <v>-0.64</v>
      </c>
      <c r="S17" t="s">
        <v>507</v>
      </c>
      <c r="T17">
        <v>-4.5599999999999996</v>
      </c>
      <c r="U17">
        <v>-3.42</v>
      </c>
      <c r="V17">
        <v>-1.37</v>
      </c>
      <c r="W17" t="str">
        <f>INDEX('رموز سريعة'!$A:$B,MATCH(Q17,'رموز سريعة'!$A:$A,0),2)</f>
        <v>SCEM</v>
      </c>
    </row>
    <row r="18" spans="1:23">
      <c r="A18" t="s">
        <v>152</v>
      </c>
      <c r="B18">
        <v>-0.08</v>
      </c>
      <c r="C18" t="s">
        <v>507</v>
      </c>
      <c r="D18">
        <v>2.3199999999999998</v>
      </c>
      <c r="E18">
        <v>-48.09</v>
      </c>
      <c r="F18">
        <v>5.01</v>
      </c>
      <c r="G18" t="str">
        <f>INDEX('رموز سريعة'!$A:$B,MATCH(A18,'رموز سريعة'!$A:$A,0),2)</f>
        <v>ALUM</v>
      </c>
      <c r="I18" t="s">
        <v>393</v>
      </c>
      <c r="J18">
        <v>-0.01</v>
      </c>
      <c r="K18" t="s">
        <v>507</v>
      </c>
      <c r="L18">
        <v>0.25</v>
      </c>
      <c r="M18">
        <v>11.8</v>
      </c>
      <c r="N18">
        <v>1.1100000000000001</v>
      </c>
      <c r="O18" t="str">
        <f>INDEX('رموز سريعة'!$A:$B,MATCH(I18,'رموز سريعة'!$A:$A,0),2)</f>
        <v>ASPI</v>
      </c>
      <c r="Q18" t="s">
        <v>161</v>
      </c>
      <c r="R18">
        <v>0.4</v>
      </c>
      <c r="S18" t="s">
        <v>507</v>
      </c>
      <c r="T18">
        <v>-4.37</v>
      </c>
      <c r="U18">
        <v>-0.7</v>
      </c>
      <c r="V18">
        <v>-3.22</v>
      </c>
      <c r="W18" t="str">
        <f>INDEX('رموز سريعة'!$A:$B,MATCH(Q18,'رموز سريعة'!$A:$A,0),2)</f>
        <v>ASCM</v>
      </c>
    </row>
    <row r="19" spans="1:23">
      <c r="A19" t="s">
        <v>177</v>
      </c>
      <c r="B19">
        <v>9.58</v>
      </c>
      <c r="C19" t="s">
        <v>507</v>
      </c>
      <c r="D19">
        <v>29.97</v>
      </c>
      <c r="E19">
        <v>6.57</v>
      </c>
      <c r="F19">
        <v>2.84</v>
      </c>
      <c r="G19" t="str">
        <f>INDEX('رموز سريعة'!$A:$B,MATCH(A19,'رموز سريعة'!$A:$A,0),2)</f>
        <v>COMI</v>
      </c>
      <c r="I19" t="s">
        <v>278</v>
      </c>
      <c r="J19">
        <v>-1.25</v>
      </c>
      <c r="K19" t="s">
        <v>507</v>
      </c>
      <c r="L19">
        <v>-4.88</v>
      </c>
      <c r="M19">
        <v>-9.76</v>
      </c>
      <c r="N19">
        <v>-1.36</v>
      </c>
      <c r="O19" t="str">
        <f>INDEX('رموز سريعة'!$A:$B,MATCH(I19,'رموز سريعة'!$A:$A,0),2)</f>
        <v>SCEM</v>
      </c>
      <c r="Q19" t="s">
        <v>524</v>
      </c>
      <c r="R19">
        <v>0.03</v>
      </c>
      <c r="S19" t="s">
        <v>507</v>
      </c>
      <c r="T19">
        <v>0.15</v>
      </c>
      <c r="U19">
        <v>31.02</v>
      </c>
      <c r="V19">
        <v>2.0499999999999998</v>
      </c>
      <c r="W19" t="str">
        <f>INDEX('رموز سريعة'!$A:$B,MATCH(Q19,'رموز سريعة'!$A:$A,0),2)</f>
        <v>EBSC</v>
      </c>
    </row>
    <row r="20" spans="1:23">
      <c r="A20" t="s">
        <v>358</v>
      </c>
      <c r="B20">
        <v>3.36</v>
      </c>
      <c r="C20" t="s">
        <v>507</v>
      </c>
      <c r="D20">
        <v>14.89</v>
      </c>
      <c r="E20">
        <v>3.11</v>
      </c>
      <c r="F20">
        <v>0.68</v>
      </c>
      <c r="G20" t="str">
        <f>INDEX('رموز سريعة'!$A:$B,MATCH(A20,'رموز سريعة'!$A:$A,0),2)</f>
        <v>EGBE</v>
      </c>
      <c r="I20" t="s">
        <v>161</v>
      </c>
      <c r="J20">
        <v>161.12</v>
      </c>
      <c r="K20" t="s">
        <v>507</v>
      </c>
      <c r="L20">
        <v>35.51</v>
      </c>
      <c r="M20">
        <v>32.28</v>
      </c>
      <c r="N20">
        <v>-2.98</v>
      </c>
      <c r="O20" t="str">
        <f>INDEX('رموز سريعة'!$A:$B,MATCH(I20,'رموز سريعة'!$A:$A,0),2)</f>
        <v>ASCM</v>
      </c>
      <c r="Q20" t="s">
        <v>362</v>
      </c>
      <c r="R20">
        <v>13.34</v>
      </c>
      <c r="S20" t="s">
        <v>507</v>
      </c>
      <c r="T20">
        <v>40.76</v>
      </c>
      <c r="U20">
        <v>7.19</v>
      </c>
      <c r="V20">
        <v>2.67</v>
      </c>
      <c r="W20" t="str">
        <f>INDEX('رموز سريعة'!$A:$B,MATCH(Q20,'رموز سريعة'!$A:$A,0),2)</f>
        <v>OCPH</v>
      </c>
    </row>
    <row r="21" spans="1:23">
      <c r="A21" t="s">
        <v>533</v>
      </c>
      <c r="B21">
        <v>-13.77</v>
      </c>
      <c r="C21" t="s">
        <v>507</v>
      </c>
      <c r="D21">
        <v>21.79</v>
      </c>
      <c r="E21">
        <v>1.8</v>
      </c>
      <c r="F21">
        <v>1.35</v>
      </c>
      <c r="G21" t="str">
        <f>INDEX('رموز سريعة'!$A:$B,MATCH(A21,'رموز سريعة'!$A:$A,0),2)</f>
        <v>EXPA</v>
      </c>
      <c r="I21" t="s">
        <v>524</v>
      </c>
      <c r="J21">
        <v>0.01</v>
      </c>
      <c r="K21" t="s">
        <v>507</v>
      </c>
      <c r="L21">
        <v>0.16</v>
      </c>
      <c r="M21">
        <v>9</v>
      </c>
      <c r="N21">
        <v>1.84</v>
      </c>
      <c r="O21" t="str">
        <f>INDEX('رموز سريعة'!$A:$B,MATCH(I21,'رموز سريعة'!$A:$A,0),2)</f>
        <v>EBSC</v>
      </c>
      <c r="Q21" t="s">
        <v>451</v>
      </c>
      <c r="R21">
        <v>6.94</v>
      </c>
      <c r="S21" t="s">
        <v>507</v>
      </c>
      <c r="T21">
        <v>23.25</v>
      </c>
      <c r="U21">
        <v>17.03</v>
      </c>
      <c r="V21">
        <v>1.21</v>
      </c>
      <c r="W21" t="str">
        <f>INDEX('رموز سريعة'!$A:$B,MATCH(Q21,'رموز سريعة'!$A:$A,0),2)</f>
        <v>ACRO</v>
      </c>
    </row>
    <row r="22" spans="1:23">
      <c r="A22" t="s">
        <v>525</v>
      </c>
      <c r="B22">
        <v>-4.59</v>
      </c>
      <c r="C22" t="s">
        <v>507</v>
      </c>
      <c r="D22">
        <v>27.99</v>
      </c>
      <c r="E22">
        <v>-4.3899999999999997</v>
      </c>
      <c r="F22">
        <v>1.01</v>
      </c>
      <c r="G22" t="str">
        <f>INDEX('رموز سريعة'!$A:$B,MATCH(A22,'رموز سريعة'!$A:$A,0),2)</f>
        <v>DAPH</v>
      </c>
      <c r="I22" t="s">
        <v>362</v>
      </c>
      <c r="J22">
        <v>16.34</v>
      </c>
      <c r="K22" t="s">
        <v>507</v>
      </c>
      <c r="L22">
        <v>44.85</v>
      </c>
      <c r="M22">
        <v>7.5</v>
      </c>
      <c r="N22">
        <v>2.4500000000000002</v>
      </c>
      <c r="O22" t="str">
        <f>INDEX('رموز سريعة'!$A:$B,MATCH(I22,'رموز سريعة'!$A:$A,0),2)</f>
        <v>OCPH</v>
      </c>
      <c r="Q22" t="s">
        <v>214</v>
      </c>
      <c r="R22">
        <v>7.0000000000000007E-2</v>
      </c>
      <c r="S22" t="s">
        <v>507</v>
      </c>
      <c r="T22">
        <v>1.33</v>
      </c>
      <c r="U22">
        <v>9.1</v>
      </c>
      <c r="V22">
        <v>1.24</v>
      </c>
      <c r="W22" t="str">
        <f>INDEX('رموز سريعة'!$A:$B,MATCH(Q22,'رموز سريعة'!$A:$A,0),2)</f>
        <v>FIRE</v>
      </c>
    </row>
    <row r="23" spans="1:23">
      <c r="A23" t="s">
        <v>188</v>
      </c>
      <c r="B23">
        <v>2.35</v>
      </c>
      <c r="C23" t="s">
        <v>507</v>
      </c>
      <c r="D23">
        <v>14.44</v>
      </c>
      <c r="E23">
        <v>4.1500000000000004</v>
      </c>
      <c r="F23">
        <v>1.5</v>
      </c>
      <c r="G23" t="str">
        <f>INDEX('رموز سريعة'!$A:$B,MATCH(A23,'رموز سريعة'!$A:$A,0),2)</f>
        <v>ECAP</v>
      </c>
      <c r="I23" t="s">
        <v>451</v>
      </c>
      <c r="J23">
        <v>7.66</v>
      </c>
      <c r="K23" t="s">
        <v>507</v>
      </c>
      <c r="L23">
        <v>25.21</v>
      </c>
      <c r="M23">
        <v>2.61</v>
      </c>
      <c r="N23">
        <v>1.28</v>
      </c>
      <c r="O23" t="str">
        <f>INDEX('رموز سريعة'!$A:$B,MATCH(I23,'رموز سريعة'!$A:$A,0),2)</f>
        <v>ACRO</v>
      </c>
      <c r="Q23" t="s">
        <v>498</v>
      </c>
      <c r="R23">
        <v>-0.86</v>
      </c>
      <c r="S23" t="s">
        <v>507</v>
      </c>
      <c r="T23">
        <v>0.64</v>
      </c>
      <c r="U23" t="s">
        <v>507</v>
      </c>
      <c r="V23" t="s">
        <v>507</v>
      </c>
      <c r="W23" t="str">
        <f>INDEX('رموز سريعة'!$A:$B,MATCH(Q23,'رموز سريعة'!$A:$A,0),2)</f>
        <v>UPMS</v>
      </c>
    </row>
    <row r="24" spans="1:23">
      <c r="A24" t="s">
        <v>526</v>
      </c>
      <c r="B24">
        <v>0</v>
      </c>
      <c r="C24" t="s">
        <v>507</v>
      </c>
      <c r="D24">
        <v>0.43</v>
      </c>
      <c r="E24">
        <v>27.65</v>
      </c>
      <c r="F24">
        <v>0.89</v>
      </c>
      <c r="G24" t="str">
        <f>INDEX('رموز سريعة'!$A:$B,MATCH(A24,'رموز سريعة'!$A:$A,0),2)</f>
        <v>GGCC</v>
      </c>
      <c r="I24" t="s">
        <v>214</v>
      </c>
      <c r="J24">
        <v>22.5</v>
      </c>
      <c r="K24" t="s">
        <v>507</v>
      </c>
      <c r="L24">
        <v>1.43</v>
      </c>
      <c r="M24">
        <v>29.67</v>
      </c>
      <c r="N24">
        <v>1.51</v>
      </c>
      <c r="O24" t="str">
        <f>INDEX('رموز سريعة'!$A:$B,MATCH(I24,'رموز سريعة'!$A:$A,0),2)</f>
        <v>FIRE</v>
      </c>
      <c r="Q24" t="s">
        <v>623</v>
      </c>
      <c r="R24">
        <v>0.7</v>
      </c>
      <c r="S24" t="s">
        <v>507</v>
      </c>
      <c r="T24">
        <v>1.78</v>
      </c>
      <c r="U24">
        <v>-8.73</v>
      </c>
      <c r="V24">
        <v>5.57</v>
      </c>
      <c r="W24" t="str">
        <f>INDEX('رموز سريعة'!$A:$B,MATCH(Q24,'رموز سريعة'!$A:$A,0),2)</f>
        <v>ANFI</v>
      </c>
    </row>
    <row r="25" spans="1:23">
      <c r="A25" t="s">
        <v>508</v>
      </c>
      <c r="B25">
        <v>0.19</v>
      </c>
      <c r="C25" t="s">
        <v>507</v>
      </c>
      <c r="D25">
        <v>0.3</v>
      </c>
      <c r="E25">
        <v>13.37</v>
      </c>
      <c r="F25">
        <v>4.17</v>
      </c>
      <c r="G25" t="str">
        <f>INDEX('رموز سريعة'!$A:$B,MATCH(A25,'رموز سريعة'!$A:$A,0),2)</f>
        <v>ISMQ</v>
      </c>
      <c r="I25" t="s">
        <v>588</v>
      </c>
      <c r="J25">
        <v>1.8</v>
      </c>
      <c r="K25" t="s">
        <v>507</v>
      </c>
      <c r="L25">
        <v>5.12</v>
      </c>
      <c r="M25">
        <v>11.55</v>
      </c>
      <c r="N25">
        <v>7.51</v>
      </c>
      <c r="O25" t="str">
        <f>INDEX('رموز سريعة'!$A:$B,MATCH(I25,'رموز سريعة'!$A:$A,0),2)</f>
        <v>ALCN</v>
      </c>
      <c r="Q25" t="s">
        <v>588</v>
      </c>
      <c r="R25">
        <v>-3.13</v>
      </c>
      <c r="S25">
        <v>1.95</v>
      </c>
      <c r="T25">
        <v>5.12</v>
      </c>
      <c r="U25">
        <v>3.43</v>
      </c>
      <c r="V25">
        <v>5.19</v>
      </c>
      <c r="W25" t="str">
        <f>INDEX('رموز سريعة'!$A:$B,MATCH(Q25,'رموز سريعة'!$A:$A,0),2)</f>
        <v>ALCN</v>
      </c>
    </row>
    <row r="26" spans="1:23">
      <c r="A26" t="s">
        <v>527</v>
      </c>
      <c r="B26">
        <v>2.04</v>
      </c>
      <c r="C26" t="s">
        <v>507</v>
      </c>
      <c r="D26">
        <v>8.07</v>
      </c>
      <c r="E26">
        <v>1.96</v>
      </c>
      <c r="F26">
        <v>0.68</v>
      </c>
      <c r="G26" t="str">
        <f>INDEX('رموز سريعة'!$A:$B,MATCH(A26,'رموز سريعة'!$A:$A,0),2)</f>
        <v>NDRL</v>
      </c>
      <c r="I26" t="s">
        <v>511</v>
      </c>
      <c r="J26">
        <v>47.35</v>
      </c>
      <c r="K26" t="s">
        <v>507</v>
      </c>
      <c r="L26">
        <v>143.86000000000001</v>
      </c>
      <c r="M26">
        <v>5.72</v>
      </c>
      <c r="N26">
        <v>1.1000000000000001</v>
      </c>
      <c r="O26" t="str">
        <f>INDEX('رموز سريعة'!$A:$B,MATCH(I26,'رموز سريعة'!$A:$A,0),2)</f>
        <v>AXPH</v>
      </c>
      <c r="Q26" t="s">
        <v>513</v>
      </c>
      <c r="R26">
        <v>0</v>
      </c>
      <c r="S26" t="s">
        <v>507</v>
      </c>
      <c r="T26">
        <v>3.86</v>
      </c>
      <c r="U26" s="5">
        <v>-2094.9699999999998</v>
      </c>
      <c r="V26">
        <v>11.66</v>
      </c>
      <c r="W26" t="str">
        <f>INDEX('رموز سريعة'!$A:$B,MATCH(Q26,'رموز سريعة'!$A:$A,0),2)</f>
        <v>IDRE</v>
      </c>
    </row>
    <row r="27" spans="1:23">
      <c r="A27" t="s">
        <v>537</v>
      </c>
      <c r="B27">
        <v>0</v>
      </c>
      <c r="C27" t="s">
        <v>507</v>
      </c>
      <c r="D27">
        <v>5.92</v>
      </c>
      <c r="E27">
        <v>-70.53</v>
      </c>
      <c r="F27">
        <v>3.43</v>
      </c>
      <c r="G27" t="str">
        <f>INDEX('رموز سريعة'!$A:$B,MATCH(A27,'رموز سريعة'!$A:$A,0),2)</f>
        <v>CCRS</v>
      </c>
      <c r="I27" t="s">
        <v>513</v>
      </c>
      <c r="J27">
        <v>0</v>
      </c>
      <c r="K27" t="s">
        <v>507</v>
      </c>
      <c r="L27">
        <v>3.86</v>
      </c>
      <c r="M27" s="5">
        <v>-31493.75</v>
      </c>
      <c r="N27">
        <v>13.06</v>
      </c>
      <c r="O27" t="str">
        <f>INDEX('رموز سريعة'!$A:$B,MATCH(I27,'رموز سريعة'!$A:$A,0),2)</f>
        <v>IDRE</v>
      </c>
      <c r="Q27" t="s">
        <v>587</v>
      </c>
      <c r="R27">
        <v>-1.4</v>
      </c>
      <c r="S27" t="s">
        <v>507</v>
      </c>
      <c r="T27">
        <v>1.56</v>
      </c>
      <c r="U27">
        <v>-5.49</v>
      </c>
      <c r="V27">
        <v>3.04</v>
      </c>
      <c r="W27" t="str">
        <f>INDEX('رموز سريعة'!$A:$B,MATCH(Q27,'رموز سريعة'!$A:$A,0),2)</f>
        <v>ISMA</v>
      </c>
    </row>
    <row r="28" spans="1:23">
      <c r="A28" t="s">
        <v>550</v>
      </c>
      <c r="B28">
        <v>5.91</v>
      </c>
      <c r="C28" t="s">
        <v>507</v>
      </c>
      <c r="D28">
        <v>14.01</v>
      </c>
      <c r="E28">
        <v>2.0299999999999998</v>
      </c>
      <c r="F28">
        <v>1.1399999999999999</v>
      </c>
      <c r="G28" t="str">
        <f>INDEX('رموز سريعة'!$A:$B,MATCH(A28,'رموز سريعة'!$A:$A,0),2)</f>
        <v>DEIN</v>
      </c>
      <c r="I28" t="s">
        <v>587</v>
      </c>
      <c r="J28">
        <v>-1.1299999999999999</v>
      </c>
      <c r="K28" t="s">
        <v>507</v>
      </c>
      <c r="L28">
        <v>1.27</v>
      </c>
      <c r="M28">
        <v>-6.46</v>
      </c>
      <c r="N28">
        <v>5.83</v>
      </c>
      <c r="O28" t="str">
        <f>INDEX('رموز سريعة'!$A:$B,MATCH(I28,'رموز سريعة'!$A:$A,0),2)</f>
        <v>ISMA</v>
      </c>
      <c r="Q28" t="s">
        <v>152</v>
      </c>
      <c r="R28">
        <v>1.7</v>
      </c>
      <c r="S28" t="s">
        <v>507</v>
      </c>
      <c r="T28">
        <v>17.98</v>
      </c>
      <c r="U28">
        <v>16.670000000000002</v>
      </c>
      <c r="V28">
        <v>3.42</v>
      </c>
      <c r="W28" t="str">
        <f>INDEX('رموز سريعة'!$A:$B,MATCH(Q28,'رموز سريعة'!$A:$A,0),2)</f>
        <v>ALUM</v>
      </c>
    </row>
    <row r="29" spans="1:23">
      <c r="A29" t="s">
        <v>288</v>
      </c>
      <c r="B29">
        <v>5.26</v>
      </c>
      <c r="C29" t="s">
        <v>507</v>
      </c>
      <c r="D29">
        <v>21.36</v>
      </c>
      <c r="E29">
        <v>8.1199999999999992</v>
      </c>
      <c r="F29">
        <v>3.58</v>
      </c>
      <c r="G29" t="str">
        <f>INDEX('رموز سريعة'!$A:$B,MATCH(A29,'رموز سريعة'!$A:$A,0),2)</f>
        <v>SUGR</v>
      </c>
      <c r="I29" t="s">
        <v>152</v>
      </c>
      <c r="J29">
        <v>-0.24</v>
      </c>
      <c r="K29" t="s">
        <v>507</v>
      </c>
      <c r="L29">
        <v>2.34</v>
      </c>
      <c r="M29">
        <v>5.57</v>
      </c>
      <c r="N29">
        <v>0.53</v>
      </c>
      <c r="O29" t="str">
        <f>INDEX('رموز سريعة'!$A:$B,MATCH(I29,'رموز سريعة'!$A:$A,0),2)</f>
        <v>ALUM</v>
      </c>
      <c r="Q29" t="s">
        <v>600</v>
      </c>
      <c r="R29">
        <v>-2.2400000000000002</v>
      </c>
      <c r="S29" t="s">
        <v>507</v>
      </c>
      <c r="T29">
        <v>4.2699999999999996</v>
      </c>
      <c r="U29">
        <v>-4.42</v>
      </c>
      <c r="V29">
        <v>1.48</v>
      </c>
      <c r="W29" t="str">
        <f>INDEX('رموز سريعة'!$A:$B,MATCH(Q29,'رموز سريعة'!$A:$A,0),2)</f>
        <v>EPPK</v>
      </c>
    </row>
    <row r="30" spans="1:23">
      <c r="A30" t="s">
        <v>224</v>
      </c>
      <c r="B30">
        <v>13.87</v>
      </c>
      <c r="C30" t="s">
        <v>507</v>
      </c>
      <c r="D30">
        <v>14.9</v>
      </c>
      <c r="E30">
        <v>2.34</v>
      </c>
      <c r="F30">
        <v>2.06</v>
      </c>
      <c r="G30" t="str">
        <f>INDEX('رموز سريعة'!$A:$B,MATCH(A30,'رموز سريعة'!$A:$A,0),2)</f>
        <v>ICFC</v>
      </c>
      <c r="I30" t="s">
        <v>600</v>
      </c>
      <c r="J30">
        <v>-9.11</v>
      </c>
      <c r="K30" t="s">
        <v>507</v>
      </c>
      <c r="L30">
        <v>2</v>
      </c>
      <c r="M30">
        <v>-3.05</v>
      </c>
      <c r="N30">
        <v>1.6</v>
      </c>
      <c r="O30" t="str">
        <f>INDEX('رموز سريعة'!$A:$B,MATCH(I30,'رموز سريعة'!$A:$A,0),2)</f>
        <v>EPPK</v>
      </c>
      <c r="Q30" t="s">
        <v>601</v>
      </c>
      <c r="R30">
        <v>0.57999999999999996</v>
      </c>
      <c r="S30" t="s">
        <v>507</v>
      </c>
      <c r="T30">
        <v>14.57</v>
      </c>
      <c r="U30">
        <v>26.09</v>
      </c>
      <c r="V30">
        <v>1.1599999999999999</v>
      </c>
      <c r="W30" t="str">
        <f>INDEX('رموز سريعة'!$A:$B,MATCH(Q30,'رموز سريعة'!$A:$A,0),2)</f>
        <v>AFDI</v>
      </c>
    </row>
    <row r="31" spans="1:23">
      <c r="A31" t="s">
        <v>520</v>
      </c>
      <c r="B31">
        <v>0.03</v>
      </c>
      <c r="C31" t="s">
        <v>507</v>
      </c>
      <c r="D31">
        <v>1.17</v>
      </c>
      <c r="E31">
        <v>36.07</v>
      </c>
      <c r="F31">
        <v>2.19</v>
      </c>
      <c r="G31" t="str">
        <f>INDEX('رموز سريعة'!$A:$B,MATCH(A31,'رموز سريعة'!$A:$A,0),2)</f>
        <v>ZEOT</v>
      </c>
      <c r="I31" t="s">
        <v>601</v>
      </c>
      <c r="J31">
        <v>1.4</v>
      </c>
      <c r="K31" t="s">
        <v>507</v>
      </c>
      <c r="L31">
        <v>14.93</v>
      </c>
      <c r="M31">
        <v>26.1</v>
      </c>
      <c r="N31">
        <v>1.04</v>
      </c>
      <c r="O31" t="str">
        <f>INDEX('رموز سريعة'!$A:$B,MATCH(I31,'رموز سريعة'!$A:$A,0),2)</f>
        <v>AFDI</v>
      </c>
      <c r="Q31" t="s">
        <v>177</v>
      </c>
      <c r="R31">
        <v>10.58</v>
      </c>
      <c r="S31" t="s">
        <v>507</v>
      </c>
      <c r="T31">
        <v>22.69</v>
      </c>
      <c r="U31">
        <v>6.3</v>
      </c>
      <c r="V31">
        <v>2.4900000000000002</v>
      </c>
      <c r="W31" t="str">
        <f>INDEX('رموز سريعة'!$A:$B,MATCH(Q31,'رموز سريعة'!$A:$A,0),2)</f>
        <v>COMI</v>
      </c>
    </row>
    <row r="32" spans="1:23">
      <c r="A32" t="s">
        <v>544</v>
      </c>
      <c r="B32">
        <v>12.42</v>
      </c>
      <c r="C32" t="s">
        <v>507</v>
      </c>
      <c r="D32">
        <v>126.62</v>
      </c>
      <c r="E32">
        <v>0.19</v>
      </c>
      <c r="F32">
        <v>0.02</v>
      </c>
      <c r="G32" t="str">
        <f>INDEX('رموز سريعة'!$A:$B,MATCH(A32,'رموز سريعة'!$A:$A,0),2)</f>
        <v>SEIG</v>
      </c>
      <c r="I32" t="s">
        <v>177</v>
      </c>
      <c r="J32">
        <v>11.07</v>
      </c>
      <c r="K32" t="s">
        <v>507</v>
      </c>
      <c r="L32">
        <v>25.6</v>
      </c>
      <c r="M32">
        <v>5.67</v>
      </c>
      <c r="N32">
        <v>2.64</v>
      </c>
      <c r="O32" t="str">
        <f>INDEX('رموز سريعة'!$A:$B,MATCH(I32,'رموز سريعة'!$A:$A,0),2)</f>
        <v>COMI</v>
      </c>
      <c r="Q32" t="s">
        <v>358</v>
      </c>
      <c r="R32">
        <v>2.83</v>
      </c>
      <c r="S32" t="s">
        <v>507</v>
      </c>
      <c r="T32">
        <v>11.47</v>
      </c>
      <c r="U32">
        <v>4.62</v>
      </c>
      <c r="V32">
        <v>1.04</v>
      </c>
      <c r="W32" t="str">
        <f>INDEX('رموز سريعة'!$A:$B,MATCH(Q32,'رموز سريعة'!$A:$A,0),2)</f>
        <v>EGBE</v>
      </c>
    </row>
    <row r="33" spans="1:23">
      <c r="A33" t="s">
        <v>551</v>
      </c>
      <c r="B33">
        <v>0.02</v>
      </c>
      <c r="C33" t="s">
        <v>507</v>
      </c>
      <c r="D33">
        <v>0.37</v>
      </c>
      <c r="E33">
        <v>-4.3099999999999996</v>
      </c>
      <c r="F33">
        <v>1.82</v>
      </c>
      <c r="G33" t="str">
        <f>INDEX('رموز سريعة'!$A:$B,MATCH(A33,'رموز سريعة'!$A:$A,0),2)</f>
        <v>SNFC</v>
      </c>
      <c r="I33" t="s">
        <v>358</v>
      </c>
      <c r="J33">
        <v>3.08</v>
      </c>
      <c r="K33" t="s">
        <v>507</v>
      </c>
      <c r="L33">
        <v>14.17</v>
      </c>
      <c r="M33">
        <v>3.61</v>
      </c>
      <c r="N33">
        <v>0.89</v>
      </c>
      <c r="O33" t="str">
        <f>INDEX('رموز سريعة'!$A:$B,MATCH(I33,'رموز سريعة'!$A:$A,0),2)</f>
        <v>EGBE</v>
      </c>
      <c r="Q33" t="s">
        <v>525</v>
      </c>
      <c r="R33">
        <v>4.8899999999999997</v>
      </c>
      <c r="S33" t="s">
        <v>507</v>
      </c>
      <c r="T33">
        <v>42.23</v>
      </c>
      <c r="U33">
        <v>3.03</v>
      </c>
      <c r="V33">
        <v>0.96</v>
      </c>
      <c r="W33" t="str">
        <f>INDEX('رموز سريعة'!$A:$B,MATCH(Q33,'رموز سريعة'!$A:$A,0),2)</f>
        <v>DAPH</v>
      </c>
    </row>
    <row r="34" spans="1:23">
      <c r="A34" t="s">
        <v>547</v>
      </c>
      <c r="B34">
        <v>-0.03</v>
      </c>
      <c r="C34" t="s">
        <v>507</v>
      </c>
      <c r="D34">
        <v>0.75</v>
      </c>
      <c r="E34">
        <v>-89.92</v>
      </c>
      <c r="F34">
        <v>3.36</v>
      </c>
      <c r="G34" t="str">
        <f>INDEX('رموز سريعة'!$A:$B,MATCH(A34,'رموز سريعة'!$A:$A,0),2)</f>
        <v>SPHT</v>
      </c>
      <c r="I34" t="s">
        <v>533</v>
      </c>
      <c r="J34">
        <v>13.79</v>
      </c>
      <c r="K34" t="s">
        <v>507</v>
      </c>
      <c r="L34">
        <v>18.39</v>
      </c>
      <c r="M34">
        <v>3.85</v>
      </c>
      <c r="N34">
        <v>0.85</v>
      </c>
      <c r="O34" t="str">
        <f>INDEX('رموز سريعة'!$A:$B,MATCH(I34,'رموز سريعة'!$A:$A,0),2)</f>
        <v>EXPA</v>
      </c>
      <c r="Q34" t="s">
        <v>188</v>
      </c>
      <c r="R34">
        <v>4.53</v>
      </c>
      <c r="S34" t="s">
        <v>507</v>
      </c>
      <c r="T34">
        <v>13.39</v>
      </c>
      <c r="U34">
        <v>4.24</v>
      </c>
      <c r="V34">
        <v>1.48</v>
      </c>
      <c r="W34" t="str">
        <f>INDEX('رموز سريعة'!$A:$B,MATCH(Q34,'رموز سريعة'!$A:$A,0),2)</f>
        <v>ECAP</v>
      </c>
    </row>
    <row r="35" spans="1:23">
      <c r="A35" t="s">
        <v>567</v>
      </c>
      <c r="B35">
        <v>0.09</v>
      </c>
      <c r="C35" t="s">
        <v>507</v>
      </c>
      <c r="D35">
        <v>1.66</v>
      </c>
      <c r="E35">
        <v>4.18</v>
      </c>
      <c r="F35">
        <v>0.45</v>
      </c>
      <c r="G35" t="str">
        <f>INDEX('رموز سريعة'!$A:$B,MATCH(A35,'رموز سريعة'!$A:$A,0),2)</f>
        <v>UEGC</v>
      </c>
      <c r="I35" t="s">
        <v>525</v>
      </c>
      <c r="J35">
        <v>-7.24</v>
      </c>
      <c r="K35" t="s">
        <v>507</v>
      </c>
      <c r="L35">
        <v>31.6</v>
      </c>
      <c r="M35">
        <v>6.02</v>
      </c>
      <c r="N35">
        <v>0.7</v>
      </c>
      <c r="O35" t="str">
        <f>INDEX('رموز سريعة'!$A:$B,MATCH(I35,'رموز سريعة'!$A:$A,0),2)</f>
        <v>DAPH</v>
      </c>
      <c r="Q35" t="s">
        <v>526</v>
      </c>
      <c r="R35">
        <v>0.05</v>
      </c>
      <c r="S35" t="s">
        <v>507</v>
      </c>
      <c r="T35">
        <v>0.41</v>
      </c>
      <c r="U35">
        <v>4.26</v>
      </c>
      <c r="V35">
        <v>0.68</v>
      </c>
      <c r="W35" t="str">
        <f>INDEX('رموز سريعة'!$A:$B,MATCH(Q35,'رموز سريعة'!$A:$A,0),2)</f>
        <v>GGCC</v>
      </c>
    </row>
    <row r="36" spans="1:23">
      <c r="A36" t="s">
        <v>562</v>
      </c>
      <c r="B36">
        <v>-10.73</v>
      </c>
      <c r="C36" t="s">
        <v>507</v>
      </c>
      <c r="D36">
        <v>-75.959999999999994</v>
      </c>
      <c r="E36">
        <v>-23.9</v>
      </c>
      <c r="F36">
        <v>-0.63</v>
      </c>
      <c r="G36" t="str">
        <f>INDEX('رموز سريعة'!$A:$B,MATCH(A36,'رموز سريعة'!$A:$A,0),2)</f>
        <v>AALR</v>
      </c>
      <c r="I36" t="s">
        <v>188</v>
      </c>
      <c r="J36">
        <v>5.31</v>
      </c>
      <c r="K36" t="s">
        <v>507</v>
      </c>
      <c r="L36">
        <v>14.72</v>
      </c>
      <c r="M36">
        <v>3.88</v>
      </c>
      <c r="N36">
        <v>1.31</v>
      </c>
      <c r="O36" t="str">
        <f>INDEX('رموز سريعة'!$A:$B,MATCH(I36,'رموز سريعة'!$A:$A,0),2)</f>
        <v>ECAP</v>
      </c>
      <c r="Q36" t="s">
        <v>527</v>
      </c>
      <c r="R36">
        <v>2.4</v>
      </c>
      <c r="S36" t="s">
        <v>507</v>
      </c>
      <c r="T36">
        <v>6.92</v>
      </c>
      <c r="U36">
        <v>2.1800000000000002</v>
      </c>
      <c r="V36">
        <v>0.74</v>
      </c>
      <c r="W36" t="str">
        <f>INDEX('رموز سريعة'!$A:$B,MATCH(Q36,'رموز سريعة'!$A:$A,0),2)</f>
        <v>NDRL</v>
      </c>
    </row>
    <row r="37" spans="1:23">
      <c r="A37" t="s">
        <v>509</v>
      </c>
      <c r="B37">
        <v>6.37</v>
      </c>
      <c r="C37" t="s">
        <v>507</v>
      </c>
      <c r="D37">
        <v>30.03</v>
      </c>
      <c r="E37">
        <v>22.64</v>
      </c>
      <c r="F37">
        <v>6.18</v>
      </c>
      <c r="G37" t="str">
        <f>INDEX('رموز سريعة'!$A:$B,MATCH(A37,'رموز سريعة'!$A:$A,0),2)</f>
        <v>GSSC</v>
      </c>
      <c r="I37" t="s">
        <v>526</v>
      </c>
      <c r="J37">
        <v>0.01</v>
      </c>
      <c r="K37" t="s">
        <v>507</v>
      </c>
      <c r="L37">
        <v>0.42</v>
      </c>
      <c r="M37">
        <v>7.78</v>
      </c>
      <c r="N37">
        <v>0.85</v>
      </c>
      <c r="O37" t="str">
        <f>INDEX('رموز سريعة'!$A:$B,MATCH(I37,'رموز سريعة'!$A:$A,0),2)</f>
        <v>GGCC</v>
      </c>
      <c r="Q37" t="s">
        <v>537</v>
      </c>
      <c r="R37">
        <v>-0.25</v>
      </c>
      <c r="S37" t="s">
        <v>507</v>
      </c>
      <c r="T37">
        <v>5.36</v>
      </c>
      <c r="U37">
        <v>-58.05</v>
      </c>
      <c r="V37">
        <v>2.57</v>
      </c>
      <c r="W37" t="str">
        <f>INDEX('رموز سريعة'!$A:$B,MATCH(Q37,'رموز سريعة'!$A:$A,0),2)</f>
        <v>CCRS</v>
      </c>
    </row>
    <row r="38" spans="1:23">
      <c r="A38" t="s">
        <v>237</v>
      </c>
      <c r="B38">
        <v>0.06</v>
      </c>
      <c r="C38" t="s">
        <v>507</v>
      </c>
      <c r="D38">
        <v>0.25</v>
      </c>
      <c r="E38">
        <v>15.55</v>
      </c>
      <c r="F38">
        <v>3.91</v>
      </c>
      <c r="G38" t="str">
        <f>INDEX('رموز سريعة'!$A:$B,MATCH(A38,'رموز سريعة'!$A:$A,0),2)</f>
        <v>MEPA</v>
      </c>
      <c r="I38" t="s">
        <v>508</v>
      </c>
      <c r="J38">
        <v>0.12</v>
      </c>
      <c r="K38" t="s">
        <v>507</v>
      </c>
      <c r="L38">
        <v>0.37</v>
      </c>
      <c r="M38">
        <v>10.73</v>
      </c>
      <c r="N38">
        <v>4.59</v>
      </c>
      <c r="O38" t="str">
        <f>INDEX('رموز سريعة'!$A:$B,MATCH(I38,'رموز سريعة'!$A:$A,0),2)</f>
        <v>ISMQ</v>
      </c>
      <c r="Q38" t="s">
        <v>288</v>
      </c>
      <c r="R38">
        <v>21.51</v>
      </c>
      <c r="S38" t="s">
        <v>507</v>
      </c>
      <c r="T38">
        <v>20.55</v>
      </c>
      <c r="U38">
        <v>4.04</v>
      </c>
      <c r="V38">
        <v>2.91</v>
      </c>
      <c r="W38" t="str">
        <f>INDEX('رموز سريعة'!$A:$B,MATCH(Q38,'رموز سريعة'!$A:$A,0),2)</f>
        <v>SUGR</v>
      </c>
    </row>
    <row r="39" spans="1:23">
      <c r="A39" t="s">
        <v>558</v>
      </c>
      <c r="B39">
        <v>0.2</v>
      </c>
      <c r="C39" t="s">
        <v>507</v>
      </c>
      <c r="D39">
        <v>12.53</v>
      </c>
      <c r="E39">
        <v>-6.88</v>
      </c>
      <c r="F39">
        <v>2.09</v>
      </c>
      <c r="G39" t="str">
        <f>INDEX('رموز سريعة'!$A:$B,MATCH(A39,'رموز سريعة'!$A:$A,0),2)</f>
        <v>EALR</v>
      </c>
      <c r="I39" t="s">
        <v>527</v>
      </c>
      <c r="J39">
        <v>2.75</v>
      </c>
      <c r="K39" t="s">
        <v>507</v>
      </c>
      <c r="L39">
        <v>7.59</v>
      </c>
      <c r="M39">
        <v>1.96</v>
      </c>
      <c r="N39">
        <v>0.68</v>
      </c>
      <c r="O39" t="str">
        <f>INDEX('رموز سريعة'!$A:$B,MATCH(I39,'رموز سريعة'!$A:$A,0),2)</f>
        <v>NDRL</v>
      </c>
      <c r="Q39" t="s">
        <v>224</v>
      </c>
      <c r="R39">
        <v>1.0900000000000001</v>
      </c>
      <c r="S39" t="s">
        <v>507</v>
      </c>
      <c r="T39">
        <v>8.07</v>
      </c>
      <c r="U39">
        <v>2.91</v>
      </c>
      <c r="V39">
        <v>1.1299999999999999</v>
      </c>
      <c r="W39" t="str">
        <f>INDEX('رموز سريعة'!$A:$B,MATCH(Q39,'رموز سريعة'!$A:$A,0),2)</f>
        <v>ICFC</v>
      </c>
    </row>
    <row r="40" spans="1:23">
      <c r="A40" t="s">
        <v>158</v>
      </c>
      <c r="B40">
        <v>2.08</v>
      </c>
      <c r="C40" t="s">
        <v>507</v>
      </c>
      <c r="D40">
        <v>4.63</v>
      </c>
      <c r="E40">
        <v>5.8</v>
      </c>
      <c r="F40">
        <v>2.29</v>
      </c>
      <c r="G40" t="str">
        <f>INDEX('رموز سريعة'!$A:$B,MATCH(A40,'رموز سريعة'!$A:$A,0),2)</f>
        <v>ARCC</v>
      </c>
      <c r="I40" t="s">
        <v>537</v>
      </c>
      <c r="J40">
        <v>-0.26</v>
      </c>
      <c r="K40" t="s">
        <v>507</v>
      </c>
      <c r="L40">
        <v>5.29</v>
      </c>
      <c r="M40">
        <v>-56.55</v>
      </c>
      <c r="N40">
        <v>2.59</v>
      </c>
      <c r="O40" t="str">
        <f>INDEX('رموز سريعة'!$A:$B,MATCH(I40,'رموز سريعة'!$A:$A,0),2)</f>
        <v>CCRS</v>
      </c>
      <c r="Q40" t="s">
        <v>271</v>
      </c>
      <c r="R40">
        <v>-0.55000000000000004</v>
      </c>
      <c r="S40" t="s">
        <v>507</v>
      </c>
      <c r="T40">
        <v>8.6</v>
      </c>
      <c r="U40">
        <v>-4.67</v>
      </c>
      <c r="V40">
        <v>1.81</v>
      </c>
      <c r="W40" t="str">
        <f>INDEX('رموز سريعة'!$A:$B,MATCH(Q40,'رموز سريعة'!$A:$A,0),2)</f>
        <v>ROTO</v>
      </c>
    </row>
    <row r="41" spans="1:23">
      <c r="A41" t="s">
        <v>575</v>
      </c>
      <c r="B41">
        <v>0.16</v>
      </c>
      <c r="C41" t="s">
        <v>507</v>
      </c>
      <c r="D41">
        <v>0.69</v>
      </c>
      <c r="E41">
        <v>8.3000000000000007</v>
      </c>
      <c r="F41">
        <v>1.97</v>
      </c>
      <c r="G41" t="str">
        <f>INDEX('رموز سريعة'!$A:$B,MATCH(A41,'رموز سريعة'!$A:$A,0),2)</f>
        <v>EEII</v>
      </c>
      <c r="I41" t="s">
        <v>550</v>
      </c>
      <c r="J41">
        <v>7.01</v>
      </c>
      <c r="K41" t="s">
        <v>507</v>
      </c>
      <c r="L41">
        <v>12.53</v>
      </c>
      <c r="M41">
        <v>3.28</v>
      </c>
      <c r="N41">
        <v>1.02</v>
      </c>
      <c r="O41" t="str">
        <f>INDEX('رموز سريعة'!$A:$B,MATCH(I41,'رموز سريعة'!$A:$A,0),2)</f>
        <v>DEIN</v>
      </c>
      <c r="Q41" t="s">
        <v>544</v>
      </c>
      <c r="R41">
        <v>12.55</v>
      </c>
      <c r="S41" t="s">
        <v>507</v>
      </c>
      <c r="T41">
        <v>111.19</v>
      </c>
      <c r="U41">
        <v>0.16</v>
      </c>
      <c r="V41">
        <v>0.01</v>
      </c>
      <c r="W41" t="str">
        <f>INDEX('رموز سريعة'!$A:$B,MATCH(Q41,'رموز سريعة'!$A:$A,0),2)</f>
        <v>SEIG</v>
      </c>
    </row>
    <row r="42" spans="1:23">
      <c r="A42" t="s">
        <v>160</v>
      </c>
      <c r="B42">
        <v>0.13</v>
      </c>
      <c r="C42" t="s">
        <v>507</v>
      </c>
      <c r="D42">
        <v>1.65</v>
      </c>
      <c r="E42">
        <v>10.38</v>
      </c>
      <c r="F42">
        <v>1.18</v>
      </c>
      <c r="G42" t="str">
        <f>INDEX('رموز سريعة'!$A:$B,MATCH(A42,'رموز سريعة'!$A:$A,0),2)</f>
        <v>ARVA</v>
      </c>
      <c r="I42" t="s">
        <v>288</v>
      </c>
      <c r="J42">
        <v>8.89</v>
      </c>
      <c r="K42" t="s">
        <v>507</v>
      </c>
      <c r="L42">
        <v>20.18</v>
      </c>
      <c r="M42">
        <v>2.42</v>
      </c>
      <c r="N42">
        <v>2.5299999999999998</v>
      </c>
      <c r="O42" t="str">
        <f>INDEX('رموز سريعة'!$A:$B,MATCH(I42,'رموز سريعة'!$A:$A,0),2)</f>
        <v>SUGR</v>
      </c>
      <c r="Q42" t="s">
        <v>447</v>
      </c>
      <c r="R42">
        <v>4.9000000000000004</v>
      </c>
      <c r="S42" t="s">
        <v>507</v>
      </c>
      <c r="T42">
        <v>14.86</v>
      </c>
      <c r="U42">
        <v>3.81</v>
      </c>
      <c r="V42">
        <v>1.43</v>
      </c>
      <c r="W42" t="str">
        <f>INDEX('رموز سريعة'!$A:$B,MATCH(Q42,'رموز سريعة'!$A:$A,0),2)</f>
        <v>SWDY</v>
      </c>
    </row>
    <row r="43" spans="1:23">
      <c r="A43" t="s">
        <v>538</v>
      </c>
      <c r="B43">
        <v>0.13</v>
      </c>
      <c r="C43" t="s">
        <v>507</v>
      </c>
      <c r="D43">
        <v>0.28000000000000003</v>
      </c>
      <c r="E43">
        <v>-18.52</v>
      </c>
      <c r="F43">
        <v>5.9</v>
      </c>
      <c r="G43" t="str">
        <f>INDEX('رموز سريعة'!$A:$B,MATCH(A43,'رموز سريعة'!$A:$A,0),2)</f>
        <v>EOSB</v>
      </c>
      <c r="I43" t="s">
        <v>224</v>
      </c>
      <c r="J43">
        <v>10.07</v>
      </c>
      <c r="K43" t="s">
        <v>507</v>
      </c>
      <c r="L43">
        <v>11.43</v>
      </c>
      <c r="M43">
        <v>15.06</v>
      </c>
      <c r="N43">
        <v>2.0299999999999998</v>
      </c>
      <c r="O43" t="str">
        <f>INDEX('رموز سريعة'!$A:$B,MATCH(I43,'رموز سريعة'!$A:$A,0),2)</f>
        <v>ICFC</v>
      </c>
      <c r="Q43" t="s">
        <v>603</v>
      </c>
      <c r="R43">
        <v>17.68</v>
      </c>
      <c r="S43" t="s">
        <v>507</v>
      </c>
      <c r="T43">
        <v>16.91</v>
      </c>
      <c r="U43">
        <v>-3.52</v>
      </c>
      <c r="V43">
        <v>1.38</v>
      </c>
      <c r="W43" t="str">
        <f>INDEX('رموز سريعة'!$A:$B,MATCH(Q43,'رموز سريعة'!$A:$A,0),2)</f>
        <v>MEGM</v>
      </c>
    </row>
    <row r="44" spans="1:23">
      <c r="A44" t="s">
        <v>584</v>
      </c>
      <c r="B44">
        <v>0</v>
      </c>
      <c r="C44" t="s">
        <v>507</v>
      </c>
      <c r="D44">
        <v>7.17</v>
      </c>
      <c r="E44">
        <v>20.75</v>
      </c>
      <c r="F44">
        <v>3.15</v>
      </c>
      <c r="G44" t="str">
        <f>INDEX('رموز سريعة'!$A:$B,MATCH(A44,'رموز سريعة'!$A:$A,0),2)</f>
        <v>GIHD</v>
      </c>
      <c r="I44" t="s">
        <v>602</v>
      </c>
      <c r="J44">
        <v>5.45</v>
      </c>
      <c r="K44" t="s">
        <v>507</v>
      </c>
      <c r="L44">
        <v>9.5500000000000007</v>
      </c>
      <c r="M44">
        <v>2.74</v>
      </c>
      <c r="N44">
        <v>1.41</v>
      </c>
      <c r="O44" t="str">
        <f>INDEX('رموز سريعة'!$A:$B,MATCH(I44,'رموز سريعة'!$A:$A,0),2)</f>
        <v>IFAP</v>
      </c>
      <c r="Q44" t="s">
        <v>551</v>
      </c>
      <c r="R44">
        <v>0.01</v>
      </c>
      <c r="S44" t="s">
        <v>507</v>
      </c>
      <c r="T44">
        <v>0.42</v>
      </c>
      <c r="U44">
        <v>148.97999999999999</v>
      </c>
      <c r="V44">
        <v>1.9</v>
      </c>
      <c r="W44" t="str">
        <f>INDEX('رموز سريعة'!$A:$B,MATCH(Q44,'رموز سريعة'!$A:$A,0),2)</f>
        <v>SNFC</v>
      </c>
    </row>
    <row r="45" spans="1:23">
      <c r="A45" t="s">
        <v>454</v>
      </c>
      <c r="B45">
        <v>0.46</v>
      </c>
      <c r="C45" t="s">
        <v>507</v>
      </c>
      <c r="D45">
        <v>2.0299999999999998</v>
      </c>
      <c r="E45">
        <v>3.95</v>
      </c>
      <c r="F45">
        <v>0.91</v>
      </c>
      <c r="G45" t="str">
        <f>INDEX('رموز سريعة'!$A:$B,MATCH(A45,'رموز سريعة'!$A:$A,0),2)</f>
        <v>FNAR</v>
      </c>
      <c r="I45" t="s">
        <v>271</v>
      </c>
      <c r="J45">
        <v>-1.37</v>
      </c>
      <c r="K45" t="s">
        <v>507</v>
      </c>
      <c r="L45">
        <v>8.48</v>
      </c>
      <c r="M45">
        <v>-29.08</v>
      </c>
      <c r="N45">
        <v>1.86</v>
      </c>
      <c r="O45" t="str">
        <f>INDEX('رموز سريعة'!$A:$B,MATCH(I45,'رموز سريعة'!$A:$A,0),2)</f>
        <v>ROTO</v>
      </c>
      <c r="Q45" t="s">
        <v>624</v>
      </c>
      <c r="R45">
        <v>0</v>
      </c>
      <c r="S45" t="s">
        <v>507</v>
      </c>
      <c r="T45">
        <v>0.1</v>
      </c>
      <c r="U45">
        <v>-171.97</v>
      </c>
      <c r="V45">
        <v>6.17</v>
      </c>
      <c r="W45" t="str">
        <f>INDEX('رموز سريعة'!$A:$B,MATCH(Q45,'رموز سريعة'!$A:$A,0),2)</f>
        <v>ACAMD</v>
      </c>
    </row>
    <row r="46" spans="1:23">
      <c r="A46" t="s">
        <v>574</v>
      </c>
      <c r="B46">
        <v>0.22</v>
      </c>
      <c r="C46" t="s">
        <v>507</v>
      </c>
      <c r="D46">
        <v>0.61</v>
      </c>
      <c r="E46">
        <v>-2.35</v>
      </c>
      <c r="F46">
        <v>1.41</v>
      </c>
      <c r="G46" t="str">
        <f>INDEX('رموز سريعة'!$A:$B,MATCH(A46,'رموز سريعة'!$A:$A,0),2)</f>
        <v>EKHOA</v>
      </c>
      <c r="I46" t="s">
        <v>520</v>
      </c>
      <c r="J46">
        <v>0.08</v>
      </c>
      <c r="K46" t="s">
        <v>507</v>
      </c>
      <c r="L46">
        <v>1.27</v>
      </c>
      <c r="M46">
        <v>30.96</v>
      </c>
      <c r="N46">
        <v>1.67</v>
      </c>
      <c r="O46" t="str">
        <f>INDEX('رموز سريعة'!$A:$B,MATCH(I46,'رموز سريعة'!$A:$A,0),2)</f>
        <v>ZEOT</v>
      </c>
      <c r="Q46" t="s">
        <v>547</v>
      </c>
      <c r="R46">
        <v>-0.03</v>
      </c>
      <c r="S46" t="s">
        <v>507</v>
      </c>
      <c r="T46">
        <v>0.76</v>
      </c>
      <c r="U46">
        <v>33.19</v>
      </c>
      <c r="V46">
        <v>3.34</v>
      </c>
      <c r="W46" t="str">
        <f>INDEX('رموز سريعة'!$A:$B,MATCH(Q46,'رموز سريعة'!$A:$A,0),2)</f>
        <v>SPHT</v>
      </c>
    </row>
    <row r="47" spans="1:23">
      <c r="A47" t="s">
        <v>516</v>
      </c>
      <c r="B47">
        <v>2.0299999999999998</v>
      </c>
      <c r="C47" t="s">
        <v>507</v>
      </c>
      <c r="D47">
        <v>9.68</v>
      </c>
      <c r="E47">
        <v>15.35</v>
      </c>
      <c r="F47">
        <v>1.79</v>
      </c>
      <c r="G47" t="str">
        <f>INDEX('رموز سريعة'!$A:$B,MATCH(A47,'رموز سريعة'!$A:$A,0),2)</f>
        <v>KWIN</v>
      </c>
      <c r="I47" t="s">
        <v>544</v>
      </c>
      <c r="J47">
        <v>10.99</v>
      </c>
      <c r="K47" t="s">
        <v>507</v>
      </c>
      <c r="L47">
        <v>117.43</v>
      </c>
      <c r="M47">
        <v>0.17</v>
      </c>
      <c r="N47">
        <v>0.02</v>
      </c>
      <c r="O47" t="str">
        <f>INDEX('رموز سريعة'!$A:$B,MATCH(I47,'رموز سريعة'!$A:$A,0),2)</f>
        <v>SEIG</v>
      </c>
      <c r="Q47" t="s">
        <v>204</v>
      </c>
      <c r="R47">
        <v>0.39</v>
      </c>
      <c r="S47" t="s">
        <v>507</v>
      </c>
      <c r="T47">
        <v>3.42</v>
      </c>
      <c r="U47">
        <v>8.42</v>
      </c>
      <c r="V47">
        <v>2.0299999999999998</v>
      </c>
      <c r="W47" t="str">
        <f>INDEX('رموز سريعة'!$A:$B,MATCH(Q47,'رموز سريعة'!$A:$A,0),2)</f>
        <v>ELSH</v>
      </c>
    </row>
    <row r="48" spans="1:23">
      <c r="A48" t="s">
        <v>569</v>
      </c>
      <c r="B48">
        <v>0.68</v>
      </c>
      <c r="C48" t="s">
        <v>507</v>
      </c>
      <c r="D48">
        <v>2.2799999999999998</v>
      </c>
      <c r="E48">
        <v>16.329999999999998</v>
      </c>
      <c r="F48">
        <v>4.8</v>
      </c>
      <c r="G48" t="str">
        <f>INDEX('رموز سريعة'!$A:$B,MATCH(A48,'رموز سريعة'!$A:$A,0),2)</f>
        <v>CIRA</v>
      </c>
      <c r="I48" t="s">
        <v>447</v>
      </c>
      <c r="J48">
        <v>4.62</v>
      </c>
      <c r="K48" t="s">
        <v>507</v>
      </c>
      <c r="L48">
        <v>15.58</v>
      </c>
      <c r="M48">
        <v>4.8</v>
      </c>
      <c r="N48">
        <v>1.58</v>
      </c>
      <c r="O48" t="str">
        <f>INDEX('رموز سريعة'!$A:$B,MATCH(I48,'رموز سريعة'!$A:$A,0),2)</f>
        <v>SWDY</v>
      </c>
      <c r="Q48" t="s">
        <v>604</v>
      </c>
      <c r="R48">
        <v>-0.3</v>
      </c>
      <c r="S48" t="s">
        <v>507</v>
      </c>
      <c r="T48">
        <v>7.0000000000000007E-2</v>
      </c>
      <c r="U48" t="s">
        <v>507</v>
      </c>
      <c r="V48" t="s">
        <v>507</v>
      </c>
      <c r="W48" t="str">
        <f>INDEX('رموز سريعة'!$A:$B,MATCH(Q48,'رموز سريعة'!$A:$A,0),2)</f>
        <v>ARPI</v>
      </c>
    </row>
    <row r="49" spans="1:23">
      <c r="A49" t="s">
        <v>203</v>
      </c>
      <c r="B49">
        <v>0.76</v>
      </c>
      <c r="C49" t="s">
        <v>507</v>
      </c>
      <c r="D49">
        <v>1.22</v>
      </c>
      <c r="E49">
        <v>13.82</v>
      </c>
      <c r="F49">
        <v>1.26</v>
      </c>
      <c r="G49" t="str">
        <f>INDEX('رموز سريعة'!$A:$B,MATCH(A49,'رموز سريعة'!$A:$A,0),2)</f>
        <v>ELKA</v>
      </c>
      <c r="I49" t="s">
        <v>603</v>
      </c>
      <c r="J49">
        <v>14.8</v>
      </c>
      <c r="K49" t="s">
        <v>507</v>
      </c>
      <c r="L49">
        <v>20.61</v>
      </c>
      <c r="M49">
        <v>1</v>
      </c>
      <c r="N49">
        <v>1.05</v>
      </c>
      <c r="O49" t="str">
        <f>INDEX('رموز سريعة'!$A:$B,MATCH(I49,'رموز سريعة'!$A:$A,0),2)</f>
        <v>MEGM</v>
      </c>
      <c r="Q49" t="s">
        <v>567</v>
      </c>
      <c r="R49">
        <v>0.09</v>
      </c>
      <c r="S49" t="s">
        <v>507</v>
      </c>
      <c r="T49">
        <v>1.61</v>
      </c>
      <c r="U49">
        <v>2.11</v>
      </c>
      <c r="V49">
        <v>0.39</v>
      </c>
      <c r="W49" t="str">
        <f>INDEX('رموز سريعة'!$A:$B,MATCH(Q49,'رموز سريعة'!$A:$A,0),2)</f>
        <v>UEGC</v>
      </c>
    </row>
    <row r="50" spans="1:23">
      <c r="A50" t="s">
        <v>539</v>
      </c>
      <c r="B50">
        <v>2.93</v>
      </c>
      <c r="C50" t="s">
        <v>507</v>
      </c>
      <c r="D50">
        <v>9.02</v>
      </c>
      <c r="E50">
        <v>4.46</v>
      </c>
      <c r="F50">
        <v>1.58</v>
      </c>
      <c r="G50" t="str">
        <f>INDEX('رموز سريعة'!$A:$B,MATCH(A50,'رموز سريعة'!$A:$A,0),2)</f>
        <v>CAED</v>
      </c>
      <c r="I50" t="s">
        <v>551</v>
      </c>
      <c r="J50">
        <v>-0.16</v>
      </c>
      <c r="K50" t="s">
        <v>507</v>
      </c>
      <c r="L50">
        <v>0.38</v>
      </c>
      <c r="M50">
        <v>85.27</v>
      </c>
      <c r="N50">
        <v>1.62</v>
      </c>
      <c r="O50" t="str">
        <f>INDEX('رموز سريعة'!$A:$B,MATCH(I50,'رموز سريعة'!$A:$A,0),2)</f>
        <v>SNFC</v>
      </c>
      <c r="Q50" t="s">
        <v>625</v>
      </c>
      <c r="R50">
        <v>0.01</v>
      </c>
      <c r="S50" t="s">
        <v>507</v>
      </c>
      <c r="T50">
        <v>1.38</v>
      </c>
      <c r="U50">
        <v>4.33</v>
      </c>
      <c r="V50">
        <v>0.92</v>
      </c>
      <c r="W50" t="str">
        <f>INDEX('رموز سريعة'!$A:$B,MATCH(Q50,'رموز سريعة'!$A:$A,0),2)</f>
        <v>ICID</v>
      </c>
    </row>
    <row r="51" spans="1:23">
      <c r="A51" t="s">
        <v>263</v>
      </c>
      <c r="B51">
        <v>0.25</v>
      </c>
      <c r="C51" t="s">
        <v>507</v>
      </c>
      <c r="D51">
        <v>5.78</v>
      </c>
      <c r="E51">
        <v>2.68</v>
      </c>
      <c r="F51">
        <v>1.42</v>
      </c>
      <c r="G51" t="str">
        <f>INDEX('رموز سريعة'!$A:$B,MATCH(A51,'رموز سريعة'!$A:$A,0),2)</f>
        <v>POUL</v>
      </c>
      <c r="I51" t="s">
        <v>547</v>
      </c>
      <c r="J51">
        <v>-0.03</v>
      </c>
      <c r="K51" t="s">
        <v>507</v>
      </c>
      <c r="L51">
        <v>0.76</v>
      </c>
      <c r="M51">
        <v>-89.92</v>
      </c>
      <c r="N51">
        <v>3.36</v>
      </c>
      <c r="O51" t="str">
        <f>INDEX('رموز سريعة'!$A:$B,MATCH(I51,'رموز سريعة'!$A:$A,0),2)</f>
        <v>SPHT</v>
      </c>
      <c r="Q51" t="s">
        <v>237</v>
      </c>
      <c r="R51">
        <v>0.03</v>
      </c>
      <c r="S51" t="s">
        <v>507</v>
      </c>
      <c r="T51">
        <v>0.22</v>
      </c>
      <c r="U51">
        <v>-57.57</v>
      </c>
      <c r="V51">
        <v>3.36</v>
      </c>
      <c r="W51" t="str">
        <f>INDEX('رموز سريعة'!$A:$B,MATCH(Q51,'رموز سريعة'!$A:$A,0),2)</f>
        <v>MEPA</v>
      </c>
    </row>
    <row r="52" spans="1:23">
      <c r="A52" t="s">
        <v>576</v>
      </c>
      <c r="B52">
        <v>10.95</v>
      </c>
      <c r="C52" t="s">
        <v>507</v>
      </c>
      <c r="D52">
        <v>5.42</v>
      </c>
      <c r="E52">
        <v>12.04</v>
      </c>
      <c r="F52">
        <v>8.19</v>
      </c>
      <c r="G52" t="str">
        <f>INDEX('رموز سريعة'!$A:$B,MATCH(A52,'رموز سريعة'!$A:$A,0),2)</f>
        <v>CSAG</v>
      </c>
      <c r="I52" t="s">
        <v>604</v>
      </c>
      <c r="J52">
        <v>0</v>
      </c>
      <c r="K52" t="s">
        <v>507</v>
      </c>
      <c r="L52">
        <v>7.0000000000000007E-2</v>
      </c>
      <c r="M52" t="s">
        <v>507</v>
      </c>
      <c r="N52" t="s">
        <v>507</v>
      </c>
      <c r="O52" t="str">
        <f>INDEX('رموز سريعة'!$A:$B,MATCH(I52,'رموز سريعة'!$A:$A,0),2)</f>
        <v>ARPI</v>
      </c>
      <c r="Q52" t="s">
        <v>605</v>
      </c>
      <c r="R52">
        <v>0.67</v>
      </c>
      <c r="S52" t="s">
        <v>507</v>
      </c>
      <c r="T52">
        <v>5.97</v>
      </c>
      <c r="U52">
        <v>14.91</v>
      </c>
      <c r="V52">
        <v>1.17</v>
      </c>
      <c r="W52" t="str">
        <f>INDEX('رموز سريعة'!$A:$B,MATCH(Q52,'رموز سريعة'!$A:$A,0),2)</f>
        <v>OBRI</v>
      </c>
    </row>
    <row r="53" spans="1:23">
      <c r="A53" t="s">
        <v>571</v>
      </c>
      <c r="B53">
        <v>0.34</v>
      </c>
      <c r="C53" t="s">
        <v>507</v>
      </c>
      <c r="D53">
        <v>0.8</v>
      </c>
      <c r="E53">
        <v>2.48</v>
      </c>
      <c r="F53">
        <v>1.69</v>
      </c>
      <c r="G53" t="str">
        <f>INDEX('رموز سريعة'!$A:$B,MATCH(A53,'رموز سريعة'!$A:$A,0),2)</f>
        <v>ELEC</v>
      </c>
      <c r="I53" t="s">
        <v>567</v>
      </c>
      <c r="J53">
        <v>0.18</v>
      </c>
      <c r="K53" t="s">
        <v>507</v>
      </c>
      <c r="L53">
        <v>1.64</v>
      </c>
      <c r="M53">
        <v>7.07</v>
      </c>
      <c r="N53">
        <v>0.39</v>
      </c>
      <c r="O53" t="str">
        <f>INDEX('رموز سريعة'!$A:$B,MATCH(I53,'رموز سريعة'!$A:$A,0),2)</f>
        <v>UEGC</v>
      </c>
      <c r="Q53" t="s">
        <v>607</v>
      </c>
      <c r="R53">
        <v>2.37</v>
      </c>
      <c r="S53">
        <v>0.25</v>
      </c>
      <c r="T53">
        <v>6.11</v>
      </c>
      <c r="U53">
        <v>7.17</v>
      </c>
      <c r="V53">
        <v>0.79</v>
      </c>
      <c r="W53" t="str">
        <f>INDEX('رموز سريعة'!$A:$B,MATCH(Q53,'رموز سريعة'!$A:$A,0),2)</f>
        <v>ACGC</v>
      </c>
    </row>
    <row r="54" spans="1:23">
      <c r="A54" t="s">
        <v>572</v>
      </c>
      <c r="B54">
        <v>10.15</v>
      </c>
      <c r="C54" t="s">
        <v>507</v>
      </c>
      <c r="D54">
        <v>32.32</v>
      </c>
      <c r="E54">
        <v>13.54</v>
      </c>
      <c r="F54">
        <v>2.04</v>
      </c>
      <c r="G54" t="str">
        <f>INDEX('رموز سريعة'!$A:$B,MATCH(A54,'رموز سريعة'!$A:$A,0),2)</f>
        <v>EFIC</v>
      </c>
      <c r="I54" t="s">
        <v>562</v>
      </c>
      <c r="J54">
        <v>-1.93</v>
      </c>
      <c r="K54" t="s">
        <v>507</v>
      </c>
      <c r="L54">
        <v>-73.069999999999993</v>
      </c>
      <c r="M54">
        <v>16.82</v>
      </c>
      <c r="N54">
        <v>-0.41</v>
      </c>
      <c r="O54" t="str">
        <f>INDEX('رموز سريعة'!$A:$B,MATCH(I54,'رموز سريعة'!$A:$A,0),2)</f>
        <v>AALR</v>
      </c>
      <c r="Q54" t="s">
        <v>158</v>
      </c>
      <c r="R54">
        <v>1.01</v>
      </c>
      <c r="S54" t="s">
        <v>507</v>
      </c>
      <c r="T54">
        <v>3.94</v>
      </c>
      <c r="U54">
        <v>3.33</v>
      </c>
      <c r="V54">
        <v>2.2999999999999998</v>
      </c>
      <c r="W54" t="str">
        <f>INDEX('رموز سريعة'!$A:$B,MATCH(Q54,'رموز سريعة'!$A:$A,0),2)</f>
        <v>ARCC</v>
      </c>
    </row>
    <row r="55" spans="1:23">
      <c r="A55" t="s">
        <v>296</v>
      </c>
      <c r="B55">
        <v>0.49</v>
      </c>
      <c r="C55" t="s">
        <v>507</v>
      </c>
      <c r="D55">
        <v>2.83</v>
      </c>
      <c r="E55">
        <v>7.85</v>
      </c>
      <c r="F55">
        <v>1.84</v>
      </c>
      <c r="G55" t="str">
        <f>INDEX('رموز سريعة'!$A:$B,MATCH(A55,'رموز سريعة'!$A:$A,0),2)</f>
        <v>UNIT</v>
      </c>
      <c r="I55" t="s">
        <v>509</v>
      </c>
      <c r="J55">
        <v>6.2</v>
      </c>
      <c r="K55" t="s">
        <v>507</v>
      </c>
      <c r="L55">
        <v>22.73</v>
      </c>
      <c r="M55">
        <v>14.49</v>
      </c>
      <c r="N55">
        <v>4.1100000000000003</v>
      </c>
      <c r="O55" t="str">
        <f>INDEX('رموز سريعة'!$A:$B,MATCH(I55,'رموز سريعة'!$A:$A,0),2)</f>
        <v>GSSC</v>
      </c>
      <c r="Q55" t="s">
        <v>575</v>
      </c>
      <c r="R55">
        <v>0.31</v>
      </c>
      <c r="S55" t="s">
        <v>507</v>
      </c>
      <c r="T55">
        <v>0.61</v>
      </c>
      <c r="U55">
        <v>4.08</v>
      </c>
      <c r="V55">
        <v>1.86</v>
      </c>
      <c r="W55" t="str">
        <f>INDEX('رموز سريعة'!$A:$B,MATCH(Q55,'رموز سريعة'!$A:$A,0),2)</f>
        <v>EEII</v>
      </c>
    </row>
    <row r="56" spans="1:23">
      <c r="A56" t="s">
        <v>585</v>
      </c>
      <c r="B56">
        <v>0.01</v>
      </c>
      <c r="C56" t="s">
        <v>507</v>
      </c>
      <c r="D56">
        <v>0.08</v>
      </c>
      <c r="E56">
        <v>-32.700000000000003</v>
      </c>
      <c r="F56">
        <v>3.23</v>
      </c>
      <c r="G56" t="str">
        <f>INDEX('رموز سريعة'!$A:$B,MATCH(A56,'رموز سريعة'!$A:$A,0),2)</f>
        <v>INEG</v>
      </c>
      <c r="I56" t="s">
        <v>237</v>
      </c>
      <c r="J56">
        <v>0.06</v>
      </c>
      <c r="K56" t="s">
        <v>507</v>
      </c>
      <c r="L56">
        <v>0.23</v>
      </c>
      <c r="M56">
        <v>27.23</v>
      </c>
      <c r="N56">
        <v>3.25</v>
      </c>
      <c r="O56" t="str">
        <f>INDEX('رموز سريعة'!$A:$B,MATCH(I56,'رموز سريعة'!$A:$A,0),2)</f>
        <v>MEPA</v>
      </c>
      <c r="Q56" t="s">
        <v>160</v>
      </c>
      <c r="R56">
        <v>0.56000000000000005</v>
      </c>
      <c r="S56" t="s">
        <v>507</v>
      </c>
      <c r="T56">
        <v>1.57</v>
      </c>
      <c r="U56">
        <v>15.94</v>
      </c>
      <c r="V56">
        <v>0.98</v>
      </c>
      <c r="W56" t="str">
        <f>INDEX('رموز سريعة'!$A:$B,MATCH(Q56,'رموز سريعة'!$A:$A,0),2)</f>
        <v>ARVA</v>
      </c>
    </row>
    <row r="57" spans="1:23">
      <c r="A57" t="s">
        <v>536</v>
      </c>
      <c r="B57">
        <v>-2.14</v>
      </c>
      <c r="C57" t="s">
        <v>507</v>
      </c>
      <c r="D57">
        <v>12.28</v>
      </c>
      <c r="E57">
        <v>36.270000000000003</v>
      </c>
      <c r="F57">
        <v>4.5999999999999996</v>
      </c>
      <c r="I57" t="s">
        <v>605</v>
      </c>
      <c r="J57">
        <v>0.42</v>
      </c>
      <c r="K57" t="s">
        <v>507</v>
      </c>
      <c r="L57">
        <v>6.07</v>
      </c>
      <c r="M57">
        <v>12.88</v>
      </c>
      <c r="N57">
        <v>1.45</v>
      </c>
      <c r="O57" t="str">
        <f>INDEX('رموز سريعة'!$A:$B,MATCH(I57,'رموز سريعة'!$A:$A,0),2)</f>
        <v>OBRI</v>
      </c>
      <c r="Q57" t="s">
        <v>608</v>
      </c>
      <c r="R57">
        <v>-0.01</v>
      </c>
      <c r="S57" t="s">
        <v>507</v>
      </c>
      <c r="T57">
        <v>0.05</v>
      </c>
      <c r="U57">
        <v>-107.14</v>
      </c>
      <c r="V57">
        <v>1.31</v>
      </c>
      <c r="W57" t="str">
        <f>INDEX('رموز سريعة'!$A:$B,MATCH(Q57,'رموز سريعة'!$A:$A,0),2)</f>
        <v>AIVC</v>
      </c>
    </row>
    <row r="58" spans="1:23">
      <c r="A58" t="s">
        <v>563</v>
      </c>
      <c r="B58">
        <v>0</v>
      </c>
      <c r="C58" t="s">
        <v>507</v>
      </c>
      <c r="D58">
        <v>7.0000000000000007E-2</v>
      </c>
      <c r="E58">
        <v>87.78</v>
      </c>
      <c r="F58">
        <v>1.52</v>
      </c>
      <c r="I58" t="s">
        <v>606</v>
      </c>
      <c r="J58">
        <v>-0.2</v>
      </c>
      <c r="K58" t="s">
        <v>507</v>
      </c>
      <c r="L58">
        <v>-1.21</v>
      </c>
      <c r="M58">
        <v>-11.34</v>
      </c>
      <c r="N58">
        <v>-0.7</v>
      </c>
      <c r="O58" t="str">
        <f>INDEX('رموز سريعة'!$A:$B,MATCH(I58,'رموز سريعة'!$A:$A,0),2)</f>
        <v>UASG</v>
      </c>
      <c r="Q58" t="s">
        <v>538</v>
      </c>
      <c r="R58">
        <v>-0.06</v>
      </c>
      <c r="S58" t="s">
        <v>507</v>
      </c>
      <c r="T58">
        <v>0.2</v>
      </c>
      <c r="U58">
        <v>-13.77</v>
      </c>
      <c r="V58">
        <v>3.86</v>
      </c>
      <c r="W58" t="str">
        <f>INDEX('رموز سريعة'!$A:$B,MATCH(Q58,'رموز سريعة'!$A:$A,0),2)</f>
        <v>EOSB</v>
      </c>
    </row>
    <row r="59" spans="1:23">
      <c r="A59" t="s">
        <v>561</v>
      </c>
      <c r="B59">
        <v>0.01</v>
      </c>
      <c r="C59" t="s">
        <v>507</v>
      </c>
      <c r="D59">
        <v>0.08</v>
      </c>
      <c r="E59">
        <v>44.54</v>
      </c>
      <c r="F59">
        <v>18.62</v>
      </c>
      <c r="I59" t="s">
        <v>558</v>
      </c>
      <c r="J59">
        <v>-3.82</v>
      </c>
      <c r="K59" t="s">
        <v>507</v>
      </c>
      <c r="L59">
        <v>12.54</v>
      </c>
      <c r="M59">
        <v>-6.14</v>
      </c>
      <c r="N59">
        <v>1.99</v>
      </c>
      <c r="O59" t="str">
        <f>INDEX('رموز سريعة'!$A:$B,MATCH(I59,'رموز سريعة'!$A:$A,0),2)</f>
        <v>EALR</v>
      </c>
      <c r="Q59" t="s">
        <v>584</v>
      </c>
      <c r="R59">
        <v>0</v>
      </c>
      <c r="S59" t="s">
        <v>507</v>
      </c>
      <c r="T59">
        <v>6.75</v>
      </c>
      <c r="U59">
        <v>40.43</v>
      </c>
      <c r="V59">
        <v>2.5299999999999998</v>
      </c>
      <c r="W59" t="str">
        <f>INDEX('رموز سريعة'!$A:$B,MATCH(Q59,'رموز سريعة'!$A:$A,0),2)</f>
        <v>GIHD</v>
      </c>
    </row>
    <row r="60" spans="1:23">
      <c r="A60" t="s">
        <v>213</v>
      </c>
      <c r="B60">
        <v>5.43</v>
      </c>
      <c r="C60" t="s">
        <v>507</v>
      </c>
      <c r="D60">
        <v>29.8</v>
      </c>
      <c r="E60">
        <v>5.57</v>
      </c>
      <c r="F60">
        <v>1.4</v>
      </c>
      <c r="G60" t="s">
        <v>37</v>
      </c>
      <c r="I60" t="s">
        <v>607</v>
      </c>
      <c r="J60">
        <v>0.28000000000000003</v>
      </c>
      <c r="K60" t="s">
        <v>507</v>
      </c>
      <c r="L60">
        <v>5.9</v>
      </c>
      <c r="M60">
        <v>6.96</v>
      </c>
      <c r="N60">
        <v>0.75</v>
      </c>
      <c r="O60" t="str">
        <f>INDEX('رموز سريعة'!$A:$B,MATCH(I60,'رموز سريعة'!$A:$A,0),2)</f>
        <v>ACGC</v>
      </c>
      <c r="Q60" t="s">
        <v>454</v>
      </c>
      <c r="R60">
        <v>1.38</v>
      </c>
      <c r="S60" t="s">
        <v>507</v>
      </c>
      <c r="T60">
        <v>3.98</v>
      </c>
      <c r="U60">
        <v>4.58</v>
      </c>
      <c r="V60">
        <v>1.22</v>
      </c>
      <c r="W60" t="str">
        <f>INDEX('رموز سريعة'!$A:$B,MATCH(Q60,'رموز سريعة'!$A:$A,0),2)</f>
        <v>FNAR</v>
      </c>
    </row>
    <row r="61" spans="1:23">
      <c r="A61" t="s">
        <v>201</v>
      </c>
      <c r="B61">
        <v>-2.46</v>
      </c>
      <c r="C61" t="s">
        <v>507</v>
      </c>
      <c r="D61">
        <v>0.11</v>
      </c>
      <c r="E61">
        <v>-4.45</v>
      </c>
      <c r="F61">
        <v>0.5</v>
      </c>
      <c r="I61" t="s">
        <v>158</v>
      </c>
      <c r="J61">
        <v>1.72</v>
      </c>
      <c r="K61" t="s">
        <v>507</v>
      </c>
      <c r="L61">
        <v>4.37</v>
      </c>
      <c r="M61">
        <v>7.93</v>
      </c>
      <c r="N61">
        <v>2.02</v>
      </c>
      <c r="O61" t="str">
        <f>INDEX('رموز سريعة'!$A:$B,MATCH(I61,'رموز سريعة'!$A:$A,0),2)</f>
        <v>ARCC</v>
      </c>
      <c r="Q61" t="s">
        <v>574</v>
      </c>
      <c r="R61">
        <v>0.21</v>
      </c>
      <c r="S61" t="s">
        <v>507</v>
      </c>
      <c r="T61">
        <v>0.53</v>
      </c>
      <c r="U61">
        <v>3.27</v>
      </c>
      <c r="V61">
        <v>2.15</v>
      </c>
      <c r="W61" t="str">
        <f>INDEX('رموز سريعة'!$A:$B,MATCH(Q61,'رموز سريعة'!$A:$A,0),2)</f>
        <v>EKHOA</v>
      </c>
    </row>
    <row r="62" spans="1:23">
      <c r="A62" t="s">
        <v>200</v>
      </c>
      <c r="B62">
        <v>0.02</v>
      </c>
      <c r="C62" t="s">
        <v>507</v>
      </c>
      <c r="D62">
        <v>0.18</v>
      </c>
      <c r="E62">
        <v>5.97</v>
      </c>
      <c r="F62">
        <v>1.86</v>
      </c>
      <c r="I62" t="s">
        <v>575</v>
      </c>
      <c r="J62">
        <v>0.15</v>
      </c>
      <c r="K62" t="s">
        <v>507</v>
      </c>
      <c r="L62">
        <v>0.65</v>
      </c>
      <c r="M62">
        <v>3.26</v>
      </c>
      <c r="N62">
        <v>1.64</v>
      </c>
      <c r="O62" t="str">
        <f>INDEX('رموز سريعة'!$A:$B,MATCH(I62,'رموز سريعة'!$A:$A,0),2)</f>
        <v>EEII</v>
      </c>
      <c r="Q62" t="s">
        <v>516</v>
      </c>
      <c r="R62">
        <v>1.1399999999999999</v>
      </c>
      <c r="S62" t="s">
        <v>507</v>
      </c>
      <c r="T62">
        <v>9.76</v>
      </c>
      <c r="U62">
        <v>31.11</v>
      </c>
      <c r="V62">
        <v>1.07</v>
      </c>
      <c r="W62" t="str">
        <f>INDEX('رموز سريعة'!$A:$B,MATCH(Q62,'رموز سريعة'!$A:$A,0),2)</f>
        <v>KWIN</v>
      </c>
    </row>
    <row r="63" spans="1:23">
      <c r="A63" t="s">
        <v>564</v>
      </c>
      <c r="B63">
        <v>0.03</v>
      </c>
      <c r="C63" t="s">
        <v>507</v>
      </c>
      <c r="D63">
        <v>0.98</v>
      </c>
      <c r="E63">
        <v>9.5399999999999991</v>
      </c>
      <c r="F63">
        <v>1.17</v>
      </c>
      <c r="G63" t="s">
        <v>100</v>
      </c>
      <c r="I63" t="s">
        <v>160</v>
      </c>
      <c r="J63">
        <v>0.18</v>
      </c>
      <c r="K63" t="s">
        <v>507</v>
      </c>
      <c r="L63">
        <v>1.62</v>
      </c>
      <c r="M63">
        <v>2.7</v>
      </c>
      <c r="N63">
        <v>0.97</v>
      </c>
      <c r="O63" t="str">
        <f>INDEX('رموز سريعة'!$A:$B,MATCH(I63,'رموز سريعة'!$A:$A,0),2)</f>
        <v>ARVA</v>
      </c>
      <c r="Q63" t="s">
        <v>569</v>
      </c>
      <c r="R63">
        <v>0.89</v>
      </c>
      <c r="S63" t="s">
        <v>507</v>
      </c>
      <c r="T63">
        <v>2.73</v>
      </c>
      <c r="U63">
        <v>14.57</v>
      </c>
      <c r="V63">
        <v>4.51</v>
      </c>
      <c r="W63" t="str">
        <f>INDEX('رموز سريعة'!$A:$B,MATCH(Q63,'رموز سريعة'!$A:$A,0),2)</f>
        <v>CIRA</v>
      </c>
    </row>
    <row r="64" spans="1:23">
      <c r="A64" t="s">
        <v>531</v>
      </c>
      <c r="B64">
        <v>0.72</v>
      </c>
      <c r="C64" t="s">
        <v>507</v>
      </c>
      <c r="D64">
        <v>2.11</v>
      </c>
      <c r="E64">
        <v>9.14</v>
      </c>
      <c r="F64">
        <v>1</v>
      </c>
      <c r="I64" t="s">
        <v>608</v>
      </c>
      <c r="J64">
        <v>-0.02</v>
      </c>
      <c r="K64" t="s">
        <v>507</v>
      </c>
      <c r="L64">
        <v>0.06</v>
      </c>
      <c r="M64">
        <v>-6.09</v>
      </c>
      <c r="N64">
        <v>1.35</v>
      </c>
      <c r="O64" t="str">
        <f>INDEX('رموز سريعة'!$A:$B,MATCH(I64,'رموز سريعة'!$A:$A,0),2)</f>
        <v>AIVC</v>
      </c>
      <c r="Q64" t="s">
        <v>203</v>
      </c>
      <c r="R64">
        <v>0</v>
      </c>
      <c r="S64" t="s">
        <v>507</v>
      </c>
      <c r="T64">
        <v>1.02</v>
      </c>
      <c r="U64">
        <v>-31.92</v>
      </c>
      <c r="V64">
        <v>1.01</v>
      </c>
      <c r="W64" t="str">
        <f>INDEX('رموز سريعة'!$A:$B,MATCH(Q64,'رموز سريعة'!$A:$A,0),2)</f>
        <v>ELKA</v>
      </c>
    </row>
    <row r="65" spans="1:23">
      <c r="A65" t="s">
        <v>529</v>
      </c>
      <c r="B65">
        <v>1.82</v>
      </c>
      <c r="C65" t="s">
        <v>507</v>
      </c>
      <c r="D65">
        <v>8.3800000000000008</v>
      </c>
      <c r="E65">
        <v>6.66</v>
      </c>
      <c r="F65">
        <v>1.8</v>
      </c>
      <c r="G65" t="s">
        <v>91</v>
      </c>
      <c r="I65" t="s">
        <v>538</v>
      </c>
      <c r="J65">
        <v>-0.34</v>
      </c>
      <c r="K65" t="s">
        <v>507</v>
      </c>
      <c r="L65">
        <v>0.24</v>
      </c>
      <c r="M65">
        <v>-17.53</v>
      </c>
      <c r="N65">
        <v>5.59</v>
      </c>
      <c r="O65" t="str">
        <f>INDEX('رموز سريعة'!$A:$B,MATCH(I65,'رموز سريعة'!$A:$A,0),2)</f>
        <v>EOSB</v>
      </c>
      <c r="Q65" t="s">
        <v>539</v>
      </c>
      <c r="R65">
        <v>3.75</v>
      </c>
      <c r="S65" t="s">
        <v>507</v>
      </c>
      <c r="T65">
        <v>9.84</v>
      </c>
      <c r="U65">
        <v>4.24</v>
      </c>
      <c r="V65">
        <v>1.75</v>
      </c>
      <c r="W65" t="str">
        <f>INDEX('رموز سريعة'!$A:$B,MATCH(Q65,'رموز سريعة'!$A:$A,0),2)</f>
        <v>CAED</v>
      </c>
    </row>
    <row r="66" spans="1:23">
      <c r="A66" t="s">
        <v>261</v>
      </c>
      <c r="B66">
        <v>2.67</v>
      </c>
      <c r="C66" t="s">
        <v>507</v>
      </c>
      <c r="D66">
        <v>19.260000000000002</v>
      </c>
      <c r="E66">
        <v>9.6999999999999993</v>
      </c>
      <c r="F66">
        <v>0.95</v>
      </c>
      <c r="G66" t="s">
        <v>45</v>
      </c>
      <c r="I66" t="s">
        <v>584</v>
      </c>
      <c r="J66">
        <v>1.07</v>
      </c>
      <c r="K66" t="s">
        <v>507</v>
      </c>
      <c r="L66">
        <v>7.02</v>
      </c>
      <c r="M66">
        <v>40.270000000000003</v>
      </c>
      <c r="N66">
        <v>2.35</v>
      </c>
      <c r="O66" t="str">
        <f>INDEX('رموز سريعة'!$A:$B,MATCH(I66,'رموز سريعة'!$A:$A,0),2)</f>
        <v>GIHD</v>
      </c>
      <c r="Q66" t="s">
        <v>263</v>
      </c>
      <c r="R66">
        <v>1.73</v>
      </c>
      <c r="S66" t="s">
        <v>507</v>
      </c>
      <c r="T66">
        <v>4.96</v>
      </c>
      <c r="U66">
        <v>1.18</v>
      </c>
      <c r="V66">
        <v>1.19</v>
      </c>
      <c r="W66" t="str">
        <f>INDEX('رموز سريعة'!$A:$B,MATCH(Q66,'رموز سريعة'!$A:$A,0),2)</f>
        <v>POUL</v>
      </c>
    </row>
    <row r="67" spans="1:23">
      <c r="A67" t="s">
        <v>519</v>
      </c>
      <c r="B67">
        <v>-0.28999999999999998</v>
      </c>
      <c r="C67" t="s">
        <v>507</v>
      </c>
      <c r="D67">
        <v>3.68</v>
      </c>
      <c r="E67">
        <v>-57.94</v>
      </c>
      <c r="F67">
        <v>4.67</v>
      </c>
      <c r="I67" t="s">
        <v>454</v>
      </c>
      <c r="J67">
        <v>0.48</v>
      </c>
      <c r="K67" t="s">
        <v>507</v>
      </c>
      <c r="L67">
        <v>2.11</v>
      </c>
      <c r="M67">
        <v>1.36</v>
      </c>
      <c r="N67">
        <v>0.47</v>
      </c>
      <c r="O67" t="str">
        <f>INDEX('رموز سريعة'!$A:$B,MATCH(I67,'رموز سريعة'!$A:$A,0),2)</f>
        <v>FNAR</v>
      </c>
      <c r="Q67" t="s">
        <v>626</v>
      </c>
      <c r="R67">
        <v>0.03</v>
      </c>
      <c r="S67" t="s">
        <v>507</v>
      </c>
      <c r="T67">
        <v>0.16</v>
      </c>
      <c r="U67">
        <v>8.0500000000000007</v>
      </c>
      <c r="V67">
        <v>-15.51</v>
      </c>
      <c r="W67" t="str">
        <f>INDEX('رموز سريعة'!$A:$B,MATCH(Q67,'رموز سريعة'!$A:$A,0),2)</f>
        <v>COSG</v>
      </c>
    </row>
    <row r="68" spans="1:23">
      <c r="A68" t="s">
        <v>583</v>
      </c>
      <c r="B68">
        <v>0.96</v>
      </c>
      <c r="C68" t="s">
        <v>507</v>
      </c>
      <c r="D68">
        <v>2.17</v>
      </c>
      <c r="E68">
        <v>-98.86</v>
      </c>
      <c r="F68">
        <v>2.86</v>
      </c>
      <c r="G68" t="s">
        <v>108</v>
      </c>
      <c r="I68" t="s">
        <v>574</v>
      </c>
      <c r="J68">
        <v>0.19</v>
      </c>
      <c r="K68" t="s">
        <v>507</v>
      </c>
      <c r="L68">
        <v>0.56000000000000005</v>
      </c>
      <c r="M68">
        <v>4.43</v>
      </c>
      <c r="N68">
        <v>1.76</v>
      </c>
      <c r="O68" t="str">
        <f>INDEX('رموز سريعة'!$A:$B,MATCH(I68,'رموز سريعة'!$A:$A,0),2)</f>
        <v>EKHOA</v>
      </c>
      <c r="Q68" t="s">
        <v>417</v>
      </c>
      <c r="R68">
        <v>-1.08</v>
      </c>
      <c r="S68" t="s">
        <v>507</v>
      </c>
      <c r="T68">
        <v>-9.83</v>
      </c>
      <c r="U68">
        <v>-0.5</v>
      </c>
      <c r="V68">
        <v>-0.31</v>
      </c>
      <c r="W68" t="str">
        <f>INDEX('رموز سريعة'!$A:$B,MATCH(Q68,'رموز سريعة'!$A:$A,0),2)</f>
        <v>CCAP</v>
      </c>
    </row>
    <row r="69" spans="1:23">
      <c r="A69" t="s">
        <v>251</v>
      </c>
      <c r="B69">
        <v>0</v>
      </c>
      <c r="C69" t="s">
        <v>507</v>
      </c>
      <c r="D69">
        <v>0.5</v>
      </c>
      <c r="E69">
        <v>114.04</v>
      </c>
      <c r="F69">
        <v>0.26</v>
      </c>
      <c r="G69" t="s">
        <v>591</v>
      </c>
      <c r="I69" t="s">
        <v>516</v>
      </c>
      <c r="J69">
        <v>0.65</v>
      </c>
      <c r="K69" t="s">
        <v>507</v>
      </c>
      <c r="L69">
        <v>9.18</v>
      </c>
      <c r="M69">
        <v>9</v>
      </c>
      <c r="N69">
        <v>1.05</v>
      </c>
      <c r="O69" t="str">
        <f>INDEX('رموز سريعة'!$A:$B,MATCH(I69,'رموز سريعة'!$A:$A,0),2)</f>
        <v>KWIN</v>
      </c>
      <c r="Q69" t="s">
        <v>571</v>
      </c>
      <c r="R69">
        <v>0.38</v>
      </c>
      <c r="S69" t="s">
        <v>507</v>
      </c>
      <c r="T69">
        <v>0.56999999999999995</v>
      </c>
      <c r="U69">
        <v>3.12</v>
      </c>
      <c r="V69">
        <v>1.39</v>
      </c>
      <c r="W69" t="str">
        <f>INDEX('رموز سريعة'!$A:$B,MATCH(Q69,'رموز سريعة'!$A:$A,0),2)</f>
        <v>ELEC</v>
      </c>
    </row>
    <row r="70" spans="1:23">
      <c r="A70" t="s">
        <v>579</v>
      </c>
      <c r="B70">
        <v>16.66</v>
      </c>
      <c r="C70" t="s">
        <v>507</v>
      </c>
      <c r="D70">
        <v>48.53</v>
      </c>
      <c r="E70">
        <v>3.91</v>
      </c>
      <c r="F70">
        <v>1.58</v>
      </c>
      <c r="I70" t="s">
        <v>569</v>
      </c>
      <c r="J70">
        <v>-1.55</v>
      </c>
      <c r="K70">
        <v>0.24</v>
      </c>
      <c r="L70">
        <v>2.35</v>
      </c>
      <c r="M70">
        <v>11.35</v>
      </c>
      <c r="N70">
        <v>3.72</v>
      </c>
      <c r="O70" t="str">
        <f>INDEX('رموز سريعة'!$A:$B,MATCH(I70,'رموز سريعة'!$A:$A,0),2)</f>
        <v>CIRA</v>
      </c>
      <c r="Q70" t="s">
        <v>155</v>
      </c>
      <c r="R70">
        <v>-0.5</v>
      </c>
      <c r="S70" t="s">
        <v>507</v>
      </c>
      <c r="T70">
        <v>0.78</v>
      </c>
      <c r="U70">
        <v>15.71</v>
      </c>
      <c r="V70">
        <v>1.5</v>
      </c>
      <c r="W70" t="str">
        <f>INDEX('رموز سريعة'!$A:$B,MATCH(Q70,'رموز سريعة'!$A:$A,0),2)</f>
        <v>AMPI</v>
      </c>
    </row>
    <row r="71" spans="1:23">
      <c r="A71" t="s">
        <v>363</v>
      </c>
      <c r="B71">
        <v>0</v>
      </c>
      <c r="C71" t="s">
        <v>507</v>
      </c>
      <c r="D71">
        <v>26.39</v>
      </c>
      <c r="E71">
        <v>0</v>
      </c>
      <c r="F71">
        <v>1.4</v>
      </c>
      <c r="I71" t="s">
        <v>609</v>
      </c>
      <c r="J71">
        <v>15.85</v>
      </c>
      <c r="K71" t="s">
        <v>507</v>
      </c>
      <c r="L71">
        <v>49.93</v>
      </c>
      <c r="M71">
        <v>7.84</v>
      </c>
      <c r="N71">
        <v>0.78</v>
      </c>
      <c r="O71" t="str">
        <f>INDEX('رموز سريعة'!$A:$B,MATCH(I71,'رموز سريعة'!$A:$A,0),2)</f>
        <v>CPCI</v>
      </c>
      <c r="Q71" t="s">
        <v>572</v>
      </c>
      <c r="R71">
        <v>11.72</v>
      </c>
      <c r="S71" t="s">
        <v>507</v>
      </c>
      <c r="T71">
        <v>29.12</v>
      </c>
      <c r="U71">
        <v>3.93</v>
      </c>
      <c r="V71">
        <v>1.83</v>
      </c>
      <c r="W71" t="str">
        <f>INDEX('رموز سريعة'!$A:$B,MATCH(Q71,'رموز سريعة'!$A:$A,0),2)</f>
        <v>EFIC</v>
      </c>
    </row>
    <row r="72" spans="1:23">
      <c r="A72" t="s">
        <v>345</v>
      </c>
      <c r="B72">
        <v>4.8</v>
      </c>
      <c r="C72" t="s">
        <v>507</v>
      </c>
      <c r="D72">
        <v>43.49</v>
      </c>
      <c r="E72">
        <v>9.58</v>
      </c>
      <c r="F72">
        <v>0.97</v>
      </c>
      <c r="I72" t="s">
        <v>203</v>
      </c>
      <c r="J72">
        <v>0.1</v>
      </c>
      <c r="K72" t="s">
        <v>507</v>
      </c>
      <c r="L72">
        <v>1.04</v>
      </c>
      <c r="M72">
        <v>238.24</v>
      </c>
      <c r="N72">
        <v>0.95</v>
      </c>
      <c r="O72" t="str">
        <f>INDEX('رموز سريعة'!$A:$B,MATCH(I72,'رموز سريعة'!$A:$A,0),2)</f>
        <v>ELKA</v>
      </c>
      <c r="Q72" t="s">
        <v>296</v>
      </c>
      <c r="R72">
        <v>0.42</v>
      </c>
      <c r="S72" t="s">
        <v>507</v>
      </c>
      <c r="T72">
        <v>2.82</v>
      </c>
      <c r="U72">
        <v>49.97</v>
      </c>
      <c r="V72">
        <v>1.65</v>
      </c>
      <c r="W72" t="str">
        <f>INDEX('رموز سريعة'!$A:$B,MATCH(Q72,'رموز سريعة'!$A:$A,0),2)</f>
        <v>UNIT</v>
      </c>
    </row>
    <row r="73" spans="1:23">
      <c r="A73" t="s">
        <v>314</v>
      </c>
      <c r="B73">
        <v>0.24</v>
      </c>
      <c r="C73" t="s">
        <v>507</v>
      </c>
      <c r="D73">
        <v>2.97</v>
      </c>
      <c r="E73">
        <v>18.53</v>
      </c>
      <c r="F73">
        <v>6.85</v>
      </c>
      <c r="G73" t="s">
        <v>103</v>
      </c>
      <c r="I73" t="s">
        <v>539</v>
      </c>
      <c r="J73">
        <v>-6.2</v>
      </c>
      <c r="K73">
        <v>1.1499999999999999</v>
      </c>
      <c r="L73">
        <v>8.2899999999999991</v>
      </c>
      <c r="M73">
        <v>4.1500000000000004</v>
      </c>
      <c r="N73">
        <v>1.58</v>
      </c>
      <c r="O73" t="str">
        <f>INDEX('رموز سريعة'!$A:$B,MATCH(I73,'رموز سريعة'!$A:$A,0),2)</f>
        <v>CAED</v>
      </c>
      <c r="Q73" t="s">
        <v>585</v>
      </c>
      <c r="R73">
        <v>-0.01</v>
      </c>
      <c r="S73" t="s">
        <v>507</v>
      </c>
      <c r="T73">
        <v>7.0000000000000007E-2</v>
      </c>
      <c r="U73">
        <v>-65.48</v>
      </c>
      <c r="V73">
        <v>6.45</v>
      </c>
      <c r="W73" t="str">
        <f>INDEX('رموز سريعة'!$A:$B,MATCH(Q73,'رموز سريعة'!$A:$A,0),2)</f>
        <v>INEG</v>
      </c>
    </row>
    <row r="74" spans="1:23">
      <c r="A74" t="s">
        <v>387</v>
      </c>
      <c r="B74">
        <v>4.82</v>
      </c>
      <c r="C74" t="s">
        <v>507</v>
      </c>
      <c r="D74">
        <v>28.62</v>
      </c>
      <c r="E74">
        <v>10.06</v>
      </c>
      <c r="F74">
        <v>1.33</v>
      </c>
      <c r="G74" t="s">
        <v>60</v>
      </c>
      <c r="I74" t="s">
        <v>263</v>
      </c>
      <c r="J74">
        <v>3.03</v>
      </c>
      <c r="K74" t="s">
        <v>507</v>
      </c>
      <c r="L74">
        <v>5.72</v>
      </c>
      <c r="M74">
        <v>2.85</v>
      </c>
      <c r="N74">
        <v>0.99</v>
      </c>
      <c r="O74" t="str">
        <f>INDEX('رموز سريعة'!$A:$B,MATCH(I74,'رموز سريعة'!$A:$A,0),2)</f>
        <v>POUL</v>
      </c>
      <c r="Q74" t="s">
        <v>627</v>
      </c>
      <c r="R74">
        <v>0.1</v>
      </c>
      <c r="S74" t="s">
        <v>507</v>
      </c>
      <c r="T74">
        <v>0.33</v>
      </c>
      <c r="U74">
        <v>-30.36</v>
      </c>
      <c r="V74">
        <v>2.73</v>
      </c>
      <c r="W74" t="str">
        <f>INDEX('رموز سريعة'!$A:$B,MATCH(Q74,'رموز سريعة'!$A:$A,0),2)</f>
        <v>AREH</v>
      </c>
    </row>
    <row r="75" spans="1:23">
      <c r="A75" t="s">
        <v>532</v>
      </c>
      <c r="B75">
        <v>0</v>
      </c>
      <c r="C75" t="s">
        <v>507</v>
      </c>
      <c r="D75">
        <v>0.6</v>
      </c>
      <c r="E75">
        <v>-65.819999999999993</v>
      </c>
      <c r="F75">
        <v>7.58</v>
      </c>
      <c r="I75" t="s">
        <v>417</v>
      </c>
      <c r="J75">
        <v>5.77</v>
      </c>
      <c r="K75" t="s">
        <v>507</v>
      </c>
      <c r="L75">
        <v>-7.58</v>
      </c>
      <c r="M75">
        <v>-1.98</v>
      </c>
      <c r="N75">
        <v>-0.22</v>
      </c>
      <c r="O75" t="str">
        <f>INDEX('رموز سريعة'!$A:$B,MATCH(I75,'رموز سريعة'!$A:$A,0),2)</f>
        <v>CCAP</v>
      </c>
      <c r="Q75" t="s">
        <v>536</v>
      </c>
      <c r="R75">
        <v>0.13</v>
      </c>
      <c r="S75" t="s">
        <v>507</v>
      </c>
      <c r="T75">
        <v>12.39</v>
      </c>
      <c r="U75">
        <v>51.52</v>
      </c>
      <c r="V75">
        <v>4.79</v>
      </c>
      <c r="W75" t="str">
        <f>INDEX('رموز سريعة'!$A:$B,MATCH(Q75,'رموز سريعة'!$A:$A,0),2)</f>
        <v>AMES</v>
      </c>
    </row>
    <row r="76" spans="1:23">
      <c r="A76" t="s">
        <v>283</v>
      </c>
      <c r="B76">
        <v>8.76</v>
      </c>
      <c r="C76" t="s">
        <v>507</v>
      </c>
      <c r="D76">
        <v>18.02</v>
      </c>
      <c r="E76">
        <v>7.19</v>
      </c>
      <c r="F76">
        <v>3.27</v>
      </c>
      <c r="I76" t="s">
        <v>571</v>
      </c>
      <c r="J76">
        <v>0.49</v>
      </c>
      <c r="K76" t="s">
        <v>507</v>
      </c>
      <c r="L76">
        <v>0.72</v>
      </c>
      <c r="M76">
        <v>1.94</v>
      </c>
      <c r="N76">
        <v>1.29</v>
      </c>
      <c r="O76" t="str">
        <f>INDEX('رموز سريعة'!$A:$B,MATCH(I76,'رموز سريعة'!$A:$A,0),2)</f>
        <v>ELEC</v>
      </c>
      <c r="Q76" t="s">
        <v>563</v>
      </c>
      <c r="R76">
        <v>0</v>
      </c>
      <c r="S76" t="s">
        <v>507</v>
      </c>
      <c r="T76">
        <v>0.21</v>
      </c>
      <c r="U76">
        <v>82.67</v>
      </c>
      <c r="V76">
        <v>2.7</v>
      </c>
      <c r="W76" t="str">
        <f>INDEX('رموز سريعة'!$A:$B,MATCH(Q76,'رموز سريعة'!$A:$A,0),2)</f>
        <v>IEEC</v>
      </c>
    </row>
    <row r="77" spans="1:23">
      <c r="A77" t="s">
        <v>164</v>
      </c>
      <c r="B77">
        <v>0.59</v>
      </c>
      <c r="C77" t="s">
        <v>507</v>
      </c>
      <c r="D77">
        <v>3.93</v>
      </c>
      <c r="E77">
        <v>8.84</v>
      </c>
      <c r="F77">
        <v>1.54</v>
      </c>
      <c r="I77" t="s">
        <v>155</v>
      </c>
      <c r="J77">
        <v>-0.13</v>
      </c>
      <c r="K77" t="s">
        <v>507</v>
      </c>
      <c r="L77">
        <v>0.23</v>
      </c>
      <c r="M77">
        <v>-2.92</v>
      </c>
      <c r="N77">
        <v>1.87</v>
      </c>
      <c r="O77" t="str">
        <f>INDEX('رموز سريعة'!$A:$B,MATCH(I77,'رموز سريعة'!$A:$A,0),2)</f>
        <v>AMPI</v>
      </c>
      <c r="Q77" t="s">
        <v>213</v>
      </c>
      <c r="R77">
        <v>6.75</v>
      </c>
      <c r="S77" t="s">
        <v>507</v>
      </c>
      <c r="T77">
        <v>26.92</v>
      </c>
      <c r="U77">
        <v>2.9</v>
      </c>
      <c r="V77">
        <v>1.02</v>
      </c>
      <c r="W77" t="str">
        <f>INDEX('رموز سريعة'!$A:$B,MATCH(Q77,'رموز سريعة'!$A:$A,0),2)</f>
        <v>ETEL</v>
      </c>
    </row>
    <row r="78" spans="1:23">
      <c r="A78" t="s">
        <v>435</v>
      </c>
      <c r="B78">
        <v>-0.18</v>
      </c>
      <c r="C78" t="s">
        <v>507</v>
      </c>
      <c r="D78">
        <v>0.96</v>
      </c>
      <c r="E78">
        <v>2.2200000000000002</v>
      </c>
      <c r="F78">
        <v>0.52</v>
      </c>
      <c r="I78" t="s">
        <v>572</v>
      </c>
      <c r="J78">
        <v>4.4000000000000004</v>
      </c>
      <c r="K78" t="s">
        <v>507</v>
      </c>
      <c r="L78">
        <v>0</v>
      </c>
      <c r="M78">
        <v>4.3499999999999996</v>
      </c>
      <c r="N78">
        <v>1.75</v>
      </c>
      <c r="O78" t="str">
        <f>INDEX('رموز سريعة'!$A:$B,MATCH(I78,'رموز سريعة'!$A:$A,0),2)</f>
        <v>EFIC</v>
      </c>
      <c r="Q78" t="s">
        <v>610</v>
      </c>
      <c r="R78">
        <v>-0.18</v>
      </c>
      <c r="S78" t="s">
        <v>507</v>
      </c>
      <c r="T78">
        <v>0.43</v>
      </c>
      <c r="U78">
        <v>3.54</v>
      </c>
      <c r="V78">
        <v>5.05</v>
      </c>
      <c r="W78" t="str">
        <f>INDEX('رموز سريعة'!$A:$B,MATCH(Q78,'رموز سريعة'!$A:$A,0),2)</f>
        <v>EGTS</v>
      </c>
    </row>
    <row r="79" spans="1:23">
      <c r="A79" t="s">
        <v>262</v>
      </c>
      <c r="B79">
        <v>0.72</v>
      </c>
      <c r="C79" t="s">
        <v>507</v>
      </c>
      <c r="D79">
        <v>3.79</v>
      </c>
      <c r="E79">
        <v>5.5</v>
      </c>
      <c r="F79">
        <v>0.77</v>
      </c>
      <c r="G79" t="s">
        <v>43</v>
      </c>
      <c r="I79" t="s">
        <v>296</v>
      </c>
      <c r="J79">
        <v>0.7</v>
      </c>
      <c r="K79" t="s">
        <v>507</v>
      </c>
      <c r="L79">
        <v>3</v>
      </c>
      <c r="M79">
        <v>9.7100000000000009</v>
      </c>
      <c r="N79">
        <v>1.45</v>
      </c>
      <c r="O79" t="str">
        <f>INDEX('رموز سريعة'!$A:$B,MATCH(I79,'رموز سريعة'!$A:$A,0),2)</f>
        <v>UNIT</v>
      </c>
      <c r="Q79" t="s">
        <v>201</v>
      </c>
      <c r="R79">
        <v>0.02</v>
      </c>
      <c r="S79" t="s">
        <v>507</v>
      </c>
      <c r="T79">
        <v>1.08</v>
      </c>
      <c r="U79">
        <v>-122.22</v>
      </c>
      <c r="V79">
        <v>7.55</v>
      </c>
      <c r="W79" t="str">
        <f>INDEX('رموز سريعة'!$A:$B,MATCH(Q79,'رموز سريعة'!$A:$A,0),2)</f>
        <v>EIUD</v>
      </c>
    </row>
    <row r="80" spans="1:23">
      <c r="A80" t="s">
        <v>565</v>
      </c>
      <c r="B80">
        <v>1.1499999999999999</v>
      </c>
      <c r="C80" t="s">
        <v>507</v>
      </c>
      <c r="D80">
        <v>4.91</v>
      </c>
      <c r="E80">
        <v>239.36</v>
      </c>
      <c r="F80">
        <v>0.47</v>
      </c>
      <c r="G80" t="s">
        <v>35</v>
      </c>
      <c r="I80" t="s">
        <v>536</v>
      </c>
      <c r="J80">
        <v>1.62</v>
      </c>
      <c r="K80" t="s">
        <v>507</v>
      </c>
      <c r="L80">
        <v>12.79</v>
      </c>
      <c r="M80">
        <v>562.44000000000005</v>
      </c>
      <c r="N80">
        <v>5.93</v>
      </c>
      <c r="O80" t="str">
        <f>INDEX('رموز سريعة'!$A:$B,MATCH(I80,'رموز سريعة'!$A:$A,0),2)</f>
        <v>AMES</v>
      </c>
      <c r="Q80" t="s">
        <v>564</v>
      </c>
      <c r="R80">
        <v>0.13</v>
      </c>
      <c r="S80" t="s">
        <v>507</v>
      </c>
      <c r="T80">
        <v>1.04</v>
      </c>
      <c r="U80">
        <v>12.75</v>
      </c>
      <c r="V80">
        <v>0.66</v>
      </c>
      <c r="W80" t="str">
        <f>INDEX('رموز سريعة'!$A:$B,MATCH(Q80,'رموز سريعة'!$A:$A,0),2)</f>
        <v>ARAB</v>
      </c>
    </row>
    <row r="81" spans="1:23">
      <c r="A81" t="s">
        <v>266</v>
      </c>
      <c r="B81">
        <v>0.05</v>
      </c>
      <c r="C81" t="s">
        <v>507</v>
      </c>
      <c r="D81">
        <v>0.82</v>
      </c>
      <c r="E81">
        <v>4.4800000000000004</v>
      </c>
      <c r="F81">
        <v>0.96</v>
      </c>
      <c r="I81" t="s">
        <v>563</v>
      </c>
      <c r="J81">
        <v>0</v>
      </c>
      <c r="K81" t="s">
        <v>507</v>
      </c>
      <c r="L81">
        <v>0.21</v>
      </c>
      <c r="M81" s="5">
        <v>-1371.05</v>
      </c>
      <c r="N81">
        <v>2.52</v>
      </c>
      <c r="O81" t="str">
        <f>INDEX('رموز سريعة'!$A:$B,MATCH(I81,'رموز سريعة'!$A:$A,0),2)</f>
        <v>IEEC</v>
      </c>
      <c r="Q81" t="s">
        <v>531</v>
      </c>
      <c r="R81">
        <v>0.2</v>
      </c>
      <c r="S81" t="s">
        <v>507</v>
      </c>
      <c r="T81">
        <v>1.82</v>
      </c>
      <c r="U81">
        <v>21.92</v>
      </c>
      <c r="V81">
        <v>0.76</v>
      </c>
      <c r="W81" t="str">
        <f>INDEX('رموز سريعة'!$A:$B,MATCH(Q81,'رموز سريعة'!$A:$A,0),2)</f>
        <v>AMIA</v>
      </c>
    </row>
    <row r="82" spans="1:23">
      <c r="A82" t="s">
        <v>277</v>
      </c>
      <c r="B82">
        <v>3.38</v>
      </c>
      <c r="C82" t="s">
        <v>507</v>
      </c>
      <c r="D82">
        <v>13.39</v>
      </c>
      <c r="E82">
        <v>3.58</v>
      </c>
      <c r="F82">
        <v>0.92</v>
      </c>
      <c r="I82" t="s">
        <v>561</v>
      </c>
      <c r="J82">
        <v>0.03</v>
      </c>
      <c r="K82" t="s">
        <v>507</v>
      </c>
      <c r="L82">
        <v>7.0000000000000007E-2</v>
      </c>
      <c r="M82">
        <v>250.81</v>
      </c>
      <c r="N82">
        <v>20.37</v>
      </c>
      <c r="O82" t="str">
        <f>INDEX('رموز سريعة'!$A:$B,MATCH(I82,'رموز سريعة'!$A:$A,0),2)</f>
        <v>MKIT</v>
      </c>
      <c r="Q82" t="s">
        <v>248</v>
      </c>
      <c r="R82">
        <v>0</v>
      </c>
      <c r="S82" t="s">
        <v>507</v>
      </c>
      <c r="T82">
        <v>0.19</v>
      </c>
      <c r="U82">
        <v>4.49</v>
      </c>
      <c r="V82">
        <v>4.6100000000000003</v>
      </c>
      <c r="W82" t="str">
        <f>INDEX('رموز سريعة'!$A:$B,MATCH(Q82,'رموز سريعة'!$A:$A,0),2)</f>
        <v>MPCO</v>
      </c>
    </row>
    <row r="83" spans="1:23">
      <c r="A83" t="s">
        <v>380</v>
      </c>
      <c r="B83">
        <v>13.58</v>
      </c>
      <c r="C83" t="s">
        <v>507</v>
      </c>
      <c r="D83">
        <v>33.700000000000003</v>
      </c>
      <c r="E83">
        <v>2.65</v>
      </c>
      <c r="F83">
        <v>1.42</v>
      </c>
      <c r="I83" t="s">
        <v>213</v>
      </c>
      <c r="J83">
        <v>5.75</v>
      </c>
      <c r="K83" t="s">
        <v>507</v>
      </c>
      <c r="L83">
        <v>28.51</v>
      </c>
      <c r="M83">
        <v>4.43</v>
      </c>
      <c r="N83">
        <v>1.1100000000000001</v>
      </c>
      <c r="O83" t="str">
        <f>INDEX('رموز سريعة'!$A:$B,MATCH(I83,'رموز سريعة'!$A:$A,0),2)</f>
        <v>ETEL</v>
      </c>
      <c r="Q83" t="s">
        <v>261</v>
      </c>
      <c r="R83">
        <v>1.74</v>
      </c>
      <c r="S83" t="s">
        <v>507</v>
      </c>
      <c r="T83">
        <v>17.739999999999998</v>
      </c>
      <c r="U83">
        <v>6.01</v>
      </c>
      <c r="V83">
        <v>0.81</v>
      </c>
      <c r="W83" t="str">
        <f>INDEX('رموز سريعة'!$A:$B,MATCH(Q83,'رموز سريعة'!$A:$A,0),2)</f>
        <v>ORWE</v>
      </c>
    </row>
    <row r="84" spans="1:23">
      <c r="A84" t="s">
        <v>506</v>
      </c>
      <c r="B84">
        <v>1.46</v>
      </c>
      <c r="C84" t="s">
        <v>507</v>
      </c>
      <c r="D84">
        <v>12.07</v>
      </c>
      <c r="E84">
        <v>1.25</v>
      </c>
      <c r="F84">
        <v>0.08</v>
      </c>
      <c r="I84" t="s">
        <v>610</v>
      </c>
      <c r="J84">
        <v>0.28999999999999998</v>
      </c>
      <c r="K84" t="s">
        <v>507</v>
      </c>
      <c r="L84">
        <v>0.5</v>
      </c>
      <c r="M84">
        <v>-25.42</v>
      </c>
      <c r="N84">
        <v>10.64</v>
      </c>
      <c r="O84" t="str">
        <f>INDEX('رموز سريعة'!$A:$B,MATCH(I84,'رموز سريعة'!$A:$A,0),2)</f>
        <v>EGTS</v>
      </c>
      <c r="Q84" t="s">
        <v>519</v>
      </c>
      <c r="R84">
        <v>-0.3</v>
      </c>
      <c r="S84" t="s">
        <v>507</v>
      </c>
      <c r="T84">
        <v>3.83</v>
      </c>
      <c r="U84">
        <v>-38.729999999999997</v>
      </c>
      <c r="V84">
        <v>5.22</v>
      </c>
      <c r="W84" t="str">
        <f>INDEX('رموز سريعة'!$A:$B,MATCH(Q84,'رموز سريعة'!$A:$A,0),2)</f>
        <v>ELNA</v>
      </c>
    </row>
    <row r="85" spans="1:23">
      <c r="A85" t="s">
        <v>528</v>
      </c>
      <c r="B85">
        <v>11.95</v>
      </c>
      <c r="C85" t="s">
        <v>507</v>
      </c>
      <c r="D85">
        <v>122.1</v>
      </c>
      <c r="E85">
        <v>2.0699999999999998</v>
      </c>
      <c r="F85">
        <v>0.28000000000000003</v>
      </c>
      <c r="G85" t="s">
        <v>7</v>
      </c>
      <c r="I85" t="s">
        <v>611</v>
      </c>
      <c r="J85">
        <v>0.03</v>
      </c>
      <c r="K85" t="s">
        <v>507</v>
      </c>
      <c r="L85">
        <v>0.12</v>
      </c>
      <c r="M85">
        <v>40.11</v>
      </c>
      <c r="N85">
        <v>1.97</v>
      </c>
      <c r="O85" t="str">
        <f>INDEX('رموز سريعة'!$A:$B,MATCH(I85,'رموز سريعة'!$A:$A,0),2)</f>
        <v>MOED</v>
      </c>
      <c r="Q85" t="s">
        <v>583</v>
      </c>
      <c r="R85">
        <v>-0.34</v>
      </c>
      <c r="S85" t="s">
        <v>507</v>
      </c>
      <c r="T85">
        <v>1.94</v>
      </c>
      <c r="U85">
        <v>-111.98</v>
      </c>
      <c r="V85">
        <v>0.45</v>
      </c>
      <c r="W85" t="str">
        <f>INDEX('رموز سريعة'!$A:$B,MATCH(Q85,'رموز سريعة'!$A:$A,0),2)</f>
        <v>NCCW</v>
      </c>
    </row>
    <row r="86" spans="1:23">
      <c r="A86" t="s">
        <v>548</v>
      </c>
      <c r="B86">
        <v>6.88</v>
      </c>
      <c r="C86">
        <v>1</v>
      </c>
      <c r="D86">
        <v>30.92</v>
      </c>
      <c r="E86">
        <v>3.93</v>
      </c>
      <c r="F86">
        <v>0.97</v>
      </c>
      <c r="G86" t="s">
        <v>24</v>
      </c>
      <c r="I86" t="s">
        <v>201</v>
      </c>
      <c r="J86">
        <v>-0.12</v>
      </c>
      <c r="K86" t="s">
        <v>507</v>
      </c>
      <c r="L86">
        <v>1.07</v>
      </c>
      <c r="M86">
        <v>375.79</v>
      </c>
      <c r="N86">
        <v>7.14</v>
      </c>
      <c r="O86" t="str">
        <f>INDEX('رموز سريعة'!$A:$B,MATCH(I86,'رموز سريعة'!$A:$A,0),2)</f>
        <v>EIUD</v>
      </c>
      <c r="Q86" t="s">
        <v>251</v>
      </c>
      <c r="R86">
        <v>0</v>
      </c>
      <c r="S86" t="s">
        <v>507</v>
      </c>
      <c r="T86">
        <v>0.5</v>
      </c>
      <c r="U86">
        <v>52.4</v>
      </c>
      <c r="V86">
        <v>0.24</v>
      </c>
      <c r="W86" t="str">
        <f>INDEX('رموز سريعة'!$A:$B,MATCH(Q86,'رموز سريعة'!$A:$A,0),2)</f>
        <v>NAHO</v>
      </c>
    </row>
    <row r="87" spans="1:23">
      <c r="A87" t="s">
        <v>171</v>
      </c>
      <c r="B87">
        <v>8.14</v>
      </c>
      <c r="C87" t="s">
        <v>507</v>
      </c>
      <c r="D87">
        <v>16.989999999999998</v>
      </c>
      <c r="E87">
        <v>2.87</v>
      </c>
      <c r="F87">
        <v>0.71</v>
      </c>
      <c r="G87" t="s">
        <v>11</v>
      </c>
      <c r="I87" t="s">
        <v>200</v>
      </c>
      <c r="J87">
        <v>0.05</v>
      </c>
      <c r="K87" t="s">
        <v>507</v>
      </c>
      <c r="L87">
        <v>0.17</v>
      </c>
      <c r="M87">
        <v>11.13</v>
      </c>
      <c r="N87">
        <v>1.55</v>
      </c>
      <c r="O87" t="str">
        <f>INDEX('رموز سريعة'!$A:$B,MATCH(I87,'رموز سريعة'!$A:$A,0),2)</f>
        <v>EHDR</v>
      </c>
      <c r="Q87" t="s">
        <v>206</v>
      </c>
      <c r="R87">
        <v>0.16</v>
      </c>
      <c r="S87" t="s">
        <v>507</v>
      </c>
      <c r="T87">
        <v>1.54</v>
      </c>
      <c r="U87">
        <v>-25.34</v>
      </c>
      <c r="V87">
        <v>0.28000000000000003</v>
      </c>
      <c r="W87" t="str">
        <f>INDEX('رموز سريعة'!$A:$B,MATCH(Q87,'رموز سريعة'!$A:$A,0),2)</f>
        <v>ELWA</v>
      </c>
    </row>
    <row r="88" spans="1:23">
      <c r="A88" t="s">
        <v>522</v>
      </c>
      <c r="B88">
        <v>-0.01</v>
      </c>
      <c r="C88" t="s">
        <v>507</v>
      </c>
      <c r="D88">
        <v>0.21</v>
      </c>
      <c r="E88">
        <v>-30.63</v>
      </c>
      <c r="F88">
        <v>1.43</v>
      </c>
      <c r="G88" t="s">
        <v>126</v>
      </c>
      <c r="I88" t="s">
        <v>564</v>
      </c>
      <c r="J88">
        <v>0.11</v>
      </c>
      <c r="K88" t="s">
        <v>507</v>
      </c>
      <c r="L88">
        <v>0.98</v>
      </c>
      <c r="M88">
        <v>4.7699999999999996</v>
      </c>
      <c r="N88">
        <v>0.59</v>
      </c>
      <c r="O88" t="str">
        <f>INDEX('رموز سريعة'!$A:$B,MATCH(I88,'رموز سريعة'!$A:$A,0),2)</f>
        <v>ARAB</v>
      </c>
      <c r="Q88" t="s">
        <v>363</v>
      </c>
      <c r="R88">
        <v>0</v>
      </c>
      <c r="S88" t="s">
        <v>507</v>
      </c>
      <c r="T88">
        <v>24.36</v>
      </c>
      <c r="U88">
        <v>7.44</v>
      </c>
      <c r="V88">
        <v>1.02</v>
      </c>
      <c r="W88" t="str">
        <f>INDEX('رموز سريعة'!$A:$B,MATCH(Q88,'رموز سريعة'!$A:$A,0),2)</f>
        <v>NHPS</v>
      </c>
    </row>
    <row r="89" spans="1:23">
      <c r="A89" t="s">
        <v>312</v>
      </c>
      <c r="B89">
        <v>11.58</v>
      </c>
      <c r="C89" t="s">
        <v>507</v>
      </c>
      <c r="D89">
        <v>57.63</v>
      </c>
      <c r="E89">
        <v>3.17</v>
      </c>
      <c r="F89">
        <v>1.76</v>
      </c>
      <c r="I89" t="s">
        <v>531</v>
      </c>
      <c r="J89">
        <v>0.42</v>
      </c>
      <c r="K89" t="s">
        <v>507</v>
      </c>
      <c r="L89">
        <v>1.93</v>
      </c>
      <c r="M89">
        <v>7.9</v>
      </c>
      <c r="N89">
        <v>0.87</v>
      </c>
      <c r="O89" t="str">
        <f>INDEX('رموز سريعة'!$A:$B,MATCH(I89,'رموز سريعة'!$A:$A,0),2)</f>
        <v>AMIA</v>
      </c>
      <c r="Q89" t="s">
        <v>273</v>
      </c>
      <c r="R89">
        <v>-0.02</v>
      </c>
      <c r="S89" t="s">
        <v>507</v>
      </c>
      <c r="T89">
        <v>1.44</v>
      </c>
      <c r="U89">
        <v>6.24</v>
      </c>
      <c r="V89">
        <v>0.5</v>
      </c>
      <c r="W89" t="str">
        <f>INDEX('رموز سريعة'!$A:$B,MATCH(Q89,'رموز سريعة'!$A:$A,0),2)</f>
        <v>RREI</v>
      </c>
    </row>
    <row r="90" spans="1:23">
      <c r="A90" t="s">
        <v>546</v>
      </c>
      <c r="B90">
        <v>1.2</v>
      </c>
      <c r="C90" t="s">
        <v>507</v>
      </c>
      <c r="D90">
        <v>1.76</v>
      </c>
      <c r="E90" t="s">
        <v>507</v>
      </c>
      <c r="F90" t="s">
        <v>507</v>
      </c>
      <c r="G90" t="s">
        <v>292</v>
      </c>
      <c r="I90" t="s">
        <v>248</v>
      </c>
      <c r="J90">
        <v>0.11</v>
      </c>
      <c r="K90" t="s">
        <v>507</v>
      </c>
      <c r="L90">
        <v>0.21</v>
      </c>
      <c r="M90" s="5">
        <v>1056.58</v>
      </c>
      <c r="N90">
        <v>4.3099999999999996</v>
      </c>
      <c r="O90" t="str">
        <f>INDEX('رموز سريعة'!$A:$B,MATCH(I90,'رموز سريعة'!$A:$A,0),2)</f>
        <v>MPCO</v>
      </c>
      <c r="Q90" t="s">
        <v>628</v>
      </c>
      <c r="R90">
        <v>0.05</v>
      </c>
      <c r="S90" t="s">
        <v>507</v>
      </c>
      <c r="T90">
        <v>1.71</v>
      </c>
      <c r="U90">
        <v>47.46</v>
      </c>
      <c r="V90">
        <v>0.82</v>
      </c>
      <c r="W90" t="str">
        <f>INDEX('رموز سريعة'!$A:$B,MATCH(Q90,'رموز سريعة'!$A:$A,0),2)</f>
        <v>IBCT</v>
      </c>
    </row>
    <row r="91" spans="1:23">
      <c r="A91" t="s">
        <v>523</v>
      </c>
      <c r="B91">
        <v>0.1</v>
      </c>
      <c r="C91" t="s">
        <v>507</v>
      </c>
      <c r="D91">
        <v>1.48</v>
      </c>
      <c r="E91">
        <v>11.46</v>
      </c>
      <c r="F91">
        <v>1.56</v>
      </c>
      <c r="G91" t="s">
        <v>92</v>
      </c>
      <c r="I91" t="s">
        <v>529</v>
      </c>
      <c r="J91">
        <v>2.75</v>
      </c>
      <c r="K91" t="s">
        <v>507</v>
      </c>
      <c r="L91">
        <v>10.17</v>
      </c>
      <c r="M91">
        <v>7.85</v>
      </c>
      <c r="N91">
        <v>1.91</v>
      </c>
      <c r="O91" t="str">
        <f>INDEX('رموز سريعة'!$A:$B,MATCH(I91,'رموز سريعة'!$A:$A,0),2)</f>
        <v>MOIN</v>
      </c>
      <c r="Q91" t="s">
        <v>345</v>
      </c>
      <c r="R91">
        <v>3.75</v>
      </c>
      <c r="S91" t="s">
        <v>507</v>
      </c>
      <c r="T91">
        <v>41.21</v>
      </c>
      <c r="U91">
        <v>2.16</v>
      </c>
      <c r="V91">
        <v>1.02</v>
      </c>
      <c r="W91" t="str">
        <f>INDEX('رموز سريعة'!$A:$B,MATCH(Q91,'رموز سريعة'!$A:$A,0),2)</f>
        <v>ICLe</v>
      </c>
    </row>
    <row r="92" spans="1:23">
      <c r="A92" t="s">
        <v>557</v>
      </c>
      <c r="B92">
        <v>0.19</v>
      </c>
      <c r="C92" t="s">
        <v>507</v>
      </c>
      <c r="D92">
        <v>5.12</v>
      </c>
      <c r="E92">
        <v>12.26</v>
      </c>
      <c r="F92">
        <v>1.51</v>
      </c>
      <c r="I92" t="s">
        <v>261</v>
      </c>
      <c r="J92">
        <v>3.58</v>
      </c>
      <c r="K92" t="s">
        <v>507</v>
      </c>
      <c r="L92">
        <v>18.63</v>
      </c>
      <c r="M92">
        <v>8.7799999999999994</v>
      </c>
      <c r="N92">
        <v>0.86</v>
      </c>
      <c r="O92" t="str">
        <f>INDEX('رموز سريعة'!$A:$B,MATCH(I92,'رموز سريعة'!$A:$A,0),2)</f>
        <v>ORWE</v>
      </c>
      <c r="Q92" t="s">
        <v>260</v>
      </c>
      <c r="R92">
        <v>2.06</v>
      </c>
      <c r="S92" t="s">
        <v>507</v>
      </c>
      <c r="T92">
        <v>5.86</v>
      </c>
      <c r="U92">
        <v>10.54</v>
      </c>
      <c r="V92">
        <v>2.0299999999999998</v>
      </c>
      <c r="W92" t="str">
        <f>INDEX('رموز سريعة'!$A:$B,MATCH(Q92,'رموز سريعة'!$A:$A,0),2)</f>
        <v>ORHD</v>
      </c>
    </row>
    <row r="93" spans="1:23">
      <c r="A93" t="s">
        <v>440</v>
      </c>
      <c r="B93">
        <v>-0.01</v>
      </c>
      <c r="C93" t="s">
        <v>507</v>
      </c>
      <c r="D93">
        <v>1.5</v>
      </c>
      <c r="E93">
        <v>-97.09</v>
      </c>
      <c r="F93">
        <v>0.75</v>
      </c>
      <c r="I93" t="s">
        <v>519</v>
      </c>
      <c r="J93">
        <v>-0.3</v>
      </c>
      <c r="K93" t="s">
        <v>507</v>
      </c>
      <c r="L93">
        <v>3.75</v>
      </c>
      <c r="M93">
        <v>-67.59</v>
      </c>
      <c r="N93">
        <v>5.31</v>
      </c>
      <c r="O93" t="str">
        <f>INDEX('رموز سريعة'!$A:$B,MATCH(I93,'رموز سريعة'!$A:$A,0),2)</f>
        <v>ELNA</v>
      </c>
      <c r="Q93" t="s">
        <v>314</v>
      </c>
      <c r="R93">
        <v>0.94</v>
      </c>
      <c r="S93">
        <v>0.18</v>
      </c>
      <c r="T93">
        <v>2.5499999999999998</v>
      </c>
      <c r="U93">
        <v>27.97</v>
      </c>
      <c r="V93">
        <v>7.35</v>
      </c>
      <c r="W93" t="str">
        <f>INDEX('رموز سريعة'!$A:$B,MATCH(Q93,'رموز سريعة'!$A:$A,0),2)</f>
        <v>EFIH</v>
      </c>
    </row>
    <row r="94" spans="1:23">
      <c r="A94" t="s">
        <v>326</v>
      </c>
      <c r="B94">
        <v>2.2799999999999998</v>
      </c>
      <c r="C94" t="s">
        <v>507</v>
      </c>
      <c r="D94">
        <v>18.28</v>
      </c>
      <c r="E94">
        <v>4.28</v>
      </c>
      <c r="F94">
        <v>0.46</v>
      </c>
      <c r="G94" t="s">
        <v>44</v>
      </c>
      <c r="I94" t="s">
        <v>583</v>
      </c>
      <c r="J94">
        <v>-0.06</v>
      </c>
      <c r="K94" t="s">
        <v>507</v>
      </c>
      <c r="L94">
        <v>1.93</v>
      </c>
      <c r="M94">
        <v>-14.14</v>
      </c>
      <c r="N94">
        <v>2.4700000000000002</v>
      </c>
      <c r="O94" t="str">
        <f>INDEX('رموز سريعة'!$A:$B,MATCH(I94,'رموز سريعة'!$A:$A,0),2)</f>
        <v>NCCW</v>
      </c>
      <c r="Q94" t="s">
        <v>387</v>
      </c>
      <c r="R94">
        <v>8.6300000000000008</v>
      </c>
      <c r="S94" t="s">
        <v>507</v>
      </c>
      <c r="T94">
        <v>23.19</v>
      </c>
      <c r="U94">
        <v>3.55</v>
      </c>
      <c r="V94">
        <v>0.79</v>
      </c>
      <c r="W94" t="str">
        <f>INDEX('رموز سريعة'!$A:$B,MATCH(Q94,'رموز سريعة'!$A:$A,0),2)</f>
        <v>PHAR</v>
      </c>
    </row>
    <row r="95" spans="1:23">
      <c r="A95" t="s">
        <v>573</v>
      </c>
      <c r="B95">
        <v>6.36</v>
      </c>
      <c r="C95" t="s">
        <v>507</v>
      </c>
      <c r="D95">
        <v>27.73</v>
      </c>
      <c r="E95">
        <v>11.72</v>
      </c>
      <c r="F95">
        <v>1.62</v>
      </c>
      <c r="I95" t="s">
        <v>251</v>
      </c>
      <c r="J95">
        <v>-0.01</v>
      </c>
      <c r="K95" t="s">
        <v>507</v>
      </c>
      <c r="L95">
        <v>0.5</v>
      </c>
      <c r="M95">
        <v>110.53</v>
      </c>
      <c r="N95">
        <v>0.25</v>
      </c>
      <c r="O95" t="str">
        <f>INDEX('رموز سريعة'!$A:$B,MATCH(I95,'رموز سريعة'!$A:$A,0),2)</f>
        <v>NAHO</v>
      </c>
      <c r="Q95" t="s">
        <v>532</v>
      </c>
      <c r="R95">
        <v>-0.12</v>
      </c>
      <c r="S95" t="s">
        <v>507</v>
      </c>
      <c r="T95">
        <v>0.71</v>
      </c>
      <c r="U95">
        <v>77.41</v>
      </c>
      <c r="V95">
        <v>7.06</v>
      </c>
      <c r="W95" t="str">
        <f>INDEX('رموز سريعة'!$A:$B,MATCH(Q95,'رموز سريعة'!$A:$A,0),2)</f>
        <v>MISR</v>
      </c>
    </row>
    <row r="96" spans="1:23">
      <c r="A96" t="s">
        <v>566</v>
      </c>
      <c r="B96">
        <v>0.25</v>
      </c>
      <c r="C96" t="s">
        <v>507</v>
      </c>
      <c r="D96">
        <v>2.16</v>
      </c>
      <c r="E96">
        <v>67.569999999999993</v>
      </c>
      <c r="F96">
        <v>7.37</v>
      </c>
      <c r="G96" t="s">
        <v>56</v>
      </c>
      <c r="I96" t="s">
        <v>579</v>
      </c>
      <c r="J96">
        <v>21.27</v>
      </c>
      <c r="K96" t="s">
        <v>507</v>
      </c>
      <c r="L96">
        <v>52.58</v>
      </c>
      <c r="M96">
        <v>3.65</v>
      </c>
      <c r="N96">
        <v>0.91</v>
      </c>
      <c r="O96" t="str">
        <f>INDEX('رموز سريعة'!$A:$B,MATCH(I96,'رموز سريعة'!$A:$A,0),2)</f>
        <v>NIPH</v>
      </c>
      <c r="Q96" t="s">
        <v>283</v>
      </c>
      <c r="R96">
        <v>-0.22</v>
      </c>
      <c r="S96" t="s">
        <v>507</v>
      </c>
      <c r="T96">
        <v>12.05</v>
      </c>
      <c r="U96">
        <v>1.82</v>
      </c>
      <c r="V96">
        <v>2.42</v>
      </c>
      <c r="W96" t="str">
        <f>INDEX('رموز سريعة'!$A:$B,MATCH(Q96,'رموز سريعة'!$A:$A,0),2)</f>
        <v>SMFR</v>
      </c>
    </row>
    <row r="97" spans="1:23">
      <c r="A97" t="s">
        <v>559</v>
      </c>
      <c r="B97">
        <v>-47.41</v>
      </c>
      <c r="C97" t="s">
        <v>507</v>
      </c>
      <c r="D97">
        <v>-21.82</v>
      </c>
      <c r="E97">
        <v>-3.63</v>
      </c>
      <c r="F97">
        <v>-1.45</v>
      </c>
      <c r="G97" t="s">
        <v>138</v>
      </c>
      <c r="I97" t="s">
        <v>363</v>
      </c>
      <c r="J97">
        <v>0</v>
      </c>
      <c r="K97" t="s">
        <v>507</v>
      </c>
      <c r="L97">
        <v>25.32</v>
      </c>
      <c r="M97">
        <v>7.44</v>
      </c>
      <c r="N97">
        <v>1.17</v>
      </c>
      <c r="O97" t="str">
        <f>INDEX('رموز سريعة'!$A:$B,MATCH(I97,'رموز سريعة'!$A:$A,0),2)</f>
        <v>NHPS</v>
      </c>
      <c r="Q97" t="s">
        <v>193</v>
      </c>
      <c r="R97">
        <v>2.29</v>
      </c>
      <c r="S97" t="s">
        <v>507</v>
      </c>
      <c r="T97">
        <v>3.99</v>
      </c>
      <c r="U97">
        <v>8.3000000000000007</v>
      </c>
      <c r="V97">
        <v>5.14</v>
      </c>
      <c r="W97" t="str">
        <f>INDEX('رموز سريعة'!$A:$B,MATCH(Q97,'رموز سريعة'!$A:$A,0),2)</f>
        <v>EFID</v>
      </c>
    </row>
    <row r="98" spans="1:23">
      <c r="A98" t="s">
        <v>268</v>
      </c>
      <c r="B98">
        <v>0.09</v>
      </c>
      <c r="C98" t="s">
        <v>507</v>
      </c>
      <c r="D98">
        <v>0.97</v>
      </c>
      <c r="E98">
        <v>10.36</v>
      </c>
      <c r="F98">
        <v>3.22</v>
      </c>
      <c r="G98" t="s">
        <v>89</v>
      </c>
      <c r="I98" t="s">
        <v>273</v>
      </c>
      <c r="J98">
        <v>0.13</v>
      </c>
      <c r="K98" t="s">
        <v>507</v>
      </c>
      <c r="L98">
        <v>1.47</v>
      </c>
      <c r="M98">
        <v>-41.9</v>
      </c>
      <c r="N98">
        <v>0.5</v>
      </c>
      <c r="O98" t="str">
        <f>INDEX('رموز سريعة'!$A:$B,MATCH(I98,'رموز سريعة'!$A:$A,0),2)</f>
        <v>RREI</v>
      </c>
      <c r="Q98" t="s">
        <v>372</v>
      </c>
      <c r="R98">
        <v>0.02</v>
      </c>
      <c r="S98" t="s">
        <v>507</v>
      </c>
      <c r="T98">
        <v>1.01</v>
      </c>
      <c r="U98">
        <v>170.19</v>
      </c>
      <c r="V98">
        <v>1.49</v>
      </c>
      <c r="W98" t="str">
        <f>INDEX('رموز سريعة'!$A:$B,MATCH(Q98,'رموز سريعة'!$A:$A,0),2)</f>
        <v>ICMI</v>
      </c>
    </row>
    <row r="99" spans="1:23">
      <c r="A99" t="s">
        <v>453</v>
      </c>
      <c r="B99">
        <v>0.52</v>
      </c>
      <c r="C99" t="s">
        <v>507</v>
      </c>
      <c r="D99">
        <v>0.97</v>
      </c>
      <c r="E99" t="s">
        <v>507</v>
      </c>
      <c r="F99">
        <v>3.99</v>
      </c>
      <c r="G99" t="s">
        <v>109</v>
      </c>
      <c r="I99" t="s">
        <v>345</v>
      </c>
      <c r="J99">
        <v>4.29</v>
      </c>
      <c r="K99" t="s">
        <v>507</v>
      </c>
      <c r="L99">
        <v>42.29</v>
      </c>
      <c r="M99">
        <v>10.96</v>
      </c>
      <c r="N99">
        <v>1</v>
      </c>
      <c r="O99" t="str">
        <f>INDEX('رموز سريعة'!$A:$B,MATCH(I99,'رموز سريعة'!$A:$A,0),2)</f>
        <v>ICLe</v>
      </c>
      <c r="Q99" t="s">
        <v>209</v>
      </c>
      <c r="R99">
        <v>2.5</v>
      </c>
      <c r="S99" t="s">
        <v>507</v>
      </c>
      <c r="T99">
        <v>11.29</v>
      </c>
      <c r="U99">
        <v>16.3</v>
      </c>
      <c r="V99">
        <v>0.66</v>
      </c>
      <c r="W99" t="str">
        <f>INDEX('رموز سريعة'!$A:$B,MATCH(Q99,'رموز سريعة'!$A:$A,0),2)</f>
        <v>ENGC</v>
      </c>
    </row>
    <row r="100" spans="1:23">
      <c r="A100" t="s">
        <v>437</v>
      </c>
      <c r="B100">
        <v>-0.28999999999999998</v>
      </c>
      <c r="C100" t="s">
        <v>507</v>
      </c>
      <c r="D100">
        <v>2.48</v>
      </c>
      <c r="E100">
        <v>-26.16</v>
      </c>
      <c r="F100">
        <v>2.48</v>
      </c>
      <c r="G100" t="s">
        <v>127</v>
      </c>
      <c r="I100" t="s">
        <v>260</v>
      </c>
      <c r="J100">
        <v>3.29</v>
      </c>
      <c r="K100" t="s">
        <v>507</v>
      </c>
      <c r="L100">
        <v>6.78</v>
      </c>
      <c r="M100">
        <v>5.0999999999999996</v>
      </c>
      <c r="N100">
        <v>1.79</v>
      </c>
      <c r="O100" t="str">
        <f>INDEX('رموز سريعة'!$A:$B,MATCH(I100,'رموز سريعة'!$A:$A,0),2)</f>
        <v>ORHD</v>
      </c>
      <c r="Q100" t="s">
        <v>164</v>
      </c>
      <c r="R100">
        <v>0.56999999999999995</v>
      </c>
      <c r="S100" t="s">
        <v>507</v>
      </c>
      <c r="T100">
        <v>3.3</v>
      </c>
      <c r="U100">
        <v>4.6900000000000004</v>
      </c>
      <c r="V100">
        <v>1.23</v>
      </c>
      <c r="W100" t="str">
        <f>INDEX('رموز سريعة'!$A:$B,MATCH(Q100,'رموز سريعة'!$A:$A,0),2)</f>
        <v>ATLC</v>
      </c>
    </row>
    <row r="101" spans="1:23">
      <c r="A101" t="s">
        <v>269</v>
      </c>
      <c r="B101">
        <v>0.39</v>
      </c>
      <c r="C101" t="s">
        <v>507</v>
      </c>
      <c r="D101">
        <v>7.19</v>
      </c>
      <c r="E101">
        <v>6.22</v>
      </c>
      <c r="F101">
        <v>0.72</v>
      </c>
      <c r="I101" t="s">
        <v>314</v>
      </c>
      <c r="J101">
        <v>0.93</v>
      </c>
      <c r="K101" t="s">
        <v>507</v>
      </c>
      <c r="L101">
        <v>2.71</v>
      </c>
      <c r="M101">
        <v>19.63</v>
      </c>
      <c r="N101">
        <v>7.26</v>
      </c>
      <c r="O101" t="str">
        <f>INDEX('رموز سريعة'!$A:$B,MATCH(I101,'رموز سريعة'!$A:$A,0),2)</f>
        <v>EFIH</v>
      </c>
      <c r="Q101" t="s">
        <v>435</v>
      </c>
      <c r="R101">
        <v>0.17</v>
      </c>
      <c r="S101" t="s">
        <v>507</v>
      </c>
      <c r="T101">
        <v>0.95</v>
      </c>
      <c r="U101" t="s">
        <v>507</v>
      </c>
      <c r="V101" t="s">
        <v>507</v>
      </c>
      <c r="W101" t="str">
        <f>INDEX('رموز سريعة'!$A:$B,MATCH(Q101,'رموز سريعة'!$A:$A,0),2)</f>
        <v>ACAP</v>
      </c>
    </row>
    <row r="102" spans="1:23">
      <c r="A102" t="s">
        <v>173</v>
      </c>
      <c r="B102">
        <v>0.12</v>
      </c>
      <c r="C102" t="s">
        <v>507</v>
      </c>
      <c r="D102">
        <v>0.57999999999999996</v>
      </c>
      <c r="E102">
        <v>5.63</v>
      </c>
      <c r="F102">
        <v>1.5</v>
      </c>
      <c r="I102" t="s">
        <v>387</v>
      </c>
      <c r="J102">
        <v>3.63</v>
      </c>
      <c r="K102" t="s">
        <v>507</v>
      </c>
      <c r="L102">
        <v>27.42</v>
      </c>
      <c r="M102">
        <v>3.94</v>
      </c>
      <c r="N102">
        <v>1.47</v>
      </c>
      <c r="O102" t="str">
        <f>INDEX('رموز سريعة'!$A:$B,MATCH(I102,'رموز سريعة'!$A:$A,0),2)</f>
        <v>PHAR</v>
      </c>
      <c r="Q102" t="s">
        <v>262</v>
      </c>
      <c r="R102">
        <v>0.48</v>
      </c>
      <c r="S102" t="s">
        <v>507</v>
      </c>
      <c r="T102">
        <v>3.45</v>
      </c>
      <c r="U102">
        <v>6.3</v>
      </c>
      <c r="V102">
        <v>0.64</v>
      </c>
      <c r="W102" t="str">
        <f>INDEX('رموز سريعة'!$A:$B,MATCH(Q102,'رموز سريعة'!$A:$A,0),2)</f>
        <v>PHDC</v>
      </c>
    </row>
    <row r="103" spans="1:23">
      <c r="A103" t="s">
        <v>300</v>
      </c>
      <c r="B103">
        <v>0.8</v>
      </c>
      <c r="C103" t="s">
        <v>507</v>
      </c>
      <c r="D103">
        <v>3.15</v>
      </c>
      <c r="E103">
        <v>4.3899999999999997</v>
      </c>
      <c r="F103">
        <v>2.3199999999999998</v>
      </c>
      <c r="I103" t="s">
        <v>532</v>
      </c>
      <c r="J103">
        <v>-0.08</v>
      </c>
      <c r="K103" t="s">
        <v>507</v>
      </c>
      <c r="L103">
        <v>0.69</v>
      </c>
      <c r="M103">
        <v>-43.08</v>
      </c>
      <c r="N103">
        <v>7.36</v>
      </c>
      <c r="O103" t="str">
        <f>INDEX('رموز سريعة'!$A:$B,MATCH(I103,'رموز سريعة'!$A:$A,0),2)</f>
        <v>MISR</v>
      </c>
      <c r="Q103" t="s">
        <v>565</v>
      </c>
      <c r="R103">
        <v>0.16</v>
      </c>
      <c r="S103" t="s">
        <v>507</v>
      </c>
      <c r="T103">
        <v>4.79</v>
      </c>
      <c r="U103">
        <v>8.3000000000000007</v>
      </c>
      <c r="V103">
        <v>0.44</v>
      </c>
      <c r="W103" t="str">
        <f>INDEX('رموز سريعة'!$A:$B,MATCH(Q103,'رموز سريعة'!$A:$A,0),2)</f>
        <v>PRDC</v>
      </c>
    </row>
    <row r="104" spans="1:23">
      <c r="A104" t="s">
        <v>581</v>
      </c>
      <c r="B104">
        <v>0.6</v>
      </c>
      <c r="C104" t="s">
        <v>507</v>
      </c>
      <c r="D104">
        <v>2.31</v>
      </c>
      <c r="E104">
        <v>15.79</v>
      </c>
      <c r="F104">
        <v>2.2599999999999998</v>
      </c>
      <c r="I104" t="s">
        <v>283</v>
      </c>
      <c r="J104">
        <v>6.33</v>
      </c>
      <c r="K104" t="s">
        <v>507</v>
      </c>
      <c r="L104">
        <v>13.89</v>
      </c>
      <c r="M104">
        <v>-262.36</v>
      </c>
      <c r="N104">
        <v>4.68</v>
      </c>
      <c r="O104" t="str">
        <f>INDEX('رموز سريعة'!$A:$B,MATCH(I104,'رموز سريعة'!$A:$A,0),2)</f>
        <v>SMFR</v>
      </c>
      <c r="Q104" t="s">
        <v>266</v>
      </c>
      <c r="R104">
        <v>0.17</v>
      </c>
      <c r="S104" t="s">
        <v>507</v>
      </c>
      <c r="T104">
        <v>0.8</v>
      </c>
      <c r="U104">
        <v>319.76</v>
      </c>
      <c r="V104">
        <v>0.71</v>
      </c>
      <c r="W104" t="str">
        <f>INDEX('رموز سريعة'!$A:$B,MATCH(Q104,'رموز سريعة'!$A:$A,0),2)</f>
        <v>PRMH</v>
      </c>
    </row>
    <row r="105" spans="1:23">
      <c r="A105" t="s">
        <v>255</v>
      </c>
      <c r="B105">
        <v>9.27</v>
      </c>
      <c r="C105" t="s">
        <v>507</v>
      </c>
      <c r="D105">
        <v>24.21</v>
      </c>
      <c r="E105">
        <v>9.42</v>
      </c>
      <c r="F105">
        <v>1.03</v>
      </c>
      <c r="G105" t="s">
        <v>80</v>
      </c>
      <c r="I105" t="s">
        <v>193</v>
      </c>
      <c r="J105">
        <v>2.58</v>
      </c>
      <c r="K105" t="s">
        <v>507</v>
      </c>
      <c r="L105">
        <v>4.63</v>
      </c>
      <c r="M105">
        <v>8.84</v>
      </c>
      <c r="N105">
        <v>5.07</v>
      </c>
      <c r="O105" t="str">
        <f>INDEX('رموز سريعة'!$A:$B,MATCH(I105,'رموز سريعة'!$A:$A,0),2)</f>
        <v>EFID</v>
      </c>
      <c r="Q105" t="s">
        <v>421</v>
      </c>
      <c r="R105">
        <v>-7.0000000000000007E-2</v>
      </c>
      <c r="S105" t="s">
        <v>507</v>
      </c>
      <c r="T105">
        <v>0</v>
      </c>
      <c r="U105">
        <v>-9.4</v>
      </c>
      <c r="V105">
        <v>24.21</v>
      </c>
      <c r="W105" t="str">
        <f>INDEX('رموز سريعة'!$A:$B,MATCH(Q105,'رموز سريعة'!$A:$A,0),2)</f>
        <v>BTFH</v>
      </c>
    </row>
    <row r="106" spans="1:23">
      <c r="A106" t="s">
        <v>494</v>
      </c>
      <c r="B106">
        <v>0.05</v>
      </c>
      <c r="C106" t="s">
        <v>507</v>
      </c>
      <c r="D106">
        <v>0.13</v>
      </c>
      <c r="E106" t="s">
        <v>507</v>
      </c>
      <c r="F106" t="s">
        <v>507</v>
      </c>
      <c r="G106" t="s">
        <v>82</v>
      </c>
      <c r="I106" t="s">
        <v>612</v>
      </c>
      <c r="J106">
        <v>2.02</v>
      </c>
      <c r="K106" t="s">
        <v>507</v>
      </c>
      <c r="L106">
        <v>3.56</v>
      </c>
      <c r="M106">
        <v>7.61</v>
      </c>
      <c r="N106">
        <v>3.95</v>
      </c>
      <c r="O106" t="str">
        <f>INDEX('رموز سريعة'!$A:$B,MATCH(I106,'رموز سريعة'!$A:$A,0),2)</f>
        <v>EAST</v>
      </c>
      <c r="Q106" t="s">
        <v>277</v>
      </c>
      <c r="R106">
        <v>3.16</v>
      </c>
      <c r="S106" t="s">
        <v>507</v>
      </c>
      <c r="T106">
        <v>11.63</v>
      </c>
      <c r="U106">
        <v>3.41</v>
      </c>
      <c r="V106">
        <v>0.78</v>
      </c>
      <c r="W106" t="str">
        <f>INDEX('رموز سريعة'!$A:$B,MATCH(Q106,'رموز سريعة'!$A:$A,0),2)</f>
        <v>SAUD</v>
      </c>
    </row>
    <row r="107" spans="1:23">
      <c r="A107" t="s">
        <v>540</v>
      </c>
      <c r="B107">
        <v>0</v>
      </c>
      <c r="C107" t="s">
        <v>507</v>
      </c>
      <c r="D107">
        <v>8.27</v>
      </c>
      <c r="E107">
        <v>3.03</v>
      </c>
      <c r="F107">
        <v>3.89</v>
      </c>
      <c r="I107" t="s">
        <v>209</v>
      </c>
      <c r="J107">
        <v>3.37</v>
      </c>
      <c r="K107" t="s">
        <v>507</v>
      </c>
      <c r="L107">
        <v>10.32</v>
      </c>
      <c r="M107">
        <v>1.61</v>
      </c>
      <c r="N107">
        <v>0.69</v>
      </c>
      <c r="O107" t="str">
        <f>INDEX('رموز سريعة'!$A:$B,MATCH(I107,'رموز سريعة'!$A:$A,0),2)</f>
        <v>ENGC</v>
      </c>
      <c r="Q107" t="s">
        <v>380</v>
      </c>
      <c r="R107">
        <v>14.65</v>
      </c>
      <c r="S107" t="s">
        <v>507</v>
      </c>
      <c r="T107">
        <v>27.36</v>
      </c>
      <c r="U107">
        <v>2.0499999999999998</v>
      </c>
      <c r="V107">
        <v>0.85</v>
      </c>
      <c r="W107" t="str">
        <f>INDEX('رموز سريعة'!$A:$B,MATCH(Q107,'رموز سريعة'!$A:$A,0),2)</f>
        <v>HDBK</v>
      </c>
    </row>
    <row r="108" spans="1:23">
      <c r="A108" t="s">
        <v>518</v>
      </c>
      <c r="B108">
        <v>-2.1</v>
      </c>
      <c r="C108" t="s">
        <v>507</v>
      </c>
      <c r="D108">
        <v>-0.27</v>
      </c>
      <c r="E108">
        <v>-7.41</v>
      </c>
      <c r="F108">
        <v>46.3</v>
      </c>
      <c r="G108" t="s">
        <v>265</v>
      </c>
      <c r="I108" t="s">
        <v>164</v>
      </c>
      <c r="J108">
        <v>1.92</v>
      </c>
      <c r="K108" t="s">
        <v>507</v>
      </c>
      <c r="L108">
        <v>3.78</v>
      </c>
      <c r="M108">
        <v>6.75</v>
      </c>
      <c r="N108">
        <v>1.17</v>
      </c>
      <c r="O108" t="str">
        <f>INDEX('رموز سريعة'!$A:$B,MATCH(I108,'رموز سريعة'!$A:$A,0),2)</f>
        <v>ATLC</v>
      </c>
      <c r="Q108" t="s">
        <v>528</v>
      </c>
      <c r="R108">
        <v>13.87</v>
      </c>
      <c r="S108" t="s">
        <v>507</v>
      </c>
      <c r="T108">
        <v>118.8</v>
      </c>
      <c r="U108" t="s">
        <v>507</v>
      </c>
      <c r="V108" t="s">
        <v>507</v>
      </c>
      <c r="W108" t="str">
        <f>INDEX('رموز سريعة'!$A:$B,MATCH(Q108,'رموز سريعة'!$A:$A,0),2)</f>
        <v>FAIT</v>
      </c>
    </row>
    <row r="109" spans="1:23">
      <c r="A109" t="s">
        <v>293</v>
      </c>
      <c r="B109">
        <v>0.56999999999999995</v>
      </c>
      <c r="C109" t="s">
        <v>507</v>
      </c>
      <c r="D109">
        <v>1.86</v>
      </c>
      <c r="E109">
        <v>-44.46</v>
      </c>
      <c r="F109">
        <v>7.91</v>
      </c>
      <c r="G109" t="s">
        <v>98</v>
      </c>
      <c r="I109" t="s">
        <v>435</v>
      </c>
      <c r="J109">
        <v>0.24</v>
      </c>
      <c r="K109" t="s">
        <v>507</v>
      </c>
      <c r="L109">
        <v>1.03</v>
      </c>
      <c r="M109">
        <v>1.79</v>
      </c>
      <c r="N109">
        <v>0.32</v>
      </c>
      <c r="O109" t="str">
        <f>INDEX('رموز سريعة'!$A:$B,MATCH(I109,'رموز سريعة'!$A:$A,0),2)</f>
        <v>ACAP</v>
      </c>
      <c r="Q109" t="s">
        <v>548</v>
      </c>
      <c r="R109">
        <v>16.09</v>
      </c>
      <c r="S109" t="s">
        <v>507</v>
      </c>
      <c r="T109">
        <v>27.6</v>
      </c>
      <c r="U109">
        <v>3.59</v>
      </c>
      <c r="V109">
        <v>0.8</v>
      </c>
      <c r="W109" t="str">
        <f>INDEX('رموز سريعة'!$A:$B,MATCH(Q109,'رموز سريعة'!$A:$A,0),2)</f>
        <v>QNBE</v>
      </c>
    </row>
    <row r="110" spans="1:23">
      <c r="A110" t="s">
        <v>294</v>
      </c>
      <c r="B110">
        <v>1.22</v>
      </c>
      <c r="C110" t="s">
        <v>507</v>
      </c>
      <c r="D110">
        <v>18.579999999999998</v>
      </c>
      <c r="E110">
        <v>11.09</v>
      </c>
      <c r="F110">
        <v>1.3</v>
      </c>
      <c r="G110" t="s">
        <v>104</v>
      </c>
      <c r="I110" t="s">
        <v>262</v>
      </c>
      <c r="J110">
        <v>0.6</v>
      </c>
      <c r="K110" t="s">
        <v>507</v>
      </c>
      <c r="L110">
        <v>3.6</v>
      </c>
      <c r="M110">
        <v>4.45</v>
      </c>
      <c r="N110">
        <v>0.62</v>
      </c>
      <c r="O110" t="str">
        <f>INDEX('رموز سريعة'!$A:$B,MATCH(I110,'رموز سريعة'!$A:$A,0),2)</f>
        <v>PHDC</v>
      </c>
      <c r="Q110" t="s">
        <v>171</v>
      </c>
      <c r="R110">
        <v>4.1900000000000004</v>
      </c>
      <c r="S110" t="s">
        <v>507</v>
      </c>
      <c r="T110">
        <v>16.96</v>
      </c>
      <c r="U110">
        <v>3.55</v>
      </c>
      <c r="V110">
        <v>0.62</v>
      </c>
      <c r="W110" t="str">
        <f>INDEX('رموز سريعة'!$A:$B,MATCH(Q110,'رموز سريعة'!$A:$A,0),2)</f>
        <v>CANA</v>
      </c>
    </row>
    <row r="111" spans="1:23">
      <c r="A111" t="s">
        <v>153</v>
      </c>
      <c r="B111">
        <v>0.03</v>
      </c>
      <c r="C111" t="s">
        <v>507</v>
      </c>
      <c r="D111">
        <v>0.98</v>
      </c>
      <c r="E111">
        <v>7.66</v>
      </c>
      <c r="F111">
        <v>0.66</v>
      </c>
      <c r="G111" t="s">
        <v>93</v>
      </c>
      <c r="I111" t="s">
        <v>565</v>
      </c>
      <c r="J111">
        <v>0.01</v>
      </c>
      <c r="K111" t="s">
        <v>507</v>
      </c>
      <c r="L111">
        <v>4.7699999999999996</v>
      </c>
      <c r="M111">
        <v>11.81</v>
      </c>
      <c r="N111">
        <v>0.4</v>
      </c>
      <c r="O111" t="str">
        <f>INDEX('رموز سريعة'!$A:$B,MATCH(I111,'رموز سريعة'!$A:$A,0),2)</f>
        <v>PRDC</v>
      </c>
      <c r="Q111" t="s">
        <v>522</v>
      </c>
      <c r="R111">
        <v>-0.01</v>
      </c>
      <c r="S111" t="s">
        <v>507</v>
      </c>
      <c r="T111">
        <v>0.14000000000000001</v>
      </c>
      <c r="U111">
        <v>-6.67</v>
      </c>
      <c r="V111">
        <v>0.94</v>
      </c>
      <c r="W111" t="str">
        <f>INDEX('رموز سريعة'!$A:$B,MATCH(Q111,'رموز سريعة'!$A:$A,0),2)</f>
        <v>BIGP</v>
      </c>
    </row>
    <row r="112" spans="1:23">
      <c r="A112" t="s">
        <v>582</v>
      </c>
      <c r="B112">
        <v>1.63</v>
      </c>
      <c r="C112" t="s">
        <v>507</v>
      </c>
      <c r="D112">
        <v>2.8</v>
      </c>
      <c r="E112">
        <v>11.19</v>
      </c>
      <c r="F112">
        <v>4.46</v>
      </c>
      <c r="G112" t="s">
        <v>74</v>
      </c>
      <c r="I112" t="s">
        <v>266</v>
      </c>
      <c r="J112">
        <v>0.06</v>
      </c>
      <c r="K112" t="s">
        <v>507</v>
      </c>
      <c r="L112">
        <v>0.81</v>
      </c>
      <c r="M112">
        <v>3.74</v>
      </c>
      <c r="N112">
        <v>0.8</v>
      </c>
      <c r="O112" t="str">
        <f>INDEX('رموز سريعة'!$A:$B,MATCH(I112,'رموز سريعة'!$A:$A,0),2)</f>
        <v>PRMH</v>
      </c>
      <c r="Q112" t="s">
        <v>167</v>
      </c>
      <c r="R112">
        <v>1.34</v>
      </c>
      <c r="S112" t="s">
        <v>507</v>
      </c>
      <c r="T112">
        <v>16.72</v>
      </c>
      <c r="U112">
        <v>2.59</v>
      </c>
      <c r="V112">
        <v>1.23</v>
      </c>
      <c r="W112" t="str">
        <f>INDEX('رموز سريعة'!$A:$B,MATCH(Q112,'رموز سريعة'!$A:$A,0),2)</f>
        <v>BINV</v>
      </c>
    </row>
    <row r="113" spans="1:23">
      <c r="A113" t="s">
        <v>196</v>
      </c>
      <c r="B113">
        <v>1.33</v>
      </c>
      <c r="C113" t="s">
        <v>507</v>
      </c>
      <c r="D113">
        <v>42.59</v>
      </c>
      <c r="E113">
        <v>60.82</v>
      </c>
      <c r="F113">
        <v>0.95</v>
      </c>
      <c r="G113" t="s">
        <v>96</v>
      </c>
      <c r="I113" t="s">
        <v>421</v>
      </c>
      <c r="J113">
        <v>0.17</v>
      </c>
      <c r="K113" t="s">
        <v>507</v>
      </c>
      <c r="L113">
        <v>1.84</v>
      </c>
      <c r="M113">
        <v>-44.09</v>
      </c>
      <c r="N113" s="5">
        <v>-1711.86</v>
      </c>
      <c r="O113" t="str">
        <f>INDEX('رموز سريعة'!$A:$B,MATCH(I113,'رموز سريعة'!$A:$A,0),2)</f>
        <v>BTFH</v>
      </c>
      <c r="Q113" t="s">
        <v>312</v>
      </c>
      <c r="R113">
        <v>20.54</v>
      </c>
      <c r="S113" t="s">
        <v>507</v>
      </c>
      <c r="T113">
        <v>48.66</v>
      </c>
      <c r="U113">
        <v>-33.770000000000003</v>
      </c>
      <c r="V113">
        <v>1.48</v>
      </c>
      <c r="W113" t="str">
        <f>INDEX('رموز سريعة'!$A:$B,MATCH(Q113,'رموز سريعة'!$A:$A,0),2)</f>
        <v>PHTV</v>
      </c>
    </row>
    <row r="114" spans="1:23">
      <c r="A114" t="s">
        <v>578</v>
      </c>
      <c r="B114">
        <v>0.15</v>
      </c>
      <c r="C114" t="s">
        <v>507</v>
      </c>
      <c r="D114">
        <v>0.65</v>
      </c>
      <c r="E114">
        <v>20.21</v>
      </c>
      <c r="F114">
        <v>4.13</v>
      </c>
      <c r="G114" t="s">
        <v>111</v>
      </c>
      <c r="I114" t="s">
        <v>277</v>
      </c>
      <c r="J114">
        <v>3.22</v>
      </c>
      <c r="K114" t="s">
        <v>507</v>
      </c>
      <c r="L114">
        <v>12.47</v>
      </c>
      <c r="M114">
        <v>2.93</v>
      </c>
      <c r="N114">
        <v>0.79</v>
      </c>
      <c r="O114" t="str">
        <f>INDEX('رموز سريعة'!$A:$B,MATCH(I114,'رموز سريعة'!$A:$A,0),2)</f>
        <v>SAUD</v>
      </c>
      <c r="Q114" t="s">
        <v>546</v>
      </c>
      <c r="R114">
        <v>0.83</v>
      </c>
      <c r="S114" t="s">
        <v>507</v>
      </c>
      <c r="T114">
        <v>2.25</v>
      </c>
      <c r="U114" t="s">
        <v>507</v>
      </c>
      <c r="V114" t="s">
        <v>507</v>
      </c>
      <c r="W114" t="str">
        <f>INDEX('رموز سريعة'!$A:$B,MATCH(Q114,'رموز سريعة'!$A:$A,0),2)</f>
        <v>TALM</v>
      </c>
    </row>
    <row r="115" spans="1:23">
      <c r="A115" t="s">
        <v>227</v>
      </c>
      <c r="B115">
        <v>0</v>
      </c>
      <c r="C115" t="s">
        <v>507</v>
      </c>
      <c r="D115">
        <v>8.77</v>
      </c>
      <c r="E115">
        <v>9.36</v>
      </c>
      <c r="F115">
        <v>7.5</v>
      </c>
      <c r="I115" t="s">
        <v>380</v>
      </c>
      <c r="J115">
        <v>11</v>
      </c>
      <c r="K115" t="s">
        <v>507</v>
      </c>
      <c r="L115">
        <v>30.22</v>
      </c>
      <c r="M115">
        <v>1.73</v>
      </c>
      <c r="N115">
        <v>0.93</v>
      </c>
      <c r="O115" t="str">
        <f>INDEX('رموز سريعة'!$A:$B,MATCH(I115,'رموز سريعة'!$A:$A,0),2)</f>
        <v>HDBK</v>
      </c>
      <c r="Q115" t="s">
        <v>523</v>
      </c>
      <c r="R115">
        <v>0.14000000000000001</v>
      </c>
      <c r="S115" t="s">
        <v>507</v>
      </c>
      <c r="T115">
        <v>1.41</v>
      </c>
      <c r="U115">
        <v>2.96</v>
      </c>
      <c r="V115">
        <v>1.31</v>
      </c>
      <c r="W115" t="str">
        <f>INDEX('رموز سريعة'!$A:$B,MATCH(Q115,'رموز سريعة'!$A:$A,0),2)</f>
        <v>TANM</v>
      </c>
    </row>
    <row r="116" spans="1:23">
      <c r="A116" t="s">
        <v>216</v>
      </c>
      <c r="B116">
        <v>0</v>
      </c>
      <c r="C116" t="s">
        <v>507</v>
      </c>
      <c r="D116">
        <v>1</v>
      </c>
      <c r="E116">
        <v>22.39</v>
      </c>
      <c r="F116">
        <v>5.97</v>
      </c>
      <c r="G116" t="s">
        <v>101</v>
      </c>
      <c r="I116" t="s">
        <v>506</v>
      </c>
      <c r="J116">
        <v>4.84</v>
      </c>
      <c r="K116" t="s">
        <v>507</v>
      </c>
      <c r="L116">
        <v>23.84</v>
      </c>
      <c r="M116">
        <v>2.61</v>
      </c>
      <c r="N116">
        <v>0.16</v>
      </c>
      <c r="O116" t="str">
        <f>INDEX('رموز سريعة'!$A:$B,MATCH(I116,'رموز سريعة'!$A:$A,0),2)</f>
        <v>SAIB</v>
      </c>
      <c r="Q116" t="s">
        <v>613</v>
      </c>
      <c r="R116">
        <v>0</v>
      </c>
      <c r="S116" t="s">
        <v>507</v>
      </c>
      <c r="T116">
        <v>0.08</v>
      </c>
      <c r="U116">
        <v>193.3</v>
      </c>
      <c r="V116">
        <v>5.23</v>
      </c>
      <c r="W116" t="str">
        <f>INDEX('رموز سريعة'!$A:$B,MATCH(Q116,'رموز سريعة'!$A:$A,0),2)</f>
        <v>TRST</v>
      </c>
    </row>
    <row r="117" spans="1:23">
      <c r="A117" t="s">
        <v>580</v>
      </c>
      <c r="B117">
        <v>4.93</v>
      </c>
      <c r="C117" t="s">
        <v>507</v>
      </c>
      <c r="D117">
        <v>5.62</v>
      </c>
      <c r="E117">
        <v>2.4900000000000002</v>
      </c>
      <c r="F117">
        <v>1.44</v>
      </c>
      <c r="I117" t="s">
        <v>528</v>
      </c>
      <c r="J117">
        <v>15.68</v>
      </c>
      <c r="K117" t="s">
        <v>507</v>
      </c>
      <c r="L117">
        <v>118.01</v>
      </c>
      <c r="M117">
        <v>2.0099999999999998</v>
      </c>
      <c r="N117">
        <v>0.24</v>
      </c>
      <c r="O117" t="str">
        <f>INDEX('رموز سريعة'!$A:$B,MATCH(I117,'رموز سريعة'!$A:$A,0),2)</f>
        <v>FAIT</v>
      </c>
      <c r="Q117" t="s">
        <v>629</v>
      </c>
      <c r="R117">
        <v>0.99</v>
      </c>
      <c r="S117" t="s">
        <v>507</v>
      </c>
      <c r="T117">
        <v>1.95</v>
      </c>
      <c r="U117">
        <v>2.1</v>
      </c>
      <c r="V117">
        <v>0.64</v>
      </c>
      <c r="W117" t="str">
        <f>INDEX('رموز سريعة'!$A:$B,MATCH(Q117,'رموز سريعة'!$A:$A,0),2)</f>
        <v>GDWA</v>
      </c>
    </row>
    <row r="118" spans="1:23">
      <c r="A118" t="s">
        <v>545</v>
      </c>
      <c r="B118">
        <v>23.92</v>
      </c>
      <c r="C118" t="s">
        <v>507</v>
      </c>
      <c r="D118">
        <v>31.09</v>
      </c>
      <c r="E118">
        <v>8.57</v>
      </c>
      <c r="F118">
        <v>2.46</v>
      </c>
      <c r="I118" t="s">
        <v>548</v>
      </c>
      <c r="J118">
        <v>7.16</v>
      </c>
      <c r="K118" t="s">
        <v>507</v>
      </c>
      <c r="L118">
        <v>29.11</v>
      </c>
      <c r="M118">
        <v>1.37</v>
      </c>
      <c r="N118">
        <v>0.8</v>
      </c>
      <c r="O118" t="str">
        <f>INDEX('رموز سريعة'!$A:$B,MATCH(I118,'رموز سريعة'!$A:$A,0),2)</f>
        <v>QNBE</v>
      </c>
      <c r="Q118" t="s">
        <v>557</v>
      </c>
      <c r="R118">
        <v>0.64</v>
      </c>
      <c r="S118" t="s">
        <v>507</v>
      </c>
      <c r="T118">
        <v>5.19</v>
      </c>
      <c r="U118">
        <v>-12.84</v>
      </c>
      <c r="V118">
        <v>1.63</v>
      </c>
      <c r="W118" t="str">
        <f>INDEX('رموز سريعة'!$A:$B,MATCH(Q118,'رموز سريعة'!$A:$A,0),2)</f>
        <v>GRCA</v>
      </c>
    </row>
    <row r="119" spans="1:23">
      <c r="A119" t="s">
        <v>174</v>
      </c>
      <c r="B119">
        <v>4.33</v>
      </c>
      <c r="C119" t="s">
        <v>507</v>
      </c>
      <c r="D119">
        <v>11.6</v>
      </c>
      <c r="E119">
        <v>5.29</v>
      </c>
      <c r="F119">
        <v>2.09</v>
      </c>
      <c r="G119" t="s">
        <v>40</v>
      </c>
      <c r="I119" t="s">
        <v>171</v>
      </c>
      <c r="J119">
        <v>8.1</v>
      </c>
      <c r="K119" t="s">
        <v>507</v>
      </c>
      <c r="L119">
        <v>19.02</v>
      </c>
      <c r="M119">
        <v>3.05</v>
      </c>
      <c r="N119">
        <v>0.75</v>
      </c>
      <c r="O119" t="str">
        <f>INDEX('رموز سريعة'!$A:$B,MATCH(I119,'رموز سريعة'!$A:$A,0),2)</f>
        <v>CANA</v>
      </c>
      <c r="Q119" t="s">
        <v>169</v>
      </c>
      <c r="R119">
        <v>0.28000000000000003</v>
      </c>
      <c r="S119" t="s">
        <v>507</v>
      </c>
      <c r="T119">
        <v>23.04</v>
      </c>
      <c r="U119">
        <v>48.28</v>
      </c>
      <c r="V119">
        <v>1.36</v>
      </c>
      <c r="W119" t="str">
        <f>INDEX('رموز سريعة'!$A:$B,MATCH(Q119,'رموز سريعة'!$A:$A,0),2)</f>
        <v>BIOC</v>
      </c>
    </row>
    <row r="120" spans="1:23">
      <c r="A120" t="s">
        <v>568</v>
      </c>
      <c r="B120">
        <v>0.31</v>
      </c>
      <c r="C120" t="s">
        <v>507</v>
      </c>
      <c r="D120">
        <v>3.37</v>
      </c>
      <c r="E120">
        <v>10.6</v>
      </c>
      <c r="F120">
        <v>2.44</v>
      </c>
      <c r="G120" t="s">
        <v>51</v>
      </c>
      <c r="I120" t="s">
        <v>522</v>
      </c>
      <c r="J120">
        <v>0</v>
      </c>
      <c r="K120" t="s">
        <v>507</v>
      </c>
      <c r="L120">
        <v>0.12</v>
      </c>
      <c r="M120">
        <v>-19.690000000000001</v>
      </c>
      <c r="N120">
        <v>0.92</v>
      </c>
      <c r="O120" t="str">
        <f>INDEX('رموز سريعة'!$A:$B,MATCH(I120,'رموز سريعة'!$A:$A,0),2)</f>
        <v>BIGP</v>
      </c>
      <c r="Q120" t="s">
        <v>443</v>
      </c>
      <c r="R120">
        <v>-0.33</v>
      </c>
      <c r="S120" t="s">
        <v>507</v>
      </c>
      <c r="T120">
        <v>2.63</v>
      </c>
      <c r="U120">
        <v>-4.79</v>
      </c>
      <c r="V120">
        <v>0.54</v>
      </c>
      <c r="W120" t="str">
        <f>INDEX('رموز سريعة'!$A:$B,MATCH(Q120,'رموز سريعة'!$A:$A,0),2)</f>
        <v>SVCE</v>
      </c>
    </row>
    <row r="121" spans="1:23">
      <c r="A121" t="s">
        <v>556</v>
      </c>
      <c r="B121">
        <v>-0.05</v>
      </c>
      <c r="C121" t="s">
        <v>507</v>
      </c>
      <c r="D121">
        <v>0.15</v>
      </c>
      <c r="E121">
        <v>5.16</v>
      </c>
      <c r="F121">
        <v>2.25</v>
      </c>
      <c r="I121" t="s">
        <v>312</v>
      </c>
      <c r="J121">
        <v>30.32</v>
      </c>
      <c r="K121" t="s">
        <v>507</v>
      </c>
      <c r="L121">
        <v>54.45</v>
      </c>
      <c r="M121">
        <v>4.07</v>
      </c>
      <c r="N121">
        <v>1.72</v>
      </c>
      <c r="O121" t="str">
        <f>INDEX('رموز سريعة'!$A:$B,MATCH(I121,'رموز سريعة'!$A:$A,0),2)</f>
        <v>PHTV</v>
      </c>
      <c r="Q121" t="s">
        <v>230</v>
      </c>
      <c r="R121">
        <v>0.92</v>
      </c>
      <c r="S121" t="s">
        <v>507</v>
      </c>
      <c r="T121">
        <v>4.0199999999999996</v>
      </c>
      <c r="U121">
        <v>8.5299999999999994</v>
      </c>
      <c r="V121">
        <v>3.09</v>
      </c>
      <c r="W121" t="str">
        <f>INDEX('رموز سريعة'!$A:$B,MATCH(Q121,'رموز سريعة'!$A:$A,0),2)</f>
        <v>JUFO</v>
      </c>
    </row>
    <row r="122" spans="1:23">
      <c r="A122" t="s">
        <v>560</v>
      </c>
      <c r="B122">
        <v>0.85</v>
      </c>
      <c r="C122" t="s">
        <v>507</v>
      </c>
      <c r="D122">
        <v>2.5099999999999998</v>
      </c>
      <c r="E122">
        <v>6.6</v>
      </c>
      <c r="F122">
        <v>1.65</v>
      </c>
      <c r="G122" t="s">
        <v>15</v>
      </c>
      <c r="I122" t="s">
        <v>523</v>
      </c>
      <c r="J122">
        <v>0.2</v>
      </c>
      <c r="K122" t="s">
        <v>507</v>
      </c>
      <c r="L122">
        <v>1.46</v>
      </c>
      <c r="M122">
        <v>12.52</v>
      </c>
      <c r="N122">
        <v>1.26</v>
      </c>
      <c r="O122" t="str">
        <f>INDEX('رموز سريعة'!$A:$B,MATCH(I122,'رموز سريعة'!$A:$A,0),2)</f>
        <v>TANM</v>
      </c>
      <c r="Q122" t="s">
        <v>614</v>
      </c>
      <c r="R122">
        <v>0.02</v>
      </c>
      <c r="S122" t="s">
        <v>507</v>
      </c>
      <c r="T122">
        <v>1.31</v>
      </c>
      <c r="U122">
        <v>89.13</v>
      </c>
      <c r="V122">
        <v>1.07</v>
      </c>
      <c r="W122" t="str">
        <f>INDEX('رموز سريعة'!$A:$B,MATCH(Q122,'رموز سريعة'!$A:$A,0),2)</f>
        <v>GPPL</v>
      </c>
    </row>
    <row r="123" spans="1:23">
      <c r="A123" t="s">
        <v>446</v>
      </c>
      <c r="B123">
        <v>5.54</v>
      </c>
      <c r="C123" t="s">
        <v>507</v>
      </c>
      <c r="D123">
        <v>27.32</v>
      </c>
      <c r="E123">
        <v>4.6399999999999997</v>
      </c>
      <c r="F123">
        <v>0.7</v>
      </c>
      <c r="G123" t="s">
        <v>274</v>
      </c>
      <c r="I123" t="s">
        <v>613</v>
      </c>
      <c r="J123">
        <v>0.02</v>
      </c>
      <c r="K123" t="s">
        <v>507</v>
      </c>
      <c r="L123">
        <v>0.09</v>
      </c>
      <c r="M123">
        <v>-201.07</v>
      </c>
      <c r="N123">
        <v>8.89</v>
      </c>
      <c r="O123" t="str">
        <f>INDEX('رموز سريعة'!$A:$B,MATCH(I123,'رموز سريعة'!$A:$A,0),2)</f>
        <v>TRST</v>
      </c>
      <c r="Q123" t="s">
        <v>218</v>
      </c>
      <c r="R123">
        <v>4.82</v>
      </c>
      <c r="S123" t="s">
        <v>507</v>
      </c>
      <c r="T123">
        <v>60.55</v>
      </c>
      <c r="U123">
        <v>1.75</v>
      </c>
      <c r="V123">
        <v>3.74</v>
      </c>
      <c r="W123" t="str">
        <f>INDEX('رموز سريعة'!$A:$B,MATCH(Q123,'رموز سريعة'!$A:$A,0),2)</f>
        <v>GTWL</v>
      </c>
    </row>
    <row r="124" spans="1:23">
      <c r="A124" t="s">
        <v>534</v>
      </c>
      <c r="B124">
        <v>3.87</v>
      </c>
      <c r="C124" t="s">
        <v>507</v>
      </c>
      <c r="D124">
        <v>15.55</v>
      </c>
      <c r="E124">
        <v>33.58</v>
      </c>
      <c r="F124">
        <v>1.56</v>
      </c>
      <c r="G124" t="s">
        <v>50</v>
      </c>
      <c r="I124" t="s">
        <v>324</v>
      </c>
      <c r="J124">
        <v>0.77</v>
      </c>
      <c r="K124">
        <v>0.08</v>
      </c>
      <c r="L124">
        <v>1.1000000000000001</v>
      </c>
      <c r="M124">
        <v>26.56</v>
      </c>
      <c r="N124">
        <v>4.88</v>
      </c>
      <c r="O124" t="str">
        <f>INDEX('رموز سريعة'!$A:$B,MATCH(I124,'رموز سريعة'!$A:$A,0),2)</f>
        <v>EASB</v>
      </c>
      <c r="Q124" t="s">
        <v>440</v>
      </c>
      <c r="R124">
        <v>-0.01</v>
      </c>
      <c r="S124" t="s">
        <v>507</v>
      </c>
      <c r="T124">
        <v>1.51</v>
      </c>
      <c r="U124">
        <v>-243.66</v>
      </c>
      <c r="V124">
        <v>1.06</v>
      </c>
      <c r="W124" t="str">
        <f>INDEX('رموز سريعة'!$A:$B,MATCH(Q124,'رموز سريعة'!$A:$A,0),2)</f>
        <v>GMCI</v>
      </c>
    </row>
    <row r="125" spans="1:23">
      <c r="A125" t="s">
        <v>234</v>
      </c>
      <c r="B125">
        <v>0</v>
      </c>
      <c r="C125" t="s">
        <v>507</v>
      </c>
      <c r="D125">
        <v>0.8</v>
      </c>
      <c r="E125">
        <v>-7.55</v>
      </c>
      <c r="F125">
        <v>2.21</v>
      </c>
      <c r="G125" t="s">
        <v>125</v>
      </c>
      <c r="I125" t="s">
        <v>557</v>
      </c>
      <c r="J125">
        <v>-0.45</v>
      </c>
      <c r="K125" t="s">
        <v>507</v>
      </c>
      <c r="L125">
        <v>5.08</v>
      </c>
      <c r="M125">
        <v>12.82</v>
      </c>
      <c r="N125">
        <v>1.58</v>
      </c>
      <c r="O125" t="str">
        <f>INDEX('رموز سريعة'!$A:$B,MATCH(I125,'رموز سريعة'!$A:$A,0),2)</f>
        <v>GRCA</v>
      </c>
      <c r="Q125" t="s">
        <v>326</v>
      </c>
      <c r="R125">
        <v>1.84</v>
      </c>
      <c r="S125" t="s">
        <v>507</v>
      </c>
      <c r="T125">
        <v>17.12</v>
      </c>
      <c r="U125">
        <v>16.329999999999998</v>
      </c>
      <c r="V125">
        <v>0.39</v>
      </c>
      <c r="W125" t="str">
        <f>INDEX('رموز سريعة'!$A:$B,MATCH(Q125,'رموز سريعة'!$A:$A,0),2)</f>
        <v>GBCO</v>
      </c>
    </row>
    <row r="126" spans="1:23">
      <c r="A126" t="s">
        <v>359</v>
      </c>
      <c r="B126">
        <v>0.49</v>
      </c>
      <c r="C126" t="s">
        <v>507</v>
      </c>
      <c r="D126">
        <v>2.64</v>
      </c>
      <c r="E126">
        <v>12.88</v>
      </c>
      <c r="F126">
        <v>3.38</v>
      </c>
      <c r="I126" t="s">
        <v>169</v>
      </c>
      <c r="J126">
        <v>1.31</v>
      </c>
      <c r="K126" t="s">
        <v>507</v>
      </c>
      <c r="L126">
        <v>23.36</v>
      </c>
      <c r="M126">
        <v>111.03</v>
      </c>
      <c r="N126">
        <v>1.33</v>
      </c>
      <c r="O126" t="str">
        <f>INDEX('رموز سريعة'!$A:$B,MATCH(I126,'رموز سريعة'!$A:$A,0),2)</f>
        <v>BIOC</v>
      </c>
      <c r="Q126" t="s">
        <v>211</v>
      </c>
      <c r="R126">
        <v>7.49</v>
      </c>
      <c r="S126" t="s">
        <v>507</v>
      </c>
      <c r="T126">
        <v>-8.66</v>
      </c>
      <c r="U126">
        <v>8.57</v>
      </c>
      <c r="V126">
        <v>-4.82</v>
      </c>
      <c r="W126" t="str">
        <f>INDEX('رموز سريعة'!$A:$B,MATCH(Q126,'رموز سريعة'!$A:$A,0),2)</f>
        <v>ESRS</v>
      </c>
    </row>
    <row r="127" spans="1:23">
      <c r="A127" t="s">
        <v>458</v>
      </c>
      <c r="B127">
        <v>7.39</v>
      </c>
      <c r="C127" t="s">
        <v>507</v>
      </c>
      <c r="D127">
        <v>12.4</v>
      </c>
      <c r="E127">
        <v>6.43</v>
      </c>
      <c r="F127">
        <v>4.84</v>
      </c>
      <c r="I127" t="s">
        <v>230</v>
      </c>
      <c r="J127">
        <v>1.37</v>
      </c>
      <c r="K127" t="s">
        <v>507</v>
      </c>
      <c r="L127">
        <v>4.3600000000000003</v>
      </c>
      <c r="M127">
        <v>14.11</v>
      </c>
      <c r="N127">
        <v>3.23</v>
      </c>
      <c r="O127" t="str">
        <f>INDEX('رموز سريعة'!$A:$B,MATCH(I127,'رموز سريعة'!$A:$A,0),2)</f>
        <v>JUFO</v>
      </c>
      <c r="Q127" t="s">
        <v>184</v>
      </c>
      <c r="R127">
        <v>0.23</v>
      </c>
      <c r="S127" t="s">
        <v>507</v>
      </c>
      <c r="T127">
        <v>0.35</v>
      </c>
      <c r="U127">
        <v>14.02</v>
      </c>
      <c r="V127">
        <v>1.66</v>
      </c>
      <c r="W127" t="str">
        <f>INDEX('رموز سريعة'!$A:$B,MATCH(Q127,'رموز سريعة'!$A:$A,0),2)</f>
        <v>DSCW</v>
      </c>
    </row>
    <row r="128" spans="1:23">
      <c r="A128" t="s">
        <v>589</v>
      </c>
      <c r="B128">
        <v>7.9</v>
      </c>
      <c r="C128" t="s">
        <v>507</v>
      </c>
      <c r="D128">
        <v>15.24</v>
      </c>
      <c r="E128">
        <v>5.3</v>
      </c>
      <c r="F128">
        <v>2.99</v>
      </c>
      <c r="G128" t="s">
        <v>36</v>
      </c>
      <c r="I128" t="s">
        <v>614</v>
      </c>
      <c r="J128">
        <v>0.04</v>
      </c>
      <c r="K128" t="s">
        <v>507</v>
      </c>
      <c r="L128">
        <v>1.32</v>
      </c>
      <c r="M128">
        <v>37.86</v>
      </c>
      <c r="N128">
        <v>1.1000000000000001</v>
      </c>
      <c r="O128" t="str">
        <f>INDEX('رموز سريعة'!$A:$B,MATCH(I128,'رموز سريعة'!$A:$A,0),2)</f>
        <v>GPPL</v>
      </c>
      <c r="Q128" t="s">
        <v>630</v>
      </c>
      <c r="R128">
        <v>4.83</v>
      </c>
      <c r="S128" t="s">
        <v>507</v>
      </c>
      <c r="T128">
        <v>13.42</v>
      </c>
      <c r="U128">
        <v>10.33</v>
      </c>
      <c r="V128">
        <v>1.1299999999999999</v>
      </c>
      <c r="W128" t="str">
        <f>INDEX('رموز سريعة'!$A:$B,MATCH(Q128,'رموز سريعة'!$A:$A,0),2)</f>
        <v>DCRC</v>
      </c>
    </row>
    <row r="129" spans="1:23">
      <c r="A129" t="s">
        <v>402</v>
      </c>
      <c r="B129">
        <v>3.36</v>
      </c>
      <c r="C129" t="s">
        <v>507</v>
      </c>
      <c r="D129">
        <v>15.57</v>
      </c>
      <c r="E129">
        <v>-17.829999999999998</v>
      </c>
      <c r="F129">
        <v>1.08</v>
      </c>
      <c r="G129" t="s">
        <v>90</v>
      </c>
      <c r="I129" t="s">
        <v>218</v>
      </c>
      <c r="J129">
        <v>-2.4700000000000002</v>
      </c>
      <c r="K129" t="s">
        <v>507</v>
      </c>
      <c r="L129">
        <v>61.54</v>
      </c>
      <c r="M129">
        <v>3.22</v>
      </c>
      <c r="N129">
        <v>0.26</v>
      </c>
      <c r="O129" t="str">
        <f>INDEX('رموز سريعة'!$A:$B,MATCH(I129,'رموز سريعة'!$A:$A,0),2)</f>
        <v>GTWL</v>
      </c>
      <c r="Q129" t="s">
        <v>573</v>
      </c>
      <c r="R129">
        <v>1.18</v>
      </c>
      <c r="S129" t="s">
        <v>507</v>
      </c>
      <c r="T129">
        <v>25.23</v>
      </c>
      <c r="U129">
        <v>2.81</v>
      </c>
      <c r="V129">
        <v>0.81</v>
      </c>
      <c r="W129" t="str">
        <f>INDEX('رموز سريعة'!$A:$B,MATCH(Q129,'رموز سريعة'!$A:$A,0),2)</f>
        <v>DTPP</v>
      </c>
    </row>
    <row r="130" spans="1:23">
      <c r="A130" t="s">
        <v>530</v>
      </c>
      <c r="B130">
        <v>2.78</v>
      </c>
      <c r="C130" t="s">
        <v>507</v>
      </c>
      <c r="D130">
        <v>3.86</v>
      </c>
      <c r="E130">
        <v>6.28</v>
      </c>
      <c r="F130">
        <v>10.130000000000001</v>
      </c>
      <c r="I130" t="s">
        <v>440</v>
      </c>
      <c r="J130">
        <v>-0.02</v>
      </c>
      <c r="K130" t="s">
        <v>507</v>
      </c>
      <c r="L130">
        <v>1.5</v>
      </c>
      <c r="M130">
        <v>-129.88</v>
      </c>
      <c r="N130">
        <v>1.01</v>
      </c>
      <c r="O130" t="str">
        <f>INDEX('رموز سريعة'!$A:$B,MATCH(I130,'رموز سريعة'!$A:$A,0),2)</f>
        <v>GMCI</v>
      </c>
      <c r="Q130" t="s">
        <v>183</v>
      </c>
      <c r="R130">
        <v>1.43</v>
      </c>
      <c r="S130" t="s">
        <v>507</v>
      </c>
      <c r="T130">
        <v>4.21</v>
      </c>
      <c r="U130">
        <v>3.58</v>
      </c>
      <c r="V130">
        <v>1.7</v>
      </c>
      <c r="W130" t="str">
        <f>INDEX('رموز سريعة'!$A:$B,MATCH(Q130,'رموز سريعة'!$A:$A,0),2)</f>
        <v>DOMT</v>
      </c>
    </row>
    <row r="131" spans="1:23">
      <c r="A131" t="s">
        <v>554</v>
      </c>
      <c r="B131">
        <v>17.53</v>
      </c>
      <c r="C131" t="s">
        <v>507</v>
      </c>
      <c r="D131">
        <v>23.46</v>
      </c>
      <c r="E131">
        <v>4.0999999999999996</v>
      </c>
      <c r="F131">
        <v>2.44</v>
      </c>
      <c r="G131" t="s">
        <v>195</v>
      </c>
      <c r="I131" t="s">
        <v>326</v>
      </c>
      <c r="J131">
        <v>2.44</v>
      </c>
      <c r="K131" t="s">
        <v>507</v>
      </c>
      <c r="L131">
        <v>17.71</v>
      </c>
      <c r="M131">
        <v>3</v>
      </c>
      <c r="N131">
        <v>0.32</v>
      </c>
      <c r="O131" t="str">
        <f>INDEX('رموز سريعة'!$A:$B,MATCH(I131,'رموز سريعة'!$A:$A,0),2)</f>
        <v>GBCO</v>
      </c>
      <c r="Q131" t="s">
        <v>388</v>
      </c>
      <c r="R131">
        <v>0.2</v>
      </c>
      <c r="S131" t="s">
        <v>507</v>
      </c>
      <c r="T131">
        <v>1.61</v>
      </c>
      <c r="U131">
        <v>9.02</v>
      </c>
      <c r="V131">
        <v>1.51</v>
      </c>
      <c r="W131" t="str">
        <f>INDEX('رموز سريعة'!$A:$B,MATCH(Q131,'رموز سريعة'!$A:$A,0),2)</f>
        <v>RMDA</v>
      </c>
    </row>
    <row r="132" spans="1:23">
      <c r="A132" t="s">
        <v>577</v>
      </c>
      <c r="B132">
        <v>21.73</v>
      </c>
      <c r="C132" t="s">
        <v>507</v>
      </c>
      <c r="D132">
        <v>18.79</v>
      </c>
      <c r="E132">
        <v>26.48</v>
      </c>
      <c r="F132">
        <v>3.25</v>
      </c>
      <c r="G132" t="s">
        <v>75</v>
      </c>
      <c r="I132" t="s">
        <v>211</v>
      </c>
      <c r="J132">
        <v>-3.75</v>
      </c>
      <c r="K132" t="s">
        <v>507</v>
      </c>
      <c r="L132">
        <v>-9.6</v>
      </c>
      <c r="M132">
        <v>-4.38</v>
      </c>
      <c r="N132">
        <v>-5.08</v>
      </c>
      <c r="O132" t="str">
        <f>INDEX('رموز سريعة'!$A:$B,MATCH(I132,'رموز سريعة'!$A:$A,0),2)</f>
        <v>ESRS</v>
      </c>
      <c r="Q132" t="s">
        <v>268</v>
      </c>
      <c r="R132">
        <v>0.27</v>
      </c>
      <c r="S132" t="s">
        <v>507</v>
      </c>
      <c r="T132">
        <v>0.87</v>
      </c>
      <c r="U132">
        <v>8.85</v>
      </c>
      <c r="V132">
        <v>2.98</v>
      </c>
      <c r="W132" t="str">
        <f>INDEX('رموز سريعة'!$A:$B,MATCH(Q132,'رموز سريعة'!$A:$A,0),2)</f>
        <v>RAYA</v>
      </c>
    </row>
    <row r="133" spans="1:23">
      <c r="A133" t="s">
        <v>515</v>
      </c>
      <c r="B133">
        <v>8.9499999999999993</v>
      </c>
      <c r="C133" t="s">
        <v>507</v>
      </c>
      <c r="D133">
        <v>28.69</v>
      </c>
      <c r="E133">
        <v>3.6</v>
      </c>
      <c r="F133">
        <v>1.52</v>
      </c>
      <c r="G133" t="s">
        <v>33</v>
      </c>
      <c r="I133" t="s">
        <v>184</v>
      </c>
      <c r="J133">
        <v>0.35</v>
      </c>
      <c r="K133" t="s">
        <v>507</v>
      </c>
      <c r="L133">
        <v>0.44</v>
      </c>
      <c r="M133">
        <v>2.54</v>
      </c>
      <c r="N133">
        <v>1.68</v>
      </c>
      <c r="O133" t="str">
        <f>INDEX('رموز سريعة'!$A:$B,MATCH(I133,'رموز سريعة'!$A:$A,0),2)</f>
        <v>DSCW</v>
      </c>
      <c r="Q133" t="s">
        <v>615</v>
      </c>
      <c r="R133">
        <v>0.7</v>
      </c>
      <c r="S133" t="s">
        <v>507</v>
      </c>
      <c r="T133">
        <v>2.23</v>
      </c>
      <c r="U133">
        <v>2.94</v>
      </c>
      <c r="V133">
        <v>1.23</v>
      </c>
      <c r="W133" t="str">
        <f>INDEX('رموز سريعة'!$A:$B,MATCH(Q133,'رموز سريعة'!$A:$A,0),2)</f>
        <v>RACC</v>
      </c>
    </row>
    <row r="134" spans="1:23">
      <c r="A134" t="s">
        <v>543</v>
      </c>
      <c r="B134">
        <v>7.88</v>
      </c>
      <c r="C134" t="s">
        <v>507</v>
      </c>
      <c r="D134">
        <v>0.37</v>
      </c>
      <c r="E134">
        <v>4.07</v>
      </c>
      <c r="F134">
        <v>-22.61</v>
      </c>
      <c r="I134" t="s">
        <v>573</v>
      </c>
      <c r="J134">
        <v>3.62</v>
      </c>
      <c r="K134" t="s">
        <v>507</v>
      </c>
      <c r="L134">
        <v>26.14</v>
      </c>
      <c r="M134">
        <v>20.34</v>
      </c>
      <c r="N134">
        <v>0.95</v>
      </c>
      <c r="O134" t="str">
        <f>INDEX('رموز سريعة'!$A:$B,MATCH(I134,'رموز سريعة'!$A:$A,0),2)</f>
        <v>DTPP</v>
      </c>
      <c r="Q134" t="s">
        <v>453</v>
      </c>
      <c r="R134">
        <v>0</v>
      </c>
      <c r="S134" t="s">
        <v>507</v>
      </c>
      <c r="T134">
        <v>0.85</v>
      </c>
      <c r="U134">
        <v>-48.14</v>
      </c>
      <c r="V134">
        <v>4.0999999999999996</v>
      </c>
      <c r="W134" t="str">
        <f>INDEX('رموز سريعة'!$A:$B,MATCH(Q134,'رموز سريعة'!$A:$A,0),2)</f>
        <v>RKAZ</v>
      </c>
    </row>
    <row r="135" spans="1:23">
      <c r="A135" t="s">
        <v>514</v>
      </c>
      <c r="B135">
        <v>20.43</v>
      </c>
      <c r="C135" t="s">
        <v>507</v>
      </c>
      <c r="D135">
        <v>63.03</v>
      </c>
      <c r="E135">
        <v>3.99</v>
      </c>
      <c r="F135">
        <v>2.23</v>
      </c>
      <c r="I135" t="s">
        <v>566</v>
      </c>
      <c r="J135">
        <v>1.65</v>
      </c>
      <c r="K135" t="s">
        <v>507</v>
      </c>
      <c r="L135">
        <v>2.1</v>
      </c>
      <c r="M135" t="s">
        <v>507</v>
      </c>
      <c r="N135" t="s">
        <v>507</v>
      </c>
      <c r="O135" t="str">
        <f>INDEX('رموز سريعة'!$A:$B,MATCH(I135,'رموز سريعة'!$A:$A,0),2)</f>
        <v>DGTZ</v>
      </c>
      <c r="Q135" t="s">
        <v>275</v>
      </c>
      <c r="R135">
        <v>-2.0299999999999998</v>
      </c>
      <c r="S135" t="s">
        <v>507</v>
      </c>
      <c r="T135">
        <v>14</v>
      </c>
      <c r="U135">
        <v>1.65</v>
      </c>
      <c r="V135">
        <v>0.14000000000000001</v>
      </c>
      <c r="W135" t="str">
        <f>INDEX('رموز سريعة'!$A:$B,MATCH(Q135,'رموز سريعة'!$A:$A,0),2)</f>
        <v>RTVC</v>
      </c>
    </row>
    <row r="136" spans="1:23">
      <c r="A136" t="s">
        <v>510</v>
      </c>
      <c r="B136">
        <v>7.6</v>
      </c>
      <c r="C136" t="s">
        <v>507</v>
      </c>
      <c r="D136">
        <v>20.97</v>
      </c>
      <c r="E136">
        <v>14.13</v>
      </c>
      <c r="F136">
        <v>1.78</v>
      </c>
      <c r="I136" t="s">
        <v>559</v>
      </c>
      <c r="J136">
        <v>-3.95</v>
      </c>
      <c r="K136" t="s">
        <v>507</v>
      </c>
      <c r="L136">
        <v>-9.91</v>
      </c>
      <c r="M136">
        <v>-7.26</v>
      </c>
      <c r="N136">
        <v>-1.4</v>
      </c>
      <c r="O136" t="str">
        <f>INDEX('رموز سريعة'!$A:$B,MATCH(I136,'رموز سريعة'!$A:$A,0),2)</f>
        <v>RAKT</v>
      </c>
      <c r="Q136" t="s">
        <v>437</v>
      </c>
      <c r="R136">
        <v>0.33</v>
      </c>
      <c r="S136" t="s">
        <v>507</v>
      </c>
      <c r="T136">
        <v>2.61</v>
      </c>
      <c r="U136">
        <v>-8.81</v>
      </c>
      <c r="V136">
        <v>1.26</v>
      </c>
      <c r="W136" t="str">
        <f>INDEX('رموز سريعة'!$A:$B,MATCH(Q136,'رموز سريعة'!$A:$A,0),2)</f>
        <v>RUBX</v>
      </c>
    </row>
    <row r="137" spans="1:23">
      <c r="A137" t="s">
        <v>535</v>
      </c>
      <c r="B137">
        <v>32.24</v>
      </c>
      <c r="C137" t="s">
        <v>507</v>
      </c>
      <c r="D137">
        <v>80.650000000000006</v>
      </c>
      <c r="E137">
        <v>5.12</v>
      </c>
      <c r="F137">
        <v>1.52</v>
      </c>
      <c r="I137" t="s">
        <v>388</v>
      </c>
      <c r="J137">
        <v>0.2</v>
      </c>
      <c r="K137" t="s">
        <v>507</v>
      </c>
      <c r="L137">
        <v>1.1200000000000001</v>
      </c>
      <c r="M137">
        <v>7.34</v>
      </c>
      <c r="N137">
        <v>0.89</v>
      </c>
      <c r="O137" t="str">
        <f>INDEX('رموز سريعة'!$A:$B,MATCH(I137,'رموز سريعة'!$A:$A,0),2)</f>
        <v>RMDA</v>
      </c>
      <c r="Q137" t="s">
        <v>269</v>
      </c>
      <c r="R137">
        <v>0.8</v>
      </c>
      <c r="S137" t="s">
        <v>507</v>
      </c>
      <c r="T137">
        <v>6.99</v>
      </c>
      <c r="U137">
        <v>-4.97</v>
      </c>
      <c r="V137">
        <v>0.46</v>
      </c>
      <c r="W137" t="str">
        <f>INDEX('رموز سريعة'!$A:$B,MATCH(Q137,'رموز سريعة'!$A:$A,0),2)</f>
        <v>REAC</v>
      </c>
    </row>
    <row r="138" spans="1:23">
      <c r="A138" t="s">
        <v>552</v>
      </c>
      <c r="B138">
        <v>7.63</v>
      </c>
      <c r="C138" t="s">
        <v>507</v>
      </c>
      <c r="D138">
        <v>28.17</v>
      </c>
      <c r="E138">
        <v>5.7</v>
      </c>
      <c r="F138">
        <v>1.3</v>
      </c>
      <c r="I138" t="s">
        <v>268</v>
      </c>
      <c r="J138">
        <v>0.2</v>
      </c>
      <c r="K138" t="s">
        <v>507</v>
      </c>
      <c r="L138">
        <v>0.94</v>
      </c>
      <c r="M138">
        <v>8.36</v>
      </c>
      <c r="N138">
        <v>2.59</v>
      </c>
      <c r="O138" t="str">
        <f>INDEX('رموز سريعة'!$A:$B,MATCH(I138,'رموز سريعة'!$A:$A,0),2)</f>
        <v>RAYA</v>
      </c>
      <c r="Q138" t="s">
        <v>173</v>
      </c>
      <c r="R138">
        <v>0.12</v>
      </c>
      <c r="S138" t="s">
        <v>507</v>
      </c>
      <c r="T138">
        <v>0.51</v>
      </c>
      <c r="U138">
        <v>6.35</v>
      </c>
      <c r="V138">
        <v>1.48</v>
      </c>
      <c r="W138" t="str">
        <f>INDEX('رموز سريعة'!$A:$B,MATCH(Q138,'رموز سريعة'!$A:$A,0),2)</f>
        <v>CERA</v>
      </c>
    </row>
    <row r="139" spans="1:23">
      <c r="A139" t="s">
        <v>541</v>
      </c>
      <c r="B139">
        <v>56.87</v>
      </c>
      <c r="C139" t="s">
        <v>507</v>
      </c>
      <c r="D139">
        <v>99.66</v>
      </c>
      <c r="E139">
        <v>7.22</v>
      </c>
      <c r="F139">
        <v>1.69</v>
      </c>
      <c r="I139" t="s">
        <v>615</v>
      </c>
      <c r="J139">
        <v>0.94</v>
      </c>
      <c r="K139" t="s">
        <v>507</v>
      </c>
      <c r="L139">
        <v>2.4700000000000002</v>
      </c>
      <c r="M139">
        <v>4.0599999999999996</v>
      </c>
      <c r="N139">
        <v>1.27</v>
      </c>
      <c r="O139" t="str">
        <f>INDEX('رموز سريعة'!$A:$B,MATCH(I139,'رموز سريعة'!$A:$A,0),2)</f>
        <v>RACC</v>
      </c>
      <c r="Q139" t="s">
        <v>343</v>
      </c>
      <c r="R139">
        <v>-0.04</v>
      </c>
      <c r="S139" t="s">
        <v>507</v>
      </c>
      <c r="T139">
        <v>0.45</v>
      </c>
      <c r="U139">
        <v>-678.34</v>
      </c>
      <c r="V139">
        <v>2.3199999999999998</v>
      </c>
      <c r="W139" t="str">
        <f>INDEX('رموز سريعة'!$A:$B,MATCH(Q139,'رموز سريعة'!$A:$A,0),2)</f>
        <v>SIPC</v>
      </c>
    </row>
    <row r="140" spans="1:23">
      <c r="A140" t="s">
        <v>549</v>
      </c>
      <c r="B140">
        <v>1.74</v>
      </c>
      <c r="C140" t="s">
        <v>507</v>
      </c>
      <c r="D140">
        <v>7.85</v>
      </c>
      <c r="E140">
        <v>17.96</v>
      </c>
      <c r="F140">
        <v>2.86</v>
      </c>
      <c r="I140" t="s">
        <v>453</v>
      </c>
      <c r="J140">
        <v>0</v>
      </c>
      <c r="K140" t="s">
        <v>507</v>
      </c>
      <c r="L140">
        <v>0.88</v>
      </c>
      <c r="M140">
        <v>-48.14</v>
      </c>
      <c r="N140">
        <v>4.1500000000000004</v>
      </c>
      <c r="O140" t="str">
        <f>INDEX('رموز سريعة'!$A:$B,MATCH(I140,'رموز سريعة'!$A:$A,0),2)</f>
        <v>RKAZ</v>
      </c>
      <c r="Q140" t="s">
        <v>255</v>
      </c>
      <c r="R140">
        <v>1.66</v>
      </c>
      <c r="S140" t="s">
        <v>507</v>
      </c>
      <c r="T140">
        <v>21.29</v>
      </c>
      <c r="U140">
        <v>9.34</v>
      </c>
      <c r="V140">
        <v>0.94</v>
      </c>
      <c r="W140" t="str">
        <f>INDEX('رموز سريعة'!$A:$B,MATCH(Q140,'رموز سريعة'!$A:$A,0),2)</f>
        <v>OCDI</v>
      </c>
    </row>
    <row r="141" spans="1:23">
      <c r="A141" t="s">
        <v>517</v>
      </c>
      <c r="B141">
        <v>41.33</v>
      </c>
      <c r="C141" t="s">
        <v>507</v>
      </c>
      <c r="D141">
        <v>26.33</v>
      </c>
      <c r="E141">
        <v>3.56</v>
      </c>
      <c r="F141">
        <v>2.75</v>
      </c>
      <c r="G141" t="s">
        <v>247</v>
      </c>
      <c r="I141" t="s">
        <v>275</v>
      </c>
      <c r="J141">
        <v>-16.22</v>
      </c>
      <c r="K141" t="s">
        <v>507</v>
      </c>
      <c r="L141">
        <v>8.35</v>
      </c>
      <c r="M141">
        <v>-0.86</v>
      </c>
      <c r="N141">
        <v>0.12</v>
      </c>
      <c r="O141" t="str">
        <f>INDEX('رموز سريعة'!$A:$B,MATCH(I141,'رموز سريعة'!$A:$A,0),2)</f>
        <v>RTVC</v>
      </c>
      <c r="Q141" t="s">
        <v>616</v>
      </c>
      <c r="R141">
        <v>0.79</v>
      </c>
      <c r="S141" t="s">
        <v>507</v>
      </c>
      <c r="T141">
        <v>4.37</v>
      </c>
      <c r="U141">
        <v>3.99</v>
      </c>
      <c r="V141">
        <v>1.22</v>
      </c>
      <c r="W141" t="str">
        <f>INDEX('رموز سريعة'!$A:$B,MATCH(Q141,'رموز سريعة'!$A:$A,0),2)</f>
        <v>CICH</v>
      </c>
    </row>
    <row r="142" spans="1:23">
      <c r="A142" t="s">
        <v>555</v>
      </c>
      <c r="B142">
        <v>-0.18</v>
      </c>
      <c r="C142" t="s">
        <v>507</v>
      </c>
      <c r="D142">
        <v>0.57999999999999996</v>
      </c>
      <c r="E142">
        <v>27.19</v>
      </c>
      <c r="F142">
        <v>1.1599999999999999</v>
      </c>
      <c r="G142" t="s">
        <v>128</v>
      </c>
      <c r="I142" t="s">
        <v>437</v>
      </c>
      <c r="J142">
        <v>-0.24</v>
      </c>
      <c r="K142" t="s">
        <v>507</v>
      </c>
      <c r="L142">
        <v>2.5499999999999998</v>
      </c>
      <c r="M142">
        <v>15.07</v>
      </c>
      <c r="N142">
        <v>1.88</v>
      </c>
      <c r="O142" t="str">
        <f>INDEX('رموز سريعة'!$A:$B,MATCH(I142,'رموز سريعة'!$A:$A,0),2)</f>
        <v>RUBX</v>
      </c>
      <c r="Q142" t="s">
        <v>281</v>
      </c>
      <c r="R142">
        <v>-0.38</v>
      </c>
      <c r="S142" t="s">
        <v>507</v>
      </c>
      <c r="T142">
        <v>6.17</v>
      </c>
      <c r="U142">
        <v>-64.540000000000006</v>
      </c>
      <c r="V142">
        <v>1.7</v>
      </c>
      <c r="W142" t="str">
        <f>INDEX('رموز سريعة'!$A:$B,MATCH(Q142,'رموز سريعة'!$A:$A,0),2)</f>
        <v>SDTI</v>
      </c>
    </row>
    <row r="143" spans="1:23">
      <c r="A143" t="s">
        <v>432</v>
      </c>
      <c r="B143">
        <v>1.25</v>
      </c>
      <c r="C143" t="s">
        <v>507</v>
      </c>
      <c r="D143">
        <v>16.690000000000001</v>
      </c>
      <c r="E143">
        <v>4.75</v>
      </c>
      <c r="F143">
        <v>0.4</v>
      </c>
      <c r="I143" t="s">
        <v>269</v>
      </c>
      <c r="J143">
        <v>0.39</v>
      </c>
      <c r="K143" t="s">
        <v>507</v>
      </c>
      <c r="L143">
        <v>7.09</v>
      </c>
      <c r="M143">
        <v>4.0999999999999996</v>
      </c>
      <c r="N143">
        <v>0.47</v>
      </c>
      <c r="O143" t="str">
        <f>INDEX('رموز سريعة'!$A:$B,MATCH(I143,'رموز سريعة'!$A:$A,0),2)</f>
        <v>REAC</v>
      </c>
      <c r="Q143" t="s">
        <v>293</v>
      </c>
      <c r="R143">
        <v>1.38</v>
      </c>
      <c r="S143" t="s">
        <v>507</v>
      </c>
      <c r="T143">
        <v>1.55</v>
      </c>
      <c r="U143" t="s">
        <v>507</v>
      </c>
      <c r="V143" t="s">
        <v>507</v>
      </c>
      <c r="W143" t="str">
        <f>INDEX('رموز سريعة'!$A:$B,MATCH(Q143,'رموز سريعة'!$A:$A,0),2)</f>
        <v>TAQA</v>
      </c>
    </row>
    <row r="144" spans="1:23">
      <c r="A144" t="s">
        <v>570</v>
      </c>
      <c r="B144">
        <v>0.03</v>
      </c>
      <c r="C144" t="s">
        <v>507</v>
      </c>
      <c r="D144">
        <v>0.17</v>
      </c>
      <c r="E144" t="s">
        <v>507</v>
      </c>
      <c r="F144" t="s">
        <v>507</v>
      </c>
      <c r="G144" t="s">
        <v>110</v>
      </c>
      <c r="I144" t="s">
        <v>173</v>
      </c>
      <c r="J144">
        <v>0.15</v>
      </c>
      <c r="K144" t="s">
        <v>507</v>
      </c>
      <c r="L144">
        <v>0.55000000000000004</v>
      </c>
      <c r="M144">
        <v>6.19</v>
      </c>
      <c r="N144">
        <v>1.4</v>
      </c>
      <c r="O144" t="str">
        <f>INDEX('رموز سريعة'!$A:$B,MATCH(I144,'رموز سريعة'!$A:$A,0),2)</f>
        <v>CERA</v>
      </c>
      <c r="Q144" t="s">
        <v>294</v>
      </c>
      <c r="R144">
        <v>1.58</v>
      </c>
      <c r="S144" t="s">
        <v>507</v>
      </c>
      <c r="T144">
        <v>17.98</v>
      </c>
      <c r="U144">
        <v>6.21</v>
      </c>
      <c r="V144">
        <v>0.51</v>
      </c>
      <c r="W144" t="str">
        <f>INDEX('رموز سريعة'!$A:$B,MATCH(Q144,'رموز سريعة'!$A:$A,0),2)</f>
        <v>TMGH</v>
      </c>
    </row>
    <row r="145" spans="1:23">
      <c r="A145" t="s">
        <v>586</v>
      </c>
      <c r="B145">
        <v>2.34</v>
      </c>
      <c r="C145" t="s">
        <v>507</v>
      </c>
      <c r="D145">
        <v>20.309999999999999</v>
      </c>
      <c r="E145">
        <v>5.2</v>
      </c>
      <c r="F145">
        <v>3.83</v>
      </c>
      <c r="I145" t="s">
        <v>300</v>
      </c>
      <c r="J145">
        <v>1.66</v>
      </c>
      <c r="K145" t="s">
        <v>507</v>
      </c>
      <c r="L145">
        <v>3.14</v>
      </c>
      <c r="M145">
        <v>9.68</v>
      </c>
      <c r="N145">
        <v>1.79</v>
      </c>
      <c r="O145" t="str">
        <f>INDEX('رموز سريعة'!$A:$B,MATCH(I145,'رموز سريعة'!$A:$A,0),2)</f>
        <v>ZMID</v>
      </c>
      <c r="Q145" t="s">
        <v>153</v>
      </c>
      <c r="R145">
        <v>-0.04</v>
      </c>
      <c r="S145" t="s">
        <v>507</v>
      </c>
      <c r="T145">
        <v>0.95</v>
      </c>
      <c r="U145">
        <v>3.64</v>
      </c>
      <c r="V145">
        <v>0.47</v>
      </c>
      <c r="W145" t="str">
        <f>INDEX('رموز سريعة'!$A:$B,MATCH(Q145,'رموز سريعة'!$A:$A,0),2)</f>
        <v>AMER</v>
      </c>
    </row>
    <row r="146" spans="1:23">
      <c r="A146" t="s">
        <v>495</v>
      </c>
      <c r="B146">
        <v>-1.1299999999999999</v>
      </c>
      <c r="C146" t="s">
        <v>507</v>
      </c>
      <c r="D146">
        <v>13.18</v>
      </c>
      <c r="E146">
        <v>5.52</v>
      </c>
      <c r="F146">
        <v>1.06</v>
      </c>
      <c r="G146" t="s">
        <v>10</v>
      </c>
      <c r="I146" t="s">
        <v>343</v>
      </c>
      <c r="J146">
        <v>-0.02</v>
      </c>
      <c r="K146" t="s">
        <v>507</v>
      </c>
      <c r="L146">
        <v>0.44</v>
      </c>
      <c r="M146">
        <v>-22.18</v>
      </c>
      <c r="N146">
        <v>1.83</v>
      </c>
      <c r="O146" t="str">
        <f>INDEX('رموز سريعة'!$A:$B,MATCH(I146,'رموز سريعة'!$A:$A,0),2)</f>
        <v>SIPC</v>
      </c>
      <c r="Q146" t="s">
        <v>329</v>
      </c>
      <c r="R146">
        <v>0.02</v>
      </c>
      <c r="S146" t="s">
        <v>507</v>
      </c>
      <c r="T146">
        <v>0.68</v>
      </c>
      <c r="U146">
        <v>712.92</v>
      </c>
      <c r="V146">
        <v>1.37</v>
      </c>
      <c r="W146" t="str">
        <f>INDEX('رموز سريعة'!$A:$B,MATCH(Q146,'رموز سريعة'!$A:$A,0),2)</f>
        <v>TRTO</v>
      </c>
    </row>
    <row r="147" spans="1:23">
      <c r="A147" t="s">
        <v>396</v>
      </c>
      <c r="B147">
        <v>0.06</v>
      </c>
      <c r="C147" t="s">
        <v>507</v>
      </c>
      <c r="D147">
        <v>0.28000000000000003</v>
      </c>
      <c r="E147">
        <v>12.15</v>
      </c>
      <c r="F147">
        <v>1.93</v>
      </c>
      <c r="G147" t="s">
        <v>592</v>
      </c>
      <c r="I147" t="s">
        <v>581</v>
      </c>
      <c r="J147">
        <v>0.32</v>
      </c>
      <c r="K147" t="s">
        <v>507</v>
      </c>
      <c r="L147">
        <v>2.23</v>
      </c>
      <c r="M147">
        <v>11.05</v>
      </c>
      <c r="N147">
        <v>1.54</v>
      </c>
      <c r="O147" t="str">
        <f>INDEX('رموز سريعة'!$A:$B,MATCH(I147,'رموز سريعة'!$A:$A,0),2)</f>
        <v>SPIN</v>
      </c>
      <c r="Q147" t="s">
        <v>582</v>
      </c>
      <c r="R147">
        <v>0.97</v>
      </c>
      <c r="S147" t="s">
        <v>507</v>
      </c>
      <c r="T147">
        <v>2.16</v>
      </c>
      <c r="U147">
        <v>9.1199999999999992</v>
      </c>
      <c r="V147">
        <v>5.48</v>
      </c>
      <c r="W147" t="str">
        <f>INDEX('رموز سريعة'!$A:$B,MATCH(Q147,'رموز سريعة'!$A:$A,0),2)</f>
        <v>OLFI</v>
      </c>
    </row>
    <row r="148" spans="1:23">
      <c r="I148" t="s">
        <v>255</v>
      </c>
      <c r="J148">
        <v>2.39</v>
      </c>
      <c r="K148" t="s">
        <v>507</v>
      </c>
      <c r="L148">
        <v>21.89</v>
      </c>
      <c r="M148">
        <v>11.26</v>
      </c>
      <c r="N148">
        <v>0.88</v>
      </c>
      <c r="O148" t="str">
        <f>INDEX('رموز سريعة'!$A:$B,MATCH(I148,'رموز سريعة'!$A:$A,0),2)</f>
        <v>OCDI</v>
      </c>
      <c r="Q148" t="s">
        <v>165</v>
      </c>
      <c r="R148">
        <v>0.94</v>
      </c>
      <c r="S148" t="s">
        <v>507</v>
      </c>
      <c r="T148">
        <v>1.2</v>
      </c>
      <c r="U148">
        <v>3.42</v>
      </c>
      <c r="V148">
        <v>1.51</v>
      </c>
      <c r="W148" t="str">
        <f>INDEX('رموز سريعة'!$A:$B,MATCH(Q148,'رموز سريعة'!$A:$A,0),2)</f>
        <v>ATQA</v>
      </c>
    </row>
    <row r="149" spans="1:23">
      <c r="I149" t="s">
        <v>616</v>
      </c>
      <c r="J149">
        <v>0.92</v>
      </c>
      <c r="K149" t="s">
        <v>507</v>
      </c>
      <c r="L149">
        <v>4.5999999999999996</v>
      </c>
      <c r="M149">
        <v>5.97</v>
      </c>
      <c r="N149">
        <v>1.08</v>
      </c>
      <c r="O149" t="str">
        <f>INDEX('رموز سريعة'!$A:$B,MATCH(I149,'رموز سريعة'!$A:$A,0),2)</f>
        <v>CICH</v>
      </c>
      <c r="Q149" t="s">
        <v>196</v>
      </c>
      <c r="R149">
        <v>1.2</v>
      </c>
      <c r="S149" t="s">
        <v>507</v>
      </c>
      <c r="T149">
        <v>42.09</v>
      </c>
      <c r="U149">
        <v>8.1999999999999993</v>
      </c>
      <c r="V149">
        <v>0.77</v>
      </c>
      <c r="W149" t="str">
        <f>INDEX('رموز سريعة'!$A:$B,MATCH(Q149,'رموز سريعة'!$A:$A,0),2)</f>
        <v>EGAS</v>
      </c>
    </row>
    <row r="150" spans="1:23">
      <c r="I150" t="s">
        <v>540</v>
      </c>
      <c r="J150">
        <v>9.6</v>
      </c>
      <c r="K150" t="s">
        <v>507</v>
      </c>
      <c r="L150">
        <v>7.48</v>
      </c>
      <c r="M150">
        <v>9.99</v>
      </c>
      <c r="N150">
        <v>4.7699999999999996</v>
      </c>
      <c r="O150" t="str">
        <f>INDEX('رموز سريعة'!$A:$B,MATCH(I150,'رموز سريعة'!$A:$A,0),2)</f>
        <v>SKPC</v>
      </c>
      <c r="Q150" t="s">
        <v>631</v>
      </c>
      <c r="R150">
        <v>-0.88</v>
      </c>
      <c r="S150" t="s">
        <v>507</v>
      </c>
      <c r="T150">
        <v>3.73</v>
      </c>
      <c r="U150">
        <v>-79.2</v>
      </c>
      <c r="V150">
        <v>3.87</v>
      </c>
      <c r="W150" t="str">
        <f>INDEX('رموز سريعة'!$A:$B,MATCH(Q150,'رموز سريعة'!$A:$A,0),2)</f>
        <v>PTCC</v>
      </c>
    </row>
    <row r="151" spans="1:23">
      <c r="I151" t="s">
        <v>518</v>
      </c>
      <c r="J151">
        <v>-1.62</v>
      </c>
      <c r="K151" t="s">
        <v>507</v>
      </c>
      <c r="L151">
        <v>0.26</v>
      </c>
      <c r="M151">
        <v>17.329999999999998</v>
      </c>
      <c r="N151">
        <v>10.15</v>
      </c>
      <c r="O151" t="str">
        <f>INDEX('رموز سريعة'!$A:$B,MATCH(I151,'رموز سريعة'!$A:$A,0),2)</f>
        <v>PRCL</v>
      </c>
      <c r="Q151" t="s">
        <v>497</v>
      </c>
      <c r="R151">
        <v>0.41</v>
      </c>
      <c r="S151" t="s">
        <v>507</v>
      </c>
      <c r="T151">
        <v>1.67</v>
      </c>
      <c r="U151">
        <v>24.3</v>
      </c>
      <c r="V151">
        <v>3.58</v>
      </c>
      <c r="W151" t="str">
        <f>INDEX('رموز سريعة'!$A:$B,MATCH(Q151,'رموز سريعة'!$A:$A,0),2)</f>
        <v>VERT</v>
      </c>
    </row>
    <row r="152" spans="1:23">
      <c r="I152" t="s">
        <v>293</v>
      </c>
      <c r="J152">
        <v>-0.3</v>
      </c>
      <c r="K152" t="s">
        <v>507</v>
      </c>
      <c r="L152">
        <v>1.7</v>
      </c>
      <c r="M152">
        <v>7.44</v>
      </c>
      <c r="N152">
        <v>6.64</v>
      </c>
      <c r="O152" t="str">
        <f>INDEX('رموز سريعة'!$A:$B,MATCH(I152,'رموز سريعة'!$A:$A,0),2)</f>
        <v>TAQA</v>
      </c>
      <c r="Q152" t="s">
        <v>216</v>
      </c>
      <c r="R152">
        <v>0.19</v>
      </c>
      <c r="S152" t="s">
        <v>507</v>
      </c>
      <c r="T152">
        <v>0.84</v>
      </c>
      <c r="U152">
        <v>37.69</v>
      </c>
      <c r="V152">
        <v>7.07</v>
      </c>
      <c r="W152" t="str">
        <f>INDEX('رموز سريعة'!$A:$B,MATCH(Q152,'رموز سريعة'!$A:$A,0),2)</f>
        <v>FWRY</v>
      </c>
    </row>
    <row r="153" spans="1:23">
      <c r="I153" t="s">
        <v>294</v>
      </c>
      <c r="J153">
        <v>2.1800000000000002</v>
      </c>
      <c r="K153" t="s">
        <v>507</v>
      </c>
      <c r="L153">
        <v>18.52</v>
      </c>
      <c r="M153">
        <v>8.73</v>
      </c>
      <c r="N153">
        <v>0.76</v>
      </c>
      <c r="O153" t="str">
        <f>INDEX('رموز سريعة'!$A:$B,MATCH(I153,'رموز سريعة'!$A:$A,0),2)</f>
        <v>TMGH</v>
      </c>
      <c r="Q153" t="s">
        <v>580</v>
      </c>
      <c r="R153">
        <v>1.85</v>
      </c>
      <c r="S153" t="s">
        <v>507</v>
      </c>
      <c r="T153">
        <v>3.76</v>
      </c>
      <c r="U153">
        <v>2.64</v>
      </c>
      <c r="V153">
        <v>1.91</v>
      </c>
      <c r="W153" t="str">
        <f>INDEX('رموز سريعة'!$A:$B,MATCH(Q153,'رموز سريعة'!$A:$A,0),2)</f>
        <v>FERC</v>
      </c>
    </row>
    <row r="154" spans="1:23">
      <c r="I154" t="s">
        <v>153</v>
      </c>
      <c r="J154">
        <v>0.08</v>
      </c>
      <c r="K154" t="s">
        <v>507</v>
      </c>
      <c r="L154">
        <v>0.97</v>
      </c>
      <c r="M154">
        <v>-9.02</v>
      </c>
      <c r="N154">
        <v>0.41</v>
      </c>
      <c r="O154" t="str">
        <f>INDEX('رموز سريعة'!$A:$B,MATCH(I154,'رموز سريعة'!$A:$A,0),2)</f>
        <v>AMER</v>
      </c>
      <c r="Q154" t="s">
        <v>545</v>
      </c>
      <c r="R154">
        <v>7.31</v>
      </c>
      <c r="S154" t="s">
        <v>507</v>
      </c>
      <c r="T154">
        <v>31.97</v>
      </c>
      <c r="U154">
        <v>6.43</v>
      </c>
      <c r="V154">
        <v>1.85</v>
      </c>
      <c r="W154" t="str">
        <f>INDEX('رموز سريعة'!$A:$B,MATCH(Q154,'رموز سريعة'!$A:$A,0),2)</f>
        <v>SCTS</v>
      </c>
    </row>
    <row r="155" spans="1:23">
      <c r="I155" t="s">
        <v>582</v>
      </c>
      <c r="J155">
        <v>0.96</v>
      </c>
      <c r="K155" t="s">
        <v>507</v>
      </c>
      <c r="L155">
        <v>2.4</v>
      </c>
      <c r="M155">
        <v>8.66</v>
      </c>
      <c r="N155">
        <v>3.89</v>
      </c>
      <c r="O155" t="str">
        <f>INDEX('رموز سريعة'!$A:$B,MATCH(I155,'رموز سريعة'!$A:$A,0),2)</f>
        <v>OLFI</v>
      </c>
      <c r="Q155" t="s">
        <v>174</v>
      </c>
      <c r="R155">
        <v>4.13</v>
      </c>
      <c r="S155" t="s">
        <v>507</v>
      </c>
      <c r="T155">
        <v>9.5299999999999994</v>
      </c>
      <c r="U155">
        <v>3.65</v>
      </c>
      <c r="V155">
        <v>1.7</v>
      </c>
      <c r="W155" t="str">
        <f>INDEX('رموز سريعة'!$A:$B,MATCH(Q155,'رموز سريعة'!$A:$A,0),2)</f>
        <v>CIEB</v>
      </c>
    </row>
    <row r="156" spans="1:23">
      <c r="I156" t="s">
        <v>165</v>
      </c>
      <c r="J156">
        <v>0.61</v>
      </c>
      <c r="K156" t="s">
        <v>507</v>
      </c>
      <c r="L156">
        <v>1.35</v>
      </c>
      <c r="M156">
        <v>1.84</v>
      </c>
      <c r="N156">
        <v>1.44</v>
      </c>
      <c r="O156" t="str">
        <f>INDEX('رموز سريعة'!$A:$B,MATCH(I156,'رموز سريعة'!$A:$A,0),2)</f>
        <v>ATQA</v>
      </c>
      <c r="Q156" t="s">
        <v>568</v>
      </c>
      <c r="R156">
        <v>0.92</v>
      </c>
      <c r="S156" t="s">
        <v>507</v>
      </c>
      <c r="T156">
        <v>3.1</v>
      </c>
      <c r="U156">
        <v>2.62</v>
      </c>
      <c r="V156">
        <v>2.2999999999999998</v>
      </c>
      <c r="W156" t="str">
        <f>INDEX('رموز سريعة'!$A:$B,MATCH(Q156,'رموز سريعة'!$A:$A,0),2)</f>
        <v>KZPC</v>
      </c>
    </row>
    <row r="157" spans="1:23">
      <c r="I157" t="s">
        <v>196</v>
      </c>
      <c r="J157">
        <v>0.66</v>
      </c>
      <c r="K157" t="s">
        <v>507</v>
      </c>
      <c r="L157">
        <v>42.26</v>
      </c>
      <c r="M157">
        <v>25.26</v>
      </c>
      <c r="N157">
        <v>0.72</v>
      </c>
      <c r="O157" t="str">
        <f>INDEX('رموز سريعة'!$A:$B,MATCH(I157,'رموز سريعة'!$A:$A,0),2)</f>
        <v>EGAS</v>
      </c>
      <c r="Q157" t="s">
        <v>556</v>
      </c>
      <c r="R157">
        <v>1.34</v>
      </c>
      <c r="S157" t="s">
        <v>507</v>
      </c>
      <c r="T157">
        <v>-5.58</v>
      </c>
      <c r="U157">
        <v>-30.45</v>
      </c>
      <c r="V157">
        <v>-6.79</v>
      </c>
      <c r="W157" t="str">
        <f>INDEX('رموز سريعة'!$A:$B,MATCH(Q157,'رموز سريعة'!$A:$A,0),2)</f>
        <v>COPR</v>
      </c>
    </row>
    <row r="158" spans="1:23">
      <c r="I158" t="s">
        <v>497</v>
      </c>
      <c r="J158">
        <v>0.06</v>
      </c>
      <c r="K158" t="s">
        <v>507</v>
      </c>
      <c r="L158">
        <v>0.26</v>
      </c>
      <c r="M158">
        <v>2.58</v>
      </c>
      <c r="N158">
        <v>0.64</v>
      </c>
      <c r="O158" t="str">
        <f>INDEX('رموز سريعة'!$A:$B,MATCH(I158,'رموز سريعة'!$A:$A,0),2)</f>
        <v>VERT</v>
      </c>
      <c r="Q158" t="s">
        <v>560</v>
      </c>
      <c r="R158">
        <v>0.56999999999999995</v>
      </c>
      <c r="S158" t="s">
        <v>507</v>
      </c>
      <c r="T158">
        <v>2.2999999999999998</v>
      </c>
      <c r="U158">
        <v>7.71</v>
      </c>
      <c r="V158">
        <v>1.64</v>
      </c>
      <c r="W158" t="str">
        <f>INDEX('رموز سريعة'!$A:$B,MATCH(Q158,'رموز سريعة'!$A:$A,0),2)</f>
        <v>LCSW</v>
      </c>
    </row>
    <row r="159" spans="1:23">
      <c r="I159" t="s">
        <v>227</v>
      </c>
      <c r="J159">
        <v>6.88</v>
      </c>
      <c r="K159" t="s">
        <v>507</v>
      </c>
      <c r="L159">
        <v>8.6</v>
      </c>
      <c r="M159">
        <v>20.28</v>
      </c>
      <c r="N159">
        <v>6.9</v>
      </c>
      <c r="O159" t="str">
        <f>INDEX('رموز سريعة'!$A:$B,MATCH(I159,'رموز سريعة'!$A:$A,0),2)</f>
        <v>INFI</v>
      </c>
      <c r="Q159" t="s">
        <v>619</v>
      </c>
      <c r="R159">
        <v>0.09</v>
      </c>
      <c r="S159" t="s">
        <v>507</v>
      </c>
      <c r="T159">
        <v>0.18</v>
      </c>
      <c r="U159">
        <v>5.52</v>
      </c>
      <c r="V159">
        <v>3.04</v>
      </c>
      <c r="W159" t="str">
        <f>INDEX('رموز سريعة'!$A:$B,MATCH(Q159,'رموز سريعة'!$A:$A,0),2)</f>
        <v>LUTS</v>
      </c>
    </row>
    <row r="160" spans="1:23">
      <c r="I160" t="s">
        <v>216</v>
      </c>
      <c r="J160">
        <v>0.25</v>
      </c>
      <c r="K160" t="s">
        <v>507</v>
      </c>
      <c r="L160">
        <v>0.92</v>
      </c>
      <c r="M160">
        <v>26.75</v>
      </c>
      <c r="N160">
        <v>6.13</v>
      </c>
      <c r="O160" t="str">
        <f>INDEX('رموز سريعة'!$A:$B,MATCH(I160,'رموز سريعة'!$A:$A,0),2)</f>
        <v>FWRY</v>
      </c>
      <c r="Q160" t="s">
        <v>446</v>
      </c>
      <c r="R160">
        <v>8.39</v>
      </c>
      <c r="S160" t="s">
        <v>507</v>
      </c>
      <c r="T160">
        <v>25.07</v>
      </c>
      <c r="U160">
        <v>1.53</v>
      </c>
      <c r="V160">
        <v>0.28999999999999998</v>
      </c>
      <c r="W160" t="str">
        <f>INDEX('رموز سريعة'!$A:$B,MATCH(Q160,'رموز سريعة'!$A:$A,0),2)</f>
        <v>LCSW</v>
      </c>
    </row>
    <row r="161" spans="9:23">
      <c r="I161" t="s">
        <v>580</v>
      </c>
      <c r="J161">
        <v>2.54</v>
      </c>
      <c r="K161" t="s">
        <v>507</v>
      </c>
      <c r="L161">
        <v>4.3899999999999997</v>
      </c>
      <c r="M161">
        <v>3.41</v>
      </c>
      <c r="N161">
        <v>1.68</v>
      </c>
      <c r="O161" t="str">
        <f>INDEX('رموز سريعة'!$A:$B,MATCH(I161,'رموز سريعة'!$A:$A,0),2)</f>
        <v>FERC</v>
      </c>
      <c r="Q161" t="s">
        <v>189</v>
      </c>
      <c r="R161">
        <v>-0.01</v>
      </c>
      <c r="S161" t="s">
        <v>507</v>
      </c>
      <c r="T161">
        <v>0.27</v>
      </c>
      <c r="U161" t="s">
        <v>507</v>
      </c>
      <c r="V161">
        <v>0.91</v>
      </c>
      <c r="W161" t="str">
        <f>INDEX('رموز سريعة'!$A:$B,MATCH(Q161,'رموز سريعة'!$A:$A,0),2)</f>
        <v>EDBM</v>
      </c>
    </row>
    <row r="162" spans="9:23">
      <c r="I162" t="s">
        <v>617</v>
      </c>
      <c r="J162">
        <v>0.22</v>
      </c>
      <c r="K162" t="s">
        <v>507</v>
      </c>
      <c r="L162">
        <v>0.89</v>
      </c>
      <c r="M162">
        <v>13.86</v>
      </c>
      <c r="N162">
        <v>2.21</v>
      </c>
      <c r="O162" t="str">
        <f>INDEX('رموز سريعة'!$A:$B,MATCH(I162,'رموز سريعة'!$A:$A,0),2)</f>
        <v>KAPO</v>
      </c>
      <c r="Q162" t="s">
        <v>339</v>
      </c>
      <c r="R162">
        <v>0.08</v>
      </c>
      <c r="S162" t="s">
        <v>507</v>
      </c>
      <c r="T162">
        <v>-0.14000000000000001</v>
      </c>
      <c r="U162">
        <v>-0.17</v>
      </c>
      <c r="V162">
        <v>-0.64</v>
      </c>
      <c r="W162" t="str">
        <f>INDEX('رموز سريعة'!$A:$B,MATCH(Q162,'رموز سريعة'!$A:$A,0),2)</f>
        <v>MOIL</v>
      </c>
    </row>
    <row r="163" spans="9:23">
      <c r="I163" t="s">
        <v>174</v>
      </c>
      <c r="J163">
        <v>4.16</v>
      </c>
      <c r="K163" t="s">
        <v>507</v>
      </c>
      <c r="L163">
        <v>10.51</v>
      </c>
      <c r="M163">
        <v>3.76</v>
      </c>
      <c r="N163">
        <v>1.63</v>
      </c>
      <c r="O163" t="str">
        <f>INDEX('رموز سريعة'!$A:$B,MATCH(I163,'رموز سريعة'!$A:$A,0),2)</f>
        <v>CIEB</v>
      </c>
      <c r="Q163" t="s">
        <v>632</v>
      </c>
      <c r="R163">
        <v>0.14000000000000001</v>
      </c>
      <c r="S163" t="s">
        <v>507</v>
      </c>
      <c r="T163">
        <v>0.69</v>
      </c>
      <c r="U163" t="s">
        <v>507</v>
      </c>
      <c r="V163" t="s">
        <v>507</v>
      </c>
      <c r="W163" t="str">
        <f>INDEX('رموز سريعة'!$A:$B,MATCH(Q163,'رموز سريعة'!$A:$A,0),2)</f>
        <v>MCRO</v>
      </c>
    </row>
    <row r="164" spans="9:23">
      <c r="I164" t="s">
        <v>568</v>
      </c>
      <c r="J164">
        <v>0.76</v>
      </c>
      <c r="K164" t="s">
        <v>507</v>
      </c>
      <c r="L164">
        <v>3.29</v>
      </c>
      <c r="M164">
        <v>8.27</v>
      </c>
      <c r="N164">
        <v>2.46</v>
      </c>
      <c r="O164" t="str">
        <f>INDEX('رموز سريعة'!$A:$B,MATCH(I164,'رموز سريعة'!$A:$A,0),2)</f>
        <v>KZPC</v>
      </c>
      <c r="Q164" t="s">
        <v>534</v>
      </c>
      <c r="R164">
        <v>2.0699999999999998</v>
      </c>
      <c r="S164" t="s">
        <v>507</v>
      </c>
      <c r="T164">
        <v>14.4</v>
      </c>
      <c r="U164">
        <v>3.14</v>
      </c>
      <c r="V164">
        <v>0.79</v>
      </c>
      <c r="W164" t="str">
        <f>INDEX('رموز سريعة'!$A:$B,MATCH(Q164,'رموز سريعة'!$A:$A,0),2)</f>
        <v>MPRC</v>
      </c>
    </row>
    <row r="165" spans="9:23">
      <c r="I165" t="s">
        <v>556</v>
      </c>
      <c r="J165">
        <v>7.0000000000000007E-2</v>
      </c>
      <c r="K165" t="s">
        <v>507</v>
      </c>
      <c r="L165">
        <v>0.16</v>
      </c>
      <c r="M165">
        <v>0.28000000000000003</v>
      </c>
      <c r="N165">
        <v>-7.0000000000000007E-2</v>
      </c>
      <c r="O165" t="str">
        <f>INDEX('رموز سريعة'!$A:$B,MATCH(I165,'رموز سريعة'!$A:$A,0),2)</f>
        <v>COPR</v>
      </c>
      <c r="Q165" t="s">
        <v>430</v>
      </c>
      <c r="R165">
        <v>0.53</v>
      </c>
      <c r="S165" t="s">
        <v>507</v>
      </c>
      <c r="T165">
        <v>2.46</v>
      </c>
      <c r="U165">
        <v>6.19</v>
      </c>
      <c r="V165">
        <v>1.45</v>
      </c>
      <c r="W165" t="str">
        <f>INDEX('رموز سريعة'!$A:$B,MATCH(Q165,'رموز سريعة'!$A:$A,0),2)</f>
        <v>MASR</v>
      </c>
    </row>
    <row r="166" spans="9:23">
      <c r="I166" t="s">
        <v>560</v>
      </c>
      <c r="J166">
        <v>0.44</v>
      </c>
      <c r="K166" t="s">
        <v>507</v>
      </c>
      <c r="L166">
        <v>2.44</v>
      </c>
      <c r="M166">
        <v>6.02</v>
      </c>
      <c r="N166">
        <v>1.51</v>
      </c>
      <c r="O166" t="str">
        <f>INDEX('رموز سريعة'!$A:$B,MATCH(I166,'رموز سريعة'!$A:$A,0),2)</f>
        <v>LCSW</v>
      </c>
      <c r="Q166" t="s">
        <v>325</v>
      </c>
      <c r="R166">
        <v>-0.06</v>
      </c>
      <c r="S166" t="s">
        <v>507</v>
      </c>
      <c r="T166">
        <v>0.65</v>
      </c>
      <c r="U166">
        <v>-53.24</v>
      </c>
      <c r="V166">
        <v>2.82</v>
      </c>
      <c r="W166" t="str">
        <f>INDEX('رموز سريعة'!$A:$B,MATCH(Q166,'رموز سريعة'!$A:$A,0),2)</f>
        <v>MMAT</v>
      </c>
    </row>
    <row r="167" spans="9:23">
      <c r="I167" t="s">
        <v>618</v>
      </c>
      <c r="J167">
        <v>1.18</v>
      </c>
      <c r="K167" t="s">
        <v>507</v>
      </c>
      <c r="L167">
        <v>7.17</v>
      </c>
      <c r="M167">
        <v>8.08</v>
      </c>
      <c r="N167">
        <v>1.68</v>
      </c>
      <c r="O167" t="str">
        <f>INDEX('رموز سريعة'!$A:$B,MATCH(I167,'رموز سريعة'!$A:$A,0),2)</f>
        <v>EGCH</v>
      </c>
      <c r="Q167" t="s">
        <v>234</v>
      </c>
      <c r="R167">
        <v>1.29</v>
      </c>
      <c r="S167">
        <v>0.05</v>
      </c>
      <c r="T167">
        <v>0.85</v>
      </c>
      <c r="U167">
        <v>-2.17</v>
      </c>
      <c r="V167">
        <v>1.1499999999999999</v>
      </c>
      <c r="W167" t="str">
        <f>INDEX('رموز سريعة'!$A:$B,MATCH(Q167,'رموز سريعة'!$A:$A,0),2)</f>
        <v>MAAL</v>
      </c>
    </row>
    <row r="168" spans="9:23">
      <c r="I168" t="s">
        <v>619</v>
      </c>
      <c r="J168">
        <v>0.1</v>
      </c>
      <c r="K168" t="s">
        <v>507</v>
      </c>
      <c r="L168">
        <v>0.21</v>
      </c>
      <c r="M168">
        <v>6.1</v>
      </c>
      <c r="N168">
        <v>2.9</v>
      </c>
      <c r="O168" t="str">
        <f>INDEX('رموز سريعة'!$A:$B,MATCH(I168,'رموز سريعة'!$A:$A,0),2)</f>
        <v>LUTS</v>
      </c>
      <c r="Q168" t="s">
        <v>359</v>
      </c>
      <c r="R168">
        <v>0.45</v>
      </c>
      <c r="S168" t="s">
        <v>507</v>
      </c>
      <c r="T168">
        <v>2.35</v>
      </c>
      <c r="U168">
        <v>11.15</v>
      </c>
      <c r="V168">
        <v>2.39</v>
      </c>
      <c r="W168" t="str">
        <f>INDEX('رموز سريعة'!$A:$B,MATCH(Q168,'رموز سريعة'!$A:$A,0),2)</f>
        <v>NINH</v>
      </c>
    </row>
    <row r="169" spans="9:23">
      <c r="I169" t="s">
        <v>446</v>
      </c>
      <c r="J169">
        <v>3.93</v>
      </c>
      <c r="K169" t="s">
        <v>507</v>
      </c>
      <c r="L169">
        <v>25.9</v>
      </c>
      <c r="M169">
        <v>1.21</v>
      </c>
      <c r="N169">
        <v>0.41</v>
      </c>
      <c r="O169" t="str">
        <f>INDEX('رموز سريعة'!$A:$B,MATCH(I169,'رموز سريعة'!$A:$A,0),2)</f>
        <v>LCSW</v>
      </c>
      <c r="Q169" t="s">
        <v>379</v>
      </c>
      <c r="R169">
        <v>0.27</v>
      </c>
      <c r="S169" t="s">
        <v>507</v>
      </c>
      <c r="T169">
        <v>1.39</v>
      </c>
      <c r="U169">
        <v>22.58</v>
      </c>
      <c r="V169">
        <v>3.79</v>
      </c>
      <c r="W169" t="str">
        <f>INDEX('رموز سريعة'!$A:$B,MATCH(Q169,'رموز سريعة'!$A:$A,0),2)</f>
        <v>CLHO</v>
      </c>
    </row>
    <row r="170" spans="9:23">
      <c r="I170" t="s">
        <v>189</v>
      </c>
      <c r="J170">
        <v>-0.01</v>
      </c>
      <c r="K170" t="s">
        <v>507</v>
      </c>
      <c r="L170">
        <v>0.26</v>
      </c>
      <c r="M170">
        <v>-30.15</v>
      </c>
      <c r="N170">
        <v>0.88</v>
      </c>
      <c r="O170" t="str">
        <f>INDEX('رموز سريعة'!$A:$B,MATCH(I170,'رموز سريعة'!$A:$A,0),2)</f>
        <v>EDBM</v>
      </c>
      <c r="Q170" t="s">
        <v>220</v>
      </c>
      <c r="R170">
        <v>-0.2</v>
      </c>
      <c r="S170" t="s">
        <v>507</v>
      </c>
      <c r="T170">
        <v>0.59</v>
      </c>
      <c r="U170">
        <v>-56.35</v>
      </c>
      <c r="V170">
        <v>19.5</v>
      </c>
      <c r="W170" t="str">
        <f>INDEX('رموز سريعة'!$A:$B,MATCH(Q170,'رموز سريعة'!$A:$A,0),2)</f>
        <v>HELI</v>
      </c>
    </row>
    <row r="171" spans="9:23">
      <c r="I171" t="s">
        <v>339</v>
      </c>
      <c r="J171">
        <v>0.1</v>
      </c>
      <c r="K171" t="s">
        <v>507</v>
      </c>
      <c r="L171">
        <v>-0.11</v>
      </c>
      <c r="M171">
        <v>1.7</v>
      </c>
      <c r="N171">
        <v>-0.99</v>
      </c>
      <c r="O171" t="str">
        <f>INDEX('رموز سريعة'!$A:$B,MATCH(I171,'رموز سريعة'!$A:$A,0),2)</f>
        <v>MOIL</v>
      </c>
      <c r="Q171" t="s">
        <v>458</v>
      </c>
      <c r="R171">
        <v>2.56</v>
      </c>
      <c r="S171" t="s">
        <v>507</v>
      </c>
      <c r="T171">
        <v>10</v>
      </c>
      <c r="U171">
        <v>8.56</v>
      </c>
      <c r="V171">
        <v>2.4700000000000002</v>
      </c>
      <c r="W171" t="str">
        <f>INDEX('رموز سريعة'!$A:$B,MATCH(Q171,'رموز سريعة'!$A:$A,0),2)</f>
        <v>MBSC</v>
      </c>
    </row>
    <row r="172" spans="9:23">
      <c r="I172" t="s">
        <v>534</v>
      </c>
      <c r="J172">
        <v>0.69</v>
      </c>
      <c r="K172" t="s">
        <v>507</v>
      </c>
      <c r="L172">
        <v>14.81</v>
      </c>
      <c r="M172">
        <v>6.67</v>
      </c>
      <c r="N172">
        <v>0.96</v>
      </c>
      <c r="O172" t="str">
        <f>INDEX('رموز سريعة'!$A:$B,MATCH(I172,'رموز سريعة'!$A:$A,0),2)</f>
        <v>MPRC</v>
      </c>
      <c r="Q172" t="s">
        <v>402</v>
      </c>
      <c r="R172">
        <v>-1.22</v>
      </c>
      <c r="S172" t="s">
        <v>507</v>
      </c>
      <c r="T172">
        <v>20.14</v>
      </c>
      <c r="U172">
        <v>5.13</v>
      </c>
      <c r="V172">
        <v>0.91</v>
      </c>
      <c r="W172" t="str">
        <f>INDEX('رموز سريعة'!$A:$B,MATCH(Q172,'رموز سريعة'!$A:$A,0),2)</f>
        <v>MCQE</v>
      </c>
    </row>
    <row r="173" spans="9:23">
      <c r="I173" t="s">
        <v>430</v>
      </c>
      <c r="J173">
        <v>1.45</v>
      </c>
      <c r="K173" t="s">
        <v>507</v>
      </c>
      <c r="L173">
        <v>0</v>
      </c>
      <c r="M173">
        <v>5.79</v>
      </c>
      <c r="N173">
        <v>1.24</v>
      </c>
      <c r="O173" t="str">
        <f>INDEX('رموز سريعة'!$A:$B,MATCH(I173,'رموز سريعة'!$A:$A,0),2)</f>
        <v>MASR</v>
      </c>
      <c r="Q173" t="s">
        <v>530</v>
      </c>
      <c r="R173">
        <v>3.57</v>
      </c>
      <c r="S173">
        <v>2.73</v>
      </c>
      <c r="T173">
        <v>5.01</v>
      </c>
      <c r="U173">
        <v>4.9400000000000004</v>
      </c>
      <c r="V173">
        <v>4.26</v>
      </c>
      <c r="W173" t="str">
        <f>INDEX('رموز سريعة'!$A:$B,MATCH(Q173,'رموز سريعة'!$A:$A,0),2)</f>
        <v>MFSC</v>
      </c>
    </row>
    <row r="174" spans="9:23">
      <c r="I174" t="s">
        <v>325</v>
      </c>
      <c r="J174">
        <v>-0.05</v>
      </c>
      <c r="K174" t="s">
        <v>507</v>
      </c>
      <c r="L174">
        <v>0.64</v>
      </c>
      <c r="M174">
        <v>-29.78</v>
      </c>
      <c r="N174">
        <v>2.75</v>
      </c>
      <c r="O174" t="str">
        <f>INDEX('رموز سريعة'!$A:$B,MATCH(I174,'رموز سريعة'!$A:$A,0),2)</f>
        <v>MMAT</v>
      </c>
      <c r="Q174" t="s">
        <v>515</v>
      </c>
      <c r="R174">
        <v>9.2799999999999994</v>
      </c>
      <c r="S174" t="s">
        <v>507</v>
      </c>
      <c r="T174">
        <v>23.51</v>
      </c>
      <c r="U174">
        <v>2.89</v>
      </c>
      <c r="V174">
        <v>1.0900000000000001</v>
      </c>
      <c r="W174" t="str">
        <f>INDEX('رموز سريعة'!$A:$B,MATCH(Q174,'رموز سريعة'!$A:$A,0),2)</f>
        <v>ADIB</v>
      </c>
    </row>
    <row r="175" spans="9:23">
      <c r="I175" t="s">
        <v>234</v>
      </c>
      <c r="J175">
        <v>-0.2</v>
      </c>
      <c r="K175" t="s">
        <v>507</v>
      </c>
      <c r="L175">
        <v>0.68</v>
      </c>
      <c r="M175">
        <v>0.69</v>
      </c>
      <c r="N175">
        <v>1.04</v>
      </c>
      <c r="O175" t="str">
        <f>INDEX('رموز سريعة'!$A:$B,MATCH(I175,'رموز سريعة'!$A:$A,0),2)</f>
        <v>MAAL</v>
      </c>
      <c r="Q175" t="s">
        <v>242</v>
      </c>
      <c r="R175">
        <v>28.54</v>
      </c>
      <c r="S175" t="s">
        <v>507</v>
      </c>
      <c r="T175">
        <v>272.13</v>
      </c>
      <c r="U175">
        <v>13.54</v>
      </c>
      <c r="V175">
        <v>0.82</v>
      </c>
      <c r="W175" t="str">
        <f>INDEX('رموز سريعة'!$A:$B,MATCH(Q175,'رموز سريعة'!$A:$A,0),2)</f>
        <v>MIPH</v>
      </c>
    </row>
    <row r="176" spans="9:23">
      <c r="I176" t="s">
        <v>359</v>
      </c>
      <c r="J176">
        <v>0.66</v>
      </c>
      <c r="K176" t="s">
        <v>507</v>
      </c>
      <c r="L176">
        <v>2.52</v>
      </c>
      <c r="M176">
        <v>16.16</v>
      </c>
      <c r="N176">
        <v>3.07</v>
      </c>
      <c r="O176" t="str">
        <f>INDEX('رموز سريعة'!$A:$B,MATCH(I176,'رموز سريعة'!$A:$A,0),2)</f>
        <v>NINH</v>
      </c>
      <c r="Q176" t="s">
        <v>555</v>
      </c>
      <c r="R176">
        <v>0</v>
      </c>
      <c r="S176" t="s">
        <v>507</v>
      </c>
      <c r="T176">
        <v>0.62</v>
      </c>
      <c r="U176">
        <v>-52.43</v>
      </c>
      <c r="V176">
        <v>1.54</v>
      </c>
      <c r="W176" t="str">
        <f>INDEX('رموز سريعة'!$A:$B,MATCH(Q176,'رموز سريعة'!$A:$A,0),2)</f>
        <v>MENA</v>
      </c>
    </row>
    <row r="177" spans="9:23">
      <c r="I177" t="s">
        <v>379</v>
      </c>
      <c r="J177">
        <v>0.33</v>
      </c>
      <c r="K177" t="s">
        <v>507</v>
      </c>
      <c r="L177">
        <v>1.48</v>
      </c>
      <c r="M177">
        <v>14.51</v>
      </c>
      <c r="N177">
        <v>2.78</v>
      </c>
      <c r="O177" t="str">
        <f>INDEX('رموز سريعة'!$A:$B,MATCH(I177,'رموز سريعة'!$A:$A,0),2)</f>
        <v>CLHO</v>
      </c>
      <c r="Q177" t="s">
        <v>432</v>
      </c>
      <c r="R177">
        <v>1.27</v>
      </c>
      <c r="S177" t="s">
        <v>507</v>
      </c>
      <c r="T177">
        <v>16.04</v>
      </c>
      <c r="U177">
        <v>7.74</v>
      </c>
      <c r="V177">
        <v>0.39</v>
      </c>
      <c r="W177" t="str">
        <f>INDEX('رموز سريعة'!$A:$B,MATCH(Q177,'رموز سريعة'!$A:$A,0),2)</f>
        <v>EGSA</v>
      </c>
    </row>
    <row r="178" spans="9:23">
      <c r="I178" t="s">
        <v>220</v>
      </c>
      <c r="J178">
        <v>-1.78</v>
      </c>
      <c r="K178" t="s">
        <v>507</v>
      </c>
      <c r="L178">
        <v>0.59</v>
      </c>
      <c r="M178">
        <v>-55.36</v>
      </c>
      <c r="N178">
        <v>19.16</v>
      </c>
      <c r="O178" t="str">
        <f>INDEX('رموز سريعة'!$A:$B,MATCH(I178,'رموز سريعة'!$A:$A,0),2)</f>
        <v>HELI</v>
      </c>
      <c r="Q178" t="s">
        <v>570</v>
      </c>
      <c r="R178">
        <v>0.03</v>
      </c>
      <c r="S178" t="s">
        <v>507</v>
      </c>
      <c r="T178">
        <v>0.14000000000000001</v>
      </c>
      <c r="U178" t="s">
        <v>507</v>
      </c>
      <c r="V178" t="s">
        <v>507</v>
      </c>
      <c r="W178" t="str">
        <f>INDEX('رموز سريعة'!$A:$B,MATCH(Q178,'رموز سريعة'!$A:$A,0),2)</f>
        <v>KRDI</v>
      </c>
    </row>
    <row r="179" spans="9:23">
      <c r="I179" t="s">
        <v>458</v>
      </c>
      <c r="J179">
        <v>8.17</v>
      </c>
      <c r="K179" t="s">
        <v>507</v>
      </c>
      <c r="L179">
        <v>10.86</v>
      </c>
      <c r="M179">
        <v>11.71</v>
      </c>
      <c r="N179">
        <v>3</v>
      </c>
      <c r="O179" t="str">
        <f>INDEX('رموز سريعة'!$A:$B,MATCH(I179,'رموز سريعة'!$A:$A,0),2)</f>
        <v>MBSC</v>
      </c>
      <c r="Q179" t="s">
        <v>252</v>
      </c>
      <c r="R179">
        <v>0.02</v>
      </c>
      <c r="S179" t="s">
        <v>507</v>
      </c>
      <c r="T179">
        <v>0.57999999999999996</v>
      </c>
      <c r="U179">
        <v>141</v>
      </c>
      <c r="V179">
        <v>2.6</v>
      </c>
      <c r="W179" t="str">
        <f>INDEX('رموز سريعة'!$A:$B,MATCH(Q179,'رموز سريعة'!$A:$A,0),2)</f>
        <v>NEDA</v>
      </c>
    </row>
    <row r="180" spans="9:23">
      <c r="I180" t="s">
        <v>589</v>
      </c>
      <c r="J180">
        <v>7.48</v>
      </c>
      <c r="K180" t="s">
        <v>507</v>
      </c>
      <c r="L180">
        <v>13.25</v>
      </c>
      <c r="M180">
        <v>4.32</v>
      </c>
      <c r="N180">
        <v>2.12</v>
      </c>
      <c r="O180" t="str">
        <f>INDEX('رموز سريعة'!$A:$B,MATCH(I180,'رموز سريعة'!$A:$A,0),2)</f>
        <v>MICH</v>
      </c>
      <c r="Q180" t="s">
        <v>495</v>
      </c>
      <c r="R180">
        <v>12.05</v>
      </c>
      <c r="S180" t="s">
        <v>507</v>
      </c>
      <c r="T180">
        <v>12.52</v>
      </c>
      <c r="U180">
        <v>1.9</v>
      </c>
      <c r="V180">
        <v>0.89</v>
      </c>
      <c r="W180" t="str">
        <f>INDEX('رموز سريعة'!$A:$B,MATCH(Q180,'رموز سريعة'!$A:$A,0),2)</f>
        <v>UTOP</v>
      </c>
    </row>
    <row r="181" spans="9:23">
      <c r="I181" t="s">
        <v>402</v>
      </c>
      <c r="J181">
        <v>-1.65</v>
      </c>
      <c r="K181" t="s">
        <v>507</v>
      </c>
      <c r="L181">
        <v>19.73</v>
      </c>
      <c r="M181">
        <v>-15.03</v>
      </c>
      <c r="N181">
        <v>0.91</v>
      </c>
      <c r="O181" t="str">
        <f>INDEX('رموز سريعة'!$A:$B,MATCH(I181,'رموز سريعة'!$A:$A,0),2)</f>
        <v>MCQE</v>
      </c>
      <c r="Q181" t="s">
        <v>396</v>
      </c>
      <c r="R181">
        <v>0.02</v>
      </c>
      <c r="S181" t="s">
        <v>507</v>
      </c>
      <c r="T181">
        <v>0.26</v>
      </c>
      <c r="U181">
        <v>10.68</v>
      </c>
      <c r="V181">
        <v>1.8</v>
      </c>
      <c r="W181" t="str">
        <f>INDEX('رموز سريعة'!$A:$B,MATCH(Q181,'رموز سريعة'!$A:$A,0),2)</f>
        <v>UNIP</v>
      </c>
    </row>
    <row r="182" spans="9:23">
      <c r="I182" t="s">
        <v>530</v>
      </c>
      <c r="J182">
        <v>5.09</v>
      </c>
      <c r="K182" t="s">
        <v>507</v>
      </c>
      <c r="L182">
        <v>3.15</v>
      </c>
      <c r="M182">
        <v>6.36</v>
      </c>
      <c r="N182">
        <v>3.99</v>
      </c>
      <c r="O182" t="str">
        <f>INDEX('رموز سريعة'!$A:$B,MATCH(I182,'رموز سريعة'!$A:$A,0),2)</f>
        <v>MFSC</v>
      </c>
      <c r="Q182" t="s">
        <v>341</v>
      </c>
      <c r="R182">
        <v>-0.24</v>
      </c>
      <c r="S182" t="s">
        <v>507</v>
      </c>
      <c r="T182">
        <v>1.66</v>
      </c>
      <c r="U182">
        <v>-26.09</v>
      </c>
      <c r="V182">
        <v>1.89</v>
      </c>
      <c r="W182" t="str">
        <f>INDEX('رموز سريعة'!$A:$B,MATCH(Q182,'رموز سريعة'!$A:$A,0),2)</f>
        <v>APSW</v>
      </c>
    </row>
    <row r="183" spans="9:23">
      <c r="I183" t="s">
        <v>554</v>
      </c>
      <c r="J183">
        <v>15.81</v>
      </c>
      <c r="K183" t="s">
        <v>507</v>
      </c>
      <c r="L183">
        <v>26.53</v>
      </c>
      <c r="M183">
        <v>3.55</v>
      </c>
      <c r="N183">
        <v>2.48</v>
      </c>
      <c r="O183" t="str">
        <f>INDEX('رموز سريعة'!$A:$B,MATCH(I183,'رموز سريعة'!$A:$A,0),2)</f>
        <v>EGAL</v>
      </c>
    </row>
    <row r="184" spans="9:23">
      <c r="I184" t="s">
        <v>515</v>
      </c>
      <c r="J184">
        <v>11.09</v>
      </c>
      <c r="K184" t="s">
        <v>507</v>
      </c>
      <c r="L184">
        <v>26.27</v>
      </c>
      <c r="M184">
        <v>2.84</v>
      </c>
      <c r="N184">
        <v>1.1200000000000001</v>
      </c>
      <c r="O184" t="str">
        <f>INDEX('رموز سريعة'!$A:$B,MATCH(I184,'رموز سريعة'!$A:$A,0),2)</f>
        <v>ADIB</v>
      </c>
    </row>
    <row r="185" spans="9:23">
      <c r="I185" t="s">
        <v>543</v>
      </c>
      <c r="J185">
        <v>8.36</v>
      </c>
      <c r="K185" t="s">
        <v>507</v>
      </c>
      <c r="L185">
        <v>-1.51</v>
      </c>
      <c r="M185">
        <v>4.82</v>
      </c>
      <c r="N185">
        <v>-2.72</v>
      </c>
      <c r="O185" t="str">
        <f>INDEX('رموز سريعة'!$A:$B,MATCH(I185,'رموز سريعة'!$A:$A,0),2)</f>
        <v>SCFM</v>
      </c>
    </row>
    <row r="186" spans="9:23">
      <c r="I186" t="s">
        <v>514</v>
      </c>
      <c r="J186">
        <v>22.57</v>
      </c>
      <c r="K186" t="s">
        <v>507</v>
      </c>
      <c r="L186">
        <v>74.36</v>
      </c>
      <c r="M186">
        <v>5.3</v>
      </c>
      <c r="N186">
        <v>1.76</v>
      </c>
      <c r="O186" t="str">
        <f>INDEX('رموز سريعة'!$A:$B,MATCH(I186,'رموز سريعة'!$A:$A,0),2)</f>
        <v>EDFM</v>
      </c>
    </row>
    <row r="187" spans="9:23">
      <c r="I187" t="s">
        <v>510</v>
      </c>
      <c r="J187">
        <v>2.73</v>
      </c>
      <c r="K187" t="s">
        <v>507</v>
      </c>
      <c r="L187">
        <v>21.73</v>
      </c>
      <c r="M187">
        <v>6.43</v>
      </c>
      <c r="N187">
        <v>1.75</v>
      </c>
      <c r="O187" t="str">
        <f>INDEX('رموز سريعة'!$A:$B,MATCH(I187,'رموز سريعة'!$A:$A,0),2)</f>
        <v>MILS</v>
      </c>
    </row>
    <row r="188" spans="9:23">
      <c r="I188" t="s">
        <v>535</v>
      </c>
      <c r="J188">
        <v>29.12</v>
      </c>
      <c r="K188" t="s">
        <v>507</v>
      </c>
      <c r="L188">
        <v>97.93</v>
      </c>
      <c r="M188">
        <v>4.67</v>
      </c>
      <c r="N188">
        <v>1.45</v>
      </c>
      <c r="O188" t="str">
        <f>INDEX('رموز سريعة'!$A:$B,MATCH(I188,'رموز سريعة'!$A:$A,0),2)</f>
        <v>UEFM</v>
      </c>
    </row>
    <row r="189" spans="9:23">
      <c r="I189" t="s">
        <v>552</v>
      </c>
      <c r="J189">
        <v>7.82</v>
      </c>
      <c r="K189" t="s">
        <v>507</v>
      </c>
      <c r="L189">
        <v>34.35</v>
      </c>
      <c r="M189">
        <v>4.95</v>
      </c>
      <c r="N189">
        <v>1.28</v>
      </c>
      <c r="O189" t="str">
        <f>INDEX('رموز سريعة'!$A:$B,MATCH(I189,'رموز سريعة'!$A:$A,0),2)</f>
        <v>CEFM</v>
      </c>
    </row>
    <row r="190" spans="9:23">
      <c r="I190" t="s">
        <v>541</v>
      </c>
      <c r="J190">
        <v>26.66</v>
      </c>
      <c r="K190" t="s">
        <v>507</v>
      </c>
      <c r="L190">
        <v>113.92</v>
      </c>
      <c r="M190">
        <v>4.5</v>
      </c>
      <c r="N190">
        <v>1.52</v>
      </c>
      <c r="O190" t="str">
        <f>INDEX('رموز سريعة'!$A:$B,MATCH(I190,'رموز سريعة'!$A:$A,0),2)</f>
        <v>WCDF</v>
      </c>
    </row>
    <row r="191" spans="9:23">
      <c r="I191" t="s">
        <v>549</v>
      </c>
      <c r="J191">
        <v>2.02</v>
      </c>
      <c r="K191" t="s">
        <v>507</v>
      </c>
      <c r="L191">
        <v>7.29</v>
      </c>
      <c r="M191">
        <v>14.34</v>
      </c>
      <c r="N191">
        <v>2.25</v>
      </c>
      <c r="O191" t="str">
        <f>INDEX('رموز سريعة'!$A:$B,MATCH(I191,'رموز سريعة'!$A:$A,0),2)</f>
        <v>AFMC</v>
      </c>
    </row>
    <row r="192" spans="9:23">
      <c r="I192" t="s">
        <v>517</v>
      </c>
      <c r="J192">
        <v>17.61</v>
      </c>
      <c r="K192" t="s">
        <v>507</v>
      </c>
      <c r="L192">
        <v>22.78</v>
      </c>
      <c r="M192">
        <v>3.03</v>
      </c>
      <c r="N192">
        <v>2.61</v>
      </c>
      <c r="O192" t="str">
        <f>INDEX('رموز سريعة'!$A:$B,MATCH(I192,'رموز سريعة'!$A:$A,0),2)</f>
        <v>MPCI</v>
      </c>
    </row>
    <row r="193" spans="9:15">
      <c r="I193" t="s">
        <v>242</v>
      </c>
      <c r="J193">
        <v>1.77</v>
      </c>
      <c r="K193" t="s">
        <v>507</v>
      </c>
      <c r="L193">
        <v>268.08999999999997</v>
      </c>
      <c r="M193">
        <v>6.98</v>
      </c>
      <c r="N193">
        <v>0.73</v>
      </c>
      <c r="O193" t="str">
        <f>INDEX('رموز سريعة'!$A:$B,MATCH(I193,'رموز سريعة'!$A:$A,0),2)</f>
        <v>MIPH</v>
      </c>
    </row>
    <row r="194" spans="9:15">
      <c r="I194" t="s">
        <v>555</v>
      </c>
      <c r="J194">
        <v>0.04</v>
      </c>
      <c r="K194" t="s">
        <v>507</v>
      </c>
      <c r="L194">
        <v>0.98</v>
      </c>
      <c r="M194">
        <v>240.99</v>
      </c>
      <c r="N194">
        <v>1.49</v>
      </c>
      <c r="O194" t="str">
        <f>INDEX('رموز سريعة'!$A:$B,MATCH(I194,'رموز سريعة'!$A:$A,0),2)</f>
        <v>MENA</v>
      </c>
    </row>
    <row r="195" spans="9:15">
      <c r="I195" t="s">
        <v>432</v>
      </c>
      <c r="J195">
        <v>1.37</v>
      </c>
      <c r="K195" t="s">
        <v>507</v>
      </c>
      <c r="L195">
        <v>16.38</v>
      </c>
      <c r="M195">
        <v>4.87</v>
      </c>
      <c r="N195">
        <v>0.38</v>
      </c>
      <c r="O195" t="str">
        <f>INDEX('رموز سريعة'!$A:$B,MATCH(I195,'رموز سريعة'!$A:$A,0),2)</f>
        <v>EGSA</v>
      </c>
    </row>
    <row r="196" spans="9:15">
      <c r="I196" t="s">
        <v>570</v>
      </c>
      <c r="J196">
        <v>0.01</v>
      </c>
      <c r="K196" t="s">
        <v>507</v>
      </c>
      <c r="L196">
        <v>0.15</v>
      </c>
      <c r="M196" t="s">
        <v>507</v>
      </c>
      <c r="N196" t="s">
        <v>507</v>
      </c>
      <c r="O196" t="str">
        <f>INDEX('رموز سريعة'!$A:$B,MATCH(I196,'رموز سريعة'!$A:$A,0),2)</f>
        <v>KRDI</v>
      </c>
    </row>
    <row r="197" spans="9:15">
      <c r="I197" t="s">
        <v>586</v>
      </c>
      <c r="J197">
        <v>14.42</v>
      </c>
      <c r="K197" t="s">
        <v>507</v>
      </c>
      <c r="L197">
        <v>19.55</v>
      </c>
      <c r="M197">
        <v>8.1300000000000008</v>
      </c>
      <c r="N197">
        <v>2.15</v>
      </c>
      <c r="O197" t="str">
        <f>INDEX('رموز سريعة'!$A:$B,MATCH(I197,'رموز سريعة'!$A:$A,0),2)</f>
        <v>WKOL</v>
      </c>
    </row>
    <row r="198" spans="9:15">
      <c r="I198" t="s">
        <v>495</v>
      </c>
      <c r="J198">
        <v>2.58</v>
      </c>
      <c r="K198" t="s">
        <v>507</v>
      </c>
      <c r="L198">
        <v>13.46</v>
      </c>
      <c r="M198">
        <v>1.18</v>
      </c>
      <c r="N198">
        <v>1.1399999999999999</v>
      </c>
      <c r="O198" t="str">
        <f>INDEX('رموز سريعة'!$A:$B,MATCH(I198,'رموز سريعة'!$A:$A,0),2)</f>
        <v>UTOP</v>
      </c>
    </row>
    <row r="199" spans="9:15">
      <c r="I199" t="s">
        <v>396</v>
      </c>
      <c r="J199">
        <v>0.04</v>
      </c>
      <c r="K199" t="s">
        <v>507</v>
      </c>
      <c r="L199">
        <v>0.27</v>
      </c>
      <c r="M199">
        <v>18.329999999999998</v>
      </c>
      <c r="N199">
        <v>1.73</v>
      </c>
      <c r="O199" t="str">
        <f>INDEX('رموز سريعة'!$A:$B,MATCH(I199,'رموز سريعة'!$A:$A,0),2)</f>
        <v>UNIP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CD59-457B-4A58-8776-08F12FDEF45A}">
  <sheetPr codeName="Sheet5"/>
  <dimension ref="A1:C406"/>
  <sheetViews>
    <sheetView topLeftCell="A377" workbookViewId="0">
      <selection activeCell="A393" sqref="A393"/>
    </sheetView>
  </sheetViews>
  <sheetFormatPr defaultRowHeight="14.4"/>
  <cols>
    <col min="1" max="1" width="35.33203125" bestFit="1" customWidth="1"/>
    <col min="3" max="3" width="2" bestFit="1" customWidth="1"/>
  </cols>
  <sheetData>
    <row r="1" spans="1:3">
      <c r="A1" t="s">
        <v>553</v>
      </c>
      <c r="B1" t="s">
        <v>143</v>
      </c>
      <c r="C1">
        <v>1</v>
      </c>
    </row>
    <row r="2" spans="1:3">
      <c r="A2" t="s">
        <v>588</v>
      </c>
      <c r="B2" t="s">
        <v>151</v>
      </c>
      <c r="C2">
        <v>1</v>
      </c>
    </row>
    <row r="3" spans="1:3">
      <c r="A3" t="s">
        <v>511</v>
      </c>
      <c r="B3" t="s">
        <v>66</v>
      </c>
      <c r="C3">
        <v>1</v>
      </c>
    </row>
    <row r="4" spans="1:3">
      <c r="A4" t="s">
        <v>508</v>
      </c>
      <c r="B4" t="s">
        <v>228</v>
      </c>
      <c r="C4">
        <v>1</v>
      </c>
    </row>
    <row r="5" spans="1:3">
      <c r="A5" t="s">
        <v>550</v>
      </c>
      <c r="B5" t="s">
        <v>14</v>
      </c>
      <c r="C5">
        <v>1</v>
      </c>
    </row>
    <row r="6" spans="1:3">
      <c r="A6" t="s">
        <v>602</v>
      </c>
      <c r="B6" t="s">
        <v>30</v>
      </c>
      <c r="C6">
        <v>1</v>
      </c>
    </row>
    <row r="7" spans="1:3">
      <c r="A7" t="s">
        <v>520</v>
      </c>
      <c r="B7" t="s">
        <v>299</v>
      </c>
      <c r="C7">
        <v>1</v>
      </c>
    </row>
    <row r="8" spans="1:3">
      <c r="A8" t="s">
        <v>562</v>
      </c>
      <c r="B8" t="s">
        <v>467</v>
      </c>
      <c r="C8">
        <v>1</v>
      </c>
    </row>
    <row r="9" spans="1:3">
      <c r="A9" t="s">
        <v>509</v>
      </c>
      <c r="B9" t="s">
        <v>217</v>
      </c>
      <c r="C9">
        <v>1</v>
      </c>
    </row>
    <row r="10" spans="1:3">
      <c r="A10" t="s">
        <v>606</v>
      </c>
      <c r="B10" t="s">
        <v>295</v>
      </c>
      <c r="C10">
        <v>1</v>
      </c>
    </row>
    <row r="11" spans="1:3">
      <c r="A11" t="s">
        <v>558</v>
      </c>
      <c r="B11" t="s">
        <v>130</v>
      </c>
      <c r="C11">
        <v>1</v>
      </c>
    </row>
    <row r="12" spans="1:3">
      <c r="A12" t="s">
        <v>607</v>
      </c>
      <c r="B12" t="s">
        <v>19</v>
      </c>
      <c r="C12">
        <v>1</v>
      </c>
    </row>
    <row r="13" spans="1:3">
      <c r="A13" t="s">
        <v>608</v>
      </c>
      <c r="B13" t="s">
        <v>472</v>
      </c>
      <c r="C13">
        <v>1</v>
      </c>
    </row>
    <row r="14" spans="1:3">
      <c r="A14" t="s">
        <v>609</v>
      </c>
      <c r="B14" t="s">
        <v>180</v>
      </c>
      <c r="C14">
        <v>1</v>
      </c>
    </row>
    <row r="15" spans="1:3">
      <c r="A15" t="s">
        <v>569</v>
      </c>
      <c r="B15" t="s">
        <v>175</v>
      </c>
      <c r="C15">
        <v>1</v>
      </c>
    </row>
    <row r="16" spans="1:3">
      <c r="A16" t="s">
        <v>539</v>
      </c>
      <c r="B16" t="s">
        <v>491</v>
      </c>
      <c r="C16">
        <v>1</v>
      </c>
    </row>
    <row r="17" spans="1:3">
      <c r="A17" t="s">
        <v>576</v>
      </c>
      <c r="B17" t="s">
        <v>181</v>
      </c>
      <c r="C17">
        <v>1</v>
      </c>
    </row>
    <row r="18" spans="1:3">
      <c r="A18" t="s">
        <v>611</v>
      </c>
      <c r="B18" t="s">
        <v>244</v>
      </c>
      <c r="C18">
        <v>1</v>
      </c>
    </row>
    <row r="19" spans="1:3">
      <c r="A19" t="s">
        <v>529</v>
      </c>
      <c r="B19" t="s">
        <v>91</v>
      </c>
      <c r="C19">
        <v>1</v>
      </c>
    </row>
    <row r="20" spans="1:3">
      <c r="A20" t="s">
        <v>519</v>
      </c>
      <c r="B20" t="s">
        <v>139</v>
      </c>
      <c r="C20">
        <v>1</v>
      </c>
    </row>
    <row r="21" spans="1:3">
      <c r="A21" t="s">
        <v>579</v>
      </c>
      <c r="B21" t="s">
        <v>254</v>
      </c>
      <c r="C21">
        <v>1</v>
      </c>
    </row>
    <row r="22" spans="1:3">
      <c r="A22" t="s">
        <v>612</v>
      </c>
      <c r="B22" t="s">
        <v>187</v>
      </c>
      <c r="C22">
        <v>1</v>
      </c>
    </row>
    <row r="23" spans="1:3">
      <c r="A23" t="s">
        <v>512</v>
      </c>
      <c r="B23" t="s">
        <v>481</v>
      </c>
      <c r="C23">
        <v>1</v>
      </c>
    </row>
    <row r="24" spans="1:3">
      <c r="A24" t="s">
        <v>521</v>
      </c>
      <c r="B24" t="s">
        <v>57</v>
      </c>
      <c r="C24">
        <v>1</v>
      </c>
    </row>
    <row r="25" spans="1:3">
      <c r="A25" t="s">
        <v>542</v>
      </c>
      <c r="B25" t="s">
        <v>256</v>
      </c>
      <c r="C25">
        <v>1</v>
      </c>
    </row>
    <row r="26" spans="1:3">
      <c r="A26" t="s">
        <v>546</v>
      </c>
      <c r="B26" t="s">
        <v>292</v>
      </c>
      <c r="C26">
        <v>1</v>
      </c>
    </row>
    <row r="27" spans="1:3">
      <c r="A27" t="s">
        <v>557</v>
      </c>
      <c r="B27" t="s">
        <v>140</v>
      </c>
      <c r="C27">
        <v>1</v>
      </c>
    </row>
    <row r="28" spans="1:3">
      <c r="A28" t="s">
        <v>559</v>
      </c>
      <c r="B28" t="s">
        <v>138</v>
      </c>
      <c r="C28">
        <v>1</v>
      </c>
    </row>
    <row r="29" spans="1:3">
      <c r="A29" t="s">
        <v>581</v>
      </c>
      <c r="B29" t="s">
        <v>285</v>
      </c>
      <c r="C29">
        <v>1</v>
      </c>
    </row>
    <row r="30" spans="1:3">
      <c r="A30" t="s">
        <v>518</v>
      </c>
      <c r="B30" t="s">
        <v>265</v>
      </c>
      <c r="C30">
        <v>1</v>
      </c>
    </row>
    <row r="31" spans="1:3">
      <c r="A31" t="s">
        <v>545</v>
      </c>
      <c r="B31" t="s">
        <v>280</v>
      </c>
      <c r="C31">
        <v>1</v>
      </c>
    </row>
    <row r="32" spans="1:3">
      <c r="A32" t="s">
        <v>617</v>
      </c>
      <c r="B32" t="s">
        <v>633</v>
      </c>
      <c r="C32">
        <v>1</v>
      </c>
    </row>
    <row r="33" spans="1:3">
      <c r="A33" t="s">
        <v>618</v>
      </c>
      <c r="B33" t="s">
        <v>198</v>
      </c>
      <c r="C33">
        <v>1</v>
      </c>
    </row>
    <row r="34" spans="1:3">
      <c r="A34" t="s">
        <v>589</v>
      </c>
      <c r="B34" t="s">
        <v>36</v>
      </c>
      <c r="C34">
        <v>1</v>
      </c>
    </row>
    <row r="35" spans="1:3">
      <c r="A35" t="s">
        <v>530</v>
      </c>
      <c r="B35" t="s">
        <v>67</v>
      </c>
      <c r="C35">
        <v>1</v>
      </c>
    </row>
    <row r="36" spans="1:3">
      <c r="A36" t="s">
        <v>554</v>
      </c>
      <c r="B36" t="s">
        <v>195</v>
      </c>
      <c r="C36">
        <v>1</v>
      </c>
    </row>
    <row r="37" spans="1:3">
      <c r="A37" t="s">
        <v>577</v>
      </c>
      <c r="B37" t="s">
        <v>75</v>
      </c>
      <c r="C37">
        <v>1</v>
      </c>
    </row>
    <row r="38" spans="1:3">
      <c r="A38" t="s">
        <v>543</v>
      </c>
      <c r="B38" t="s">
        <v>485</v>
      </c>
      <c r="C38">
        <v>1</v>
      </c>
    </row>
    <row r="39" spans="1:3">
      <c r="A39" t="s">
        <v>514</v>
      </c>
      <c r="B39" t="s">
        <v>192</v>
      </c>
      <c r="C39">
        <v>1</v>
      </c>
    </row>
    <row r="40" spans="1:3">
      <c r="A40" t="s">
        <v>510</v>
      </c>
      <c r="B40" t="s">
        <v>241</v>
      </c>
      <c r="C40">
        <v>1</v>
      </c>
    </row>
    <row r="41" spans="1:3">
      <c r="A41" t="s">
        <v>535</v>
      </c>
      <c r="B41" t="s">
        <v>76</v>
      </c>
      <c r="C41">
        <v>1</v>
      </c>
    </row>
    <row r="42" spans="1:3">
      <c r="A42" t="s">
        <v>552</v>
      </c>
      <c r="B42" t="s">
        <v>38</v>
      </c>
      <c r="C42">
        <v>1</v>
      </c>
    </row>
    <row r="43" spans="1:3">
      <c r="A43" t="s">
        <v>541</v>
      </c>
      <c r="B43" t="s">
        <v>49</v>
      </c>
      <c r="C43">
        <v>1</v>
      </c>
    </row>
    <row r="44" spans="1:3">
      <c r="A44" t="s">
        <v>549</v>
      </c>
      <c r="B44" t="s">
        <v>145</v>
      </c>
      <c r="C44">
        <v>1</v>
      </c>
    </row>
    <row r="45" spans="1:3">
      <c r="A45" t="s">
        <v>517</v>
      </c>
      <c r="B45" t="s">
        <v>247</v>
      </c>
      <c r="C45">
        <v>1</v>
      </c>
    </row>
    <row r="46" spans="1:3">
      <c r="A46" t="s">
        <v>586</v>
      </c>
      <c r="B46" t="s">
        <v>297</v>
      </c>
      <c r="C46">
        <v>1</v>
      </c>
    </row>
    <row r="47" spans="1:3">
      <c r="A47" t="s">
        <v>229</v>
      </c>
      <c r="B47" t="s">
        <v>86</v>
      </c>
      <c r="C47">
        <v>1</v>
      </c>
    </row>
    <row r="48" spans="1:3">
      <c r="A48" t="s">
        <v>142</v>
      </c>
      <c r="B48" t="s">
        <v>143</v>
      </c>
      <c r="C48">
        <v>1</v>
      </c>
    </row>
    <row r="49" spans="1:3">
      <c r="A49" t="s">
        <v>149</v>
      </c>
      <c r="B49" t="s">
        <v>150</v>
      </c>
      <c r="C49">
        <v>1</v>
      </c>
    </row>
    <row r="50" spans="1:3">
      <c r="A50" t="s">
        <v>431</v>
      </c>
      <c r="B50" t="s">
        <v>148</v>
      </c>
      <c r="C50">
        <v>1</v>
      </c>
    </row>
    <row r="51" spans="1:3">
      <c r="A51" t="s">
        <v>393</v>
      </c>
      <c r="B51" t="s">
        <v>163</v>
      </c>
      <c r="C51">
        <v>1</v>
      </c>
    </row>
    <row r="52" spans="1:3">
      <c r="A52" t="s">
        <v>278</v>
      </c>
      <c r="B52" t="s">
        <v>279</v>
      </c>
      <c r="C52">
        <v>1</v>
      </c>
    </row>
    <row r="53" spans="1:3">
      <c r="A53" t="s">
        <v>316</v>
      </c>
      <c r="B53" t="s">
        <v>462</v>
      </c>
      <c r="C53">
        <v>1</v>
      </c>
    </row>
    <row r="54" spans="1:3">
      <c r="A54" t="s">
        <v>161</v>
      </c>
      <c r="B54" t="s">
        <v>162</v>
      </c>
      <c r="C54">
        <v>1</v>
      </c>
    </row>
    <row r="55" spans="1:3">
      <c r="A55" t="s">
        <v>349</v>
      </c>
      <c r="B55" t="s">
        <v>97</v>
      </c>
      <c r="C55">
        <v>1</v>
      </c>
    </row>
    <row r="56" spans="1:3">
      <c r="A56" t="s">
        <v>524</v>
      </c>
      <c r="B56" t="s">
        <v>97</v>
      </c>
      <c r="C56">
        <v>1</v>
      </c>
    </row>
    <row r="57" spans="1:3">
      <c r="A57" t="s">
        <v>362</v>
      </c>
      <c r="B57" t="s">
        <v>42</v>
      </c>
      <c r="C57">
        <v>1</v>
      </c>
    </row>
    <row r="58" spans="1:3">
      <c r="A58" t="s">
        <v>451</v>
      </c>
      <c r="B58" t="s">
        <v>489</v>
      </c>
      <c r="C58">
        <v>1</v>
      </c>
    </row>
    <row r="59" spans="1:3">
      <c r="A59" t="s">
        <v>348</v>
      </c>
      <c r="B59" t="s">
        <v>123</v>
      </c>
      <c r="C59">
        <v>1</v>
      </c>
    </row>
    <row r="60" spans="1:3">
      <c r="A60" t="s">
        <v>412</v>
      </c>
      <c r="B60" t="s">
        <v>151</v>
      </c>
      <c r="C60">
        <v>1</v>
      </c>
    </row>
    <row r="61" spans="1:3">
      <c r="A61" t="s">
        <v>166</v>
      </c>
      <c r="B61" t="s">
        <v>66</v>
      </c>
      <c r="C61">
        <v>1</v>
      </c>
    </row>
    <row r="62" spans="1:3">
      <c r="A62" t="s">
        <v>376</v>
      </c>
      <c r="B62" t="s">
        <v>124</v>
      </c>
      <c r="C62">
        <v>1</v>
      </c>
    </row>
    <row r="63" spans="1:3">
      <c r="A63" t="s">
        <v>513</v>
      </c>
      <c r="B63" t="s">
        <v>124</v>
      </c>
      <c r="C63">
        <v>1</v>
      </c>
    </row>
    <row r="64" spans="1:3">
      <c r="A64" t="s">
        <v>370</v>
      </c>
      <c r="B64" t="s">
        <v>133</v>
      </c>
      <c r="C64">
        <v>1</v>
      </c>
    </row>
    <row r="65" spans="1:3">
      <c r="A65" t="s">
        <v>587</v>
      </c>
      <c r="B65" t="s">
        <v>133</v>
      </c>
      <c r="C65">
        <v>1</v>
      </c>
    </row>
    <row r="66" spans="1:3">
      <c r="A66" t="s">
        <v>152</v>
      </c>
      <c r="B66" t="s">
        <v>118</v>
      </c>
      <c r="C66">
        <v>1</v>
      </c>
    </row>
    <row r="67" spans="1:3">
      <c r="A67" t="s">
        <v>366</v>
      </c>
      <c r="B67" t="s">
        <v>478</v>
      </c>
      <c r="C67">
        <v>1</v>
      </c>
    </row>
    <row r="68" spans="1:3">
      <c r="A68" t="s">
        <v>354</v>
      </c>
      <c r="B68" t="s">
        <v>144</v>
      </c>
      <c r="C68">
        <v>1</v>
      </c>
    </row>
    <row r="69" spans="1:3">
      <c r="A69" t="s">
        <v>601</v>
      </c>
      <c r="B69" t="s">
        <v>144</v>
      </c>
      <c r="C69">
        <v>1</v>
      </c>
    </row>
    <row r="70" spans="1:3">
      <c r="A70" t="s">
        <v>350</v>
      </c>
      <c r="B70" t="s">
        <v>470</v>
      </c>
      <c r="C70">
        <v>1</v>
      </c>
    </row>
    <row r="71" spans="1:3">
      <c r="A71" t="s">
        <v>214</v>
      </c>
      <c r="B71" t="s">
        <v>215</v>
      </c>
      <c r="C71">
        <v>1</v>
      </c>
    </row>
    <row r="72" spans="1:3">
      <c r="A72" t="s">
        <v>177</v>
      </c>
      <c r="B72" t="s">
        <v>69</v>
      </c>
      <c r="C72">
        <v>1</v>
      </c>
    </row>
    <row r="73" spans="1:3">
      <c r="A73" t="s">
        <v>358</v>
      </c>
      <c r="B73" t="s">
        <v>475</v>
      </c>
      <c r="C73">
        <v>1</v>
      </c>
    </row>
    <row r="74" spans="1:3">
      <c r="A74" t="s">
        <v>383</v>
      </c>
      <c r="B74" t="s">
        <v>32</v>
      </c>
      <c r="C74">
        <v>1</v>
      </c>
    </row>
    <row r="75" spans="1:3">
      <c r="A75" t="s">
        <v>533</v>
      </c>
      <c r="B75" t="s">
        <v>32</v>
      </c>
      <c r="C75">
        <v>1</v>
      </c>
    </row>
    <row r="76" spans="1:3">
      <c r="A76" t="s">
        <v>322</v>
      </c>
      <c r="B76" t="s">
        <v>107</v>
      </c>
      <c r="C76">
        <v>1</v>
      </c>
    </row>
    <row r="77" spans="1:3">
      <c r="A77" t="s">
        <v>525</v>
      </c>
      <c r="B77" t="s">
        <v>107</v>
      </c>
      <c r="C77">
        <v>1</v>
      </c>
    </row>
    <row r="78" spans="1:3">
      <c r="A78" t="s">
        <v>188</v>
      </c>
      <c r="B78" t="s">
        <v>41</v>
      </c>
      <c r="C78">
        <v>1</v>
      </c>
    </row>
    <row r="79" spans="1:3">
      <c r="A79" t="s">
        <v>368</v>
      </c>
      <c r="B79" t="s">
        <v>83</v>
      </c>
      <c r="C79">
        <v>1</v>
      </c>
    </row>
    <row r="80" spans="1:3">
      <c r="A80" t="s">
        <v>526</v>
      </c>
      <c r="B80" t="s">
        <v>83</v>
      </c>
      <c r="C80">
        <v>1</v>
      </c>
    </row>
    <row r="81" spans="1:3">
      <c r="A81" t="s">
        <v>427</v>
      </c>
      <c r="B81" t="s">
        <v>228</v>
      </c>
      <c r="C81">
        <v>1</v>
      </c>
    </row>
    <row r="82" spans="1:3">
      <c r="A82" t="s">
        <v>527</v>
      </c>
      <c r="B82" t="s">
        <v>6</v>
      </c>
      <c r="C82">
        <v>1</v>
      </c>
    </row>
    <row r="83" spans="1:3">
      <c r="A83" t="s">
        <v>439</v>
      </c>
      <c r="B83" t="s">
        <v>102</v>
      </c>
      <c r="C83">
        <v>1</v>
      </c>
    </row>
    <row r="84" spans="1:3">
      <c r="A84" t="s">
        <v>537</v>
      </c>
      <c r="B84" t="s">
        <v>102</v>
      </c>
      <c r="C84">
        <v>1</v>
      </c>
    </row>
    <row r="85" spans="1:3">
      <c r="A85" t="s">
        <v>288</v>
      </c>
      <c r="B85" t="s">
        <v>27</v>
      </c>
      <c r="C85">
        <v>1</v>
      </c>
    </row>
    <row r="86" spans="1:3">
      <c r="A86" t="s">
        <v>224</v>
      </c>
      <c r="B86" t="s">
        <v>18</v>
      </c>
      <c r="C86">
        <v>1</v>
      </c>
    </row>
    <row r="87" spans="1:3">
      <c r="A87" t="s">
        <v>332</v>
      </c>
      <c r="B87" t="s">
        <v>30</v>
      </c>
      <c r="C87">
        <v>1</v>
      </c>
    </row>
    <row r="88" spans="1:3">
      <c r="A88" t="s">
        <v>271</v>
      </c>
      <c r="B88" t="s">
        <v>272</v>
      </c>
      <c r="C88">
        <v>1</v>
      </c>
    </row>
    <row r="89" spans="1:3">
      <c r="A89" t="s">
        <v>298</v>
      </c>
      <c r="B89" t="s">
        <v>299</v>
      </c>
      <c r="C89">
        <v>1</v>
      </c>
    </row>
    <row r="90" spans="1:3">
      <c r="A90" t="s">
        <v>450</v>
      </c>
      <c r="B90" t="s">
        <v>31</v>
      </c>
      <c r="C90">
        <v>1</v>
      </c>
    </row>
    <row r="91" spans="1:3">
      <c r="A91" t="s">
        <v>544</v>
      </c>
      <c r="B91" t="s">
        <v>31</v>
      </c>
      <c r="C91">
        <v>1</v>
      </c>
    </row>
    <row r="92" spans="1:3">
      <c r="A92" t="s">
        <v>302</v>
      </c>
      <c r="B92" t="s">
        <v>460</v>
      </c>
      <c r="C92">
        <v>1</v>
      </c>
    </row>
    <row r="93" spans="1:3">
      <c r="A93" t="s">
        <v>447</v>
      </c>
      <c r="B93" t="s">
        <v>290</v>
      </c>
      <c r="C93">
        <v>1</v>
      </c>
    </row>
    <row r="94" spans="1:3">
      <c r="A94" t="s">
        <v>603</v>
      </c>
      <c r="B94" t="s">
        <v>499</v>
      </c>
      <c r="C94">
        <v>1</v>
      </c>
    </row>
    <row r="95" spans="1:3">
      <c r="A95" t="s">
        <v>335</v>
      </c>
      <c r="B95" t="s">
        <v>135</v>
      </c>
      <c r="C95">
        <v>1</v>
      </c>
    </row>
    <row r="96" spans="1:3">
      <c r="A96" t="s">
        <v>551</v>
      </c>
      <c r="B96" t="s">
        <v>135</v>
      </c>
      <c r="C96">
        <v>1</v>
      </c>
    </row>
    <row r="97" spans="1:3">
      <c r="A97" t="s">
        <v>424</v>
      </c>
      <c r="B97" t="s">
        <v>115</v>
      </c>
      <c r="C97">
        <v>1</v>
      </c>
    </row>
    <row r="98" spans="1:3">
      <c r="A98" t="s">
        <v>547</v>
      </c>
      <c r="B98" t="s">
        <v>136</v>
      </c>
      <c r="C98">
        <v>1</v>
      </c>
    </row>
    <row r="99" spans="1:3">
      <c r="A99" t="s">
        <v>204</v>
      </c>
      <c r="B99" t="s">
        <v>205</v>
      </c>
      <c r="C99">
        <v>1</v>
      </c>
    </row>
    <row r="100" spans="1:3">
      <c r="A100" t="s">
        <v>604</v>
      </c>
      <c r="B100" t="s">
        <v>634</v>
      </c>
      <c r="C100">
        <v>1</v>
      </c>
    </row>
    <row r="101" spans="1:3">
      <c r="A101" t="s">
        <v>399</v>
      </c>
      <c r="B101" t="s">
        <v>29</v>
      </c>
      <c r="C101">
        <v>1</v>
      </c>
    </row>
    <row r="102" spans="1:3">
      <c r="A102" t="s">
        <v>567</v>
      </c>
      <c r="B102" t="s">
        <v>29</v>
      </c>
      <c r="C102">
        <v>1</v>
      </c>
    </row>
    <row r="103" spans="1:3">
      <c r="A103" t="s">
        <v>357</v>
      </c>
      <c r="B103" t="s">
        <v>225</v>
      </c>
      <c r="C103">
        <v>1</v>
      </c>
    </row>
    <row r="104" spans="1:3">
      <c r="A104" t="s">
        <v>340</v>
      </c>
      <c r="B104" t="s">
        <v>467</v>
      </c>
      <c r="C104">
        <v>1</v>
      </c>
    </row>
    <row r="105" spans="1:3">
      <c r="A105" t="s">
        <v>347</v>
      </c>
      <c r="B105" t="s">
        <v>217</v>
      </c>
      <c r="C105">
        <v>1</v>
      </c>
    </row>
    <row r="106" spans="1:3">
      <c r="A106" t="s">
        <v>405</v>
      </c>
      <c r="B106" t="s">
        <v>493</v>
      </c>
      <c r="C106">
        <v>1</v>
      </c>
    </row>
    <row r="107" spans="1:3">
      <c r="A107" t="s">
        <v>237</v>
      </c>
      <c r="B107" t="s">
        <v>113</v>
      </c>
      <c r="C107">
        <v>1</v>
      </c>
    </row>
    <row r="108" spans="1:3">
      <c r="A108" t="s">
        <v>415</v>
      </c>
      <c r="B108" t="s">
        <v>78</v>
      </c>
      <c r="C108">
        <v>1</v>
      </c>
    </row>
    <row r="109" spans="1:3">
      <c r="A109" t="s">
        <v>605</v>
      </c>
      <c r="B109" t="s">
        <v>78</v>
      </c>
      <c r="C109">
        <v>1</v>
      </c>
    </row>
    <row r="110" spans="1:3">
      <c r="A110" t="s">
        <v>361</v>
      </c>
      <c r="B110" t="s">
        <v>295</v>
      </c>
      <c r="C110">
        <v>1</v>
      </c>
    </row>
    <row r="111" spans="1:3">
      <c r="A111" t="s">
        <v>452</v>
      </c>
      <c r="B111" t="s">
        <v>130</v>
      </c>
      <c r="C111">
        <v>1</v>
      </c>
    </row>
    <row r="112" spans="1:3">
      <c r="A112" t="s">
        <v>436</v>
      </c>
      <c r="B112" t="s">
        <v>19</v>
      </c>
      <c r="C112">
        <v>1</v>
      </c>
    </row>
    <row r="113" spans="1:3">
      <c r="A113" t="s">
        <v>158</v>
      </c>
      <c r="B113" t="s">
        <v>48</v>
      </c>
      <c r="C113">
        <v>1</v>
      </c>
    </row>
    <row r="114" spans="1:3">
      <c r="A114" t="s">
        <v>420</v>
      </c>
      <c r="B114" t="s">
        <v>39</v>
      </c>
      <c r="C114">
        <v>1</v>
      </c>
    </row>
    <row r="115" spans="1:3">
      <c r="A115" t="s">
        <v>575</v>
      </c>
      <c r="B115" t="s">
        <v>39</v>
      </c>
      <c r="C115">
        <v>1</v>
      </c>
    </row>
    <row r="116" spans="1:3">
      <c r="A116" t="s">
        <v>160</v>
      </c>
      <c r="B116" t="s">
        <v>59</v>
      </c>
      <c r="C116">
        <v>1</v>
      </c>
    </row>
    <row r="117" spans="1:3">
      <c r="A117" t="s">
        <v>353</v>
      </c>
      <c r="B117" t="s">
        <v>472</v>
      </c>
      <c r="C117">
        <v>1</v>
      </c>
    </row>
    <row r="118" spans="1:3">
      <c r="A118" t="s">
        <v>538</v>
      </c>
      <c r="B118" t="s">
        <v>131</v>
      </c>
      <c r="C118">
        <v>1</v>
      </c>
    </row>
    <row r="119" spans="1:3">
      <c r="A119" t="s">
        <v>360</v>
      </c>
      <c r="B119" t="s">
        <v>476</v>
      </c>
      <c r="C119">
        <v>1</v>
      </c>
    </row>
    <row r="120" spans="1:3">
      <c r="A120" t="s">
        <v>428</v>
      </c>
      <c r="B120" t="s">
        <v>105</v>
      </c>
      <c r="C120">
        <v>1</v>
      </c>
    </row>
    <row r="121" spans="1:3">
      <c r="A121" t="s">
        <v>584</v>
      </c>
      <c r="B121" t="s">
        <v>105</v>
      </c>
      <c r="C121">
        <v>1</v>
      </c>
    </row>
    <row r="122" spans="1:3">
      <c r="A122" t="s">
        <v>454</v>
      </c>
      <c r="B122" t="s">
        <v>16</v>
      </c>
      <c r="C122">
        <v>1</v>
      </c>
    </row>
    <row r="123" spans="1:3">
      <c r="A123" t="s">
        <v>392</v>
      </c>
      <c r="B123" t="s">
        <v>202</v>
      </c>
      <c r="C123">
        <v>1</v>
      </c>
    </row>
    <row r="124" spans="1:3">
      <c r="A124" t="s">
        <v>574</v>
      </c>
      <c r="B124" t="s">
        <v>202</v>
      </c>
      <c r="C124">
        <v>1</v>
      </c>
    </row>
    <row r="125" spans="1:3">
      <c r="A125" t="s">
        <v>318</v>
      </c>
      <c r="B125" t="s">
        <v>88</v>
      </c>
      <c r="C125">
        <v>1</v>
      </c>
    </row>
    <row r="126" spans="1:3">
      <c r="A126" t="s">
        <v>516</v>
      </c>
      <c r="B126" t="s">
        <v>88</v>
      </c>
      <c r="C126">
        <v>1</v>
      </c>
    </row>
    <row r="127" spans="1:3">
      <c r="A127" t="s">
        <v>179</v>
      </c>
      <c r="B127" t="s">
        <v>180</v>
      </c>
      <c r="C127">
        <v>1</v>
      </c>
    </row>
    <row r="128" spans="1:3">
      <c r="A128" t="s">
        <v>203</v>
      </c>
      <c r="B128" t="s">
        <v>55</v>
      </c>
      <c r="C128">
        <v>1</v>
      </c>
    </row>
    <row r="129" spans="1:3">
      <c r="A129" t="s">
        <v>334</v>
      </c>
      <c r="B129" t="s">
        <v>175</v>
      </c>
      <c r="C129">
        <v>1</v>
      </c>
    </row>
    <row r="130" spans="1:3">
      <c r="A130" t="s">
        <v>457</v>
      </c>
      <c r="B130" t="s">
        <v>491</v>
      </c>
      <c r="C130">
        <v>1</v>
      </c>
    </row>
    <row r="131" spans="1:3">
      <c r="A131" t="s">
        <v>263</v>
      </c>
      <c r="B131" t="s">
        <v>13</v>
      </c>
      <c r="C131">
        <v>1</v>
      </c>
    </row>
    <row r="132" spans="1:3">
      <c r="A132" t="s">
        <v>416</v>
      </c>
      <c r="B132" t="s">
        <v>178</v>
      </c>
      <c r="C132">
        <v>1</v>
      </c>
    </row>
    <row r="133" spans="1:3">
      <c r="A133" t="s">
        <v>417</v>
      </c>
      <c r="B133" t="s">
        <v>172</v>
      </c>
      <c r="C133">
        <v>1</v>
      </c>
    </row>
    <row r="134" spans="1:3">
      <c r="A134" t="s">
        <v>444</v>
      </c>
      <c r="B134" t="s">
        <v>181</v>
      </c>
      <c r="C134">
        <v>1</v>
      </c>
    </row>
    <row r="135" spans="1:3">
      <c r="A135" t="s">
        <v>404</v>
      </c>
      <c r="B135" t="s">
        <v>54</v>
      </c>
      <c r="C135">
        <v>1</v>
      </c>
    </row>
    <row r="136" spans="1:3">
      <c r="A136" t="s">
        <v>571</v>
      </c>
      <c r="B136" t="s">
        <v>54</v>
      </c>
      <c r="C136">
        <v>1</v>
      </c>
    </row>
    <row r="137" spans="1:3">
      <c r="A137" t="s">
        <v>403</v>
      </c>
      <c r="B137" t="s">
        <v>62</v>
      </c>
      <c r="C137">
        <v>1</v>
      </c>
    </row>
    <row r="138" spans="1:3">
      <c r="A138" t="s">
        <v>572</v>
      </c>
      <c r="B138" t="s">
        <v>62</v>
      </c>
      <c r="C138">
        <v>1</v>
      </c>
    </row>
    <row r="139" spans="1:3">
      <c r="A139" t="s">
        <v>296</v>
      </c>
      <c r="B139" t="s">
        <v>85</v>
      </c>
      <c r="C139">
        <v>1</v>
      </c>
    </row>
    <row r="140" spans="1:3">
      <c r="A140" t="s">
        <v>408</v>
      </c>
      <c r="B140" t="s">
        <v>112</v>
      </c>
      <c r="C140">
        <v>1</v>
      </c>
    </row>
    <row r="141" spans="1:3">
      <c r="A141" t="s">
        <v>585</v>
      </c>
      <c r="B141" t="s">
        <v>112</v>
      </c>
      <c r="C141">
        <v>1</v>
      </c>
    </row>
    <row r="142" spans="1:3">
      <c r="A142" t="s">
        <v>385</v>
      </c>
      <c r="B142" t="s">
        <v>159</v>
      </c>
      <c r="C142">
        <v>1</v>
      </c>
    </row>
    <row r="143" spans="1:3">
      <c r="A143" t="s">
        <v>342</v>
      </c>
      <c r="B143" t="s">
        <v>119</v>
      </c>
      <c r="C143">
        <v>1</v>
      </c>
    </row>
    <row r="144" spans="1:3">
      <c r="A144" t="s">
        <v>536</v>
      </c>
      <c r="B144" t="s">
        <v>119</v>
      </c>
      <c r="C144">
        <v>1</v>
      </c>
    </row>
    <row r="145" spans="1:3">
      <c r="A145" t="s">
        <v>401</v>
      </c>
      <c r="B145" t="s">
        <v>120</v>
      </c>
      <c r="C145">
        <v>1</v>
      </c>
    </row>
    <row r="146" spans="1:3">
      <c r="A146" t="s">
        <v>563</v>
      </c>
      <c r="B146" t="s">
        <v>120</v>
      </c>
      <c r="C146">
        <v>1</v>
      </c>
    </row>
    <row r="147" spans="1:3">
      <c r="A147" t="s">
        <v>561</v>
      </c>
      <c r="B147" t="s">
        <v>117</v>
      </c>
      <c r="C147">
        <v>1</v>
      </c>
    </row>
    <row r="148" spans="1:3">
      <c r="A148" t="s">
        <v>213</v>
      </c>
      <c r="B148" t="s">
        <v>37</v>
      </c>
      <c r="C148">
        <v>1</v>
      </c>
    </row>
    <row r="149" spans="1:3">
      <c r="A149" t="s">
        <v>422</v>
      </c>
      <c r="B149" t="s">
        <v>199</v>
      </c>
      <c r="C149">
        <v>1</v>
      </c>
    </row>
    <row r="150" spans="1:3">
      <c r="A150" t="s">
        <v>610</v>
      </c>
      <c r="B150" t="s">
        <v>199</v>
      </c>
      <c r="C150">
        <v>1</v>
      </c>
    </row>
    <row r="151" spans="1:3">
      <c r="A151" t="s">
        <v>390</v>
      </c>
      <c r="B151" t="s">
        <v>244</v>
      </c>
      <c r="C151">
        <v>1</v>
      </c>
    </row>
    <row r="152" spans="1:3">
      <c r="A152" t="s">
        <v>201</v>
      </c>
      <c r="B152" t="s">
        <v>121</v>
      </c>
      <c r="C152">
        <v>1</v>
      </c>
    </row>
    <row r="153" spans="1:3">
      <c r="A153" t="s">
        <v>200</v>
      </c>
      <c r="B153" t="s">
        <v>95</v>
      </c>
      <c r="C153">
        <v>1</v>
      </c>
    </row>
    <row r="154" spans="1:3">
      <c r="A154" t="s">
        <v>337</v>
      </c>
      <c r="B154" t="s">
        <v>100</v>
      </c>
      <c r="C154">
        <v>1</v>
      </c>
    </row>
    <row r="155" spans="1:3">
      <c r="A155" t="s">
        <v>564</v>
      </c>
      <c r="B155" t="s">
        <v>100</v>
      </c>
      <c r="C155">
        <v>1</v>
      </c>
    </row>
    <row r="156" spans="1:3">
      <c r="A156" t="s">
        <v>434</v>
      </c>
      <c r="B156" t="s">
        <v>23</v>
      </c>
      <c r="C156">
        <v>1</v>
      </c>
    </row>
    <row r="157" spans="1:3">
      <c r="A157" t="s">
        <v>531</v>
      </c>
      <c r="B157" t="s">
        <v>23</v>
      </c>
      <c r="C157">
        <v>1</v>
      </c>
    </row>
    <row r="158" spans="1:3">
      <c r="A158" t="s">
        <v>248</v>
      </c>
      <c r="B158" t="s">
        <v>249</v>
      </c>
      <c r="C158">
        <v>1</v>
      </c>
    </row>
    <row r="159" spans="1:3">
      <c r="A159" t="s">
        <v>346</v>
      </c>
      <c r="B159" t="s">
        <v>91</v>
      </c>
      <c r="C159">
        <v>1</v>
      </c>
    </row>
    <row r="160" spans="1:3">
      <c r="A160" t="s">
        <v>155</v>
      </c>
      <c r="B160" t="s">
        <v>156</v>
      </c>
      <c r="C160">
        <v>1</v>
      </c>
    </row>
    <row r="161" spans="1:3">
      <c r="A161" t="s">
        <v>261</v>
      </c>
      <c r="B161" t="s">
        <v>45</v>
      </c>
      <c r="C161">
        <v>1</v>
      </c>
    </row>
    <row r="162" spans="1:3">
      <c r="A162" t="s">
        <v>413</v>
      </c>
      <c r="B162" t="s">
        <v>139</v>
      </c>
      <c r="C162">
        <v>1</v>
      </c>
    </row>
    <row r="163" spans="1:3">
      <c r="A163" t="s">
        <v>406</v>
      </c>
      <c r="B163" t="s">
        <v>108</v>
      </c>
      <c r="C163">
        <v>1</v>
      </c>
    </row>
    <row r="164" spans="1:3">
      <c r="A164" t="s">
        <v>583</v>
      </c>
      <c r="B164" t="s">
        <v>108</v>
      </c>
      <c r="C164">
        <v>1</v>
      </c>
    </row>
    <row r="165" spans="1:3">
      <c r="A165" t="s">
        <v>251</v>
      </c>
      <c r="B165" t="s">
        <v>116</v>
      </c>
      <c r="C165">
        <v>1</v>
      </c>
    </row>
    <row r="166" spans="1:3">
      <c r="A166" t="s">
        <v>251</v>
      </c>
      <c r="B166" t="s">
        <v>591</v>
      </c>
      <c r="C166">
        <v>1</v>
      </c>
    </row>
    <row r="167" spans="1:3">
      <c r="A167" t="s">
        <v>429</v>
      </c>
      <c r="B167" t="s">
        <v>488</v>
      </c>
      <c r="C167">
        <v>1</v>
      </c>
    </row>
    <row r="168" spans="1:3">
      <c r="A168" t="s">
        <v>253</v>
      </c>
      <c r="B168" t="s">
        <v>254</v>
      </c>
      <c r="C168">
        <v>1</v>
      </c>
    </row>
    <row r="169" spans="1:3">
      <c r="A169" t="s">
        <v>206</v>
      </c>
      <c r="B169" t="s">
        <v>207</v>
      </c>
      <c r="C169">
        <v>1</v>
      </c>
    </row>
    <row r="170" spans="1:3">
      <c r="A170" t="s">
        <v>351</v>
      </c>
      <c r="B170" t="s">
        <v>471</v>
      </c>
      <c r="C170">
        <v>1</v>
      </c>
    </row>
    <row r="171" spans="1:3">
      <c r="A171" t="s">
        <v>363</v>
      </c>
      <c r="B171" t="s">
        <v>65</v>
      </c>
      <c r="C171">
        <v>1</v>
      </c>
    </row>
    <row r="172" spans="1:3">
      <c r="A172" t="s">
        <v>273</v>
      </c>
      <c r="B172" t="s">
        <v>274</v>
      </c>
      <c r="C172">
        <v>1</v>
      </c>
    </row>
    <row r="173" spans="1:3">
      <c r="A173" t="s">
        <v>456</v>
      </c>
      <c r="B173" t="s">
        <v>490</v>
      </c>
      <c r="C173">
        <v>1</v>
      </c>
    </row>
    <row r="174" spans="1:3">
      <c r="A174" t="s">
        <v>345</v>
      </c>
      <c r="B174" t="s">
        <v>469</v>
      </c>
      <c r="C174">
        <v>1</v>
      </c>
    </row>
    <row r="175" spans="1:3">
      <c r="A175" t="s">
        <v>414</v>
      </c>
      <c r="B175" t="s">
        <v>257</v>
      </c>
      <c r="C175">
        <v>1</v>
      </c>
    </row>
    <row r="176" spans="1:3">
      <c r="A176" t="s">
        <v>260</v>
      </c>
      <c r="B176" t="s">
        <v>28</v>
      </c>
      <c r="C176">
        <v>1</v>
      </c>
    </row>
    <row r="177" spans="1:3">
      <c r="A177" t="s">
        <v>314</v>
      </c>
      <c r="B177" t="s">
        <v>103</v>
      </c>
      <c r="C177">
        <v>1</v>
      </c>
    </row>
    <row r="178" spans="1:3">
      <c r="A178" t="s">
        <v>387</v>
      </c>
      <c r="B178" t="s">
        <v>60</v>
      </c>
      <c r="C178">
        <v>1</v>
      </c>
    </row>
    <row r="179" spans="1:3">
      <c r="A179" t="s">
        <v>532</v>
      </c>
      <c r="B179" t="s">
        <v>132</v>
      </c>
      <c r="C179">
        <v>1</v>
      </c>
    </row>
    <row r="180" spans="1:3">
      <c r="A180" t="s">
        <v>283</v>
      </c>
      <c r="B180" t="s">
        <v>46</v>
      </c>
      <c r="C180">
        <v>1</v>
      </c>
    </row>
    <row r="181" spans="1:3">
      <c r="A181" t="s">
        <v>193</v>
      </c>
      <c r="B181" t="s">
        <v>87</v>
      </c>
      <c r="C181">
        <v>1</v>
      </c>
    </row>
    <row r="182" spans="1:3">
      <c r="A182" t="s">
        <v>186</v>
      </c>
      <c r="B182" t="s">
        <v>187</v>
      </c>
      <c r="C182">
        <v>1</v>
      </c>
    </row>
    <row r="183" spans="1:3">
      <c r="A183" t="s">
        <v>372</v>
      </c>
      <c r="B183" t="s">
        <v>226</v>
      </c>
      <c r="C183">
        <v>1</v>
      </c>
    </row>
    <row r="184" spans="1:3">
      <c r="A184" t="s">
        <v>209</v>
      </c>
      <c r="B184" t="s">
        <v>210</v>
      </c>
      <c r="C184">
        <v>1</v>
      </c>
    </row>
    <row r="185" spans="1:3">
      <c r="A185" t="s">
        <v>164</v>
      </c>
      <c r="B185" t="s">
        <v>21</v>
      </c>
      <c r="C185">
        <v>1</v>
      </c>
    </row>
    <row r="186" spans="1:3">
      <c r="A186" t="s">
        <v>435</v>
      </c>
      <c r="B186" t="s">
        <v>487</v>
      </c>
      <c r="C186">
        <v>1</v>
      </c>
    </row>
    <row r="187" spans="1:3">
      <c r="A187" t="s">
        <v>369</v>
      </c>
      <c r="B187" t="s">
        <v>134</v>
      </c>
      <c r="C187">
        <v>1</v>
      </c>
    </row>
    <row r="188" spans="1:3">
      <c r="A188" t="s">
        <v>208</v>
      </c>
      <c r="B188" t="s">
        <v>17</v>
      </c>
      <c r="C188">
        <v>1</v>
      </c>
    </row>
    <row r="189" spans="1:3">
      <c r="A189" t="s">
        <v>455</v>
      </c>
      <c r="B189" t="s">
        <v>903</v>
      </c>
      <c r="C189">
        <v>1</v>
      </c>
    </row>
    <row r="190" spans="1:3">
      <c r="A190" t="s">
        <v>313</v>
      </c>
      <c r="B190" t="s">
        <v>250</v>
      </c>
      <c r="C190">
        <v>1</v>
      </c>
    </row>
    <row r="191" spans="1:3">
      <c r="A191" t="s">
        <v>222</v>
      </c>
      <c r="B191" t="s">
        <v>223</v>
      </c>
      <c r="C191">
        <v>1</v>
      </c>
    </row>
    <row r="192" spans="1:3">
      <c r="A192" t="s">
        <v>407</v>
      </c>
      <c r="B192" t="s">
        <v>73</v>
      </c>
      <c r="C192">
        <v>1</v>
      </c>
    </row>
    <row r="193" spans="1:3">
      <c r="A193" t="s">
        <v>377</v>
      </c>
      <c r="B193" t="s">
        <v>481</v>
      </c>
      <c r="C193">
        <v>1</v>
      </c>
    </row>
    <row r="194" spans="1:3">
      <c r="A194" t="s">
        <v>395</v>
      </c>
      <c r="B194" t="s">
        <v>483</v>
      </c>
      <c r="C194">
        <v>1</v>
      </c>
    </row>
    <row r="195" spans="1:3">
      <c r="A195" t="s">
        <v>146</v>
      </c>
      <c r="B195" t="s">
        <v>147</v>
      </c>
      <c r="C195">
        <v>1</v>
      </c>
    </row>
    <row r="196" spans="1:3">
      <c r="A196" t="s">
        <v>154</v>
      </c>
      <c r="B196" t="s">
        <v>57</v>
      </c>
      <c r="C196">
        <v>1</v>
      </c>
    </row>
    <row r="197" spans="1:3">
      <c r="A197" t="s">
        <v>411</v>
      </c>
      <c r="B197" t="s">
        <v>256</v>
      </c>
      <c r="C197">
        <v>1</v>
      </c>
    </row>
    <row r="198" spans="1:3">
      <c r="A198" t="s">
        <v>442</v>
      </c>
      <c r="B198" t="s">
        <v>259</v>
      </c>
      <c r="C198">
        <v>1</v>
      </c>
    </row>
    <row r="199" spans="1:3">
      <c r="A199" t="s">
        <v>433</v>
      </c>
      <c r="B199" t="s">
        <v>258</v>
      </c>
      <c r="C199">
        <v>1</v>
      </c>
    </row>
    <row r="200" spans="1:3">
      <c r="A200" t="s">
        <v>384</v>
      </c>
      <c r="B200" t="s">
        <v>64</v>
      </c>
      <c r="C200">
        <v>1</v>
      </c>
    </row>
    <row r="201" spans="1:3">
      <c r="A201" t="s">
        <v>262</v>
      </c>
      <c r="B201" t="s">
        <v>43</v>
      </c>
      <c r="C201">
        <v>1</v>
      </c>
    </row>
    <row r="202" spans="1:3">
      <c r="A202" t="s">
        <v>425</v>
      </c>
      <c r="B202" t="s">
        <v>35</v>
      </c>
      <c r="C202">
        <v>1</v>
      </c>
    </row>
    <row r="203" spans="1:3">
      <c r="A203" t="s">
        <v>565</v>
      </c>
      <c r="B203" t="s">
        <v>35</v>
      </c>
      <c r="C203">
        <v>1</v>
      </c>
    </row>
    <row r="204" spans="1:3">
      <c r="A204" t="s">
        <v>266</v>
      </c>
      <c r="B204" t="s">
        <v>72</v>
      </c>
      <c r="C204">
        <v>1</v>
      </c>
    </row>
    <row r="205" spans="1:3">
      <c r="A205" t="s">
        <v>421</v>
      </c>
      <c r="B205" t="s">
        <v>170</v>
      </c>
      <c r="C205">
        <v>1</v>
      </c>
    </row>
    <row r="206" spans="1:3">
      <c r="A206" t="s">
        <v>277</v>
      </c>
      <c r="B206" t="s">
        <v>25</v>
      </c>
      <c r="C206">
        <v>1</v>
      </c>
    </row>
    <row r="207" spans="1:3">
      <c r="A207" t="s">
        <v>380</v>
      </c>
      <c r="B207" t="s">
        <v>20</v>
      </c>
      <c r="C207">
        <v>1</v>
      </c>
    </row>
    <row r="208" spans="1:3">
      <c r="A208" t="s">
        <v>506</v>
      </c>
      <c r="B208" t="s">
        <v>594</v>
      </c>
      <c r="C208">
        <v>1</v>
      </c>
    </row>
    <row r="209" spans="1:3">
      <c r="A209" t="s">
        <v>381</v>
      </c>
      <c r="B209" t="s">
        <v>7</v>
      </c>
      <c r="C209">
        <v>1</v>
      </c>
    </row>
    <row r="210" spans="1:3">
      <c r="A210" t="s">
        <v>528</v>
      </c>
      <c r="B210" t="s">
        <v>7</v>
      </c>
      <c r="C210">
        <v>1</v>
      </c>
    </row>
    <row r="211" spans="1:3">
      <c r="A211" t="s">
        <v>331</v>
      </c>
      <c r="B211" t="s">
        <v>774</v>
      </c>
      <c r="C211">
        <v>1</v>
      </c>
    </row>
    <row r="212" spans="1:3">
      <c r="A212" t="s">
        <v>548</v>
      </c>
      <c r="B212" t="s">
        <v>774</v>
      </c>
      <c r="C212">
        <v>1</v>
      </c>
    </row>
    <row r="213" spans="1:3">
      <c r="A213" t="s">
        <v>171</v>
      </c>
      <c r="B213" t="s">
        <v>11</v>
      </c>
      <c r="C213">
        <v>1</v>
      </c>
    </row>
    <row r="214" spans="1:3">
      <c r="A214" t="s">
        <v>382</v>
      </c>
      <c r="B214" t="s">
        <v>126</v>
      </c>
      <c r="C214">
        <v>1</v>
      </c>
    </row>
    <row r="215" spans="1:3">
      <c r="A215" t="s">
        <v>522</v>
      </c>
      <c r="B215" t="s">
        <v>126</v>
      </c>
      <c r="C215">
        <v>1</v>
      </c>
    </row>
    <row r="216" spans="1:3">
      <c r="A216" t="s">
        <v>356</v>
      </c>
      <c r="B216" t="s">
        <v>474</v>
      </c>
      <c r="C216">
        <v>1</v>
      </c>
    </row>
    <row r="217" spans="1:3">
      <c r="A217" t="s">
        <v>167</v>
      </c>
      <c r="B217" t="s">
        <v>168</v>
      </c>
      <c r="C217">
        <v>1</v>
      </c>
    </row>
    <row r="218" spans="1:3">
      <c r="A218" t="s">
        <v>312</v>
      </c>
      <c r="B218" t="s">
        <v>71</v>
      </c>
      <c r="C218">
        <v>1</v>
      </c>
    </row>
    <row r="219" spans="1:3">
      <c r="A219" t="s">
        <v>291</v>
      </c>
      <c r="B219" t="s">
        <v>292</v>
      </c>
      <c r="C219">
        <v>1</v>
      </c>
    </row>
    <row r="220" spans="1:3">
      <c r="A220" t="s">
        <v>426</v>
      </c>
      <c r="B220" t="s">
        <v>92</v>
      </c>
      <c r="C220">
        <v>1</v>
      </c>
    </row>
    <row r="221" spans="1:3">
      <c r="A221" t="s">
        <v>523</v>
      </c>
      <c r="B221" t="s">
        <v>92</v>
      </c>
      <c r="C221">
        <v>1</v>
      </c>
    </row>
    <row r="222" spans="1:3">
      <c r="A222" t="s">
        <v>324</v>
      </c>
      <c r="B222" t="s">
        <v>464</v>
      </c>
      <c r="C222">
        <v>1</v>
      </c>
    </row>
    <row r="223" spans="1:3">
      <c r="A223" t="s">
        <v>373</v>
      </c>
      <c r="B223" t="s">
        <v>12</v>
      </c>
      <c r="C223">
        <v>1</v>
      </c>
    </row>
    <row r="224" spans="1:3">
      <c r="A224" t="s">
        <v>352</v>
      </c>
      <c r="B224" t="s">
        <v>140</v>
      </c>
      <c r="C224">
        <v>1</v>
      </c>
    </row>
    <row r="225" spans="1:3">
      <c r="A225" t="s">
        <v>169</v>
      </c>
      <c r="B225" t="s">
        <v>106</v>
      </c>
      <c r="C225">
        <v>1</v>
      </c>
    </row>
    <row r="226" spans="1:3">
      <c r="A226" t="s">
        <v>375</v>
      </c>
      <c r="B226" t="s">
        <v>480</v>
      </c>
      <c r="C226">
        <v>1</v>
      </c>
    </row>
    <row r="227" spans="1:3">
      <c r="A227" t="s">
        <v>443</v>
      </c>
      <c r="B227" t="s">
        <v>289</v>
      </c>
      <c r="C227">
        <v>1</v>
      </c>
    </row>
    <row r="228" spans="1:3">
      <c r="A228" t="s">
        <v>230</v>
      </c>
      <c r="B228" t="s">
        <v>231</v>
      </c>
      <c r="C228">
        <v>1</v>
      </c>
    </row>
    <row r="229" spans="1:3">
      <c r="A229" t="s">
        <v>614</v>
      </c>
      <c r="B229" t="s">
        <v>635</v>
      </c>
      <c r="C229">
        <v>1</v>
      </c>
    </row>
    <row r="230" spans="1:3">
      <c r="A230" t="s">
        <v>218</v>
      </c>
      <c r="B230" t="s">
        <v>219</v>
      </c>
      <c r="C230">
        <v>1</v>
      </c>
    </row>
    <row r="231" spans="1:3">
      <c r="A231" t="s">
        <v>438</v>
      </c>
      <c r="B231" t="s">
        <v>137</v>
      </c>
      <c r="C231">
        <v>1</v>
      </c>
    </row>
    <row r="232" spans="1:3">
      <c r="A232" t="s">
        <v>440</v>
      </c>
      <c r="B232" t="s">
        <v>129</v>
      </c>
      <c r="C232">
        <v>1</v>
      </c>
    </row>
    <row r="233" spans="1:3">
      <c r="A233" t="s">
        <v>326</v>
      </c>
      <c r="B233" t="s">
        <v>44</v>
      </c>
      <c r="C233">
        <v>1</v>
      </c>
    </row>
    <row r="234" spans="1:3">
      <c r="A234" t="s">
        <v>211</v>
      </c>
      <c r="B234" t="s">
        <v>212</v>
      </c>
      <c r="C234">
        <v>1</v>
      </c>
    </row>
    <row r="235" spans="1:3">
      <c r="A235" t="s">
        <v>184</v>
      </c>
      <c r="B235" t="s">
        <v>185</v>
      </c>
      <c r="C235">
        <v>1</v>
      </c>
    </row>
    <row r="236" spans="1:3">
      <c r="A236" t="s">
        <v>386</v>
      </c>
      <c r="B236" t="s">
        <v>182</v>
      </c>
      <c r="C236">
        <v>1</v>
      </c>
    </row>
    <row r="237" spans="1:3">
      <c r="A237" t="s">
        <v>449</v>
      </c>
      <c r="B237" t="s">
        <v>47</v>
      </c>
      <c r="C237">
        <v>1</v>
      </c>
    </row>
    <row r="238" spans="1:3">
      <c r="A238" t="s">
        <v>573</v>
      </c>
      <c r="B238" t="s">
        <v>47</v>
      </c>
      <c r="C238">
        <v>1</v>
      </c>
    </row>
    <row r="239" spans="1:3">
      <c r="A239" t="s">
        <v>183</v>
      </c>
      <c r="B239" t="s">
        <v>61</v>
      </c>
      <c r="C239">
        <v>1</v>
      </c>
    </row>
    <row r="240" spans="1:3">
      <c r="A240" t="s">
        <v>321</v>
      </c>
      <c r="B240" t="s">
        <v>56</v>
      </c>
      <c r="C240">
        <v>1</v>
      </c>
    </row>
    <row r="241" spans="1:3">
      <c r="A241" t="s">
        <v>566</v>
      </c>
      <c r="B241" t="s">
        <v>56</v>
      </c>
      <c r="C241">
        <v>1</v>
      </c>
    </row>
    <row r="242" spans="1:3">
      <c r="A242" t="s">
        <v>267</v>
      </c>
      <c r="B242" t="s">
        <v>138</v>
      </c>
      <c r="C242">
        <v>1</v>
      </c>
    </row>
    <row r="243" spans="1:3">
      <c r="A243" t="s">
        <v>388</v>
      </c>
      <c r="B243" t="s">
        <v>270</v>
      </c>
      <c r="C243">
        <v>1</v>
      </c>
    </row>
    <row r="244" spans="1:3">
      <c r="A244" t="s">
        <v>268</v>
      </c>
      <c r="B244" t="s">
        <v>89</v>
      </c>
      <c r="C244">
        <v>1</v>
      </c>
    </row>
    <row r="245" spans="1:3">
      <c r="A245" t="s">
        <v>448</v>
      </c>
      <c r="B245" t="s">
        <v>52</v>
      </c>
      <c r="C245">
        <v>1</v>
      </c>
    </row>
    <row r="246" spans="1:3">
      <c r="A246" t="s">
        <v>615</v>
      </c>
      <c r="B246" t="s">
        <v>52</v>
      </c>
      <c r="C246">
        <v>1</v>
      </c>
    </row>
    <row r="247" spans="1:3">
      <c r="A247" t="s">
        <v>453</v>
      </c>
      <c r="B247" t="s">
        <v>109</v>
      </c>
      <c r="C247">
        <v>1</v>
      </c>
    </row>
    <row r="248" spans="1:3">
      <c r="A248" t="s">
        <v>275</v>
      </c>
      <c r="B248" t="s">
        <v>276</v>
      </c>
      <c r="C248">
        <v>1</v>
      </c>
    </row>
    <row r="249" spans="1:3">
      <c r="A249" t="s">
        <v>437</v>
      </c>
      <c r="B249" t="s">
        <v>127</v>
      </c>
      <c r="C249">
        <v>1</v>
      </c>
    </row>
    <row r="250" spans="1:3">
      <c r="A250" t="s">
        <v>269</v>
      </c>
      <c r="B250" t="s">
        <v>84</v>
      </c>
      <c r="C250">
        <v>1</v>
      </c>
    </row>
    <row r="251" spans="1:3">
      <c r="A251" t="s">
        <v>173</v>
      </c>
      <c r="B251" t="s">
        <v>58</v>
      </c>
      <c r="C251">
        <v>1</v>
      </c>
    </row>
    <row r="252" spans="1:3">
      <c r="A252" t="s">
        <v>300</v>
      </c>
      <c r="B252" t="s">
        <v>81</v>
      </c>
      <c r="C252">
        <v>1</v>
      </c>
    </row>
    <row r="253" spans="1:3">
      <c r="A253" t="s">
        <v>343</v>
      </c>
      <c r="B253" t="s">
        <v>468</v>
      </c>
      <c r="C253">
        <v>1</v>
      </c>
    </row>
    <row r="254" spans="1:3">
      <c r="A254" t="s">
        <v>286</v>
      </c>
      <c r="B254" t="s">
        <v>287</v>
      </c>
      <c r="C254">
        <v>1</v>
      </c>
    </row>
    <row r="255" spans="1:3">
      <c r="A255" t="s">
        <v>284</v>
      </c>
      <c r="B255" t="s">
        <v>285</v>
      </c>
      <c r="C255">
        <v>1</v>
      </c>
    </row>
    <row r="256" spans="1:3">
      <c r="A256" t="s">
        <v>255</v>
      </c>
      <c r="B256" t="s">
        <v>80</v>
      </c>
      <c r="C256">
        <v>1</v>
      </c>
    </row>
    <row r="257" spans="1:3">
      <c r="A257" t="s">
        <v>320</v>
      </c>
      <c r="B257" t="s">
        <v>463</v>
      </c>
      <c r="C257">
        <v>1</v>
      </c>
    </row>
    <row r="258" spans="1:3">
      <c r="A258" t="s">
        <v>398</v>
      </c>
      <c r="B258" t="s">
        <v>26</v>
      </c>
      <c r="C258">
        <v>1</v>
      </c>
    </row>
    <row r="259" spans="1:3">
      <c r="A259" t="s">
        <v>616</v>
      </c>
      <c r="B259" t="s">
        <v>26</v>
      </c>
      <c r="C259">
        <v>1</v>
      </c>
    </row>
    <row r="260" spans="1:3">
      <c r="A260" t="s">
        <v>494</v>
      </c>
      <c r="B260" t="s">
        <v>82</v>
      </c>
      <c r="C260">
        <v>1</v>
      </c>
    </row>
    <row r="261" spans="1:3">
      <c r="A261" t="s">
        <v>410</v>
      </c>
      <c r="B261" t="s">
        <v>70</v>
      </c>
      <c r="C261">
        <v>1</v>
      </c>
    </row>
    <row r="262" spans="1:3">
      <c r="A262" t="s">
        <v>540</v>
      </c>
      <c r="B262" t="s">
        <v>70</v>
      </c>
      <c r="C262">
        <v>1</v>
      </c>
    </row>
    <row r="263" spans="1:3">
      <c r="A263" t="s">
        <v>281</v>
      </c>
      <c r="B263" t="s">
        <v>282</v>
      </c>
      <c r="C263">
        <v>1</v>
      </c>
    </row>
    <row r="264" spans="1:3">
      <c r="A264" t="s">
        <v>264</v>
      </c>
      <c r="B264" t="s">
        <v>265</v>
      </c>
      <c r="C264">
        <v>1</v>
      </c>
    </row>
    <row r="265" spans="1:3">
      <c r="A265" t="s">
        <v>459</v>
      </c>
      <c r="B265" t="s">
        <v>492</v>
      </c>
      <c r="C265">
        <v>1</v>
      </c>
    </row>
    <row r="266" spans="1:3">
      <c r="A266" t="s">
        <v>293</v>
      </c>
      <c r="B266" t="s">
        <v>98</v>
      </c>
      <c r="C266">
        <v>1</v>
      </c>
    </row>
    <row r="267" spans="1:3">
      <c r="A267" t="s">
        <v>294</v>
      </c>
      <c r="B267" t="s">
        <v>104</v>
      </c>
      <c r="C267">
        <v>1</v>
      </c>
    </row>
    <row r="268" spans="1:3">
      <c r="A268" t="s">
        <v>153</v>
      </c>
      <c r="B268" t="s">
        <v>93</v>
      </c>
      <c r="C268">
        <v>1</v>
      </c>
    </row>
    <row r="269" spans="1:3">
      <c r="A269" t="s">
        <v>329</v>
      </c>
      <c r="B269" t="s">
        <v>53</v>
      </c>
      <c r="C269">
        <v>1</v>
      </c>
    </row>
    <row r="270" spans="1:3">
      <c r="A270" t="s">
        <v>328</v>
      </c>
      <c r="B270" t="s">
        <v>74</v>
      </c>
      <c r="C270">
        <v>1</v>
      </c>
    </row>
    <row r="271" spans="1:3">
      <c r="A271" t="s">
        <v>582</v>
      </c>
      <c r="B271" t="s">
        <v>74</v>
      </c>
      <c r="C271">
        <v>1</v>
      </c>
    </row>
    <row r="272" spans="1:3">
      <c r="A272" t="s">
        <v>165</v>
      </c>
      <c r="B272" t="s">
        <v>34</v>
      </c>
      <c r="C272">
        <v>1</v>
      </c>
    </row>
    <row r="273" spans="1:3">
      <c r="A273" t="s">
        <v>196</v>
      </c>
      <c r="B273" t="s">
        <v>96</v>
      </c>
      <c r="C273">
        <v>1</v>
      </c>
    </row>
    <row r="274" spans="1:3">
      <c r="A274" t="s">
        <v>333</v>
      </c>
      <c r="B274" t="s">
        <v>111</v>
      </c>
      <c r="C274">
        <v>1</v>
      </c>
    </row>
    <row r="275" spans="1:3">
      <c r="A275" t="s">
        <v>578</v>
      </c>
      <c r="B275" t="s">
        <v>111</v>
      </c>
      <c r="C275">
        <v>1</v>
      </c>
    </row>
    <row r="276" spans="1:3">
      <c r="A276" t="s">
        <v>497</v>
      </c>
      <c r="B276" t="s">
        <v>636</v>
      </c>
      <c r="C276">
        <v>1</v>
      </c>
    </row>
    <row r="277" spans="1:3">
      <c r="A277" t="s">
        <v>227</v>
      </c>
      <c r="B277" t="s">
        <v>99</v>
      </c>
      <c r="C277">
        <v>1</v>
      </c>
    </row>
    <row r="278" spans="1:3">
      <c r="A278" t="s">
        <v>216</v>
      </c>
      <c r="B278" t="s">
        <v>101</v>
      </c>
      <c r="C278">
        <v>1</v>
      </c>
    </row>
    <row r="279" spans="1:3">
      <c r="A279" t="s">
        <v>580</v>
      </c>
      <c r="B279" t="s">
        <v>9</v>
      </c>
      <c r="C279">
        <v>1</v>
      </c>
    </row>
    <row r="280" spans="1:3">
      <c r="A280" t="s">
        <v>394</v>
      </c>
      <c r="B280" t="s">
        <v>280</v>
      </c>
      <c r="C280">
        <v>1</v>
      </c>
    </row>
    <row r="281" spans="1:3">
      <c r="A281" t="s">
        <v>232</v>
      </c>
      <c r="B281" t="s">
        <v>233</v>
      </c>
      <c r="C281">
        <v>1</v>
      </c>
    </row>
    <row r="282" spans="1:3">
      <c r="A282" t="s">
        <v>174</v>
      </c>
      <c r="B282" t="s">
        <v>40</v>
      </c>
      <c r="C282">
        <v>1</v>
      </c>
    </row>
    <row r="283" spans="1:3">
      <c r="A283" t="s">
        <v>419</v>
      </c>
      <c r="B283" t="s">
        <v>51</v>
      </c>
      <c r="C283">
        <v>1</v>
      </c>
    </row>
    <row r="284" spans="1:3">
      <c r="A284" t="s">
        <v>568</v>
      </c>
      <c r="B284" t="s">
        <v>51</v>
      </c>
      <c r="C284">
        <v>1</v>
      </c>
    </row>
    <row r="285" spans="1:3">
      <c r="A285" t="s">
        <v>338</v>
      </c>
      <c r="B285" t="s">
        <v>114</v>
      </c>
      <c r="C285">
        <v>1</v>
      </c>
    </row>
    <row r="286" spans="1:3">
      <c r="A286" t="s">
        <v>556</v>
      </c>
      <c r="B286" t="s">
        <v>114</v>
      </c>
      <c r="C286">
        <v>1</v>
      </c>
    </row>
    <row r="287" spans="1:3">
      <c r="A287" t="s">
        <v>315</v>
      </c>
      <c r="B287" t="s">
        <v>68</v>
      </c>
      <c r="C287">
        <v>1</v>
      </c>
    </row>
    <row r="288" spans="1:3">
      <c r="A288" t="s">
        <v>560</v>
      </c>
      <c r="B288" t="s">
        <v>15</v>
      </c>
      <c r="C288">
        <v>1</v>
      </c>
    </row>
    <row r="289" spans="1:3">
      <c r="A289" t="s">
        <v>197</v>
      </c>
      <c r="B289" t="s">
        <v>198</v>
      </c>
      <c r="C289">
        <v>1</v>
      </c>
    </row>
    <row r="290" spans="1:3">
      <c r="A290" t="s">
        <v>311</v>
      </c>
      <c r="B290" t="s">
        <v>461</v>
      </c>
      <c r="C290">
        <v>1</v>
      </c>
    </row>
    <row r="291" spans="1:3">
      <c r="A291" t="s">
        <v>355</v>
      </c>
      <c r="B291" t="s">
        <v>473</v>
      </c>
      <c r="C291">
        <v>1</v>
      </c>
    </row>
    <row r="292" spans="1:3">
      <c r="A292" t="s">
        <v>619</v>
      </c>
      <c r="B292" t="s">
        <v>473</v>
      </c>
      <c r="C292">
        <v>1</v>
      </c>
    </row>
    <row r="293" spans="1:3">
      <c r="A293" t="s">
        <v>446</v>
      </c>
      <c r="B293" t="s">
        <v>15</v>
      </c>
      <c r="C293">
        <v>1</v>
      </c>
    </row>
    <row r="294" spans="1:3">
      <c r="A294" t="s">
        <v>446</v>
      </c>
      <c r="B294" t="s">
        <v>274</v>
      </c>
      <c r="C294">
        <v>1</v>
      </c>
    </row>
    <row r="295" spans="1:3">
      <c r="A295" t="s">
        <v>189</v>
      </c>
      <c r="B295" t="s">
        <v>190</v>
      </c>
      <c r="C295">
        <v>1</v>
      </c>
    </row>
    <row r="296" spans="1:3">
      <c r="A296" t="s">
        <v>339</v>
      </c>
      <c r="B296" t="s">
        <v>245</v>
      </c>
      <c r="C296">
        <v>1</v>
      </c>
    </row>
    <row r="297" spans="1:3">
      <c r="A297" t="s">
        <v>344</v>
      </c>
      <c r="B297" t="s">
        <v>236</v>
      </c>
      <c r="C297">
        <v>1</v>
      </c>
    </row>
    <row r="298" spans="1:3">
      <c r="A298" t="s">
        <v>418</v>
      </c>
      <c r="B298" t="s">
        <v>50</v>
      </c>
      <c r="C298">
        <v>1</v>
      </c>
    </row>
    <row r="299" spans="1:3">
      <c r="A299" t="s">
        <v>534</v>
      </c>
      <c r="B299" t="s">
        <v>50</v>
      </c>
      <c r="C299">
        <v>1</v>
      </c>
    </row>
    <row r="300" spans="1:3">
      <c r="A300" t="s">
        <v>430</v>
      </c>
      <c r="B300" t="s">
        <v>235</v>
      </c>
      <c r="C300">
        <v>1</v>
      </c>
    </row>
    <row r="301" spans="1:3">
      <c r="A301" t="s">
        <v>325</v>
      </c>
      <c r="B301" t="s">
        <v>465</v>
      </c>
      <c r="C301">
        <v>1</v>
      </c>
    </row>
    <row r="302" spans="1:3">
      <c r="A302" t="s">
        <v>234</v>
      </c>
      <c r="B302" t="s">
        <v>125</v>
      </c>
      <c r="C302">
        <v>1</v>
      </c>
    </row>
    <row r="303" spans="1:3">
      <c r="A303" t="s">
        <v>359</v>
      </c>
      <c r="B303" t="s">
        <v>79</v>
      </c>
      <c r="C303">
        <v>1</v>
      </c>
    </row>
    <row r="304" spans="1:3">
      <c r="A304" t="s">
        <v>379</v>
      </c>
      <c r="B304" t="s">
        <v>176</v>
      </c>
      <c r="C304">
        <v>1</v>
      </c>
    </row>
    <row r="305" spans="1:3">
      <c r="A305" t="s">
        <v>220</v>
      </c>
      <c r="B305" t="s">
        <v>221</v>
      </c>
      <c r="C305">
        <v>1</v>
      </c>
    </row>
    <row r="306" spans="1:3">
      <c r="A306" t="s">
        <v>458</v>
      </c>
      <c r="B306" t="s">
        <v>63</v>
      </c>
      <c r="C306">
        <v>1</v>
      </c>
    </row>
    <row r="307" spans="1:3">
      <c r="A307" t="s">
        <v>367</v>
      </c>
      <c r="B307" t="s">
        <v>479</v>
      </c>
      <c r="C307">
        <v>1</v>
      </c>
    </row>
    <row r="308" spans="1:3">
      <c r="A308" t="s">
        <v>400</v>
      </c>
      <c r="B308" t="s">
        <v>36</v>
      </c>
      <c r="C308">
        <v>1</v>
      </c>
    </row>
    <row r="309" spans="1:3">
      <c r="A309" t="s">
        <v>378</v>
      </c>
      <c r="B309" t="s">
        <v>67</v>
      </c>
      <c r="C309">
        <v>1</v>
      </c>
    </row>
    <row r="310" spans="1:3">
      <c r="A310" t="s">
        <v>194</v>
      </c>
      <c r="B310" t="s">
        <v>195</v>
      </c>
      <c r="C310">
        <v>1</v>
      </c>
    </row>
    <row r="311" spans="1:3">
      <c r="A311" t="s">
        <v>402</v>
      </c>
      <c r="B311" t="s">
        <v>90</v>
      </c>
      <c r="C311">
        <v>1</v>
      </c>
    </row>
    <row r="312" spans="1:3">
      <c r="A312" t="s">
        <v>364</v>
      </c>
      <c r="B312" t="s">
        <v>477</v>
      </c>
      <c r="C312">
        <v>1</v>
      </c>
    </row>
    <row r="313" spans="1:3">
      <c r="A313" t="s">
        <v>239</v>
      </c>
      <c r="B313" t="s">
        <v>75</v>
      </c>
      <c r="C313">
        <v>1</v>
      </c>
    </row>
    <row r="314" spans="1:3">
      <c r="A314" t="s">
        <v>423</v>
      </c>
      <c r="B314" t="s">
        <v>33</v>
      </c>
      <c r="C314">
        <v>1</v>
      </c>
    </row>
    <row r="315" spans="1:3">
      <c r="A315" t="s">
        <v>515</v>
      </c>
      <c r="B315" t="s">
        <v>33</v>
      </c>
      <c r="C315">
        <v>1</v>
      </c>
    </row>
    <row r="316" spans="1:3">
      <c r="A316" t="s">
        <v>409</v>
      </c>
      <c r="B316" t="s">
        <v>485</v>
      </c>
      <c r="C316">
        <v>1</v>
      </c>
    </row>
    <row r="317" spans="1:3">
      <c r="A317" t="s">
        <v>191</v>
      </c>
      <c r="B317" t="s">
        <v>192</v>
      </c>
      <c r="C317">
        <v>1</v>
      </c>
    </row>
    <row r="318" spans="1:3">
      <c r="A318" t="s">
        <v>240</v>
      </c>
      <c r="B318" t="s">
        <v>241</v>
      </c>
      <c r="C318">
        <v>1</v>
      </c>
    </row>
    <row r="319" spans="1:3">
      <c r="A319" t="s">
        <v>365</v>
      </c>
      <c r="B319" t="s">
        <v>76</v>
      </c>
      <c r="C319">
        <v>1</v>
      </c>
    </row>
    <row r="320" spans="1:3">
      <c r="A320" t="s">
        <v>445</v>
      </c>
      <c r="B320" t="s">
        <v>38</v>
      </c>
      <c r="C320">
        <v>1</v>
      </c>
    </row>
    <row r="321" spans="1:3">
      <c r="A321" t="s">
        <v>323</v>
      </c>
      <c r="B321" t="s">
        <v>49</v>
      </c>
      <c r="C321">
        <v>1</v>
      </c>
    </row>
    <row r="322" spans="1:3">
      <c r="A322" t="s">
        <v>441</v>
      </c>
      <c r="B322" t="s">
        <v>145</v>
      </c>
      <c r="C322">
        <v>1</v>
      </c>
    </row>
    <row r="323" spans="1:3">
      <c r="A323" t="s">
        <v>246</v>
      </c>
      <c r="B323" t="s">
        <v>247</v>
      </c>
      <c r="C323">
        <v>1</v>
      </c>
    </row>
    <row r="324" spans="1:3">
      <c r="A324" t="s">
        <v>238</v>
      </c>
      <c r="B324" t="s">
        <v>94</v>
      </c>
      <c r="C324">
        <v>1</v>
      </c>
    </row>
    <row r="325" spans="1:3">
      <c r="A325" t="s">
        <v>242</v>
      </c>
      <c r="B325" t="s">
        <v>243</v>
      </c>
      <c r="C325">
        <v>1</v>
      </c>
    </row>
    <row r="326" spans="1:3">
      <c r="A326" t="s">
        <v>397</v>
      </c>
      <c r="B326" t="s">
        <v>128</v>
      </c>
      <c r="C326">
        <v>1</v>
      </c>
    </row>
    <row r="327" spans="1:3">
      <c r="A327" t="s">
        <v>555</v>
      </c>
      <c r="B327" t="s">
        <v>128</v>
      </c>
      <c r="C327">
        <v>1</v>
      </c>
    </row>
    <row r="328" spans="1:3">
      <c r="A328" t="s">
        <v>432</v>
      </c>
      <c r="B328" t="s">
        <v>486</v>
      </c>
      <c r="C328">
        <v>1</v>
      </c>
    </row>
    <row r="329" spans="1:3">
      <c r="A329" t="s">
        <v>391</v>
      </c>
      <c r="B329" t="s">
        <v>110</v>
      </c>
      <c r="C329">
        <v>1</v>
      </c>
    </row>
    <row r="330" spans="1:3">
      <c r="A330" t="s">
        <v>570</v>
      </c>
      <c r="B330" t="s">
        <v>110</v>
      </c>
      <c r="C330">
        <v>1</v>
      </c>
    </row>
    <row r="331" spans="1:3">
      <c r="A331" t="s">
        <v>252</v>
      </c>
      <c r="B331" t="s">
        <v>122</v>
      </c>
      <c r="C331">
        <v>1</v>
      </c>
    </row>
    <row r="332" spans="1:3">
      <c r="A332" t="s">
        <v>327</v>
      </c>
      <c r="B332" t="s">
        <v>297</v>
      </c>
      <c r="C332">
        <v>1</v>
      </c>
    </row>
    <row r="333" spans="1:3">
      <c r="A333" t="s">
        <v>317</v>
      </c>
      <c r="B333" t="e">
        <v>#N/A</v>
      </c>
      <c r="C333">
        <v>1</v>
      </c>
    </row>
    <row r="334" spans="1:3">
      <c r="A334" t="s">
        <v>495</v>
      </c>
      <c r="B334" t="s">
        <v>10</v>
      </c>
      <c r="C334">
        <v>1</v>
      </c>
    </row>
    <row r="335" spans="1:3">
      <c r="A335" t="s">
        <v>495</v>
      </c>
      <c r="B335" t="s">
        <v>10</v>
      </c>
      <c r="C335">
        <v>1</v>
      </c>
    </row>
    <row r="336" spans="1:3">
      <c r="A336" t="s">
        <v>396</v>
      </c>
      <c r="B336" t="s">
        <v>592</v>
      </c>
      <c r="C336">
        <v>1</v>
      </c>
    </row>
    <row r="337" spans="1:3">
      <c r="A337" t="s">
        <v>396</v>
      </c>
      <c r="B337" t="s">
        <v>484</v>
      </c>
      <c r="C337">
        <v>1</v>
      </c>
    </row>
    <row r="338" spans="1:3">
      <c r="A338" t="s">
        <v>396</v>
      </c>
      <c r="B338" t="s">
        <v>484</v>
      </c>
      <c r="C338">
        <v>1</v>
      </c>
    </row>
    <row r="339" spans="1:3">
      <c r="A339" t="s">
        <v>341</v>
      </c>
      <c r="B339" t="s">
        <v>157</v>
      </c>
      <c r="C339">
        <v>1</v>
      </c>
    </row>
    <row r="340" spans="1:3">
      <c r="A340" t="s">
        <v>598</v>
      </c>
      <c r="B340" t="s">
        <v>483</v>
      </c>
      <c r="C340">
        <v>1</v>
      </c>
    </row>
    <row r="341" spans="1:3">
      <c r="A341" t="s">
        <v>599</v>
      </c>
      <c r="B341" t="s">
        <v>258</v>
      </c>
      <c r="C341">
        <v>1</v>
      </c>
    </row>
    <row r="342" spans="1:3">
      <c r="A342" t="s">
        <v>600</v>
      </c>
      <c r="B342" t="s">
        <v>478</v>
      </c>
      <c r="C342">
        <v>1</v>
      </c>
    </row>
    <row r="343" spans="1:3">
      <c r="A343" t="s">
        <v>613</v>
      </c>
      <c r="B343" t="s">
        <v>637</v>
      </c>
      <c r="C343">
        <v>1</v>
      </c>
    </row>
    <row r="344" spans="1:3">
      <c r="A344" t="s">
        <v>622</v>
      </c>
      <c r="B344" t="s">
        <v>148</v>
      </c>
      <c r="C344">
        <v>1</v>
      </c>
    </row>
    <row r="345" spans="1:3">
      <c r="A345" t="s">
        <v>498</v>
      </c>
      <c r="B345" t="s">
        <v>638</v>
      </c>
      <c r="C345">
        <v>1</v>
      </c>
    </row>
    <row r="346" spans="1:3">
      <c r="A346" t="s">
        <v>623</v>
      </c>
      <c r="B346" t="s">
        <v>123</v>
      </c>
      <c r="C346">
        <v>1</v>
      </c>
    </row>
    <row r="347" spans="1:3">
      <c r="A347" t="s">
        <v>624</v>
      </c>
      <c r="B347" t="s">
        <v>115</v>
      </c>
      <c r="C347">
        <v>1</v>
      </c>
    </row>
    <row r="348" spans="1:3">
      <c r="A348" t="s">
        <v>625</v>
      </c>
      <c r="B348" t="s">
        <v>225</v>
      </c>
      <c r="C348">
        <v>1</v>
      </c>
    </row>
    <row r="349" spans="1:3">
      <c r="A349" t="s">
        <v>626</v>
      </c>
      <c r="B349" t="s">
        <v>178</v>
      </c>
      <c r="C349">
        <v>1</v>
      </c>
    </row>
    <row r="350" spans="1:3">
      <c r="A350" t="s">
        <v>627</v>
      </c>
      <c r="B350" t="s">
        <v>159</v>
      </c>
      <c r="C350">
        <v>1</v>
      </c>
    </row>
    <row r="351" spans="1:3">
      <c r="A351" t="s">
        <v>628</v>
      </c>
      <c r="B351" t="s">
        <v>639</v>
      </c>
      <c r="C351">
        <v>1</v>
      </c>
    </row>
    <row r="352" spans="1:3">
      <c r="A352" t="s">
        <v>629</v>
      </c>
      <c r="B352" t="s">
        <v>12</v>
      </c>
      <c r="C352">
        <v>1</v>
      </c>
    </row>
    <row r="353" spans="1:3">
      <c r="A353" t="s">
        <v>630</v>
      </c>
      <c r="B353" t="s">
        <v>182</v>
      </c>
      <c r="C353">
        <v>1</v>
      </c>
    </row>
    <row r="354" spans="1:3">
      <c r="A354" t="s">
        <v>631</v>
      </c>
      <c r="B354" t="s">
        <v>640</v>
      </c>
      <c r="C354">
        <v>1</v>
      </c>
    </row>
    <row r="355" spans="1:3">
      <c r="A355" t="s">
        <v>632</v>
      </c>
      <c r="B355" t="s">
        <v>236</v>
      </c>
      <c r="C355">
        <v>1</v>
      </c>
    </row>
    <row r="356" spans="1:3">
      <c r="A356" t="s">
        <v>653</v>
      </c>
      <c r="B356" t="s">
        <v>685</v>
      </c>
    </row>
    <row r="357" spans="1:3">
      <c r="A357" t="s">
        <v>654</v>
      </c>
      <c r="B357" t="s">
        <v>686</v>
      </c>
    </row>
    <row r="358" spans="1:3">
      <c r="A358" t="s">
        <v>655</v>
      </c>
      <c r="B358" t="s">
        <v>687</v>
      </c>
    </row>
    <row r="359" spans="1:3">
      <c r="A359" t="s">
        <v>656</v>
      </c>
      <c r="B359" t="s">
        <v>688</v>
      </c>
    </row>
    <row r="360" spans="1:3">
      <c r="A360" t="s">
        <v>658</v>
      </c>
      <c r="B360" t="s">
        <v>689</v>
      </c>
    </row>
    <row r="361" spans="1:3">
      <c r="A361" t="s">
        <v>659</v>
      </c>
      <c r="B361" t="s">
        <v>690</v>
      </c>
    </row>
    <row r="362" spans="1:3">
      <c r="A362" t="s">
        <v>660</v>
      </c>
      <c r="B362" t="s">
        <v>710</v>
      </c>
    </row>
    <row r="363" spans="1:3">
      <c r="A363" t="s">
        <v>661</v>
      </c>
      <c r="B363" t="s">
        <v>691</v>
      </c>
    </row>
    <row r="364" spans="1:3">
      <c r="A364" t="s">
        <v>662</v>
      </c>
      <c r="B364" t="s">
        <v>692</v>
      </c>
    </row>
    <row r="365" spans="1:3">
      <c r="A365" t="s">
        <v>663</v>
      </c>
      <c r="B365" t="s">
        <v>693</v>
      </c>
    </row>
    <row r="366" spans="1:3">
      <c r="A366" t="s">
        <v>664</v>
      </c>
      <c r="B366" t="s">
        <v>637</v>
      </c>
    </row>
    <row r="367" spans="1:3">
      <c r="A367" t="s">
        <v>666</v>
      </c>
      <c r="B367" t="s">
        <v>694</v>
      </c>
    </row>
    <row r="368" spans="1:3">
      <c r="A368" t="s">
        <v>667</v>
      </c>
      <c r="B368" t="s">
        <v>594</v>
      </c>
    </row>
    <row r="369" spans="1:2">
      <c r="A369" t="s">
        <v>668</v>
      </c>
      <c r="B369" t="s">
        <v>695</v>
      </c>
    </row>
    <row r="370" spans="1:2">
      <c r="A370" t="s">
        <v>643</v>
      </c>
      <c r="B370" t="s">
        <v>696</v>
      </c>
    </row>
    <row r="371" spans="1:2">
      <c r="A371" t="s">
        <v>669</v>
      </c>
      <c r="B371" t="s">
        <v>697</v>
      </c>
    </row>
    <row r="372" spans="1:2">
      <c r="A372" t="s">
        <v>593</v>
      </c>
      <c r="B372" t="s">
        <v>639</v>
      </c>
    </row>
    <row r="373" spans="1:2">
      <c r="A373" t="s">
        <v>670</v>
      </c>
      <c r="B373" t="s">
        <v>698</v>
      </c>
    </row>
    <row r="374" spans="1:2">
      <c r="A374" t="s">
        <v>671</v>
      </c>
      <c r="B374" t="s">
        <v>699</v>
      </c>
    </row>
    <row r="375" spans="1:2">
      <c r="A375" t="s">
        <v>646</v>
      </c>
      <c r="B375" t="s">
        <v>117</v>
      </c>
    </row>
    <row r="376" spans="1:2">
      <c r="A376" t="s">
        <v>672</v>
      </c>
      <c r="B376" t="s">
        <v>700</v>
      </c>
    </row>
    <row r="377" spans="1:2">
      <c r="A377" t="s">
        <v>649</v>
      </c>
      <c r="B377" t="s">
        <v>131</v>
      </c>
    </row>
    <row r="378" spans="1:2">
      <c r="A378" t="s">
        <v>496</v>
      </c>
      <c r="B378" t="s">
        <v>634</v>
      </c>
    </row>
    <row r="379" spans="1:2">
      <c r="A379" t="s">
        <v>673</v>
      </c>
      <c r="B379" t="s">
        <v>701</v>
      </c>
    </row>
    <row r="380" spans="1:2">
      <c r="A380" t="s">
        <v>674</v>
      </c>
      <c r="B380" t="s">
        <v>499</v>
      </c>
    </row>
    <row r="381" spans="1:2">
      <c r="A381" t="s">
        <v>675</v>
      </c>
      <c r="B381" t="s">
        <v>702</v>
      </c>
    </row>
    <row r="382" spans="1:2">
      <c r="A382" t="s">
        <v>676</v>
      </c>
      <c r="B382" t="s">
        <v>703</v>
      </c>
    </row>
    <row r="383" spans="1:2">
      <c r="A383" t="s">
        <v>677</v>
      </c>
      <c r="B383" t="s">
        <v>14</v>
      </c>
    </row>
    <row r="384" spans="1:2">
      <c r="A384" t="s">
        <v>678</v>
      </c>
      <c r="B384" t="s">
        <v>704</v>
      </c>
    </row>
    <row r="385" spans="1:2">
      <c r="A385" t="s">
        <v>645</v>
      </c>
      <c r="B385" t="s">
        <v>705</v>
      </c>
    </row>
    <row r="386" spans="1:2">
      <c r="A386" t="s">
        <v>684</v>
      </c>
      <c r="B386" t="s">
        <v>706</v>
      </c>
    </row>
    <row r="387" spans="1:2">
      <c r="A387" t="s">
        <v>709</v>
      </c>
      <c r="B387" t="s">
        <v>69</v>
      </c>
    </row>
    <row r="388" spans="1:2">
      <c r="A388" t="s">
        <v>711</v>
      </c>
      <c r="B388" t="s">
        <v>774</v>
      </c>
    </row>
    <row r="389" spans="1:2">
      <c r="A389" t="s">
        <v>707</v>
      </c>
      <c r="B389" t="s">
        <v>712</v>
      </c>
    </row>
    <row r="390" spans="1:2">
      <c r="A390" t="s">
        <v>652</v>
      </c>
      <c r="B390" t="s">
        <v>716</v>
      </c>
    </row>
    <row r="391" spans="1:2">
      <c r="A391" t="s">
        <v>714</v>
      </c>
      <c r="B391" t="s">
        <v>695</v>
      </c>
    </row>
    <row r="392" spans="1:2">
      <c r="A392" t="s">
        <v>715</v>
      </c>
      <c r="B392" t="s">
        <v>697</v>
      </c>
    </row>
    <row r="393" spans="1:2">
      <c r="A393" t="s">
        <v>720</v>
      </c>
      <c r="B393" t="s">
        <v>736</v>
      </c>
    </row>
    <row r="394" spans="1:2">
      <c r="A394" t="s">
        <v>759</v>
      </c>
      <c r="B394" t="s">
        <v>175</v>
      </c>
    </row>
    <row r="395" spans="1:2">
      <c r="A395" t="s">
        <v>843</v>
      </c>
      <c r="B395" t="s">
        <v>844</v>
      </c>
    </row>
    <row r="396" spans="1:2">
      <c r="A396" t="s">
        <v>898</v>
      </c>
      <c r="B396" t="s">
        <v>899</v>
      </c>
    </row>
    <row r="397" spans="1:2">
      <c r="A397" t="s">
        <v>973</v>
      </c>
      <c r="B397" t="s">
        <v>974</v>
      </c>
    </row>
    <row r="398" spans="1:2">
      <c r="A398" t="s">
        <v>934</v>
      </c>
      <c r="B398" t="s">
        <v>975</v>
      </c>
    </row>
    <row r="399" spans="1:2">
      <c r="A399" t="s">
        <v>1118</v>
      </c>
      <c r="B399" t="s">
        <v>1127</v>
      </c>
    </row>
    <row r="400" spans="1:2">
      <c r="A400" t="s">
        <v>1131</v>
      </c>
      <c r="B400" t="s">
        <v>1134</v>
      </c>
    </row>
    <row r="401" spans="1:2">
      <c r="A401" t="s">
        <v>1135</v>
      </c>
      <c r="B401" t="s">
        <v>257</v>
      </c>
    </row>
    <row r="402" spans="1:2">
      <c r="A402" t="s">
        <v>1075</v>
      </c>
      <c r="B402" t="s">
        <v>1149</v>
      </c>
    </row>
    <row r="403" spans="1:2">
      <c r="A403" t="s">
        <v>1147</v>
      </c>
      <c r="B403" t="s">
        <v>1151</v>
      </c>
    </row>
    <row r="404" spans="1:2">
      <c r="A404" t="s">
        <v>1152</v>
      </c>
      <c r="B404" t="s">
        <v>1153</v>
      </c>
    </row>
    <row r="405" spans="1:2">
      <c r="A405" t="s">
        <v>1156</v>
      </c>
      <c r="B405" t="s">
        <v>1149</v>
      </c>
    </row>
    <row r="406" spans="1:2">
      <c r="A406" t="s">
        <v>1150</v>
      </c>
      <c r="B406" t="s">
        <v>975</v>
      </c>
    </row>
  </sheetData>
  <sortState xmlns:xlrd2="http://schemas.microsoft.com/office/spreadsheetml/2017/richdata2" ref="A1:C339">
    <sortCondition ref="C338:C339"/>
  </sortState>
  <conditionalFormatting sqref="C1:C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C58F-498E-2C47-8854-7F028D2C7292}">
  <dimension ref="A1:C48"/>
  <sheetViews>
    <sheetView tabSelected="1" zoomScaleNormal="60" zoomScaleSheetLayoutView="100" workbookViewId="0">
      <selection activeCell="D6" sqref="D6"/>
    </sheetView>
  </sheetViews>
  <sheetFormatPr defaultRowHeight="14.4"/>
  <cols>
    <col min="2" max="2" width="12" style="12" bestFit="1" customWidth="1"/>
    <col min="3" max="3" width="12" style="12" customWidth="1"/>
  </cols>
  <sheetData>
    <row r="1" spans="1:2">
      <c r="A1" t="s">
        <v>143</v>
      </c>
      <c r="B1" s="12">
        <v>30</v>
      </c>
    </row>
    <row r="2" spans="1:2">
      <c r="A2" t="s">
        <v>95</v>
      </c>
      <c r="B2" s="12">
        <v>1.71</v>
      </c>
    </row>
    <row r="3" spans="1:2">
      <c r="A3" t="s">
        <v>93</v>
      </c>
      <c r="B3" s="12">
        <v>1.67</v>
      </c>
    </row>
    <row r="4" spans="1:2">
      <c r="A4" t="s">
        <v>87</v>
      </c>
      <c r="B4" s="12">
        <v>18.16</v>
      </c>
    </row>
    <row r="5" spans="1:2">
      <c r="A5" t="s">
        <v>37</v>
      </c>
      <c r="B5" s="12">
        <v>35.869999999999997</v>
      </c>
    </row>
    <row r="6" spans="1:2">
      <c r="A6" t="s">
        <v>205</v>
      </c>
      <c r="B6" s="12">
        <v>5.94</v>
      </c>
    </row>
    <row r="7" spans="1:2">
      <c r="A7" t="s">
        <v>80</v>
      </c>
      <c r="B7" s="12">
        <v>21.88</v>
      </c>
    </row>
    <row r="8" spans="1:2">
      <c r="A8" t="s">
        <v>81</v>
      </c>
      <c r="B8" s="12">
        <v>3.8</v>
      </c>
    </row>
    <row r="9" spans="1:2">
      <c r="A9" t="s">
        <v>175</v>
      </c>
      <c r="B9" s="12">
        <v>9.9600000000000009</v>
      </c>
    </row>
    <row r="10" spans="1:2">
      <c r="A10" t="s">
        <v>101</v>
      </c>
      <c r="B10" s="12">
        <v>16</v>
      </c>
    </row>
    <row r="11" spans="1:2">
      <c r="A11" t="s">
        <v>43</v>
      </c>
      <c r="B11" s="12">
        <v>7.5</v>
      </c>
    </row>
    <row r="12" spans="1:2">
      <c r="A12" t="s">
        <v>60</v>
      </c>
      <c r="B12" s="12">
        <v>35.86</v>
      </c>
    </row>
    <row r="13" spans="1:2">
      <c r="A13" t="s">
        <v>176</v>
      </c>
      <c r="B13" s="12">
        <v>5.96</v>
      </c>
    </row>
    <row r="14" spans="1:2">
      <c r="A14" t="s">
        <v>250</v>
      </c>
      <c r="B14" s="12">
        <v>6.8</v>
      </c>
    </row>
    <row r="15" spans="1:2">
      <c r="A15" t="s">
        <v>20</v>
      </c>
      <c r="B15" s="12">
        <v>81.260000000000005</v>
      </c>
    </row>
    <row r="16" spans="1:2">
      <c r="A16" t="s">
        <v>86</v>
      </c>
      <c r="B16" s="12">
        <v>9.44</v>
      </c>
    </row>
    <row r="17" spans="1:2">
      <c r="A17" t="s">
        <v>26</v>
      </c>
      <c r="B17" s="12">
        <v>10.48</v>
      </c>
    </row>
    <row r="18" spans="1:2">
      <c r="A18" t="s">
        <v>223</v>
      </c>
      <c r="B18" s="12">
        <v>21.69</v>
      </c>
    </row>
    <row r="19" spans="1:2">
      <c r="A19" t="s">
        <v>25</v>
      </c>
      <c r="B19" s="12">
        <v>14.09</v>
      </c>
    </row>
    <row r="20" spans="1:2">
      <c r="A20" t="s">
        <v>774</v>
      </c>
      <c r="B20" s="12">
        <v>50.91</v>
      </c>
    </row>
    <row r="21" spans="1:2">
      <c r="A21" t="s">
        <v>110</v>
      </c>
      <c r="B21" s="12">
        <v>0.22</v>
      </c>
    </row>
    <row r="22" spans="1:2">
      <c r="A22" t="s">
        <v>52</v>
      </c>
      <c r="B22" s="12">
        <v>3.68</v>
      </c>
    </row>
    <row r="23" spans="1:2">
      <c r="A23" t="s">
        <v>32</v>
      </c>
      <c r="B23" s="12">
        <v>12.89</v>
      </c>
    </row>
    <row r="24" spans="1:2">
      <c r="A24" t="s">
        <v>44</v>
      </c>
      <c r="B24" s="12">
        <v>12.7</v>
      </c>
    </row>
    <row r="25" spans="1:2">
      <c r="A25" t="s">
        <v>94</v>
      </c>
      <c r="B25" s="12">
        <v>24</v>
      </c>
    </row>
    <row r="26" spans="1:2">
      <c r="A26" t="s">
        <v>85</v>
      </c>
      <c r="B26" s="12">
        <v>9.27</v>
      </c>
    </row>
    <row r="27" spans="1:2">
      <c r="A27" t="s">
        <v>45</v>
      </c>
      <c r="B27" s="12">
        <v>11.06</v>
      </c>
    </row>
    <row r="28" spans="1:2">
      <c r="A28" t="s">
        <v>13</v>
      </c>
      <c r="B28" s="12">
        <v>22.06</v>
      </c>
    </row>
    <row r="29" spans="1:2">
      <c r="A29" t="s">
        <v>36</v>
      </c>
      <c r="B29" s="12">
        <v>23.93</v>
      </c>
    </row>
    <row r="30" spans="1:2">
      <c r="A30" t="s">
        <v>50</v>
      </c>
      <c r="B30" s="12">
        <v>24.88</v>
      </c>
    </row>
    <row r="31" spans="1:2">
      <c r="A31" t="s">
        <v>151</v>
      </c>
      <c r="B31" s="12">
        <v>15.95</v>
      </c>
    </row>
    <row r="32" spans="1:2">
      <c r="A32" t="s">
        <v>103</v>
      </c>
      <c r="B32" s="12">
        <v>16.07</v>
      </c>
    </row>
    <row r="33" spans="1:2">
      <c r="A33" t="s">
        <v>28</v>
      </c>
      <c r="B33" s="12">
        <v>29.41</v>
      </c>
    </row>
    <row r="34" spans="1:2">
      <c r="A34" t="s">
        <v>290</v>
      </c>
      <c r="B34" s="12">
        <v>49.17</v>
      </c>
    </row>
    <row r="35" spans="1:2">
      <c r="A35" t="s">
        <v>21</v>
      </c>
      <c r="B35" s="12">
        <v>2.2999999999999998</v>
      </c>
    </row>
    <row r="36" spans="1:2">
      <c r="A36" t="s">
        <v>74</v>
      </c>
      <c r="B36" s="12">
        <v>11.77</v>
      </c>
    </row>
    <row r="37" spans="1:2">
      <c r="A37" t="s">
        <v>33</v>
      </c>
      <c r="B37" s="12">
        <v>19.899999999999999</v>
      </c>
    </row>
    <row r="38" spans="1:2">
      <c r="A38" t="s">
        <v>40</v>
      </c>
      <c r="B38" s="12">
        <v>22.46</v>
      </c>
    </row>
    <row r="39" spans="1:2">
      <c r="A39" t="s">
        <v>786</v>
      </c>
      <c r="B39" s="12">
        <v>115.7</v>
      </c>
    </row>
    <row r="40" spans="1:2">
      <c r="A40" t="s">
        <v>292</v>
      </c>
      <c r="B40" s="12">
        <v>12.19</v>
      </c>
    </row>
    <row r="41" spans="1:2">
      <c r="A41" t="s">
        <v>210</v>
      </c>
      <c r="B41" s="12">
        <v>20.74</v>
      </c>
    </row>
    <row r="42" spans="1:2">
      <c r="A42" t="s">
        <v>113</v>
      </c>
      <c r="B42" s="12">
        <v>0.77</v>
      </c>
    </row>
    <row r="43" spans="1:2">
      <c r="A43" t="s">
        <v>235</v>
      </c>
      <c r="B43" s="12">
        <v>3.85</v>
      </c>
    </row>
    <row r="44" spans="1:2">
      <c r="A44" t="s">
        <v>187</v>
      </c>
      <c r="B44" s="12">
        <v>17.02</v>
      </c>
    </row>
    <row r="45" spans="1:2">
      <c r="A45" t="s">
        <v>17</v>
      </c>
      <c r="B45" s="12">
        <v>4.1550000000000002</v>
      </c>
    </row>
    <row r="46" spans="1:2">
      <c r="A46" t="s">
        <v>270</v>
      </c>
      <c r="B46" s="12">
        <v>2.64</v>
      </c>
    </row>
    <row r="47" spans="1:2">
      <c r="A47" t="s">
        <v>106</v>
      </c>
      <c r="B47" s="12">
        <v>11.17</v>
      </c>
    </row>
    <row r="48" spans="1:2">
      <c r="A48" t="s">
        <v>231</v>
      </c>
      <c r="B48" s="12">
        <v>13.06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AEB9-75F3-9D49-8C2F-3D536268A628}">
  <dimension ref="A1:C10"/>
  <sheetViews>
    <sheetView zoomScaleNormal="60" zoomScaleSheetLayoutView="100" workbookViewId="0">
      <selection activeCell="C4" sqref="C4"/>
    </sheetView>
  </sheetViews>
  <sheetFormatPr defaultRowHeight="14.4"/>
  <sheetData>
    <row r="1" spans="1:3">
      <c r="A1" t="s">
        <v>172</v>
      </c>
      <c r="B1" t="s">
        <v>1183</v>
      </c>
      <c r="C1">
        <v>6</v>
      </c>
    </row>
    <row r="2" spans="1:3">
      <c r="A2" t="s">
        <v>25</v>
      </c>
      <c r="B2" t="s">
        <v>1184</v>
      </c>
      <c r="C2">
        <v>28</v>
      </c>
    </row>
    <row r="3" spans="1:3">
      <c r="A3" t="s">
        <v>185</v>
      </c>
      <c r="B3" t="s">
        <v>1185</v>
      </c>
      <c r="C3">
        <v>3.2</v>
      </c>
    </row>
    <row r="4" spans="1:3">
      <c r="A4" t="s">
        <v>28</v>
      </c>
      <c r="B4" t="s">
        <v>1186</v>
      </c>
      <c r="C4">
        <v>43</v>
      </c>
    </row>
    <row r="5" spans="1:3">
      <c r="A5" t="s">
        <v>259</v>
      </c>
      <c r="B5" t="s">
        <v>1187</v>
      </c>
      <c r="C5">
        <v>890</v>
      </c>
    </row>
    <row r="6" spans="1:3">
      <c r="A6" t="s">
        <v>104</v>
      </c>
      <c r="B6" t="s">
        <v>1186</v>
      </c>
      <c r="C6">
        <v>120</v>
      </c>
    </row>
    <row r="7" spans="1:3">
      <c r="A7" t="s">
        <v>86</v>
      </c>
      <c r="B7" t="s">
        <v>1188</v>
      </c>
      <c r="C7">
        <v>20</v>
      </c>
    </row>
    <row r="8" spans="1:3">
      <c r="A8" t="s">
        <v>48</v>
      </c>
      <c r="B8" t="s">
        <v>1189</v>
      </c>
      <c r="C8">
        <v>59</v>
      </c>
    </row>
    <row r="9" spans="1:3">
      <c r="A9" t="s">
        <v>176</v>
      </c>
      <c r="B9" t="s">
        <v>1185</v>
      </c>
      <c r="C9">
        <v>18.899999999999999</v>
      </c>
    </row>
    <row r="10" spans="1:3">
      <c r="A10" t="s">
        <v>89</v>
      </c>
      <c r="B10" t="s">
        <v>1183</v>
      </c>
      <c r="C10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DCAA-88A3-7347-B0A8-117D8A44E6C6}">
  <dimension ref="A1:B153"/>
  <sheetViews>
    <sheetView zoomScaleNormal="60" zoomScaleSheetLayoutView="100" workbookViewId="0">
      <selection activeCell="F5" sqref="F5"/>
    </sheetView>
  </sheetViews>
  <sheetFormatPr defaultRowHeight="14.4"/>
  <cols>
    <col min="1" max="1" width="8.5546875"/>
  </cols>
  <sheetData>
    <row r="1" spans="1:2">
      <c r="A1" t="s">
        <v>1280</v>
      </c>
      <c r="B1" t="s">
        <v>306</v>
      </c>
    </row>
    <row r="2" spans="1:2">
      <c r="A2" t="s">
        <v>86</v>
      </c>
      <c r="B2">
        <v>16.670000000000002</v>
      </c>
    </row>
    <row r="3" spans="1:2">
      <c r="A3" t="s">
        <v>223</v>
      </c>
    </row>
    <row r="4" spans="1:2">
      <c r="A4" t="s">
        <v>28</v>
      </c>
    </row>
    <row r="5" spans="1:2">
      <c r="A5" t="s">
        <v>259</v>
      </c>
    </row>
    <row r="6" spans="1:2">
      <c r="A6" t="s">
        <v>185</v>
      </c>
    </row>
    <row r="7" spans="1:2">
      <c r="A7" t="s">
        <v>80</v>
      </c>
    </row>
    <row r="8" spans="1:2">
      <c r="A8" t="s">
        <v>89</v>
      </c>
    </row>
    <row r="9" spans="1:2">
      <c r="A9" t="s">
        <v>250</v>
      </c>
    </row>
    <row r="10" spans="1:2">
      <c r="A10" t="s">
        <v>104</v>
      </c>
    </row>
    <row r="11" spans="1:2">
      <c r="A11" t="s">
        <v>45</v>
      </c>
    </row>
    <row r="12" spans="1:2">
      <c r="A12" t="s">
        <v>93</v>
      </c>
    </row>
    <row r="13" spans="1:2">
      <c r="A13" t="s">
        <v>25</v>
      </c>
    </row>
    <row r="14" spans="1:2">
      <c r="A14" t="s">
        <v>98</v>
      </c>
    </row>
    <row r="15" spans="1:2">
      <c r="A15" t="s">
        <v>103</v>
      </c>
    </row>
    <row r="16" spans="1:2">
      <c r="A16" t="s">
        <v>95</v>
      </c>
    </row>
    <row r="17" spans="1:1">
      <c r="A17" t="s">
        <v>176</v>
      </c>
    </row>
    <row r="18" spans="1:1">
      <c r="A18" t="s">
        <v>81</v>
      </c>
    </row>
    <row r="19" spans="1:1">
      <c r="A19" t="s">
        <v>290</v>
      </c>
    </row>
    <row r="20" spans="1:1">
      <c r="A20" t="s">
        <v>774</v>
      </c>
    </row>
    <row r="21" spans="1:1">
      <c r="A21" t="s">
        <v>43</v>
      </c>
    </row>
    <row r="22" spans="1:1">
      <c r="A22" t="s">
        <v>101</v>
      </c>
    </row>
    <row r="23" spans="1:1">
      <c r="A23" t="s">
        <v>50</v>
      </c>
    </row>
    <row r="24" spans="1:1">
      <c r="A24" t="s">
        <v>1134</v>
      </c>
    </row>
    <row r="25" spans="1:1">
      <c r="A25" t="s">
        <v>210</v>
      </c>
    </row>
    <row r="26" spans="1:1">
      <c r="A26" t="s">
        <v>40</v>
      </c>
    </row>
    <row r="27" spans="1:1">
      <c r="A27" t="s">
        <v>69</v>
      </c>
    </row>
    <row r="28" spans="1:1">
      <c r="A28" t="s">
        <v>231</v>
      </c>
    </row>
    <row r="29" spans="1:1">
      <c r="A29" t="s">
        <v>48</v>
      </c>
    </row>
    <row r="30" spans="1:1">
      <c r="A30" t="s">
        <v>172</v>
      </c>
    </row>
    <row r="31" spans="1:1">
      <c r="A31" t="s">
        <v>15</v>
      </c>
    </row>
    <row r="32" spans="1:1">
      <c r="A32" t="s">
        <v>26</v>
      </c>
    </row>
    <row r="33" spans="1:1">
      <c r="A33" t="s">
        <v>52</v>
      </c>
    </row>
    <row r="34" spans="1:1">
      <c r="A34" t="s">
        <v>292</v>
      </c>
    </row>
    <row r="35" spans="1:1">
      <c r="A35" t="s">
        <v>54</v>
      </c>
    </row>
    <row r="36" spans="1:1">
      <c r="A36" t="s">
        <v>249</v>
      </c>
    </row>
    <row r="37" spans="1:1">
      <c r="A37" t="s">
        <v>1153</v>
      </c>
    </row>
    <row r="38" spans="1:1">
      <c r="A38" t="s">
        <v>205</v>
      </c>
    </row>
    <row r="39" spans="1:1">
      <c r="A39" t="s">
        <v>113</v>
      </c>
    </row>
    <row r="40" spans="1:1">
      <c r="A40" t="s">
        <v>100</v>
      </c>
    </row>
    <row r="41" spans="1:1">
      <c r="A41" t="s">
        <v>85</v>
      </c>
    </row>
    <row r="42" spans="1:1">
      <c r="A42" t="s">
        <v>51</v>
      </c>
    </row>
    <row r="43" spans="1:1">
      <c r="A43" t="s">
        <v>32</v>
      </c>
    </row>
    <row r="44" spans="1:1">
      <c r="A44" t="s">
        <v>36</v>
      </c>
    </row>
    <row r="45" spans="1:1">
      <c r="A45" t="s">
        <v>87</v>
      </c>
    </row>
    <row r="46" spans="1:1">
      <c r="A46" t="s">
        <v>110</v>
      </c>
    </row>
    <row r="47" spans="1:1">
      <c r="A47" t="s">
        <v>903</v>
      </c>
    </row>
    <row r="48" spans="1:1">
      <c r="A48" t="s">
        <v>147</v>
      </c>
    </row>
    <row r="49" spans="1:1">
      <c r="A49" t="s">
        <v>13</v>
      </c>
    </row>
    <row r="50" spans="1:1">
      <c r="A50" t="s">
        <v>235</v>
      </c>
    </row>
    <row r="51" spans="1:1">
      <c r="A51" t="s">
        <v>20</v>
      </c>
    </row>
    <row r="52" spans="1:1">
      <c r="A52" t="s">
        <v>70</v>
      </c>
    </row>
    <row r="53" spans="1:1">
      <c r="A53" t="s">
        <v>233</v>
      </c>
    </row>
    <row r="54" spans="1:1">
      <c r="A54" t="s">
        <v>74</v>
      </c>
    </row>
    <row r="55" spans="1:1">
      <c r="A55" t="s">
        <v>151</v>
      </c>
    </row>
    <row r="56" spans="1:1">
      <c r="A56" t="s">
        <v>94</v>
      </c>
    </row>
    <row r="57" spans="1:1">
      <c r="A57" t="s">
        <v>30</v>
      </c>
    </row>
    <row r="58" spans="1:1">
      <c r="A58" t="s">
        <v>899</v>
      </c>
    </row>
    <row r="59" spans="1:1">
      <c r="A59" t="s">
        <v>270</v>
      </c>
    </row>
    <row r="60" spans="1:1">
      <c r="A60" t="s">
        <v>34</v>
      </c>
    </row>
    <row r="61" spans="1:1">
      <c r="A61" t="s">
        <v>120</v>
      </c>
    </row>
    <row r="62" spans="1:1">
      <c r="A62" t="s">
        <v>44</v>
      </c>
    </row>
    <row r="63" spans="1:1">
      <c r="A63" t="s">
        <v>60</v>
      </c>
    </row>
    <row r="64" spans="1:1">
      <c r="A64" t="s">
        <v>21</v>
      </c>
    </row>
    <row r="65" spans="1:1">
      <c r="A65" t="s">
        <v>217</v>
      </c>
    </row>
    <row r="66" spans="1:1">
      <c r="A66" t="s">
        <v>37</v>
      </c>
    </row>
    <row r="67" spans="1:1">
      <c r="A67" t="s">
        <v>187</v>
      </c>
    </row>
    <row r="68" spans="1:1">
      <c r="A68" t="s">
        <v>168</v>
      </c>
    </row>
    <row r="69" spans="1:1">
      <c r="A69" t="s">
        <v>17</v>
      </c>
    </row>
    <row r="70" spans="1:1">
      <c r="A70" t="s">
        <v>33</v>
      </c>
    </row>
    <row r="71" spans="1:1">
      <c r="A71" t="s">
        <v>73</v>
      </c>
    </row>
    <row r="72" spans="1:1">
      <c r="A72" t="s">
        <v>225</v>
      </c>
    </row>
    <row r="73" spans="1:1">
      <c r="A73" t="s">
        <v>257</v>
      </c>
    </row>
    <row r="74" spans="1:1">
      <c r="A74" t="s">
        <v>175</v>
      </c>
    </row>
    <row r="75" spans="1:1">
      <c r="A75" t="s">
        <v>143</v>
      </c>
    </row>
    <row r="76" spans="1:1">
      <c r="A76" t="s">
        <v>198</v>
      </c>
    </row>
    <row r="77" spans="1:1">
      <c r="A77" t="s">
        <v>106</v>
      </c>
    </row>
    <row r="78" spans="1:1">
      <c r="A78" t="s">
        <v>115</v>
      </c>
    </row>
    <row r="79" spans="1:1">
      <c r="A79" t="s">
        <v>487</v>
      </c>
    </row>
    <row r="80" spans="1:1">
      <c r="A80" t="s">
        <v>19</v>
      </c>
    </row>
    <row r="81" spans="1:1">
      <c r="A81" t="s">
        <v>736</v>
      </c>
    </row>
    <row r="82" spans="1:1">
      <c r="A82" t="s">
        <v>144</v>
      </c>
    </row>
    <row r="83" spans="1:1">
      <c r="A83" t="s">
        <v>145</v>
      </c>
    </row>
    <row r="84" spans="1:1">
      <c r="A84" t="s">
        <v>148</v>
      </c>
    </row>
    <row r="85" spans="1:1">
      <c r="A85" t="s">
        <v>118</v>
      </c>
    </row>
    <row r="86" spans="1:1">
      <c r="A86" t="s">
        <v>23</v>
      </c>
    </row>
    <row r="87" spans="1:1">
      <c r="A87" t="s">
        <v>57</v>
      </c>
    </row>
    <row r="88" spans="1:1">
      <c r="A88" t="s">
        <v>159</v>
      </c>
    </row>
    <row r="89" spans="1:1">
      <c r="A89" t="s">
        <v>59</v>
      </c>
    </row>
    <row r="90" spans="1:1">
      <c r="A90" t="s">
        <v>162</v>
      </c>
    </row>
    <row r="91" spans="1:1">
      <c r="A91" t="s">
        <v>163</v>
      </c>
    </row>
    <row r="92" spans="1:1">
      <c r="A92" t="s">
        <v>170</v>
      </c>
    </row>
    <row r="93" spans="1:1">
      <c r="A93" t="s">
        <v>11</v>
      </c>
    </row>
    <row r="94" spans="1:1">
      <c r="A94" t="s">
        <v>58</v>
      </c>
    </row>
    <row r="95" spans="1:1">
      <c r="A95" t="s">
        <v>68</v>
      </c>
    </row>
    <row r="96" spans="1:1">
      <c r="A96" t="s">
        <v>114</v>
      </c>
    </row>
    <row r="97" spans="1:1">
      <c r="A97" t="s">
        <v>178</v>
      </c>
    </row>
    <row r="98" spans="1:1">
      <c r="A98" t="s">
        <v>1149</v>
      </c>
    </row>
    <row r="99" spans="1:1">
      <c r="A99" t="s">
        <v>181</v>
      </c>
    </row>
    <row r="100" spans="1:1">
      <c r="A100" t="s">
        <v>61</v>
      </c>
    </row>
    <row r="101" spans="1:1">
      <c r="A101" t="s">
        <v>47</v>
      </c>
    </row>
    <row r="102" spans="1:1">
      <c r="A102" t="s">
        <v>130</v>
      </c>
    </row>
    <row r="103" spans="1:1">
      <c r="A103" t="s">
        <v>97</v>
      </c>
    </row>
    <row r="104" spans="1:1">
      <c r="A104" t="s">
        <v>41</v>
      </c>
    </row>
    <row r="105" spans="1:1">
      <c r="A105" t="s">
        <v>39</v>
      </c>
    </row>
    <row r="106" spans="1:1">
      <c r="A106" t="s">
        <v>62</v>
      </c>
    </row>
    <row r="107" spans="1:1">
      <c r="A107" t="s">
        <v>195</v>
      </c>
    </row>
    <row r="108" spans="1:1">
      <c r="A108" t="s">
        <v>96</v>
      </c>
    </row>
    <row r="109" spans="1:1">
      <c r="A109" t="s">
        <v>199</v>
      </c>
    </row>
    <row r="110" spans="1:1">
      <c r="A110" t="s">
        <v>55</v>
      </c>
    </row>
    <row r="111" spans="1:1">
      <c r="A111" t="s">
        <v>134</v>
      </c>
    </row>
    <row r="112" spans="1:1">
      <c r="A112" t="s">
        <v>212</v>
      </c>
    </row>
    <row r="113" spans="1:1">
      <c r="A113" t="s">
        <v>7</v>
      </c>
    </row>
    <row r="114" spans="1:1">
      <c r="A114" t="s">
        <v>83</v>
      </c>
    </row>
    <row r="115" spans="1:1">
      <c r="A115" t="s">
        <v>974</v>
      </c>
    </row>
    <row r="116" spans="1:1">
      <c r="A116" t="s">
        <v>975</v>
      </c>
    </row>
    <row r="117" spans="1:1">
      <c r="A117" t="s">
        <v>221</v>
      </c>
    </row>
    <row r="118" spans="1:1">
      <c r="A118" t="s">
        <v>18</v>
      </c>
    </row>
    <row r="119" spans="1:1">
      <c r="A119" t="s">
        <v>124</v>
      </c>
    </row>
    <row r="120" spans="1:1">
      <c r="A120" t="s">
        <v>99</v>
      </c>
    </row>
    <row r="121" spans="1:1">
      <c r="A121" t="s">
        <v>228</v>
      </c>
    </row>
    <row r="122" spans="1:1">
      <c r="A122" t="s">
        <v>473</v>
      </c>
    </row>
    <row r="123" spans="1:1">
      <c r="A123" t="s">
        <v>90</v>
      </c>
    </row>
    <row r="124" spans="1:1">
      <c r="A124" t="s">
        <v>236</v>
      </c>
    </row>
    <row r="125" spans="1:1">
      <c r="A125" t="s">
        <v>128</v>
      </c>
    </row>
    <row r="126" spans="1:1">
      <c r="A126" t="s">
        <v>241</v>
      </c>
    </row>
    <row r="127" spans="1:1">
      <c r="A127" t="s">
        <v>244</v>
      </c>
    </row>
    <row r="128" spans="1:1">
      <c r="A128" t="s">
        <v>91</v>
      </c>
    </row>
    <row r="129" spans="1:1">
      <c r="A129" t="s">
        <v>108</v>
      </c>
    </row>
    <row r="130" spans="1:1">
      <c r="A130" t="s">
        <v>122</v>
      </c>
    </row>
    <row r="131" spans="1:1">
      <c r="A131" t="s">
        <v>254</v>
      </c>
    </row>
    <row r="132" spans="1:1">
      <c r="A132" t="s">
        <v>256</v>
      </c>
    </row>
    <row r="133" spans="1:1">
      <c r="A133" t="s">
        <v>258</v>
      </c>
    </row>
    <row r="134" spans="1:1">
      <c r="A134" t="s">
        <v>844</v>
      </c>
    </row>
    <row r="135" spans="1:1">
      <c r="A135" t="s">
        <v>265</v>
      </c>
    </row>
    <row r="136" spans="1:1">
      <c r="A136" t="s">
        <v>35</v>
      </c>
    </row>
    <row r="137" spans="1:1">
      <c r="A137" t="s">
        <v>72</v>
      </c>
    </row>
    <row r="138" spans="1:1">
      <c r="A138" t="s">
        <v>272</v>
      </c>
    </row>
    <row r="139" spans="1:1">
      <c r="A139" t="s">
        <v>274</v>
      </c>
    </row>
    <row r="140" spans="1:1">
      <c r="A140" t="s">
        <v>279</v>
      </c>
    </row>
    <row r="141" spans="1:1">
      <c r="A141" t="s">
        <v>282</v>
      </c>
    </row>
    <row r="142" spans="1:1">
      <c r="A142" t="s">
        <v>468</v>
      </c>
    </row>
    <row r="143" spans="1:1">
      <c r="A143" t="s">
        <v>135</v>
      </c>
    </row>
    <row r="144" spans="1:1">
      <c r="A144" t="s">
        <v>27</v>
      </c>
    </row>
    <row r="145" spans="1:1">
      <c r="A145" t="s">
        <v>289</v>
      </c>
    </row>
    <row r="146" spans="1:1">
      <c r="A146" t="s">
        <v>92</v>
      </c>
    </row>
    <row r="147" spans="1:1">
      <c r="A147" t="s">
        <v>92</v>
      </c>
    </row>
    <row r="148" spans="1:1">
      <c r="A148" t="s">
        <v>637</v>
      </c>
    </row>
    <row r="149" spans="1:1">
      <c r="A149" t="s">
        <v>29</v>
      </c>
    </row>
    <row r="150" spans="1:1">
      <c r="A150" t="s">
        <v>592</v>
      </c>
    </row>
    <row r="151" spans="1:1">
      <c r="A151" t="s">
        <v>1127</v>
      </c>
    </row>
    <row r="152" spans="1:1">
      <c r="A152" t="s">
        <v>297</v>
      </c>
    </row>
    <row r="153" spans="1:1">
      <c r="A153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panics</vt:lpstr>
      <vt:lpstr>ra2eb egabia</vt:lpstr>
      <vt:lpstr>ra2eb 2</vt:lpstr>
      <vt:lpstr>evaluate ostoul</vt:lpstr>
      <vt:lpstr>evaluate ahmed saad</vt:lpstr>
      <vt:lpstr>اسعار الاسهم</vt:lpstr>
      <vt:lpstr>Sheet1</vt:lpstr>
      <vt:lpstr>over time</vt:lpstr>
      <vt:lpstr>over time prices</vt:lpstr>
      <vt:lpstr>FAIR</vt:lpstr>
      <vt:lpstr>القيمة الدفترية</vt:lpstr>
      <vt:lpstr>دورات القيمة الدفترية</vt:lpstr>
      <vt:lpstr>رموز سريعة</vt:lpstr>
      <vt:lpstr>bf</vt:lpstr>
      <vt:lpstr>fp</vt:lpstr>
      <vt:lpstr>السهم العربى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مينا لطيف محروس جرجس</dc:creator>
  <cp:lastModifiedBy>مينا لطيف محروس جرجس</cp:lastModifiedBy>
  <cp:lastPrinted>2024-03-16T13:44:00Z</cp:lastPrinted>
  <dcterms:created xsi:type="dcterms:W3CDTF">2024-02-08T15:27:06Z</dcterms:created>
  <dcterms:modified xsi:type="dcterms:W3CDTF">2026-05-22T04:57:14Z</dcterms:modified>
</cp:coreProperties>
</file>